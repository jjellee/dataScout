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'실적(종목별)'!$A$1:$AP$2667</definedName>
    <definedName name="_xlnm._FilterDatabase" localSheetId="1" hidden="1">'수주잔고'!$A$1:$V$921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>
        <is>
          <t>2025Q4</t>
        </is>
      </c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14" t="n">
        <v>12289</v>
      </c>
      <c r="AE62" s="15" t="n">
        <v>1428</v>
      </c>
      <c r="AF62" s="15" t="n">
        <v>1699</v>
      </c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14" t="n">
        <v>4211408</v>
      </c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14" t="n">
        <v>847837</v>
      </c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n">
        <v>22</v>
      </c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252999996</v>
      </c>
      <c r="AK150" s="12" t="n">
        <v>13495638</v>
      </c>
      <c r="AL150" s="12" t="n">
        <v>14468220</v>
      </c>
      <c r="AM150" s="13" t="n">
        <v>133565.8</v>
      </c>
      <c r="AN150" s="13" t="n">
        <v>165315.7</v>
      </c>
      <c r="AO150" s="13" t="n">
        <v>185050.7</v>
      </c>
      <c r="AP150" s="13" t="n">
        <v>131218.8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77100000</v>
      </c>
      <c r="G260" s="15" t="n">
        <v>3500000</v>
      </c>
      <c r="H260" s="15" t="n">
        <v>1800000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14" t="n">
        <v>28492432</v>
      </c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n">
        <v>-12</v>
      </c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14" t="n">
        <v>7344164</v>
      </c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14" t="n">
        <v>1120606</v>
      </c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n">
        <v>18.9</v>
      </c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14" t="n">
        <v>1215063</v>
      </c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n">
        <v>4.1</v>
      </c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n">
        <v>8543</v>
      </c>
      <c r="AK1901" s="12" t="n">
        <v>-2284</v>
      </c>
      <c r="AL1901" s="12" t="n">
        <v>-9427</v>
      </c>
      <c r="AM1901" s="13" t="n">
        <v>-7.8</v>
      </c>
      <c r="AN1901" s="13" t="n">
        <v>-30.7</v>
      </c>
      <c r="AO1901" s="13" t="n">
        <v>-9.1</v>
      </c>
      <c r="AP1901" s="13" t="n">
        <v>12.3</v>
      </c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나무AX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11" t="n">
        <v>11796</v>
      </c>
      <c r="AK2026" s="12" t="n">
        <v>524</v>
      </c>
      <c r="AL2026" s="12" t="n">
        <v>483</v>
      </c>
      <c r="AM2026" s="13" t="n">
        <v>-1.5</v>
      </c>
      <c r="AN2026" s="13" t="inlineStr"/>
      <c r="AO2026" s="13" t="n">
        <v>130.8</v>
      </c>
      <c r="AP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11" t="n">
        <v>22409333</v>
      </c>
      <c r="AK2027" s="12" t="n">
        <v>4124621</v>
      </c>
      <c r="AL2027" s="12" t="n">
        <v>3173128</v>
      </c>
      <c r="AM2027" s="13" t="n">
        <v>14.3</v>
      </c>
      <c r="AN2027" s="13" t="n">
        <v>30.2</v>
      </c>
      <c r="AO2027" s="13" t="n">
        <v>45.5</v>
      </c>
      <c r="AP2027" s="13" t="n">
        <v>262.2</v>
      </c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11" t="n">
        <v>1141813</v>
      </c>
      <c r="AK2028" s="12" t="n">
        <v>287035</v>
      </c>
      <c r="AL2028" s="12" t="n">
        <v>206139</v>
      </c>
      <c r="AM2028" s="13" t="n">
        <v>10.2</v>
      </c>
      <c r="AN2028" s="13" t="n">
        <v>26</v>
      </c>
      <c r="AO2028" s="13" t="n">
        <v>11.1</v>
      </c>
      <c r="AP2028" s="13" t="n">
        <v>37.2</v>
      </c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2026Q2</t>
        </is>
      </c>
      <c r="E2029" s="6" t="inlineStr">
        <is>
          <t>2023Q4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11" t="n">
        <v>2434171</v>
      </c>
      <c r="AK2029" s="12" t="n">
        <v>248884</v>
      </c>
      <c r="AL2029" s="12" t="n">
        <v>180695</v>
      </c>
      <c r="AM2029" s="13" t="n">
        <v>5.6</v>
      </c>
      <c r="AN2029" s="13" t="n">
        <v>151.5</v>
      </c>
      <c r="AO2029" s="13" t="n">
        <v>30.5</v>
      </c>
      <c r="AP2029" s="13" t="n">
        <v>521.5</v>
      </c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11" t="n">
        <v>447475</v>
      </c>
      <c r="AK2030" s="12" t="n">
        <v>7090</v>
      </c>
      <c r="AL2030" s="12" t="n">
        <v>7232</v>
      </c>
      <c r="AM2030" s="13" t="n">
        <v>-17.4</v>
      </c>
      <c r="AN2030" s="13" t="n">
        <v>32.9</v>
      </c>
      <c r="AO2030" s="13" t="n">
        <v>-63.8</v>
      </c>
      <c r="AP2030" s="13" t="n">
        <v>145.2</v>
      </c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11" t="n">
        <v>12723</v>
      </c>
      <c r="AK2031" s="12" t="n">
        <v>-470</v>
      </c>
      <c r="AL2031" s="12" t="n">
        <v>581</v>
      </c>
      <c r="AM2031" s="13" t="n">
        <v>-35.7</v>
      </c>
      <c r="AN2031" s="13" t="n">
        <v>-54.2</v>
      </c>
      <c r="AO2031" s="13" t="n">
        <v>-132</v>
      </c>
      <c r="AP2031" s="13" t="n">
        <v>-155.6</v>
      </c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11" t="n">
        <v>15120</v>
      </c>
      <c r="AK2032" s="12" t="n">
        <v>1495</v>
      </c>
      <c r="AL2032" s="12" t="n">
        <v>6313</v>
      </c>
      <c r="AM2032" s="13" t="n">
        <v>49.9</v>
      </c>
      <c r="AN2032" s="13" t="n">
        <v>-2.6</v>
      </c>
      <c r="AO2032" s="13" t="n">
        <v>252.6</v>
      </c>
      <c r="AP2032" s="13" t="n">
        <v>6.8</v>
      </c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11" t="n">
        <v>45048</v>
      </c>
      <c r="AK2033" s="12" t="n">
        <v>2257</v>
      </c>
      <c r="AL2033" s="12" t="n">
        <v>4958</v>
      </c>
      <c r="AM2033" s="13" t="n">
        <v>-1.7</v>
      </c>
      <c r="AN2033" s="13" t="n">
        <v>-8.1</v>
      </c>
      <c r="AO2033" s="13" t="n">
        <v>11.3</v>
      </c>
      <c r="AP2033" s="13" t="n">
        <v>-34.7</v>
      </c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11" t="n">
        <v>480005</v>
      </c>
      <c r="AK2034" s="12" t="n">
        <v>20405</v>
      </c>
      <c r="AL2034" s="12" t="n">
        <v>16279</v>
      </c>
      <c r="AM2034" s="13" t="n">
        <v>2.2</v>
      </c>
      <c r="AN2034" s="13" t="n">
        <v>4.8</v>
      </c>
      <c r="AO2034" s="13" t="n">
        <v>8.6</v>
      </c>
      <c r="AP2034" s="13" t="n">
        <v>64.40000000000001</v>
      </c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11" t="n">
        <v>162829</v>
      </c>
      <c r="AK2035" s="12" t="n">
        <v>37110</v>
      </c>
      <c r="AL2035" s="12" t="n">
        <v>32975</v>
      </c>
      <c r="AM2035" s="13" t="n">
        <v>15.3</v>
      </c>
      <c r="AN2035" s="13" t="n">
        <v>20.8</v>
      </c>
      <c r="AO2035" s="13" t="n">
        <v>92.40000000000001</v>
      </c>
      <c r="AP2035" s="13" t="n">
        <v>93.2</v>
      </c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11" t="n">
        <v>3731</v>
      </c>
      <c r="AK2036" s="12" t="n">
        <v>106</v>
      </c>
      <c r="AL2036" s="12" t="n">
        <v>695</v>
      </c>
      <c r="AM2036" s="13" t="n">
        <v>56.2</v>
      </c>
      <c r="AN2036" s="13" t="n">
        <v>23.7</v>
      </c>
      <c r="AO2036" s="13" t="n">
        <v>-50.7</v>
      </c>
      <c r="AP2036" s="13" t="n">
        <v>135.8</v>
      </c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11" t="n">
        <v>3368</v>
      </c>
      <c r="AK2037" s="12" t="n">
        <v>-1325</v>
      </c>
      <c r="AL2037" s="12" t="n">
        <v>-3871</v>
      </c>
      <c r="AM2037" s="13" t="n">
        <v>-25.8</v>
      </c>
      <c r="AN2037" s="13" t="n">
        <v>18.8</v>
      </c>
      <c r="AO2037" s="13" t="n">
        <v>25.3</v>
      </c>
      <c r="AP2037" s="13" t="n">
        <v>66.8</v>
      </c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11" t="n">
        <v>9838</v>
      </c>
      <c r="AK2038" s="12" t="n">
        <v>-1227</v>
      </c>
      <c r="AL2038" s="12" t="n">
        <v>7609</v>
      </c>
      <c r="AM2038" s="13" t="n">
        <v>23.4</v>
      </c>
      <c r="AN2038" s="13" t="n">
        <v>15.1</v>
      </c>
      <c r="AO2038" s="13" t="n">
        <v>30.9</v>
      </c>
      <c r="AP2038" s="13" t="n">
        <v>-1364.9</v>
      </c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11" t="n">
        <v>28362</v>
      </c>
      <c r="AK2039" s="12" t="n">
        <v>7</v>
      </c>
      <c r="AL2039" s="12" t="n">
        <v>7765</v>
      </c>
      <c r="AM2039" s="13" t="n">
        <v>9.699999999999999</v>
      </c>
      <c r="AN2039" s="13" t="n">
        <v>11.1</v>
      </c>
      <c r="AO2039" s="13" t="n">
        <v>126.9</v>
      </c>
      <c r="AP2039" s="13" t="n">
        <v>-96.59999999999999</v>
      </c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11" t="n">
        <v>893586</v>
      </c>
      <c r="AK2040" s="12" t="n">
        <v>132572</v>
      </c>
      <c r="AL2040" s="12" t="n">
        <v>86595</v>
      </c>
      <c r="AM2040" s="13" t="n">
        <v>-4</v>
      </c>
      <c r="AN2040" s="13" t="n">
        <v>15</v>
      </c>
      <c r="AO2040" s="13" t="n">
        <v>-19.9</v>
      </c>
      <c r="AP2040" s="13" t="n">
        <v>9.199999999999999</v>
      </c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11" t="n">
        <v>9464</v>
      </c>
      <c r="AK2041" s="12" t="n">
        <v>-2680</v>
      </c>
      <c r="AL2041" s="12" t="n">
        <v>-2402</v>
      </c>
      <c r="AM2041" s="13" t="n">
        <v>84</v>
      </c>
      <c r="AN2041" s="13" t="n">
        <v>80</v>
      </c>
      <c r="AO2041" s="13" t="n">
        <v>11.1</v>
      </c>
      <c r="AP2041" s="13" t="n">
        <v>-32.1</v>
      </c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11" t="n">
        <v>25882</v>
      </c>
      <c r="AK2042" s="12" t="n">
        <v>-646</v>
      </c>
      <c r="AL2042" s="12" t="n">
        <v>966</v>
      </c>
      <c r="AM2042" s="13" t="n">
        <v>-4.6</v>
      </c>
      <c r="AN2042" s="13" t="n">
        <v>41.2</v>
      </c>
      <c r="AO2042" s="13" t="n">
        <v>68.2</v>
      </c>
      <c r="AP2042" s="13" t="n">
        <v>76.7</v>
      </c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11" t="n">
        <v>146604</v>
      </c>
      <c r="AK2043" s="12" t="n">
        <v>-7044</v>
      </c>
      <c r="AL2043" s="12" t="n">
        <v>-6675</v>
      </c>
      <c r="AM2043" s="13" t="n">
        <v>12.5</v>
      </c>
      <c r="AN2043" s="13" t="n">
        <v>6.5</v>
      </c>
      <c r="AO2043" s="13" t="n">
        <v>-1785.2</v>
      </c>
      <c r="AP2043" s="13" t="n">
        <v>-250.4</v>
      </c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11" t="n">
        <v>34351</v>
      </c>
      <c r="AK2044" s="12" t="n">
        <v>6262</v>
      </c>
      <c r="AL2044" s="12" t="n">
        <v>360</v>
      </c>
      <c r="AM2044" s="13" t="n">
        <v>-1.5</v>
      </c>
      <c r="AN2044" s="13" t="n">
        <v>72.2</v>
      </c>
      <c r="AO2044" s="13" t="n">
        <v>-16.5</v>
      </c>
      <c r="AP2044" s="13" t="n">
        <v>20.9</v>
      </c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2026Q2</t>
        </is>
      </c>
      <c r="E2045" s="6" t="inlineStr">
        <is>
          <t>2023Q4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11" t="n">
        <v>1117552</v>
      </c>
      <c r="AK2045" s="12" t="n">
        <v>103652</v>
      </c>
      <c r="AL2045" s="12" t="n">
        <v>52743</v>
      </c>
      <c r="AM2045" s="13" t="n">
        <v>38.5</v>
      </c>
      <c r="AN2045" s="13" t="n">
        <v>45.5</v>
      </c>
      <c r="AO2045" s="13" t="n">
        <v>202.3</v>
      </c>
      <c r="AP2045" s="13" t="n">
        <v>209.9</v>
      </c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11" t="n">
        <v>108667</v>
      </c>
      <c r="AK2046" s="12" t="n">
        <v>10449</v>
      </c>
      <c r="AL2046" s="12" t="n">
        <v>18022</v>
      </c>
      <c r="AM2046" s="13" t="n">
        <v>14.2</v>
      </c>
      <c r="AN2046" s="13" t="n">
        <v>-2.5</v>
      </c>
      <c r="AO2046" s="13" t="n">
        <v>-38.1</v>
      </c>
      <c r="AP2046" s="13" t="n">
        <v>-53</v>
      </c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11" t="n">
        <v>360298</v>
      </c>
      <c r="AK2047" s="12" t="n">
        <v>-73103</v>
      </c>
      <c r="AL2047" s="12" t="n">
        <v>-67544</v>
      </c>
      <c r="AM2047" s="13" t="n">
        <v>-14.8</v>
      </c>
      <c r="AN2047" s="13" t="n">
        <v>17.7</v>
      </c>
      <c r="AO2047" s="13" t="n">
        <v>-226.9</v>
      </c>
      <c r="AP2047" s="13" t="n">
        <v>-72.90000000000001</v>
      </c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11" t="n">
        <v>131481</v>
      </c>
      <c r="AK2048" s="12" t="n">
        <v>17047</v>
      </c>
      <c r="AL2048" s="12" t="n">
        <v>13566</v>
      </c>
      <c r="AM2048" s="13" t="n">
        <v>40.9</v>
      </c>
      <c r="AN2048" s="13" t="n">
        <v>9.5</v>
      </c>
      <c r="AO2048" s="13" t="n">
        <v>3654.8</v>
      </c>
      <c r="AP2048" s="13" t="n">
        <v>22</v>
      </c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11" t="n">
        <v>12716</v>
      </c>
      <c r="AK2049" s="12" t="n">
        <v>2861</v>
      </c>
      <c r="AL2049" s="12" t="n">
        <v>991</v>
      </c>
      <c r="AM2049" s="13" t="n">
        <v>7.6</v>
      </c>
      <c r="AN2049" s="13" t="n">
        <v>14.2</v>
      </c>
      <c r="AO2049" s="13" t="n">
        <v>-1.7</v>
      </c>
      <c r="AP2049" s="13" t="n">
        <v>49.1</v>
      </c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11" t="n">
        <v>17652</v>
      </c>
      <c r="AK2050" s="12" t="n">
        <v>1844</v>
      </c>
      <c r="AL2050" s="12" t="n">
        <v>1340</v>
      </c>
      <c r="AM2050" s="13" t="n">
        <v>26.4</v>
      </c>
      <c r="AN2050" s="13" t="n">
        <v>98.90000000000001</v>
      </c>
      <c r="AO2050" s="13" t="n">
        <v>289.9</v>
      </c>
      <c r="AP2050" s="13" t="n">
        <v>96.59999999999999</v>
      </c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11" t="n">
        <v>28474</v>
      </c>
      <c r="AK2051" s="12" t="n">
        <v>1184</v>
      </c>
      <c r="AL2051" s="12" t="n">
        <v>334</v>
      </c>
      <c r="AM2051" s="13" t="n">
        <v>-2.6</v>
      </c>
      <c r="AN2051" s="13" t="n">
        <v>31.9</v>
      </c>
      <c r="AO2051" s="13" t="n">
        <v>443.1</v>
      </c>
      <c r="AP2051" s="13" t="n">
        <v>165.7</v>
      </c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11" t="n">
        <v>2164</v>
      </c>
      <c r="AK2052" s="12" t="n">
        <v>-844</v>
      </c>
      <c r="AL2052" s="12" t="n">
        <v>-963</v>
      </c>
      <c r="AM2052" s="13" t="n">
        <v>-11.5</v>
      </c>
      <c r="AN2052" s="13" t="n">
        <v>-53.4</v>
      </c>
      <c r="AO2052" s="13" t="n">
        <v>-83.5</v>
      </c>
      <c r="AP2052" s="13" t="n">
        <v>-387.9</v>
      </c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11" t="n">
        <v>2315</v>
      </c>
      <c r="AK2053" s="12" t="n">
        <v>-606</v>
      </c>
      <c r="AL2053" s="12" t="n">
        <v>-779</v>
      </c>
      <c r="AM2053" s="13" t="n">
        <v>32.1</v>
      </c>
      <c r="AN2053" s="13" t="n">
        <v>-26.2</v>
      </c>
      <c r="AO2053" s="13" t="n">
        <v>52.4</v>
      </c>
      <c r="AP2053" s="13" t="n">
        <v>-20300</v>
      </c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11" t="inlineStr"/>
      <c r="AK2054" s="12" t="n">
        <v>-868</v>
      </c>
      <c r="AL2054" s="12" t="n">
        <v>-2147</v>
      </c>
      <c r="AM2054" s="13" t="inlineStr"/>
      <c r="AN2054" s="13" t="inlineStr"/>
      <c r="AO2054" s="13" t="n">
        <v>50.3</v>
      </c>
      <c r="AP2054" s="13" t="n">
        <v>64.7</v>
      </c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11" t="n">
        <v>3798</v>
      </c>
      <c r="AK2055" s="12" t="n">
        <v>-1793</v>
      </c>
      <c r="AL2055" s="12" t="n">
        <v>-3179</v>
      </c>
      <c r="AM2055" s="13" t="n">
        <v>14.1</v>
      </c>
      <c r="AN2055" s="13" t="n">
        <v>15.1</v>
      </c>
      <c r="AO2055" s="13" t="n">
        <v>6.1</v>
      </c>
      <c r="AP2055" s="13" t="n">
        <v>-23</v>
      </c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11" t="n">
        <v>1629</v>
      </c>
      <c r="AK2056" s="12" t="n">
        <v>-2060</v>
      </c>
      <c r="AL2056" s="12" t="n">
        <v>-1726</v>
      </c>
      <c r="AM2056" s="13" t="n">
        <v>-30.3</v>
      </c>
      <c r="AN2056" s="13" t="n">
        <v>-13</v>
      </c>
      <c r="AO2056" s="13" t="n">
        <v>-292.9</v>
      </c>
      <c r="AP2056" s="13" t="n">
        <v>-248.8</v>
      </c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11" t="n">
        <v>9918</v>
      </c>
      <c r="AK2057" s="12" t="n">
        <v>323</v>
      </c>
      <c r="AL2057" s="12" t="n">
        <v>863</v>
      </c>
      <c r="AM2057" s="13" t="n">
        <v>-0.7</v>
      </c>
      <c r="AN2057" s="13" t="n">
        <v>16.2</v>
      </c>
      <c r="AO2057" s="13" t="n">
        <v>198.5</v>
      </c>
      <c r="AP2057" s="13" t="n">
        <v>-42.1</v>
      </c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11" t="n">
        <v>12314</v>
      </c>
      <c r="AK2058" s="12" t="n">
        <v>-2028</v>
      </c>
      <c r="AL2058" s="12" t="n">
        <v>-597</v>
      </c>
      <c r="AM2058" s="13" t="n">
        <v>35.9</v>
      </c>
      <c r="AN2058" s="13" t="n">
        <v>97.90000000000001</v>
      </c>
      <c r="AO2058" s="13" t="n">
        <v>-29.4</v>
      </c>
      <c r="AP2058" s="13" t="n">
        <v>1.4</v>
      </c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11" t="n">
        <v>116646</v>
      </c>
      <c r="AK2059" s="12" t="n">
        <v>7093</v>
      </c>
      <c r="AL2059" s="12" t="n">
        <v>5190</v>
      </c>
      <c r="AM2059" s="13" t="n">
        <v>129.3</v>
      </c>
      <c r="AN2059" s="13" t="n">
        <v>109.4</v>
      </c>
      <c r="AO2059" s="13" t="n">
        <v>86.59999999999999</v>
      </c>
      <c r="AP2059" s="13" t="n">
        <v>214</v>
      </c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11" t="n">
        <v>51003</v>
      </c>
      <c r="AK2060" s="12" t="n">
        <v>-3813</v>
      </c>
      <c r="AL2060" s="12" t="n">
        <v>-2808</v>
      </c>
      <c r="AM2060" s="13" t="n">
        <v>25.1</v>
      </c>
      <c r="AN2060" s="13" t="n">
        <v>54.1</v>
      </c>
      <c r="AO2060" s="13" t="n">
        <v>-11.8</v>
      </c>
      <c r="AP2060" s="13" t="n">
        <v>-231.9</v>
      </c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11" t="n">
        <v>767533</v>
      </c>
      <c r="AK2061" s="12" t="n">
        <v>190553</v>
      </c>
      <c r="AL2061" s="12" t="n">
        <v>141530</v>
      </c>
      <c r="AM2061" s="13" t="n">
        <v>29.4</v>
      </c>
      <c r="AN2061" s="13" t="n">
        <v>134.2</v>
      </c>
      <c r="AO2061" s="13" t="n">
        <v>25.1</v>
      </c>
      <c r="AP2061" s="13" t="n">
        <v>125.4</v>
      </c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11" t="n">
        <v>15966</v>
      </c>
      <c r="AK2062" s="12" t="n">
        <v>-1893</v>
      </c>
      <c r="AL2062" s="12" t="n">
        <v>-3516</v>
      </c>
      <c r="AM2062" s="13" t="n">
        <v>18.4</v>
      </c>
      <c r="AN2062" s="13" t="n">
        <v>-10.2</v>
      </c>
      <c r="AO2062" s="13" t="n">
        <v>27.5</v>
      </c>
      <c r="AP2062" s="13" t="n">
        <v>56.1</v>
      </c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14" t="n">
        <v>323924</v>
      </c>
      <c r="AH2063" s="10" t="n">
        <v>32402</v>
      </c>
      <c r="AI2063" s="10" t="n">
        <v>33206</v>
      </c>
      <c r="AJ2063" s="14" t="n">
        <v>327014</v>
      </c>
      <c r="AK2063" s="12" t="n">
        <v>26970</v>
      </c>
      <c r="AL2063" s="12" t="n">
        <v>26870</v>
      </c>
      <c r="AM2063" s="13" t="n">
        <v>1</v>
      </c>
      <c r="AN2063" s="13" t="inlineStr"/>
      <c r="AO2063" s="13" t="n">
        <v>-16.8</v>
      </c>
      <c r="AP2063" s="13" t="n">
        <v>-61.4</v>
      </c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11" t="n">
        <v>2794</v>
      </c>
      <c r="AK2064" s="12" t="n">
        <v>-2061</v>
      </c>
      <c r="AL2064" s="12" t="n">
        <v>-2132</v>
      </c>
      <c r="AM2064" s="13" t="n">
        <v>-16.9</v>
      </c>
      <c r="AN2064" s="13" t="n">
        <v>-42.5</v>
      </c>
      <c r="AO2064" s="13" t="n">
        <v>-5.5</v>
      </c>
      <c r="AP2064" s="13" t="n">
        <v>-79.8</v>
      </c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11" t="n">
        <v>1155748</v>
      </c>
      <c r="AK2065" s="12" t="n">
        <v>64709</v>
      </c>
      <c r="AL2065" s="12" t="n">
        <v>36082</v>
      </c>
      <c r="AM2065" s="13" t="n">
        <v>12.5</v>
      </c>
      <c r="AN2065" s="13" t="n">
        <v>8.6</v>
      </c>
      <c r="AO2065" s="13" t="n">
        <v>80.8</v>
      </c>
      <c r="AP2065" s="13" t="n">
        <v>88.5</v>
      </c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11" t="n">
        <v>37206</v>
      </c>
      <c r="AK2066" s="12" t="n">
        <v>6080</v>
      </c>
      <c r="AL2066" s="12" t="n">
        <v>2630</v>
      </c>
      <c r="AM2066" s="13" t="n">
        <v>12.1</v>
      </c>
      <c r="AN2066" s="13" t="n">
        <v>19.1</v>
      </c>
      <c r="AO2066" s="13" t="n">
        <v>43.1</v>
      </c>
      <c r="AP2066" s="13" t="n">
        <v>40</v>
      </c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11" t="n">
        <v>112689</v>
      </c>
      <c r="AK2067" s="12" t="n">
        <v>23522</v>
      </c>
      <c r="AL2067" s="12" t="n">
        <v>21111</v>
      </c>
      <c r="AM2067" s="13" t="n">
        <v>-27.8</v>
      </c>
      <c r="AN2067" s="13" t="n">
        <v>15.5</v>
      </c>
      <c r="AO2067" s="13" t="n">
        <v>-32.4</v>
      </c>
      <c r="AP2067" s="13" t="n">
        <v>51.2</v>
      </c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11" t="n">
        <v>2426816</v>
      </c>
      <c r="AK2068" s="12" t="n">
        <v>84852</v>
      </c>
      <c r="AL2068" s="12" t="n">
        <v>56830</v>
      </c>
      <c r="AM2068" s="13" t="n">
        <v>14.5</v>
      </c>
      <c r="AN2068" s="13" t="n">
        <v>6</v>
      </c>
      <c r="AO2068" s="13" t="n">
        <v>122.7</v>
      </c>
      <c r="AP2068" s="13" t="n">
        <v>22.2</v>
      </c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11" t="n">
        <v>71102</v>
      </c>
      <c r="AK2069" s="12" t="n">
        <v>5908</v>
      </c>
      <c r="AL2069" s="12" t="n">
        <v>4185</v>
      </c>
      <c r="AM2069" s="13" t="inlineStr"/>
      <c r="AN2069" s="13" t="inlineStr"/>
      <c r="AO2069" s="13" t="inlineStr"/>
      <c r="AP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11" t="n">
        <v>84211</v>
      </c>
      <c r="AK2070" s="12" t="n">
        <v>1799</v>
      </c>
      <c r="AL2070" s="12" t="n">
        <v>1171</v>
      </c>
      <c r="AM2070" s="13" t="n">
        <v>15.7</v>
      </c>
      <c r="AN2070" s="13" t="n">
        <v>49.4</v>
      </c>
      <c r="AO2070" s="13" t="n">
        <v>122.4</v>
      </c>
      <c r="AP2070" s="13" t="n">
        <v>822.6</v>
      </c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11" t="n">
        <v>58382</v>
      </c>
      <c r="AK2071" s="12" t="n">
        <v>-7405</v>
      </c>
      <c r="AL2071" s="12" t="n">
        <v>-7745</v>
      </c>
      <c r="AM2071" s="13" t="n">
        <v>46.7</v>
      </c>
      <c r="AN2071" s="13" t="n">
        <v>21.4</v>
      </c>
      <c r="AO2071" s="13" t="n">
        <v>-612</v>
      </c>
      <c r="AP2071" s="13" t="n">
        <v>-3658.9</v>
      </c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11" t="n">
        <v>408</v>
      </c>
      <c r="AK2072" s="12" t="n">
        <v>-1053</v>
      </c>
      <c r="AL2072" s="12" t="n">
        <v>-1324</v>
      </c>
      <c r="AM2072" s="13" t="n">
        <v>10.3</v>
      </c>
      <c r="AN2072" s="13" t="n">
        <v>131.8</v>
      </c>
      <c r="AO2072" s="13" t="n">
        <v>-4.1</v>
      </c>
      <c r="AP2072" s="13" t="n">
        <v>-11.4</v>
      </c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11" t="n">
        <v>318272</v>
      </c>
      <c r="AK2073" s="12" t="n">
        <v>54024</v>
      </c>
      <c r="AL2073" s="12" t="n">
        <v>42771</v>
      </c>
      <c r="AM2073" s="13" t="n">
        <v>16.6</v>
      </c>
      <c r="AN2073" s="13" t="n">
        <v>8.199999999999999</v>
      </c>
      <c r="AO2073" s="13" t="n">
        <v>31</v>
      </c>
      <c r="AP2073" s="13" t="n">
        <v>29.5</v>
      </c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11" t="n">
        <v>745120</v>
      </c>
      <c r="AK2074" s="12" t="n">
        <v>32349</v>
      </c>
      <c r="AL2074" s="12" t="n">
        <v>6806</v>
      </c>
      <c r="AM2074" s="13" t="n">
        <v>13.6</v>
      </c>
      <c r="AN2074" s="13" t="n">
        <v>24.8</v>
      </c>
      <c r="AO2074" s="13" t="n">
        <v>271.3</v>
      </c>
      <c r="AP2074" s="13" t="n">
        <v>3459.2</v>
      </c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11" t="n">
        <v>9526</v>
      </c>
      <c r="AK2075" s="12" t="n">
        <v>-151</v>
      </c>
      <c r="AL2075" s="12" t="n">
        <v>23205</v>
      </c>
      <c r="AM2075" s="13" t="n">
        <v>-14.6</v>
      </c>
      <c r="AN2075" s="13" t="n">
        <v>-21.3</v>
      </c>
      <c r="AO2075" s="13" t="n">
        <v>-586.4</v>
      </c>
      <c r="AP2075" s="13" t="n">
        <v>-107</v>
      </c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11" t="n">
        <v>8593</v>
      </c>
      <c r="AK2076" s="12" t="n">
        <v>79</v>
      </c>
      <c r="AL2076" s="12" t="n">
        <v>2599</v>
      </c>
      <c r="AM2076" s="13" t="n">
        <v>0.8</v>
      </c>
      <c r="AN2076" s="13" t="n">
        <v>7.2</v>
      </c>
      <c r="AO2076" s="13" t="n">
        <v>187.8</v>
      </c>
      <c r="AP2076" s="13" t="n">
        <v>131.6</v>
      </c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11" t="n">
        <v>2305</v>
      </c>
      <c r="AK2077" s="12" t="n">
        <v>-1041</v>
      </c>
      <c r="AL2077" s="12" t="n">
        <v>-3501</v>
      </c>
      <c r="AM2077" s="13" t="n">
        <v>16.6</v>
      </c>
      <c r="AN2077" s="13" t="n">
        <v>482.1</v>
      </c>
      <c r="AO2077" s="13" t="n">
        <v>22.9</v>
      </c>
      <c r="AP2077" s="13" t="n">
        <v>21.2</v>
      </c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11" t="n">
        <v>274496</v>
      </c>
      <c r="AK2078" s="12" t="n">
        <v>12378</v>
      </c>
      <c r="AL2078" s="12" t="n">
        <v>8673</v>
      </c>
      <c r="AM2078" s="13" t="n">
        <v>-2.4</v>
      </c>
      <c r="AN2078" s="13" t="n">
        <v>-2.2</v>
      </c>
      <c r="AO2078" s="13" t="n">
        <v>27.1</v>
      </c>
      <c r="AP2078" s="13" t="n">
        <v>54.3</v>
      </c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11" t="n">
        <v>760</v>
      </c>
      <c r="AK2079" s="12" t="n">
        <v>-2207</v>
      </c>
      <c r="AL2079" s="12" t="n">
        <v>-2071</v>
      </c>
      <c r="AM2079" s="13" t="n">
        <v>170.5</v>
      </c>
      <c r="AN2079" s="13" t="n">
        <v>1848.7</v>
      </c>
      <c r="AO2079" s="13" t="n">
        <v>37.5</v>
      </c>
      <c r="AP2079" s="13" t="n">
        <v>40.7</v>
      </c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11" t="n">
        <v>14325</v>
      </c>
      <c r="AK2080" s="12" t="n">
        <v>-584</v>
      </c>
      <c r="AL2080" s="12" t="n">
        <v>-13795</v>
      </c>
      <c r="AM2080" s="13" t="n">
        <v>4.7</v>
      </c>
      <c r="AN2080" s="13" t="n">
        <v>-4.7</v>
      </c>
      <c r="AO2080" s="13" t="n">
        <v>-198.8</v>
      </c>
      <c r="AP2080" s="13" t="n">
        <v>-128</v>
      </c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11" t="inlineStr"/>
      <c r="AK2081" s="12" t="n">
        <v>-2200</v>
      </c>
      <c r="AL2081" s="12" t="n">
        <v>-5477</v>
      </c>
      <c r="AM2081" s="13" t="inlineStr"/>
      <c r="AN2081" s="13" t="inlineStr"/>
      <c r="AO2081" s="13" t="n">
        <v>-7.2</v>
      </c>
      <c r="AP2081" s="13" t="n">
        <v>52.7</v>
      </c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11" t="n">
        <v>3941</v>
      </c>
      <c r="AK2082" s="12" t="n">
        <v>-733</v>
      </c>
      <c r="AL2082" s="12" t="n">
        <v>568</v>
      </c>
      <c r="AM2082" s="13" t="n">
        <v>62.2</v>
      </c>
      <c r="AN2082" s="13" t="n">
        <v>-15.2</v>
      </c>
      <c r="AO2082" s="13" t="n">
        <v>74.09999999999999</v>
      </c>
      <c r="AP2082" s="13" t="n">
        <v>50.5</v>
      </c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11" t="n">
        <v>6534</v>
      </c>
      <c r="AK2083" s="12" t="n">
        <v>-1437</v>
      </c>
      <c r="AL2083" s="12" t="n">
        <v>-9486</v>
      </c>
      <c r="AM2083" s="13" t="n">
        <v>48.9</v>
      </c>
      <c r="AN2083" s="13" t="n">
        <v>78.2</v>
      </c>
      <c r="AO2083" s="13" t="n">
        <v>36.5</v>
      </c>
      <c r="AP2083" s="13" t="n">
        <v>9.699999999999999</v>
      </c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11" t="n">
        <v>19285</v>
      </c>
      <c r="AK2084" s="12" t="n">
        <v>1652</v>
      </c>
      <c r="AL2084" s="12" t="n">
        <v>1785</v>
      </c>
      <c r="AM2084" s="13" t="n">
        <v>-5</v>
      </c>
      <c r="AN2084" s="13" t="n">
        <v>-15.9</v>
      </c>
      <c r="AO2084" s="13" t="n">
        <v>93.7</v>
      </c>
      <c r="AP2084" s="13" t="n">
        <v>129.1</v>
      </c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11" t="inlineStr"/>
      <c r="AK2085" s="12" t="inlineStr"/>
      <c r="AL2085" s="12" t="inlineStr"/>
      <c r="AM2085" s="13" t="inlineStr"/>
      <c r="AN2085" s="13" t="inlineStr"/>
      <c r="AO2085" s="13" t="inlineStr"/>
      <c r="AP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11" t="n">
        <v>6555</v>
      </c>
      <c r="AK2086" s="12" t="n">
        <v>-2835</v>
      </c>
      <c r="AL2086" s="12" t="n">
        <v>-3023</v>
      </c>
      <c r="AM2086" s="13" t="n">
        <v>-29.5</v>
      </c>
      <c r="AN2086" s="13" t="n">
        <v>-15.9</v>
      </c>
      <c r="AO2086" s="13" t="n">
        <v>49</v>
      </c>
      <c r="AP2086" s="13" t="n">
        <v>66.3</v>
      </c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11" t="n">
        <v>7749</v>
      </c>
      <c r="AK2087" s="12" t="n">
        <v>-707</v>
      </c>
      <c r="AL2087" s="12" t="n">
        <v>43324</v>
      </c>
      <c r="AM2087" s="13" t="n">
        <v>49.3</v>
      </c>
      <c r="AN2087" s="13" t="n">
        <v>-3.6</v>
      </c>
      <c r="AO2087" s="13" t="n">
        <v>78.90000000000001</v>
      </c>
      <c r="AP2087" s="13" t="n">
        <v>71.7</v>
      </c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11" t="n">
        <v>4666</v>
      </c>
      <c r="AK2088" s="12" t="n">
        <v>-1207</v>
      </c>
      <c r="AL2088" s="12" t="n">
        <v>1409</v>
      </c>
      <c r="AM2088" s="13" t="n">
        <v>59.2</v>
      </c>
      <c r="AN2088" s="13" t="n">
        <v>-30.3</v>
      </c>
      <c r="AO2088" s="13" t="n">
        <v>27.1</v>
      </c>
      <c r="AP2088" s="13" t="n">
        <v>-61.1</v>
      </c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11" t="n">
        <v>101924</v>
      </c>
      <c r="AK2089" s="12" t="n">
        <v>4063</v>
      </c>
      <c r="AL2089" s="12" t="n">
        <v>4800</v>
      </c>
      <c r="AM2089" s="13" t="n">
        <v>4</v>
      </c>
      <c r="AN2089" s="13" t="n">
        <v>14.7</v>
      </c>
      <c r="AO2089" s="13" t="n">
        <v>-21.8</v>
      </c>
      <c r="AP2089" s="13" t="n">
        <v>-33.7</v>
      </c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11" t="n">
        <v>8825</v>
      </c>
      <c r="AK2090" s="12" t="n">
        <v>881</v>
      </c>
      <c r="AL2090" s="12" t="n">
        <v>1035</v>
      </c>
      <c r="AM2090" s="13" t="n">
        <v>69.2</v>
      </c>
      <c r="AN2090" s="13" t="n">
        <v>-15.9</v>
      </c>
      <c r="AO2090" s="13" t="n">
        <v>151.4</v>
      </c>
      <c r="AP2090" s="13" t="n">
        <v>-51</v>
      </c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11" t="n">
        <v>7619</v>
      </c>
      <c r="AK2091" s="12" t="n">
        <v>-7876</v>
      </c>
      <c r="AL2091" s="12" t="n">
        <v>-7155</v>
      </c>
      <c r="AM2091" s="13" t="n">
        <v>468.6</v>
      </c>
      <c r="AN2091" s="13" t="n">
        <v>917.2</v>
      </c>
      <c r="AO2091" s="13" t="n">
        <v>-493.5</v>
      </c>
      <c r="AP2091" s="13" t="n">
        <v>-694.8</v>
      </c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11" t="n">
        <v>147976</v>
      </c>
      <c r="AK2092" s="12" t="n">
        <v>10049</v>
      </c>
      <c r="AL2092" s="12" t="n">
        <v>10492</v>
      </c>
      <c r="AM2092" s="13" t="n">
        <v>28</v>
      </c>
      <c r="AN2092" s="13" t="n">
        <v>24.6</v>
      </c>
      <c r="AO2092" s="13" t="n">
        <v>13.6</v>
      </c>
      <c r="AP2092" s="13" t="n">
        <v>22</v>
      </c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11" t="n">
        <v>4241</v>
      </c>
      <c r="AK2093" s="12" t="n">
        <v>1126</v>
      </c>
      <c r="AL2093" s="12" t="n">
        <v>-2694</v>
      </c>
      <c r="AM2093" s="13" t="n">
        <v>57.1</v>
      </c>
      <c r="AN2093" s="13" t="n">
        <v>33.7</v>
      </c>
      <c r="AO2093" s="13" t="n">
        <v>465.6</v>
      </c>
      <c r="AP2093" s="13" t="n">
        <v>54.7</v>
      </c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11" t="n">
        <v>38785</v>
      </c>
      <c r="AK2094" s="12" t="n">
        <v>8580</v>
      </c>
      <c r="AL2094" s="12" t="n">
        <v>-28123</v>
      </c>
      <c r="AM2094" s="13" t="n">
        <v>28</v>
      </c>
      <c r="AN2094" s="13" t="n">
        <v>88.5</v>
      </c>
      <c r="AO2094" s="13" t="n">
        <v>43</v>
      </c>
      <c r="AP2094" s="13" t="n">
        <v>3602</v>
      </c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11" t="n">
        <v>4172</v>
      </c>
      <c r="AK2095" s="12" t="n">
        <v>-950</v>
      </c>
      <c r="AL2095" s="12" t="n">
        <v>-4835</v>
      </c>
      <c r="AM2095" s="13" t="n">
        <v>33.5</v>
      </c>
      <c r="AN2095" s="13" t="n">
        <v>-32.8</v>
      </c>
      <c r="AO2095" s="13" t="n">
        <v>69.09999999999999</v>
      </c>
      <c r="AP2095" s="13" t="n">
        <v>-284.5</v>
      </c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11" t="n">
        <v>2310</v>
      </c>
      <c r="AK2096" s="12" t="n">
        <v>-2077</v>
      </c>
      <c r="AL2096" s="12" t="n">
        <v>-2290</v>
      </c>
      <c r="AM2096" s="13" t="n">
        <v>102.8</v>
      </c>
      <c r="AN2096" s="13" t="n">
        <v>13.7</v>
      </c>
      <c r="AO2096" s="13" t="n">
        <v>-11.6</v>
      </c>
      <c r="AP2096" s="13" t="n">
        <v>26</v>
      </c>
    </row>
    <row r="2097">
      <c r="A2097" s="5" t="inlineStr">
        <is>
          <t>아리바이오홀딩스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11" t="n">
        <v>10652</v>
      </c>
      <c r="AK2097" s="12" t="n">
        <v>-2754</v>
      </c>
      <c r="AL2097" s="12" t="n">
        <v>11161</v>
      </c>
      <c r="AM2097" s="13" t="n">
        <v>44.7</v>
      </c>
      <c r="AN2097" s="13" t="n">
        <v>9.1</v>
      </c>
      <c r="AO2097" s="13" t="n">
        <v>10</v>
      </c>
      <c r="AP2097" s="13" t="n">
        <v>1.6</v>
      </c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11" t="n">
        <v>12912</v>
      </c>
      <c r="AK2098" s="12" t="n">
        <v>-3636</v>
      </c>
      <c r="AL2098" s="12" t="n">
        <v>-5899</v>
      </c>
      <c r="AM2098" s="13" t="n">
        <v>-23.7</v>
      </c>
      <c r="AN2098" s="13" t="n">
        <v>-50.9</v>
      </c>
      <c r="AO2098" s="13" t="n">
        <v>48.2</v>
      </c>
      <c r="AP2098" s="13" t="n">
        <v>-56.5</v>
      </c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11" t="n">
        <v>52553</v>
      </c>
      <c r="AK2099" s="12" t="n">
        <v>-404</v>
      </c>
      <c r="AL2099" s="12" t="n">
        <v>1667</v>
      </c>
      <c r="AM2099" s="13" t="n">
        <v>8</v>
      </c>
      <c r="AN2099" s="13" t="n">
        <v>-9.800000000000001</v>
      </c>
      <c r="AO2099" s="13" t="n">
        <v>17</v>
      </c>
      <c r="AP2099" s="13" t="n">
        <v>-114.6</v>
      </c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11" t="inlineStr"/>
      <c r="AK2100" s="12" t="n">
        <v>-1899</v>
      </c>
      <c r="AL2100" s="12" t="n">
        <v>-2295</v>
      </c>
      <c r="AM2100" s="13" t="inlineStr"/>
      <c r="AN2100" s="13" t="inlineStr"/>
      <c r="AO2100" s="13" t="n">
        <v>3.5</v>
      </c>
      <c r="AP2100" s="13" t="n">
        <v>-366.6</v>
      </c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11" t="n">
        <v>2392</v>
      </c>
      <c r="AK2101" s="12" t="n">
        <v>-3083</v>
      </c>
      <c r="AL2101" s="12" t="n">
        <v>-4255</v>
      </c>
      <c r="AM2101" s="13" t="n">
        <v>238.3</v>
      </c>
      <c r="AN2101" s="13" t="n">
        <v>291.5</v>
      </c>
      <c r="AO2101" s="13" t="n">
        <v>-107.2</v>
      </c>
      <c r="AP2101" s="13" t="n">
        <v>-98.90000000000001</v>
      </c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11" t="n">
        <v>1559</v>
      </c>
      <c r="AK2102" s="12" t="n">
        <v>-477</v>
      </c>
      <c r="AL2102" s="12" t="n">
        <v>-739</v>
      </c>
      <c r="AM2102" s="13" t="n">
        <v>-44.8</v>
      </c>
      <c r="AN2102" s="13" t="n">
        <v>806.4</v>
      </c>
      <c r="AO2102" s="13" t="n">
        <v>28.8</v>
      </c>
      <c r="AP2102" s="13" t="n">
        <v>69.2</v>
      </c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11" t="n">
        <v>60904</v>
      </c>
      <c r="AK2103" s="12" t="n">
        <v>7286</v>
      </c>
      <c r="AL2103" s="12" t="n">
        <v>8450</v>
      </c>
      <c r="AM2103" s="13" t="n">
        <v>-2.2</v>
      </c>
      <c r="AN2103" s="13" t="n">
        <v>5.2</v>
      </c>
      <c r="AO2103" s="13" t="n">
        <v>2.5</v>
      </c>
      <c r="AP2103" s="13" t="n">
        <v>21</v>
      </c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11" t="n">
        <v>75021</v>
      </c>
      <c r="AK2104" s="12" t="n">
        <v>-23026</v>
      </c>
      <c r="AL2104" s="12" t="n">
        <v>-56956</v>
      </c>
      <c r="AM2104" s="13" t="n">
        <v>-9.5</v>
      </c>
      <c r="AN2104" s="13" t="n">
        <v>-35.2</v>
      </c>
      <c r="AO2104" s="13" t="n">
        <v>9.6</v>
      </c>
      <c r="AP2104" s="13" t="n">
        <v>-167.3</v>
      </c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11" t="n">
        <v>8829</v>
      </c>
      <c r="AK2105" s="12" t="n">
        <v>5057</v>
      </c>
      <c r="AL2105" s="12" t="n">
        <v>3928</v>
      </c>
      <c r="AM2105" s="13" t="n">
        <v>31</v>
      </c>
      <c r="AN2105" s="13" t="n">
        <v>606.5</v>
      </c>
      <c r="AO2105" s="13" t="n">
        <v>1520.8</v>
      </c>
      <c r="AP2105" s="13" t="n">
        <v>288.7</v>
      </c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11" t="n">
        <v>1603</v>
      </c>
      <c r="AK2106" s="12" t="n">
        <v>-3575</v>
      </c>
      <c r="AL2106" s="12" t="n">
        <v>1116</v>
      </c>
      <c r="AM2106" s="13" t="n">
        <v>67.5</v>
      </c>
      <c r="AN2106" s="13" t="n">
        <v>42.9</v>
      </c>
      <c r="AO2106" s="13" t="n">
        <v>41.3</v>
      </c>
      <c r="AP2106" s="13" t="n">
        <v>13.6</v>
      </c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11" t="n">
        <v>44890</v>
      </c>
      <c r="AK2107" s="12" t="n">
        <v>25268</v>
      </c>
      <c r="AL2107" s="12" t="n">
        <v>2739</v>
      </c>
      <c r="AM2107" s="13" t="inlineStr"/>
      <c r="AN2107" s="13" t="n">
        <v>8.699999999999999</v>
      </c>
      <c r="AO2107" s="13" t="inlineStr"/>
      <c r="AP2107" s="13" t="n">
        <v>-7.6</v>
      </c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11" t="n">
        <v>124</v>
      </c>
      <c r="AK2108" s="12" t="n">
        <v>-2377</v>
      </c>
      <c r="AL2108" s="12" t="n">
        <v>-5516</v>
      </c>
      <c r="AM2108" s="13" t="n">
        <v>26.5</v>
      </c>
      <c r="AN2108" s="13" t="n">
        <v>-86.59999999999999</v>
      </c>
      <c r="AO2108" s="13" t="n">
        <v>29.8</v>
      </c>
      <c r="AP2108" s="13" t="n">
        <v>80.2</v>
      </c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11" t="n">
        <v>6006</v>
      </c>
      <c r="AK2109" s="12" t="n">
        <v>-854</v>
      </c>
      <c r="AL2109" s="12" t="n">
        <v>-204</v>
      </c>
      <c r="AM2109" s="13" t="n">
        <v>81.2</v>
      </c>
      <c r="AN2109" s="13" t="n">
        <v>641.5</v>
      </c>
      <c r="AO2109" s="13" t="n">
        <v>59</v>
      </c>
      <c r="AP2109" s="13" t="n">
        <v>35</v>
      </c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11" t="n">
        <v>17959</v>
      </c>
      <c r="AK2110" s="12" t="n">
        <v>4958</v>
      </c>
      <c r="AL2110" s="12" t="n">
        <v>13198</v>
      </c>
      <c r="AM2110" s="13" t="n">
        <v>12.2</v>
      </c>
      <c r="AN2110" s="13" t="n">
        <v>7.4</v>
      </c>
      <c r="AO2110" s="13" t="n">
        <v>10.9</v>
      </c>
      <c r="AP2110" s="13" t="n">
        <v>6.3</v>
      </c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11" t="n">
        <v>1198</v>
      </c>
      <c r="AK2111" s="12" t="n">
        <v>-1606</v>
      </c>
      <c r="AL2111" s="12" t="n">
        <v>-1603</v>
      </c>
      <c r="AM2111" s="13" t="n">
        <v>164.5</v>
      </c>
      <c r="AN2111" s="13" t="n">
        <v>81.5</v>
      </c>
      <c r="AO2111" s="13" t="n">
        <v>-79.59999999999999</v>
      </c>
      <c r="AP2111" s="13" t="n">
        <v>-49.7</v>
      </c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2026Q2</t>
        </is>
      </c>
      <c r="E2112" s="6" t="inlineStr">
        <is>
          <t>2023Q4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11" t="n">
        <v>914640</v>
      </c>
      <c r="AK2112" s="12" t="n">
        <v>122719</v>
      </c>
      <c r="AL2112" s="12" t="n">
        <v>83712</v>
      </c>
      <c r="AM2112" s="13" t="n">
        <v>35.7</v>
      </c>
      <c r="AN2112" s="13" t="n">
        <v>-21.4</v>
      </c>
      <c r="AO2112" s="13" t="n">
        <v>53.1</v>
      </c>
      <c r="AP2112" s="13" t="n">
        <v>52.9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11" t="n">
        <v>29152</v>
      </c>
      <c r="AK2113" s="12" t="n">
        <v>2011</v>
      </c>
      <c r="AL2113" s="12" t="n">
        <v>-8999</v>
      </c>
      <c r="AM2113" s="13" t="n">
        <v>25.3</v>
      </c>
      <c r="AN2113" s="13" t="n">
        <v>74.3</v>
      </c>
      <c r="AO2113" s="13" t="n">
        <v>-54.5</v>
      </c>
      <c r="AP2113" s="13" t="n">
        <v>-46.6</v>
      </c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11" t="n">
        <v>7851</v>
      </c>
      <c r="AK2114" s="12" t="n">
        <v>288</v>
      </c>
      <c r="AL2114" s="12" t="n">
        <v>2897</v>
      </c>
      <c r="AM2114" s="13" t="n">
        <v>9.9</v>
      </c>
      <c r="AN2114" s="13" t="n">
        <v>48.2</v>
      </c>
      <c r="AO2114" s="13" t="n">
        <v>-37.4</v>
      </c>
      <c r="AP2114" s="13" t="n">
        <v>269.2</v>
      </c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11" t="n">
        <v>37804</v>
      </c>
      <c r="AK2115" s="12" t="n">
        <v>3417</v>
      </c>
      <c r="AL2115" s="12" t="n">
        <v>3165</v>
      </c>
      <c r="AM2115" s="13" t="n">
        <v>31.1</v>
      </c>
      <c r="AN2115" s="13" t="n">
        <v>18.2</v>
      </c>
      <c r="AO2115" s="13" t="n">
        <v>87.09999999999999</v>
      </c>
      <c r="AP2115" s="13" t="n">
        <v>23.4</v>
      </c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11" t="n">
        <v>17597</v>
      </c>
      <c r="AK2116" s="12" t="n">
        <v>3428</v>
      </c>
      <c r="AL2116" s="12" t="n">
        <v>2298</v>
      </c>
      <c r="AM2116" s="13" t="n">
        <v>6.3</v>
      </c>
      <c r="AN2116" s="13" t="n">
        <v>152.3</v>
      </c>
      <c r="AO2116" s="13" t="n">
        <v>28.1</v>
      </c>
      <c r="AP2116" s="13" t="n">
        <v>147</v>
      </c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11" t="n">
        <v>10171</v>
      </c>
      <c r="AK2117" s="12" t="n">
        <v>-503</v>
      </c>
      <c r="AL2117" s="12" t="n">
        <v>16954</v>
      </c>
      <c r="AM2117" s="13" t="n">
        <v>-30.8</v>
      </c>
      <c r="AN2117" s="13" t="n">
        <v>-66.09999999999999</v>
      </c>
      <c r="AO2117" s="13" t="n">
        <v>55.6</v>
      </c>
      <c r="AP2117" s="13" t="n">
        <v>-113.2</v>
      </c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11" t="n">
        <v>871289</v>
      </c>
      <c r="AK2118" s="12" t="n">
        <v>170771</v>
      </c>
      <c r="AL2118" s="12" t="n">
        <v>155952</v>
      </c>
      <c r="AM2118" s="13" t="n">
        <v>48.4</v>
      </c>
      <c r="AN2118" s="13" t="n">
        <v>41.2</v>
      </c>
      <c r="AO2118" s="13" t="n">
        <v>61550.2</v>
      </c>
      <c r="AP2118" s="13" t="n">
        <v>1998.7</v>
      </c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11" t="n">
        <v>2416151</v>
      </c>
      <c r="AK2119" s="12" t="n">
        <v>188762</v>
      </c>
      <c r="AL2119" s="12" t="n">
        <v>123916</v>
      </c>
      <c r="AM2119" s="13" t="n">
        <v>15.4</v>
      </c>
      <c r="AN2119" s="13" t="n">
        <v>27.9</v>
      </c>
      <c r="AO2119" s="13" t="n">
        <v>118.9</v>
      </c>
      <c r="AP2119" s="13" t="n">
        <v>157.5</v>
      </c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11" t="n">
        <v>1686978</v>
      </c>
      <c r="AK2120" s="12" t="n">
        <v>264286</v>
      </c>
      <c r="AL2120" s="12" t="n">
        <v>171741</v>
      </c>
      <c r="AM2120" s="13" t="n">
        <v>24.2</v>
      </c>
      <c r="AN2120" s="13" t="n">
        <v>10.6</v>
      </c>
      <c r="AO2120" s="13" t="n">
        <v>73.5</v>
      </c>
      <c r="AP2120" s="13" t="n">
        <v>60.9</v>
      </c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11" t="n">
        <v>952698</v>
      </c>
      <c r="AK2121" s="12" t="n">
        <v>77593</v>
      </c>
      <c r="AL2121" s="12" t="n">
        <v>45193</v>
      </c>
      <c r="AM2121" s="13" t="n">
        <v>14.9</v>
      </c>
      <c r="AN2121" s="13" t="n">
        <v>13</v>
      </c>
      <c r="AO2121" s="13" t="n">
        <v>125.5</v>
      </c>
      <c r="AP2121" s="13" t="n">
        <v>32.1</v>
      </c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11" t="n">
        <v>11991</v>
      </c>
      <c r="AK2122" s="12" t="n">
        <v>-986</v>
      </c>
      <c r="AL2122" s="12" t="n">
        <v>-3943</v>
      </c>
      <c r="AM2122" s="13" t="n">
        <v>-21.3</v>
      </c>
      <c r="AN2122" s="13" t="n">
        <v>1776.5</v>
      </c>
      <c r="AO2122" s="13" t="n">
        <v>33.5</v>
      </c>
      <c r="AP2122" s="13" t="n">
        <v>-9.199999999999999</v>
      </c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11" t="n">
        <v>19704</v>
      </c>
      <c r="AK2123" s="12" t="n">
        <v>-16810</v>
      </c>
      <c r="AL2123" s="12" t="n">
        <v>-15002</v>
      </c>
      <c r="AM2123" s="13" t="n">
        <v>50</v>
      </c>
      <c r="AN2123" s="13" t="n">
        <v>-74</v>
      </c>
      <c r="AO2123" s="13" t="n">
        <v>2.4</v>
      </c>
      <c r="AP2123" s="13" t="n">
        <v>-141.3</v>
      </c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11" t="n">
        <v>95559</v>
      </c>
      <c r="AK2124" s="12" t="n">
        <v>-1786</v>
      </c>
      <c r="AL2124" s="12" t="n">
        <v>2154</v>
      </c>
      <c r="AM2124" s="13" t="n">
        <v>-15.3</v>
      </c>
      <c r="AN2124" s="13" t="n">
        <v>-1.2</v>
      </c>
      <c r="AO2124" s="13" t="n">
        <v>-103.6</v>
      </c>
      <c r="AP2124" s="13" t="n">
        <v>-365.1</v>
      </c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11" t="n">
        <v>235319</v>
      </c>
      <c r="AK2125" s="12" t="n">
        <v>-35515</v>
      </c>
      <c r="AL2125" s="12" t="n">
        <v>-61757</v>
      </c>
      <c r="AM2125" s="13" t="n">
        <v>-8.699999999999999</v>
      </c>
      <c r="AN2125" s="13" t="n">
        <v>37.3</v>
      </c>
      <c r="AO2125" s="13" t="n">
        <v>-216.7</v>
      </c>
      <c r="AP2125" s="13" t="n">
        <v>-219.2</v>
      </c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11" t="inlineStr"/>
      <c r="AK2126" s="12" t="n">
        <v>2755</v>
      </c>
      <c r="AL2126" s="12" t="n">
        <v>2753</v>
      </c>
      <c r="AM2126" s="13" t="inlineStr"/>
      <c r="AN2126" s="13" t="inlineStr"/>
      <c r="AO2126" s="13" t="n">
        <v>763.9</v>
      </c>
      <c r="AP2126" s="13" t="n">
        <v>1365.4</v>
      </c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11" t="n">
        <v>5293</v>
      </c>
      <c r="AK2127" s="12" t="n">
        <v>-6370</v>
      </c>
      <c r="AL2127" s="12" t="n">
        <v>1226</v>
      </c>
      <c r="AM2127" s="13" t="n">
        <v>-35.9</v>
      </c>
      <c r="AN2127" s="13" t="n">
        <v>-69.3</v>
      </c>
      <c r="AO2127" s="13" t="n">
        <v>-74.3</v>
      </c>
      <c r="AP2127" s="13" t="n">
        <v>-108.6</v>
      </c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11" t="n">
        <v>12925</v>
      </c>
      <c r="AK2128" s="12" t="n">
        <v>1027</v>
      </c>
      <c r="AL2128" s="12" t="n">
        <v>818</v>
      </c>
      <c r="AM2128" s="13" t="n">
        <v>8.199999999999999</v>
      </c>
      <c r="AN2128" s="13" t="n">
        <v>-0.5</v>
      </c>
      <c r="AO2128" s="13" t="n">
        <v>697.1</v>
      </c>
      <c r="AP2128" s="13" t="n">
        <v>-7.7</v>
      </c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11" t="n">
        <v>2066</v>
      </c>
      <c r="AK2129" s="12" t="n">
        <v>-2502</v>
      </c>
      <c r="AL2129" s="12" t="n">
        <v>-19024</v>
      </c>
      <c r="AM2129" s="13" t="n">
        <v>-35.7</v>
      </c>
      <c r="AN2129" s="13" t="n">
        <v>-3</v>
      </c>
      <c r="AO2129" s="13" t="n">
        <v>-54.6</v>
      </c>
      <c r="AP2129" s="13" t="n">
        <v>-3.8</v>
      </c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11" t="inlineStr"/>
      <c r="AK2130" s="12" t="inlineStr"/>
      <c r="AL2130" s="12" t="inlineStr"/>
      <c r="AM2130" s="13" t="inlineStr"/>
      <c r="AN2130" s="13" t="inlineStr"/>
      <c r="AO2130" s="13" t="inlineStr"/>
      <c r="AP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11" t="n">
        <v>8106</v>
      </c>
      <c r="AK2131" s="12" t="n">
        <v>1398</v>
      </c>
      <c r="AL2131" s="12" t="n">
        <v>1556</v>
      </c>
      <c r="AM2131" s="13" t="n">
        <v>55.5</v>
      </c>
      <c r="AN2131" s="13" t="n">
        <v>-13.6</v>
      </c>
      <c r="AO2131" s="13" t="n">
        <v>2284.4</v>
      </c>
      <c r="AP2131" s="13" t="n">
        <v>-42.5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11" t="n">
        <v>64079</v>
      </c>
      <c r="AK2132" s="12" t="n">
        <v>-495</v>
      </c>
      <c r="AL2132" s="12" t="n">
        <v>140</v>
      </c>
      <c r="AM2132" s="13" t="n">
        <v>60.7</v>
      </c>
      <c r="AN2132" s="13" t="n">
        <v>0.1</v>
      </c>
      <c r="AO2132" s="13" t="n">
        <v>81.59999999999999</v>
      </c>
      <c r="AP2132" s="13" t="n">
        <v>89.09999999999999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11" t="n">
        <v>370951</v>
      </c>
      <c r="AK2133" s="12" t="n">
        <v>61562</v>
      </c>
      <c r="AL2133" s="12" t="n">
        <v>48364</v>
      </c>
      <c r="AM2133" s="13" t="n">
        <v>26.6</v>
      </c>
      <c r="AN2133" s="13" t="n">
        <v>-9</v>
      </c>
      <c r="AO2133" s="13" t="n">
        <v>261.5</v>
      </c>
      <c r="AP2133" s="13" t="n">
        <v>29.6</v>
      </c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11" t="n">
        <v>2715</v>
      </c>
      <c r="AK2134" s="12" t="n">
        <v>-839</v>
      </c>
      <c r="AL2134" s="12" t="n">
        <v>-1317</v>
      </c>
      <c r="AM2134" s="13" t="n">
        <v>-13.3</v>
      </c>
      <c r="AN2134" s="13" t="n">
        <v>-28.6</v>
      </c>
      <c r="AO2134" s="13" t="n">
        <v>-24.3</v>
      </c>
      <c r="AP2134" s="13" t="n">
        <v>28.2</v>
      </c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11" t="n">
        <v>14631</v>
      </c>
      <c r="AK2135" s="12" t="n">
        <v>-2155</v>
      </c>
      <c r="AL2135" s="12" t="n">
        <v>-2225</v>
      </c>
      <c r="AM2135" s="13" t="n">
        <v>-16.5</v>
      </c>
      <c r="AN2135" s="13" t="n">
        <v>37.8</v>
      </c>
      <c r="AO2135" s="13" t="n">
        <v>-976</v>
      </c>
      <c r="AP2135" s="13" t="n">
        <v>-317.9</v>
      </c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11" t="n">
        <v>155705</v>
      </c>
      <c r="AK2136" s="12" t="n">
        <v>-15738</v>
      </c>
      <c r="AL2136" s="12" t="n">
        <v>-14086</v>
      </c>
      <c r="AM2136" s="13" t="n">
        <v>-7.7</v>
      </c>
      <c r="AN2136" s="13" t="n">
        <v>-3.8</v>
      </c>
      <c r="AO2136" s="13" t="n">
        <v>64.7</v>
      </c>
      <c r="AP2136" s="13" t="n">
        <v>57.9</v>
      </c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11" t="n">
        <v>7369</v>
      </c>
      <c r="AK2137" s="12" t="n">
        <v>945</v>
      </c>
      <c r="AL2137" s="12" t="n">
        <v>272</v>
      </c>
      <c r="AM2137" s="13" t="n">
        <v>2.7</v>
      </c>
      <c r="AN2137" s="13" t="n">
        <v>32.7</v>
      </c>
      <c r="AO2137" s="13" t="n">
        <v>38.2</v>
      </c>
      <c r="AP2137" s="13" t="n">
        <v>3680</v>
      </c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11" t="n">
        <v>9113</v>
      </c>
      <c r="AK2138" s="12" t="n">
        <v>-1009</v>
      </c>
      <c r="AL2138" s="12" t="n">
        <v>-1116</v>
      </c>
      <c r="AM2138" s="13" t="n">
        <v>7.1</v>
      </c>
      <c r="AN2138" s="13" t="n">
        <v>-4.5</v>
      </c>
      <c r="AO2138" s="13" t="n">
        <v>-17.1</v>
      </c>
      <c r="AP2138" s="13" t="n">
        <v>54.3</v>
      </c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11" t="n">
        <v>5347</v>
      </c>
      <c r="AK2139" s="12" t="n">
        <v>1637</v>
      </c>
      <c r="AL2139" s="12" t="n">
        <v>1551</v>
      </c>
      <c r="AM2139" s="13" t="n">
        <v>39.9</v>
      </c>
      <c r="AN2139" s="13" t="n">
        <v>39.1</v>
      </c>
      <c r="AO2139" s="13" t="n">
        <v>115.4</v>
      </c>
      <c r="AP2139" s="13" t="n">
        <v>56.8</v>
      </c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11" t="n">
        <v>19185</v>
      </c>
      <c r="AK2140" s="12" t="n">
        <v>-601</v>
      </c>
      <c r="AL2140" s="12" t="n">
        <v>-385</v>
      </c>
      <c r="AM2140" s="13" t="n">
        <v>125.1</v>
      </c>
      <c r="AN2140" s="13" t="n">
        <v>-2.4</v>
      </c>
      <c r="AO2140" s="13" t="n">
        <v>83.5</v>
      </c>
      <c r="AP2140" s="13" t="n">
        <v>-267.4</v>
      </c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11" t="n">
        <v>24258</v>
      </c>
      <c r="AK2141" s="12" t="n">
        <v>22</v>
      </c>
      <c r="AL2141" s="12" t="n">
        <v>-888</v>
      </c>
      <c r="AM2141" s="13" t="n">
        <v>-26.7</v>
      </c>
      <c r="AN2141" s="13" t="n">
        <v>-30.5</v>
      </c>
      <c r="AO2141" s="13" t="n">
        <v>-99.40000000000001</v>
      </c>
      <c r="AP2141" s="13" t="n">
        <v>-99.3</v>
      </c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11" t="n">
        <v>11526</v>
      </c>
      <c r="AK2142" s="12" t="n">
        <v>-3520</v>
      </c>
      <c r="AL2142" s="12" t="n">
        <v>-3279</v>
      </c>
      <c r="AM2142" s="13" t="n">
        <v>28.9</v>
      </c>
      <c r="AN2142" s="13" t="n">
        <v>64.3</v>
      </c>
      <c r="AO2142" s="13" t="n">
        <v>27.6</v>
      </c>
      <c r="AP2142" s="13" t="n">
        <v>-7.3</v>
      </c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11" t="n">
        <v>4816</v>
      </c>
      <c r="AK2143" s="12" t="n">
        <v>-3686</v>
      </c>
      <c r="AL2143" s="12" t="n">
        <v>-6842</v>
      </c>
      <c r="AM2143" s="13" t="n">
        <v>9.5</v>
      </c>
      <c r="AN2143" s="13" t="n">
        <v>0.2</v>
      </c>
      <c r="AO2143" s="13" t="n">
        <v>-23.2</v>
      </c>
      <c r="AP2143" s="13" t="n">
        <v>-80.2</v>
      </c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11" t="n">
        <v>1669</v>
      </c>
      <c r="AK2144" s="12" t="n">
        <v>-749</v>
      </c>
      <c r="AL2144" s="12" t="n">
        <v>-1943</v>
      </c>
      <c r="AM2144" s="13" t="n">
        <v>159.6</v>
      </c>
      <c r="AN2144" s="13" t="n">
        <v>127.7</v>
      </c>
      <c r="AO2144" s="13" t="n">
        <v>49.5</v>
      </c>
      <c r="AP2144" s="13" t="n">
        <v>62.1</v>
      </c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11" t="n">
        <v>1136</v>
      </c>
      <c r="AK2145" s="12" t="n">
        <v>-5316</v>
      </c>
      <c r="AL2145" s="12" t="n">
        <v>-8069</v>
      </c>
      <c r="AM2145" s="13" t="n">
        <v>-55</v>
      </c>
      <c r="AN2145" s="13" t="n">
        <v>-64.90000000000001</v>
      </c>
      <c r="AO2145" s="13" t="n">
        <v>-35.7</v>
      </c>
      <c r="AP2145" s="13" t="n">
        <v>-152.3</v>
      </c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11" t="n">
        <v>38488</v>
      </c>
      <c r="AK2146" s="12" t="n">
        <v>288</v>
      </c>
      <c r="AL2146" s="12" t="n">
        <v>-171</v>
      </c>
      <c r="AM2146" s="13" t="n">
        <v>4.2</v>
      </c>
      <c r="AN2146" s="13" t="n">
        <v>-13.6</v>
      </c>
      <c r="AO2146" s="13" t="n">
        <v>107.5</v>
      </c>
      <c r="AP2146" s="13" t="n">
        <v>108</v>
      </c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11" t="n">
        <v>495161</v>
      </c>
      <c r="AK2147" s="12" t="n">
        <v>34935</v>
      </c>
      <c r="AL2147" s="12" t="n">
        <v>32518</v>
      </c>
      <c r="AM2147" s="13" t="n">
        <v>10.4</v>
      </c>
      <c r="AN2147" s="13" t="n">
        <v>19.4</v>
      </c>
      <c r="AO2147" s="13" t="n">
        <v>44.9</v>
      </c>
      <c r="AP2147" s="13" t="n">
        <v>66.90000000000001</v>
      </c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11" t="n">
        <v>34007</v>
      </c>
      <c r="AK2148" s="12" t="n">
        <v>2580</v>
      </c>
      <c r="AL2148" s="12" t="n">
        <v>-880</v>
      </c>
      <c r="AM2148" s="13" t="n">
        <v>144.9</v>
      </c>
      <c r="AN2148" s="13" t="n">
        <v>41.8</v>
      </c>
      <c r="AO2148" s="13" t="n">
        <v>282.6</v>
      </c>
      <c r="AP2148" s="13" t="n">
        <v>173</v>
      </c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11" t="n">
        <v>24870</v>
      </c>
      <c r="AK2149" s="12" t="n">
        <v>2763</v>
      </c>
      <c r="AL2149" s="12" t="n">
        <v>-596</v>
      </c>
      <c r="AM2149" s="13" t="n">
        <v>-1.4</v>
      </c>
      <c r="AN2149" s="13" t="n">
        <v>-14</v>
      </c>
      <c r="AO2149" s="13" t="n">
        <v>1694.2</v>
      </c>
      <c r="AP2149" s="13" t="n">
        <v>214.6</v>
      </c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11" t="n">
        <v>9931</v>
      </c>
      <c r="AK2150" s="12" t="n">
        <v>2780</v>
      </c>
      <c r="AL2150" s="12" t="n">
        <v>2801</v>
      </c>
      <c r="AM2150" s="13" t="n">
        <v>7</v>
      </c>
      <c r="AN2150" s="13" t="n">
        <v>18.3</v>
      </c>
      <c r="AO2150" s="13" t="n">
        <v>31.3</v>
      </c>
      <c r="AP2150" s="13" t="n">
        <v>46.9</v>
      </c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11" t="n">
        <v>40484</v>
      </c>
      <c r="AK2151" s="12" t="n">
        <v>1496</v>
      </c>
      <c r="AL2151" s="12" t="n">
        <v>6133</v>
      </c>
      <c r="AM2151" s="13" t="n">
        <v>16.8</v>
      </c>
      <c r="AN2151" s="13" t="n">
        <v>21.4</v>
      </c>
      <c r="AO2151" s="13" t="n">
        <v>-43.8</v>
      </c>
      <c r="AP2151" s="13" t="n">
        <v>288.9</v>
      </c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11" t="n">
        <v>2726</v>
      </c>
      <c r="AK2152" s="12" t="n">
        <v>-882</v>
      </c>
      <c r="AL2152" s="12" t="n">
        <v>-2065</v>
      </c>
      <c r="AM2152" s="13" t="n">
        <v>-1.3</v>
      </c>
      <c r="AN2152" s="13" t="n">
        <v>-36.9</v>
      </c>
      <c r="AO2152" s="13" t="n">
        <v>35.9</v>
      </c>
      <c r="AP2152" s="13" t="n">
        <v>37.4</v>
      </c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11" t="n">
        <v>1046</v>
      </c>
      <c r="AK2153" s="12" t="n">
        <v>-3982</v>
      </c>
      <c r="AL2153" s="12" t="n">
        <v>-3152</v>
      </c>
      <c r="AM2153" s="13" t="n">
        <v>-86.59999999999999</v>
      </c>
      <c r="AN2153" s="13" t="n">
        <v>-76.40000000000001</v>
      </c>
      <c r="AO2153" s="13" t="n">
        <v>-173.2</v>
      </c>
      <c r="AP2153" s="13" t="n">
        <v>-255.8</v>
      </c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11" t="n">
        <v>1250739</v>
      </c>
      <c r="AK2154" s="12" t="n">
        <v>90547</v>
      </c>
      <c r="AL2154" s="12" t="n">
        <v>69590</v>
      </c>
      <c r="AM2154" s="13" t="n">
        <v>33.7</v>
      </c>
      <c r="AN2154" s="13" t="n">
        <v>20</v>
      </c>
      <c r="AO2154" s="13" t="n">
        <v>327.6</v>
      </c>
      <c r="AP2154" s="13" t="n">
        <v>11.3</v>
      </c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11" t="n">
        <v>571</v>
      </c>
      <c r="AK2155" s="12" t="n">
        <v>-2536</v>
      </c>
      <c r="AL2155" s="12" t="n">
        <v>-2342</v>
      </c>
      <c r="AM2155" s="13" t="n">
        <v>73.59999999999999</v>
      </c>
      <c r="AN2155" s="13" t="n">
        <v>57000</v>
      </c>
      <c r="AO2155" s="13" t="n">
        <v>10.5</v>
      </c>
      <c r="AP2155" s="13" t="n">
        <v>55.2</v>
      </c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11" t="n">
        <v>23339</v>
      </c>
      <c r="AK2156" s="12" t="n">
        <v>264</v>
      </c>
      <c r="AL2156" s="12" t="inlineStr"/>
      <c r="AM2156" s="13" t="n">
        <v>184</v>
      </c>
      <c r="AN2156" s="13" t="n">
        <v>130.4</v>
      </c>
      <c r="AO2156" s="13" t="n">
        <v>-57.1</v>
      </c>
      <c r="AP2156" s="13" t="n">
        <v>127.4</v>
      </c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11" t="n">
        <v>114178</v>
      </c>
      <c r="AK2157" s="12" t="n">
        <v>1246</v>
      </c>
      <c r="AL2157" s="12" t="n">
        <v>-868</v>
      </c>
      <c r="AM2157" s="13" t="n">
        <v>4.2</v>
      </c>
      <c r="AN2157" s="13" t="n">
        <v>-7.5</v>
      </c>
      <c r="AO2157" s="13" t="n">
        <v>284.6</v>
      </c>
      <c r="AP2157" s="13" t="n">
        <v>-41.3</v>
      </c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11" t="n">
        <v>472</v>
      </c>
      <c r="AK2158" s="12" t="n">
        <v>-2642</v>
      </c>
      <c r="AL2158" s="12" t="n">
        <v>14402</v>
      </c>
      <c r="AM2158" s="13" t="n">
        <v>-23</v>
      </c>
      <c r="AN2158" s="13" t="n">
        <v>16.8</v>
      </c>
      <c r="AO2158" s="13" t="n">
        <v>-8.1</v>
      </c>
      <c r="AP2158" s="13" t="n">
        <v>-26.8</v>
      </c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11" t="n">
        <v>15091</v>
      </c>
      <c r="AK2159" s="12" t="n">
        <v>-2773</v>
      </c>
      <c r="AL2159" s="12" t="n">
        <v>-1458</v>
      </c>
      <c r="AM2159" s="13" t="n">
        <v>18.8</v>
      </c>
      <c r="AN2159" s="13" t="n">
        <v>-23.9</v>
      </c>
      <c r="AO2159" s="13" t="n">
        <v>-61</v>
      </c>
      <c r="AP2159" s="13" t="n">
        <v>-282.5</v>
      </c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11" t="n">
        <v>12043</v>
      </c>
      <c r="AK2160" s="12" t="n">
        <v>-1304</v>
      </c>
      <c r="AL2160" s="12" t="n">
        <v>20</v>
      </c>
      <c r="AM2160" s="13" t="n">
        <v>-43.2</v>
      </c>
      <c r="AN2160" s="13" t="n">
        <v>47.7</v>
      </c>
      <c r="AO2160" s="13" t="n">
        <v>-138.6</v>
      </c>
      <c r="AP2160" s="13" t="n">
        <v>35.2</v>
      </c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11" t="n">
        <v>8537</v>
      </c>
      <c r="AK2161" s="12" t="n">
        <v>3435</v>
      </c>
      <c r="AL2161" s="12" t="n">
        <v>3154</v>
      </c>
      <c r="AM2161" s="13" t="n">
        <v>-34.9</v>
      </c>
      <c r="AN2161" s="13" t="n">
        <v>24</v>
      </c>
      <c r="AO2161" s="13" t="n">
        <v>62.7</v>
      </c>
      <c r="AP2161" s="13" t="n">
        <v>30</v>
      </c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11" t="n">
        <v>32305</v>
      </c>
      <c r="AK2162" s="12" t="n">
        <v>3279</v>
      </c>
      <c r="AL2162" s="12" t="n">
        <v>1059</v>
      </c>
      <c r="AM2162" s="13" t="n">
        <v>9.1</v>
      </c>
      <c r="AN2162" s="13" t="n">
        <v>12.9</v>
      </c>
      <c r="AO2162" s="13" t="n">
        <v>35.5</v>
      </c>
      <c r="AP2162" s="13" t="n">
        <v>7.3</v>
      </c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11" t="n">
        <v>0</v>
      </c>
      <c r="AK2163" s="12" t="n">
        <v>-29298</v>
      </c>
      <c r="AL2163" s="12" t="n">
        <v>-29015</v>
      </c>
      <c r="AM2163" s="13" t="inlineStr"/>
      <c r="AN2163" s="13" t="n">
        <v>-100</v>
      </c>
      <c r="AO2163" s="13" t="n">
        <v>-33.2</v>
      </c>
      <c r="AP2163" s="13" t="n">
        <v>-188.3</v>
      </c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11" t="n">
        <v>36544</v>
      </c>
      <c r="AK2164" s="12" t="n">
        <v>3728</v>
      </c>
      <c r="AL2164" s="12" t="n">
        <v>3030</v>
      </c>
      <c r="AM2164" s="13" t="n">
        <v>10.2</v>
      </c>
      <c r="AN2164" s="13" t="n">
        <v>41.9</v>
      </c>
      <c r="AO2164" s="13" t="n">
        <v>45.7</v>
      </c>
      <c r="AP2164" s="13" t="n">
        <v>694.9</v>
      </c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11" t="n">
        <v>17374</v>
      </c>
      <c r="AK2165" s="12" t="n">
        <v>3394</v>
      </c>
      <c r="AL2165" s="12" t="n">
        <v>2890</v>
      </c>
      <c r="AM2165" s="13" t="n">
        <v>17</v>
      </c>
      <c r="AN2165" s="13" t="n">
        <v>36.4</v>
      </c>
      <c r="AO2165" s="13" t="n">
        <v>63.2</v>
      </c>
      <c r="AP2165" s="13" t="n">
        <v>190.6</v>
      </c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11" t="n">
        <v>22845</v>
      </c>
      <c r="AK2166" s="12" t="n">
        <v>3536</v>
      </c>
      <c r="AL2166" s="12" t="n">
        <v>4602</v>
      </c>
      <c r="AM2166" s="13" t="n">
        <v>19.7</v>
      </c>
      <c r="AN2166" s="13" t="n">
        <v>6.5</v>
      </c>
      <c r="AO2166" s="13" t="n">
        <v>430.9</v>
      </c>
      <c r="AP2166" s="13" t="n">
        <v>8.300000000000001</v>
      </c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11" t="n">
        <v>898</v>
      </c>
      <c r="AK2167" s="12" t="n">
        <v>-6399</v>
      </c>
      <c r="AL2167" s="12" t="n">
        <v>-6208</v>
      </c>
      <c r="AM2167" s="13" t="n">
        <v>14.7</v>
      </c>
      <c r="AN2167" s="13" t="n">
        <v>14.5</v>
      </c>
      <c r="AO2167" s="13" t="n">
        <v>-19.8</v>
      </c>
      <c r="AP2167" s="13" t="n">
        <v>8</v>
      </c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11" t="n">
        <v>6454</v>
      </c>
      <c r="AK2168" s="12" t="n">
        <v>-2632</v>
      </c>
      <c r="AL2168" s="12" t="n">
        <v>-2609</v>
      </c>
      <c r="AM2168" s="13" t="n">
        <v>51.1</v>
      </c>
      <c r="AN2168" s="13" t="n">
        <v>77</v>
      </c>
      <c r="AO2168" s="13" t="n">
        <v>-30</v>
      </c>
      <c r="AP2168" s="13" t="n">
        <v>-6.4</v>
      </c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11" t="n">
        <v>23</v>
      </c>
      <c r="AK2169" s="12" t="n">
        <v>-528</v>
      </c>
      <c r="AL2169" s="12" t="n">
        <v>-1162</v>
      </c>
      <c r="AM2169" s="13" t="n">
        <v>-95.59999999999999</v>
      </c>
      <c r="AN2169" s="13" t="n">
        <v>-98.7</v>
      </c>
      <c r="AO2169" s="13" t="n">
        <v>24.1</v>
      </c>
      <c r="AP2169" s="13" t="n">
        <v>54</v>
      </c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11" t="n">
        <v>6254</v>
      </c>
      <c r="AK2170" s="12" t="n">
        <v>-7974</v>
      </c>
      <c r="AL2170" s="12" t="n">
        <v>-42648</v>
      </c>
      <c r="AM2170" s="13" t="n">
        <v>8.199999999999999</v>
      </c>
      <c r="AN2170" s="13" t="n">
        <v>7.7</v>
      </c>
      <c r="AO2170" s="13" t="n">
        <v>-30.8</v>
      </c>
      <c r="AP2170" s="13" t="n">
        <v>-7.6</v>
      </c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11" t="n">
        <v>39770</v>
      </c>
      <c r="AK2171" s="12" t="n">
        <v>4091</v>
      </c>
      <c r="AL2171" s="12" t="n">
        <v>2970</v>
      </c>
      <c r="AM2171" s="13" t="n">
        <v>13.2</v>
      </c>
      <c r="AN2171" s="13" t="n">
        <v>11.4</v>
      </c>
      <c r="AO2171" s="13" t="n">
        <v>68.8</v>
      </c>
      <c r="AP2171" s="13" t="n">
        <v>76</v>
      </c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11" t="n">
        <v>587</v>
      </c>
      <c r="AK2172" s="12" t="n">
        <v>-681</v>
      </c>
      <c r="AL2172" s="12" t="n">
        <v>-323</v>
      </c>
      <c r="AM2172" s="13" t="n">
        <v>-32.3</v>
      </c>
      <c r="AN2172" s="13" t="n">
        <v>-67.2</v>
      </c>
      <c r="AO2172" s="13" t="n">
        <v>-69</v>
      </c>
      <c r="AP2172" s="13" t="n">
        <v>-327.8</v>
      </c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11" t="n">
        <v>1311</v>
      </c>
      <c r="AK2173" s="12" t="n">
        <v>-3297</v>
      </c>
      <c r="AL2173" s="12" t="n">
        <v>-3234</v>
      </c>
      <c r="AM2173" s="13" t="n">
        <v>267.2</v>
      </c>
      <c r="AN2173" s="13" t="n">
        <v>-64.3</v>
      </c>
      <c r="AO2173" s="13" t="n">
        <v>17.2</v>
      </c>
      <c r="AP2173" s="13" t="n">
        <v>-1315</v>
      </c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2026Q2</t>
        </is>
      </c>
      <c r="E2174" s="6" t="inlineStr">
        <is>
          <t>2023Q4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12" t="n">
        <v>1315672</v>
      </c>
      <c r="AL2174" s="12" t="n">
        <v>1026482</v>
      </c>
      <c r="AM2174" s="13" t="n">
        <v>-13.9</v>
      </c>
      <c r="AN2174" s="13" t="n">
        <v>7.4</v>
      </c>
      <c r="AO2174" s="13" t="n">
        <v>62.8</v>
      </c>
      <c r="AP2174" s="13" t="n">
        <v>18.7</v>
      </c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11" t="n">
        <v>1936</v>
      </c>
      <c r="AK2175" s="12" t="n">
        <v>-1551</v>
      </c>
      <c r="AL2175" s="12" t="n">
        <v>-2135</v>
      </c>
      <c r="AM2175" s="13" t="n">
        <v>23.9</v>
      </c>
      <c r="AN2175" s="13" t="n">
        <v>29</v>
      </c>
      <c r="AO2175" s="13" t="n">
        <v>1.1</v>
      </c>
      <c r="AP2175" s="13" t="n">
        <v>19.3</v>
      </c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11" t="n">
        <v>7897</v>
      </c>
      <c r="AK2176" s="12" t="n">
        <v>290</v>
      </c>
      <c r="AL2176" s="12" t="n">
        <v>-131</v>
      </c>
      <c r="AM2176" s="13" t="n">
        <v>-21.6</v>
      </c>
      <c r="AN2176" s="13" t="n">
        <v>43.4</v>
      </c>
      <c r="AO2176" s="13" t="n">
        <v>-73.90000000000001</v>
      </c>
      <c r="AP2176" s="13" t="n">
        <v>142.8</v>
      </c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11" t="n">
        <v>42182</v>
      </c>
      <c r="AK2177" s="12" t="n">
        <v>-10562</v>
      </c>
      <c r="AL2177" s="12" t="n">
        <v>-18128</v>
      </c>
      <c r="AM2177" s="13" t="n">
        <v>7.8</v>
      </c>
      <c r="AN2177" s="13" t="n">
        <v>45.6</v>
      </c>
      <c r="AO2177" s="13" t="n">
        <v>-1.7</v>
      </c>
      <c r="AP2177" s="13" t="n">
        <v>-21.2</v>
      </c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11" t="n">
        <v>303337</v>
      </c>
      <c r="AK2178" s="12" t="n">
        <v>9036</v>
      </c>
      <c r="AL2178" s="12" t="n">
        <v>9852</v>
      </c>
      <c r="AM2178" s="13" t="n">
        <v>12.2</v>
      </c>
      <c r="AN2178" s="13" t="n">
        <v>-10</v>
      </c>
      <c r="AO2178" s="13" t="n">
        <v>-20.3</v>
      </c>
      <c r="AP2178" s="13" t="n">
        <v>432.3</v>
      </c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11" t="n">
        <v>76106</v>
      </c>
      <c r="AK2179" s="12" t="n">
        <v>27612</v>
      </c>
      <c r="AL2179" s="12" t="n">
        <v>24322</v>
      </c>
      <c r="AM2179" s="13" t="n">
        <v>5.5</v>
      </c>
      <c r="AN2179" s="13" t="inlineStr"/>
      <c r="AO2179" s="13" t="n">
        <v>10</v>
      </c>
      <c r="AP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11" t="n">
        <v>19429</v>
      </c>
      <c r="AK2180" s="12" t="n">
        <v>-3100</v>
      </c>
      <c r="AL2180" s="12" t="n">
        <v>-2893</v>
      </c>
      <c r="AM2180" s="13" t="n">
        <v>26.9</v>
      </c>
      <c r="AN2180" s="13" t="n">
        <v>722.6</v>
      </c>
      <c r="AO2180" s="13" t="n">
        <v>-1622.2</v>
      </c>
      <c r="AP2180" s="13" t="n">
        <v>-14190.9</v>
      </c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11" t="n">
        <v>646</v>
      </c>
      <c r="AK2181" s="12" t="n">
        <v>-4218</v>
      </c>
      <c r="AL2181" s="12" t="n">
        <v>-3808</v>
      </c>
      <c r="AM2181" s="13" t="n">
        <v>-11</v>
      </c>
      <c r="AN2181" s="13" t="n">
        <v>-28.1</v>
      </c>
      <c r="AO2181" s="13" t="n">
        <v>-4.5</v>
      </c>
      <c r="AP2181" s="13" t="n">
        <v>-22</v>
      </c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11" t="n">
        <v>5259</v>
      </c>
      <c r="AK2182" s="12" t="n">
        <v>-808</v>
      </c>
      <c r="AL2182" s="12" t="n">
        <v>757</v>
      </c>
      <c r="AM2182" s="13" t="n">
        <v>-21.8</v>
      </c>
      <c r="AN2182" s="13" t="n">
        <v>50.5</v>
      </c>
      <c r="AO2182" s="13" t="n">
        <v>1</v>
      </c>
      <c r="AP2182" s="13" t="n">
        <v>33.9</v>
      </c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11" t="n">
        <v>11882</v>
      </c>
      <c r="AK2183" s="12" t="n">
        <v>-184</v>
      </c>
      <c r="AL2183" s="12" t="n">
        <v>96</v>
      </c>
      <c r="AM2183" s="13" t="n">
        <v>10</v>
      </c>
      <c r="AN2183" s="13" t="n">
        <v>-22.3</v>
      </c>
      <c r="AO2183" s="13" t="n">
        <v>88.40000000000001</v>
      </c>
      <c r="AP2183" s="13" t="n">
        <v>70</v>
      </c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11" t="n">
        <v>11590</v>
      </c>
      <c r="AK2184" s="12" t="n">
        <v>974</v>
      </c>
      <c r="AL2184" s="12" t="n">
        <v>1045</v>
      </c>
      <c r="AM2184" s="13" t="n">
        <v>-1.3</v>
      </c>
      <c r="AN2184" s="13" t="n">
        <v>-12.9</v>
      </c>
      <c r="AO2184" s="13" t="n">
        <v>-4.3</v>
      </c>
      <c r="AP2184" s="13" t="n">
        <v>-52.4</v>
      </c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11" t="n">
        <v>4614</v>
      </c>
      <c r="AK2185" s="12" t="n">
        <v>-784</v>
      </c>
      <c r="AL2185" s="12" t="n">
        <v>548</v>
      </c>
      <c r="AM2185" s="13" t="n">
        <v>-9.300000000000001</v>
      </c>
      <c r="AN2185" s="13" t="n">
        <v>60.5</v>
      </c>
      <c r="AO2185" s="13" t="n">
        <v>-18.4</v>
      </c>
      <c r="AP2185" s="13" t="n">
        <v>52.7</v>
      </c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11" t="n">
        <v>6307</v>
      </c>
      <c r="AK2186" s="12" t="n">
        <v>-283</v>
      </c>
      <c r="AL2186" s="12" t="n">
        <v>-181</v>
      </c>
      <c r="AM2186" s="13" t="n">
        <v>17.7</v>
      </c>
      <c r="AN2186" s="13" t="n">
        <v>1.1</v>
      </c>
      <c r="AO2186" s="13" t="n">
        <v>-139.3</v>
      </c>
      <c r="AP2186" s="13" t="n">
        <v>-125.2</v>
      </c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11" t="n">
        <v>2383</v>
      </c>
      <c r="AK2187" s="12" t="n">
        <v>-162</v>
      </c>
      <c r="AL2187" s="12" t="n">
        <v>475</v>
      </c>
      <c r="AM2187" s="13" t="n">
        <v>-4.1</v>
      </c>
      <c r="AN2187" s="13" t="n">
        <v>-28.6</v>
      </c>
      <c r="AO2187" s="13" t="n">
        <v>-194.5</v>
      </c>
      <c r="AP2187" s="13" t="n">
        <v>-282</v>
      </c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11" t="n">
        <v>28450</v>
      </c>
      <c r="AK2188" s="12" t="n">
        <v>4203</v>
      </c>
      <c r="AL2188" s="12" t="n">
        <v>4603</v>
      </c>
      <c r="AM2188" s="13" t="n">
        <v>56.9</v>
      </c>
      <c r="AN2188" s="13" t="n">
        <v>66.7</v>
      </c>
      <c r="AO2188" s="13" t="n">
        <v>1029.8</v>
      </c>
      <c r="AP2188" s="13" t="n">
        <v>422.8</v>
      </c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11" t="n">
        <v>6279</v>
      </c>
      <c r="AK2189" s="12" t="n">
        <v>-3692</v>
      </c>
      <c r="AL2189" s="12" t="n">
        <v>-3563</v>
      </c>
      <c r="AM2189" s="13" t="n">
        <v>87.3</v>
      </c>
      <c r="AN2189" s="13" t="n">
        <v>43.4</v>
      </c>
      <c r="AO2189" s="13" t="n">
        <v>-15.8</v>
      </c>
      <c r="AP2189" s="13" t="n">
        <v>-46.3</v>
      </c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11" t="n">
        <v>19363</v>
      </c>
      <c r="AK2190" s="12" t="n">
        <v>3489</v>
      </c>
      <c r="AL2190" s="12" t="n">
        <v>2938</v>
      </c>
      <c r="AM2190" s="13" t="n">
        <v>51.9</v>
      </c>
      <c r="AN2190" s="13" t="n">
        <v>38.4</v>
      </c>
      <c r="AO2190" s="13" t="n">
        <v>139.6</v>
      </c>
      <c r="AP2190" s="13" t="n">
        <v>15.5</v>
      </c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11" t="n">
        <v>15323</v>
      </c>
      <c r="AK2191" s="12" t="n">
        <v>3794</v>
      </c>
      <c r="AL2191" s="12" t="n">
        <v>5335</v>
      </c>
      <c r="AM2191" s="13" t="n">
        <v>12.1</v>
      </c>
      <c r="AN2191" s="13" t="n">
        <v>28.4</v>
      </c>
      <c r="AO2191" s="13" t="n">
        <v>79.2</v>
      </c>
      <c r="AP2191" s="13" t="n">
        <v>96.5</v>
      </c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11" t="n">
        <v>100360</v>
      </c>
      <c r="AK2192" s="12" t="n">
        <v>3196</v>
      </c>
      <c r="AL2192" s="12" t="n">
        <v>11343</v>
      </c>
      <c r="AM2192" s="13" t="n">
        <v>33.9</v>
      </c>
      <c r="AN2192" s="13" t="n">
        <v>1.5</v>
      </c>
      <c r="AO2192" s="13" t="n">
        <v>599.4</v>
      </c>
      <c r="AP2192" s="13" t="n">
        <v>-28.2</v>
      </c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11" t="n">
        <v>167474</v>
      </c>
      <c r="AK2193" s="12" t="n">
        <v>50264</v>
      </c>
      <c r="AL2193" s="12" t="n">
        <v>43954</v>
      </c>
      <c r="AM2193" s="13" t="n">
        <v>6.9</v>
      </c>
      <c r="AN2193" s="13" t="n">
        <v>54.4</v>
      </c>
      <c r="AO2193" s="13" t="n">
        <v>6.5</v>
      </c>
      <c r="AP2193" s="13" t="n">
        <v>144.4</v>
      </c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11" t="n">
        <v>14108</v>
      </c>
      <c r="AK2194" s="12" t="n">
        <v>-3352</v>
      </c>
      <c r="AL2194" s="12" t="n">
        <v>-11354</v>
      </c>
      <c r="AM2194" s="13" t="n">
        <v>24.5</v>
      </c>
      <c r="AN2194" s="13" t="n">
        <v>914.2</v>
      </c>
      <c r="AO2194" s="13" t="n">
        <v>21</v>
      </c>
      <c r="AP2194" s="13" t="n">
        <v>-91</v>
      </c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11" t="n">
        <v>8964</v>
      </c>
      <c r="AK2195" s="12" t="n">
        <v>1231</v>
      </c>
      <c r="AL2195" s="12" t="n">
        <v>5115</v>
      </c>
      <c r="AM2195" s="13" t="n">
        <v>34.3</v>
      </c>
      <c r="AN2195" s="13" t="n">
        <v>9.6</v>
      </c>
      <c r="AO2195" s="13" t="n">
        <v>266.4</v>
      </c>
      <c r="AP2195" s="13" t="n">
        <v>1209</v>
      </c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11" t="n">
        <v>2527</v>
      </c>
      <c r="AK2196" s="12" t="n">
        <v>-2198</v>
      </c>
      <c r="AL2196" s="12" t="n">
        <v>-2611</v>
      </c>
      <c r="AM2196" s="13" t="n">
        <v>21.2</v>
      </c>
      <c r="AN2196" s="13" t="n">
        <v>-40.6</v>
      </c>
      <c r="AO2196" s="13" t="n">
        <v>34.6</v>
      </c>
      <c r="AP2196" s="13" t="n">
        <v>40.7</v>
      </c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11" t="n">
        <v>4477</v>
      </c>
      <c r="AK2197" s="12" t="n">
        <v>-4245</v>
      </c>
      <c r="AL2197" s="12" t="n">
        <v>-4502</v>
      </c>
      <c r="AM2197" s="13" t="n">
        <v>51.8</v>
      </c>
      <c r="AN2197" s="13" t="n">
        <v>71.3</v>
      </c>
      <c r="AO2197" s="13" t="n">
        <v>6.5</v>
      </c>
      <c r="AP2197" s="13" t="n">
        <v>-21.5</v>
      </c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11" t="n">
        <v>9325</v>
      </c>
      <c r="AK2198" s="12" t="n">
        <v>-1088</v>
      </c>
      <c r="AL2198" s="12" t="n">
        <v>-728</v>
      </c>
      <c r="AM2198" s="13" t="n">
        <v>26.1</v>
      </c>
      <c r="AN2198" s="13" t="n">
        <v>-51.6</v>
      </c>
      <c r="AO2198" s="13" t="n">
        <v>24.4</v>
      </c>
      <c r="AP2198" s="13" t="n">
        <v>-110.4</v>
      </c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2026Q2</t>
        </is>
      </c>
      <c r="E2199" s="6" t="inlineStr">
        <is>
          <t>2023Q4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11" t="n">
        <v>165037</v>
      </c>
      <c r="AK2199" s="12" t="n">
        <v>36115</v>
      </c>
      <c r="AL2199" s="12" t="n">
        <v>30745</v>
      </c>
      <c r="AM2199" s="13" t="n">
        <v>3.2</v>
      </c>
      <c r="AN2199" s="13" t="n">
        <v>23.4</v>
      </c>
      <c r="AO2199" s="13" t="n">
        <v>24.5</v>
      </c>
      <c r="AP2199" s="13" t="n">
        <v>139.8</v>
      </c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11" t="n">
        <v>16790</v>
      </c>
      <c r="AK2200" s="12" t="n">
        <v>-2646</v>
      </c>
      <c r="AL2200" s="12" t="n">
        <v>-6798</v>
      </c>
      <c r="AM2200" s="13" t="n">
        <v>20.1</v>
      </c>
      <c r="AN2200" s="13" t="n">
        <v>8.9</v>
      </c>
      <c r="AO2200" s="13" t="n">
        <v>-1.7</v>
      </c>
      <c r="AP2200" s="13" t="n">
        <v>-2135.4</v>
      </c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11" t="n">
        <v>11366</v>
      </c>
      <c r="AK2201" s="12" t="n">
        <v>-2294</v>
      </c>
      <c r="AL2201" s="12" t="n">
        <v>-3571</v>
      </c>
      <c r="AM2201" s="13" t="n">
        <v>66.8</v>
      </c>
      <c r="AN2201" s="13" t="n">
        <v>-18</v>
      </c>
      <c r="AO2201" s="13" t="n">
        <v>66.40000000000001</v>
      </c>
      <c r="AP2201" s="13" t="n">
        <v>-246.5</v>
      </c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11" t="n">
        <v>520</v>
      </c>
      <c r="AK2202" s="12" t="n">
        <v>-3347</v>
      </c>
      <c r="AL2202" s="12" t="n">
        <v>-3742</v>
      </c>
      <c r="AM2202" s="13" t="n">
        <v>26.2</v>
      </c>
      <c r="AN2202" s="13" t="n">
        <v>-51.1</v>
      </c>
      <c r="AO2202" s="13" t="n">
        <v>0.2</v>
      </c>
      <c r="AP2202" s="13" t="n">
        <v>-15.7</v>
      </c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11" t="n">
        <v>7175</v>
      </c>
      <c r="AK2203" s="12" t="n">
        <v>-1079</v>
      </c>
      <c r="AL2203" s="12" t="n">
        <v>-389</v>
      </c>
      <c r="AM2203" s="13" t="n">
        <v>-33.5</v>
      </c>
      <c r="AN2203" s="13" t="n">
        <v>187.2</v>
      </c>
      <c r="AO2203" s="13" t="n">
        <v>56.7</v>
      </c>
      <c r="AP2203" s="13" t="n">
        <v>65.59999999999999</v>
      </c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11" t="n">
        <v>30518</v>
      </c>
      <c r="AK2204" s="12" t="n">
        <v>3118</v>
      </c>
      <c r="AL2204" s="12" t="n">
        <v>3466</v>
      </c>
      <c r="AM2204" s="13" t="n">
        <v>53.6</v>
      </c>
      <c r="AN2204" s="13" t="n">
        <v>253.3</v>
      </c>
      <c r="AO2204" s="13" t="n">
        <v>453.1</v>
      </c>
      <c r="AP2204" s="13" t="n">
        <v>364.5</v>
      </c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11" t="n">
        <v>8017</v>
      </c>
      <c r="AK2205" s="12" t="n">
        <v>1693</v>
      </c>
      <c r="AL2205" s="12" t="n">
        <v>1425</v>
      </c>
      <c r="AM2205" s="13" t="n">
        <v>153.4</v>
      </c>
      <c r="AN2205" s="13" t="n">
        <v>34.5</v>
      </c>
      <c r="AO2205" s="13" t="n">
        <v>167</v>
      </c>
      <c r="AP2205" s="13" t="n">
        <v>183.6</v>
      </c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11" t="n">
        <v>828980</v>
      </c>
      <c r="AK2206" s="12" t="n">
        <v>193977</v>
      </c>
      <c r="AL2206" s="12" t="n">
        <v>140752</v>
      </c>
      <c r="AM2206" s="13" t="n">
        <v>1.2</v>
      </c>
      <c r="AN2206" s="13" t="n">
        <v>6.5</v>
      </c>
      <c r="AO2206" s="13" t="n">
        <v>23.1</v>
      </c>
      <c r="AP2206" s="13" t="n">
        <v>14</v>
      </c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11" t="n">
        <v>1625</v>
      </c>
      <c r="AK2207" s="12" t="n">
        <v>-5025</v>
      </c>
      <c r="AL2207" s="12" t="n">
        <v>-4046</v>
      </c>
      <c r="AM2207" s="13" t="n">
        <v>5.8</v>
      </c>
      <c r="AN2207" s="13" t="n">
        <v>-18.2</v>
      </c>
      <c r="AO2207" s="13" t="n">
        <v>-8.6</v>
      </c>
      <c r="AP2207" s="13" t="n">
        <v>-22.4</v>
      </c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11" t="n">
        <v>247367</v>
      </c>
      <c r="AK2208" s="12" t="n">
        <v>97064</v>
      </c>
      <c r="AL2208" s="12" t="n">
        <v>85065</v>
      </c>
      <c r="AM2208" s="13" t="n">
        <v>8.5</v>
      </c>
      <c r="AN2208" s="13" t="n">
        <v>40.3</v>
      </c>
      <c r="AO2208" s="13" t="n">
        <v>8.1</v>
      </c>
      <c r="AP2208" s="13" t="n">
        <v>56.9</v>
      </c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11" t="n">
        <v>25060</v>
      </c>
      <c r="AK2209" s="12" t="n">
        <v>5290</v>
      </c>
      <c r="AL2209" s="12" t="n">
        <v>5235</v>
      </c>
      <c r="AM2209" s="13" t="n">
        <v>25.1</v>
      </c>
      <c r="AN2209" s="13" t="n">
        <v>51.3</v>
      </c>
      <c r="AO2209" s="13" t="n">
        <v>65.5</v>
      </c>
      <c r="AP2209" s="13" t="n">
        <v>182.4</v>
      </c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11" t="n">
        <v>21814</v>
      </c>
      <c r="AK2210" s="12" t="n">
        <v>-15369</v>
      </c>
      <c r="AL2210" s="12" t="n">
        <v>-23557</v>
      </c>
      <c r="AM2210" s="13" t="n">
        <v>-8.9</v>
      </c>
      <c r="AN2210" s="13" t="n">
        <v>22</v>
      </c>
      <c r="AO2210" s="13" t="n">
        <v>-13.1</v>
      </c>
      <c r="AP2210" s="13" t="n">
        <v>27.2</v>
      </c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11" t="n">
        <v>19904</v>
      </c>
      <c r="AK2211" s="12" t="n">
        <v>-798</v>
      </c>
      <c r="AL2211" s="12" t="n">
        <v>-509</v>
      </c>
      <c r="AM2211" s="13" t="n">
        <v>10.5</v>
      </c>
      <c r="AN2211" s="13" t="n">
        <v>38.7</v>
      </c>
      <c r="AO2211" s="13" t="n">
        <v>-706.1</v>
      </c>
      <c r="AP2211" s="13" t="n">
        <v>-948.9</v>
      </c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2026Q2</t>
        </is>
      </c>
      <c r="E2212" s="6" t="inlineStr">
        <is>
          <t>2023Q4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11" t="n">
        <v>6332155</v>
      </c>
      <c r="AK2212" s="12" t="n">
        <v>1039938</v>
      </c>
      <c r="AL2212" s="12" t="n">
        <v>822143</v>
      </c>
      <c r="AM2212" s="13" t="n">
        <v>7</v>
      </c>
      <c r="AN2212" s="13" t="n">
        <v>52.7</v>
      </c>
      <c r="AO2212" s="13" t="n">
        <v>14.9</v>
      </c>
      <c r="AP2212" s="13" t="n">
        <v>120.6</v>
      </c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11" t="n">
        <v>29072</v>
      </c>
      <c r="AK2213" s="12" t="n">
        <v>1077</v>
      </c>
      <c r="AL2213" s="12" t="n">
        <v>1968</v>
      </c>
      <c r="AM2213" s="13" t="n">
        <v>3</v>
      </c>
      <c r="AN2213" s="13" t="n">
        <v>10.8</v>
      </c>
      <c r="AO2213" s="13" t="n">
        <v>341.4</v>
      </c>
      <c r="AP2213" s="13" t="n">
        <v>29.6</v>
      </c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11" t="n">
        <v>38934</v>
      </c>
      <c r="AK2214" s="12" t="n">
        <v>26063</v>
      </c>
      <c r="AL2214" s="12" t="n">
        <v>10571</v>
      </c>
      <c r="AM2214" s="13" t="inlineStr"/>
      <c r="AN2214" s="13" t="n">
        <v>10.4</v>
      </c>
      <c r="AO2214" s="13" t="inlineStr"/>
      <c r="AP2214" s="13" t="n">
        <v>13.1</v>
      </c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11" t="n">
        <v>15995</v>
      </c>
      <c r="AK2215" s="12" t="n">
        <v>1726</v>
      </c>
      <c r="AL2215" s="12" t="n">
        <v>584</v>
      </c>
      <c r="AM2215" s="13" t="n">
        <v>-18.5</v>
      </c>
      <c r="AN2215" s="13" t="n">
        <v>213</v>
      </c>
      <c r="AO2215" s="13" t="n">
        <v>-88.7</v>
      </c>
      <c r="AP2215" s="13" t="n">
        <v>-23.8</v>
      </c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11" t="n">
        <v>30932</v>
      </c>
      <c r="AK2216" s="12" t="n">
        <v>5102</v>
      </c>
      <c r="AL2216" s="12" t="n">
        <v>9351</v>
      </c>
      <c r="AM2216" s="13" t="n">
        <v>3.3</v>
      </c>
      <c r="AN2216" s="13" t="n">
        <v>-5</v>
      </c>
      <c r="AO2216" s="13" t="n">
        <v>1.8</v>
      </c>
      <c r="AP2216" s="13" t="n">
        <v>11.7</v>
      </c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11" t="n">
        <v>10599</v>
      </c>
      <c r="AK2217" s="12" t="n">
        <v>-1166</v>
      </c>
      <c r="AL2217" s="12" t="n">
        <v>-2508</v>
      </c>
      <c r="AM2217" s="13" t="n">
        <v>30.6</v>
      </c>
      <c r="AN2217" s="13" t="n">
        <v>-6</v>
      </c>
      <c r="AO2217" s="13" t="n">
        <v>55.8</v>
      </c>
      <c r="AP2217" s="13" t="n">
        <v>68.40000000000001</v>
      </c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11" t="n">
        <v>12413</v>
      </c>
      <c r="AK2218" s="12" t="n">
        <v>1742</v>
      </c>
      <c r="AL2218" s="12" t="n">
        <v>1230</v>
      </c>
      <c r="AM2218" s="13" t="n">
        <v>15</v>
      </c>
      <c r="AN2218" s="13" t="n">
        <v>39.4</v>
      </c>
      <c r="AO2218" s="13" t="n">
        <v>78.7</v>
      </c>
      <c r="AP2218" s="13" t="n">
        <v>319.8</v>
      </c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11" t="n">
        <v>7465</v>
      </c>
      <c r="AK2219" s="12" t="n">
        <v>-793</v>
      </c>
      <c r="AL2219" s="12" t="n">
        <v>-106</v>
      </c>
      <c r="AM2219" s="13" t="n">
        <v>46.5</v>
      </c>
      <c r="AN2219" s="13" t="n">
        <v>37.4</v>
      </c>
      <c r="AO2219" s="13" t="n">
        <v>83</v>
      </c>
      <c r="AP2219" s="13" t="n">
        <v>75.3</v>
      </c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11" t="n">
        <v>1376</v>
      </c>
      <c r="AK2220" s="12" t="n">
        <v>-924</v>
      </c>
      <c r="AL2220" s="12" t="n">
        <v>-5232</v>
      </c>
      <c r="AM2220" s="13" t="n">
        <v>49.1</v>
      </c>
      <c r="AN2220" s="13" t="n">
        <v>22.3</v>
      </c>
      <c r="AO2220" s="13" t="n">
        <v>35.2</v>
      </c>
      <c r="AP2220" s="13" t="n">
        <v>31.2</v>
      </c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11" t="n">
        <v>51664</v>
      </c>
      <c r="AK2221" s="12" t="n">
        <v>3416</v>
      </c>
      <c r="AL2221" s="12" t="n">
        <v>3499</v>
      </c>
      <c r="AM2221" s="13" t="n">
        <v>63.5</v>
      </c>
      <c r="AN2221" s="13" t="n">
        <v>46.1</v>
      </c>
      <c r="AO2221" s="13" t="n">
        <v>147</v>
      </c>
      <c r="AP2221" s="13" t="n">
        <v>2.8</v>
      </c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11" t="n">
        <v>11882</v>
      </c>
      <c r="AK2222" s="12" t="n">
        <v>2587</v>
      </c>
      <c r="AL2222" s="12" t="n">
        <v>2426</v>
      </c>
      <c r="AM2222" s="13" t="n">
        <v>6.6</v>
      </c>
      <c r="AN2222" s="13" t="n">
        <v>-23.3</v>
      </c>
      <c r="AO2222" s="13" t="n">
        <v>13.3</v>
      </c>
      <c r="AP2222" s="13" t="n">
        <v>-54.4</v>
      </c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11" t="n">
        <v>74420</v>
      </c>
      <c r="AK2223" s="12" t="n">
        <v>4171</v>
      </c>
      <c r="AL2223" s="12" t="n">
        <v>5998</v>
      </c>
      <c r="AM2223" s="13" t="n">
        <v>108.7</v>
      </c>
      <c r="AN2223" s="13" t="n">
        <v>119.2</v>
      </c>
      <c r="AO2223" s="13" t="n">
        <v>7348.2</v>
      </c>
      <c r="AP2223" s="13" t="n">
        <v>147</v>
      </c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11" t="n">
        <v>6514</v>
      </c>
      <c r="AK2224" s="12" t="n">
        <v>556</v>
      </c>
      <c r="AL2224" s="12" t="n">
        <v>619</v>
      </c>
      <c r="AM2224" s="13" t="n">
        <v>-7.5</v>
      </c>
      <c r="AN2224" s="13" t="n">
        <v>-13.6</v>
      </c>
      <c r="AO2224" s="13" t="n">
        <v>11.4</v>
      </c>
      <c r="AP2224" s="13" t="n">
        <v>-10.2</v>
      </c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11" t="n">
        <v>16229</v>
      </c>
      <c r="AK2225" s="12" t="n">
        <v>5933</v>
      </c>
      <c r="AL2225" s="12" t="n">
        <v>6752</v>
      </c>
      <c r="AM2225" s="13" t="n">
        <v>34.4</v>
      </c>
      <c r="AN2225" s="13" t="n">
        <v>40.1</v>
      </c>
      <c r="AO2225" s="13" t="n">
        <v>157.5</v>
      </c>
      <c r="AP2225" s="13" t="n">
        <v>361.4</v>
      </c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11" t="n">
        <v>25496</v>
      </c>
      <c r="AK2226" s="12" t="n">
        <v>2914</v>
      </c>
      <c r="AL2226" s="12" t="n">
        <v>2122</v>
      </c>
      <c r="AM2226" s="13" t="n">
        <v>123.4</v>
      </c>
      <c r="AN2226" s="13" t="n">
        <v>63.2</v>
      </c>
      <c r="AO2226" s="13" t="n">
        <v>276.9</v>
      </c>
      <c r="AP2226" s="13" t="n">
        <v>162.9</v>
      </c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11" t="n">
        <v>2032</v>
      </c>
      <c r="AK2227" s="12" t="n">
        <v>228</v>
      </c>
      <c r="AL2227" s="12" t="n">
        <v>-1190</v>
      </c>
      <c r="AM2227" s="13" t="inlineStr"/>
      <c r="AN2227" s="13" t="n">
        <v>-87</v>
      </c>
      <c r="AO2227" s="13" t="inlineStr"/>
      <c r="AP2227" s="13" t="n">
        <v>-98.3</v>
      </c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2025Q4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11" t="inlineStr"/>
      <c r="AK2228" s="12" t="inlineStr"/>
      <c r="AL2228" s="12" t="inlineStr"/>
      <c r="AM2228" s="13" t="inlineStr"/>
      <c r="AN2228" s="13" t="inlineStr"/>
      <c r="AO2228" s="13" t="inlineStr"/>
      <c r="AP2228" s="13" t="inlineStr"/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11" t="n">
        <v>6216</v>
      </c>
      <c r="AK2229" s="12" t="n">
        <v>-1209</v>
      </c>
      <c r="AL2229" s="12" t="n">
        <v>-1167</v>
      </c>
      <c r="AM2229" s="13" t="n">
        <v>-11.6</v>
      </c>
      <c r="AN2229" s="13" t="n">
        <v>26.9</v>
      </c>
      <c r="AO2229" s="13" t="n">
        <v>-7211.8</v>
      </c>
      <c r="AP2229" s="13" t="n">
        <v>16.7</v>
      </c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11" t="n">
        <v>1756</v>
      </c>
      <c r="AK2230" s="12" t="n">
        <v>-1942</v>
      </c>
      <c r="AL2230" s="12" t="n">
        <v>1017</v>
      </c>
      <c r="AM2230" s="13" t="n">
        <v>20.7</v>
      </c>
      <c r="AN2230" s="13" t="n">
        <v>-79.90000000000001</v>
      </c>
      <c r="AO2230" s="13" t="n">
        <v>56.2</v>
      </c>
      <c r="AP2230" s="13" t="n">
        <v>-83.40000000000001</v>
      </c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11" t="n">
        <v>15239</v>
      </c>
      <c r="AK2231" s="12" t="n">
        <v>-886</v>
      </c>
      <c r="AL2231" s="12" t="n">
        <v>-211</v>
      </c>
      <c r="AM2231" s="13" t="n">
        <v>35.7</v>
      </c>
      <c r="AN2231" s="13" t="n">
        <v>-11</v>
      </c>
      <c r="AO2231" s="13" t="n">
        <v>58.4</v>
      </c>
      <c r="AP2231" s="13" t="n">
        <v>-56</v>
      </c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11" t="n">
        <v>44259</v>
      </c>
      <c r="AK2232" s="12" t="n">
        <v>-50914</v>
      </c>
      <c r="AL2232" s="12" t="n">
        <v>-55598</v>
      </c>
      <c r="AM2232" s="13" t="n">
        <v>-69.40000000000001</v>
      </c>
      <c r="AN2232" s="13" t="n">
        <v>-65.5</v>
      </c>
      <c r="AO2232" s="13" t="n">
        <v>-3843.8</v>
      </c>
      <c r="AP2232" s="13" t="n">
        <v>-2560.1</v>
      </c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11" t="n">
        <v>101870</v>
      </c>
      <c r="AK2233" s="12" t="n">
        <v>-21676</v>
      </c>
      <c r="AL2233" s="12" t="n">
        <v>59273</v>
      </c>
      <c r="AM2233" s="13" t="n">
        <v>-47.1</v>
      </c>
      <c r="AN2233" s="13" t="n">
        <v>-29.2</v>
      </c>
      <c r="AO2233" s="13" t="n">
        <v>1.7</v>
      </c>
      <c r="AP2233" s="13" t="n">
        <v>-44.8</v>
      </c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11" t="n">
        <v>47493</v>
      </c>
      <c r="AK2234" s="12" t="n">
        <v>11088</v>
      </c>
      <c r="AL2234" s="12" t="n">
        <v>15446</v>
      </c>
      <c r="AM2234" s="13" t="n">
        <v>18</v>
      </c>
      <c r="AN2234" s="13" t="n">
        <v>19.3</v>
      </c>
      <c r="AO2234" s="13" t="n">
        <v>-1</v>
      </c>
      <c r="AP2234" s="13" t="n">
        <v>-35.8</v>
      </c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11" t="n">
        <v>178757</v>
      </c>
      <c r="AK2235" s="12" t="n">
        <v>299</v>
      </c>
      <c r="AL2235" s="12" t="n">
        <v>-823</v>
      </c>
      <c r="AM2235" s="13" t="n">
        <v>21.6</v>
      </c>
      <c r="AN2235" s="13" t="n">
        <v>47.8</v>
      </c>
      <c r="AO2235" s="13" t="n">
        <v>106.2</v>
      </c>
      <c r="AP2235" s="13" t="n">
        <v>145.5</v>
      </c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11" t="n">
        <v>74378</v>
      </c>
      <c r="AK2236" s="12" t="n">
        <v>5348</v>
      </c>
      <c r="AL2236" s="12" t="n">
        <v>4381</v>
      </c>
      <c r="AM2236" s="13" t="n">
        <v>40.3</v>
      </c>
      <c r="AN2236" s="13" t="n">
        <v>-0.3</v>
      </c>
      <c r="AO2236" s="13" t="n">
        <v>387.1</v>
      </c>
      <c r="AP2236" s="13" t="n">
        <v>-29.2</v>
      </c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11" t="n">
        <v>743</v>
      </c>
      <c r="AK2237" s="12" t="n">
        <v>361</v>
      </c>
      <c r="AL2237" s="12" t="n">
        <v>711</v>
      </c>
      <c r="AM2237" s="13" t="inlineStr"/>
      <c r="AN2237" s="13" t="n">
        <v>-44.8</v>
      </c>
      <c r="AO2237" s="13" t="inlineStr"/>
      <c r="AP2237" s="13" t="n">
        <v>118.9</v>
      </c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11" t="n">
        <v>6111</v>
      </c>
      <c r="AK2238" s="12" t="n">
        <v>-4209</v>
      </c>
      <c r="AL2238" s="12" t="n">
        <v>-5384</v>
      </c>
      <c r="AM2238" s="13" t="n">
        <v>1</v>
      </c>
      <c r="AN2238" s="13" t="n">
        <v>-34</v>
      </c>
      <c r="AO2238" s="13" t="n">
        <v>-2.5</v>
      </c>
      <c r="AP2238" s="13" t="n">
        <v>-2390.5</v>
      </c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11" t="n">
        <v>1547</v>
      </c>
      <c r="AK2239" s="12" t="n">
        <v>-3789</v>
      </c>
      <c r="AL2239" s="12" t="n">
        <v>-7827</v>
      </c>
      <c r="AM2239" s="13" t="n">
        <v>448.6</v>
      </c>
      <c r="AN2239" s="13" t="n">
        <v>32.8</v>
      </c>
      <c r="AO2239" s="13" t="n">
        <v>2.3</v>
      </c>
      <c r="AP2239" s="13" t="n">
        <v>-153.4</v>
      </c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11" t="n">
        <v>132273</v>
      </c>
      <c r="AK2240" s="12" t="n">
        <v>7848</v>
      </c>
      <c r="AL2240" s="12" t="n">
        <v>5193</v>
      </c>
      <c r="AM2240" s="13" t="n">
        <v>7.2</v>
      </c>
      <c r="AN2240" s="13" t="n">
        <v>4.9</v>
      </c>
      <c r="AO2240" s="13" t="n">
        <v>48.3</v>
      </c>
      <c r="AP2240" s="13" t="n">
        <v>-15.7</v>
      </c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11" t="n">
        <v>28319</v>
      </c>
      <c r="AK2241" s="12" t="n">
        <v>3059</v>
      </c>
      <c r="AL2241" s="12" t="n">
        <v>2071</v>
      </c>
      <c r="AM2241" s="13" t="n">
        <v>17</v>
      </c>
      <c r="AN2241" s="13" t="n">
        <v>2.7</v>
      </c>
      <c r="AO2241" s="13" t="n">
        <v>781.6</v>
      </c>
      <c r="AP2241" s="13" t="n">
        <v>-17.5</v>
      </c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11" t="n">
        <v>16652</v>
      </c>
      <c r="AK2242" s="12" t="n">
        <v>-932</v>
      </c>
      <c r="AL2242" s="12" t="n">
        <v>-292</v>
      </c>
      <c r="AM2242" s="13" t="n">
        <v>32.4</v>
      </c>
      <c r="AN2242" s="13" t="n">
        <v>1.9</v>
      </c>
      <c r="AO2242" s="13" t="n">
        <v>7.4</v>
      </c>
      <c r="AP2242" s="13" t="n">
        <v>-217</v>
      </c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11" t="n">
        <v>12342</v>
      </c>
      <c r="AK2243" s="12" t="n">
        <v>393</v>
      </c>
      <c r="AL2243" s="12" t="n">
        <v>730</v>
      </c>
      <c r="AM2243" s="13" t="n">
        <v>-5.5</v>
      </c>
      <c r="AN2243" s="13" t="n">
        <v>5.7</v>
      </c>
      <c r="AO2243" s="13" t="n">
        <v>3.4</v>
      </c>
      <c r="AP2243" s="13" t="n">
        <v>1686.4</v>
      </c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11" t="n">
        <v>8288</v>
      </c>
      <c r="AK2244" s="12" t="n">
        <v>433</v>
      </c>
      <c r="AL2244" s="12" t="n">
        <v>781</v>
      </c>
      <c r="AM2244" s="13" t="n">
        <v>11.5</v>
      </c>
      <c r="AN2244" s="13" t="n">
        <v>6.2</v>
      </c>
      <c r="AO2244" s="13" t="n">
        <v>209.3</v>
      </c>
      <c r="AP2244" s="13" t="n">
        <v>50.9</v>
      </c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11" t="n">
        <v>56017</v>
      </c>
      <c r="AK2245" s="12" t="n">
        <v>24959</v>
      </c>
      <c r="AL2245" s="12" t="n">
        <v>19948</v>
      </c>
      <c r="AM2245" s="13" t="n">
        <v>24.3</v>
      </c>
      <c r="AN2245" s="13" t="n">
        <v>44.5</v>
      </c>
      <c r="AO2245" s="13" t="n">
        <v>36.6</v>
      </c>
      <c r="AP2245" s="13" t="n">
        <v>150.4</v>
      </c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11" t="n">
        <v>2502</v>
      </c>
      <c r="AK2246" s="12" t="n">
        <v>-2793</v>
      </c>
      <c r="AL2246" s="12" t="n">
        <v>-3384</v>
      </c>
      <c r="AM2246" s="13" t="n">
        <v>-23.8</v>
      </c>
      <c r="AN2246" s="13" t="n">
        <v>160.6</v>
      </c>
      <c r="AO2246" s="13" t="n">
        <v>-1.2</v>
      </c>
      <c r="AP2246" s="13" t="n">
        <v>29.5</v>
      </c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11" t="n">
        <v>489</v>
      </c>
      <c r="AK2247" s="12" t="n">
        <v>-7956</v>
      </c>
      <c r="AL2247" s="12" t="n">
        <v>-1654</v>
      </c>
      <c r="AM2247" s="13" t="n">
        <v>-70.09999999999999</v>
      </c>
      <c r="AN2247" s="13" t="n">
        <v>-97.09999999999999</v>
      </c>
      <c r="AO2247" s="13" t="n">
        <v>-298.6</v>
      </c>
      <c r="AP2247" s="13" t="n">
        <v>-182.6</v>
      </c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11" t="n">
        <v>27455</v>
      </c>
      <c r="AK2248" s="12" t="n">
        <v>-127</v>
      </c>
      <c r="AL2248" s="12" t="n">
        <v>-251</v>
      </c>
      <c r="AM2248" s="13" t="n">
        <v>8</v>
      </c>
      <c r="AN2248" s="13" t="n">
        <v>7.5</v>
      </c>
      <c r="AO2248" s="13" t="n">
        <v>-112</v>
      </c>
      <c r="AP2248" s="13" t="n">
        <v>-105</v>
      </c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11" t="n">
        <v>577146</v>
      </c>
      <c r="AK2249" s="12" t="n">
        <v>4811</v>
      </c>
      <c r="AL2249" s="12" t="n">
        <v>-11815</v>
      </c>
      <c r="AM2249" s="13" t="n">
        <v>23.7</v>
      </c>
      <c r="AN2249" s="13" t="n">
        <v>12.5</v>
      </c>
      <c r="AO2249" s="13" t="n">
        <v>147.7</v>
      </c>
      <c r="AP2249" s="13" t="n">
        <v>113.6</v>
      </c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11" t="n">
        <v>4796</v>
      </c>
      <c r="AK2250" s="12" t="n">
        <v>-545</v>
      </c>
      <c r="AL2250" s="12" t="n">
        <v>-487</v>
      </c>
      <c r="AM2250" s="13" t="n">
        <v>85.09999999999999</v>
      </c>
      <c r="AN2250" s="13" t="n">
        <v>153.1</v>
      </c>
      <c r="AO2250" s="13" t="n">
        <v>-209.7</v>
      </c>
      <c r="AP2250" s="13" t="n">
        <v>-1035.4</v>
      </c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11" t="n">
        <v>12638</v>
      </c>
      <c r="AK2251" s="12" t="n">
        <v>1411</v>
      </c>
      <c r="AL2251" s="12" t="n">
        <v>1030</v>
      </c>
      <c r="AM2251" s="13" t="n">
        <v>42.9</v>
      </c>
      <c r="AN2251" s="13" t="n">
        <v>34.7</v>
      </c>
      <c r="AO2251" s="13" t="n">
        <v>802</v>
      </c>
      <c r="AP2251" s="13" t="n">
        <v>222.9</v>
      </c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11" t="n">
        <v>77062</v>
      </c>
      <c r="AK2252" s="12" t="n">
        <v>1665</v>
      </c>
      <c r="AL2252" s="12" t="n">
        <v>-24290</v>
      </c>
      <c r="AM2252" s="13" t="n">
        <v>71</v>
      </c>
      <c r="AN2252" s="13" t="n">
        <v>308.6</v>
      </c>
      <c r="AO2252" s="13" t="n">
        <v>134.2</v>
      </c>
      <c r="AP2252" s="13" t="n">
        <v>-20.4</v>
      </c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11" t="n">
        <v>6595</v>
      </c>
      <c r="AK2253" s="12" t="n">
        <v>1510</v>
      </c>
      <c r="AL2253" s="12" t="n">
        <v>1507</v>
      </c>
      <c r="AM2253" s="13" t="n">
        <v>5.7</v>
      </c>
      <c r="AN2253" s="13" t="n">
        <v>20.1</v>
      </c>
      <c r="AO2253" s="13" t="n">
        <v>57.5</v>
      </c>
      <c r="AP2253" s="13" t="n">
        <v>83</v>
      </c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11" t="n">
        <v>17607</v>
      </c>
      <c r="AK2254" s="12" t="n">
        <v>-1197</v>
      </c>
      <c r="AL2254" s="12" t="n">
        <v>-637</v>
      </c>
      <c r="AM2254" s="13" t="n">
        <v>15.2</v>
      </c>
      <c r="AN2254" s="13" t="n">
        <v>-21.4</v>
      </c>
      <c r="AO2254" s="13" t="n">
        <v>-761.2</v>
      </c>
      <c r="AP2254" s="13" t="n">
        <v>-180.5</v>
      </c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11" t="n">
        <v>662</v>
      </c>
      <c r="AK2255" s="12" t="n">
        <v>-9880</v>
      </c>
      <c r="AL2255" s="12" t="n">
        <v>-7767</v>
      </c>
      <c r="AM2255" s="13" t="n">
        <v>413.2</v>
      </c>
      <c r="AN2255" s="13" t="n">
        <v>-28.4</v>
      </c>
      <c r="AO2255" s="13" t="n">
        <v>11.2</v>
      </c>
      <c r="AP2255" s="13" t="n">
        <v>-22.6</v>
      </c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11" t="inlineStr"/>
      <c r="AK2256" s="12" t="n">
        <v>-3201</v>
      </c>
      <c r="AL2256" s="12" t="n">
        <v>-3278</v>
      </c>
      <c r="AM2256" s="13" t="inlineStr"/>
      <c r="AN2256" s="13" t="inlineStr"/>
      <c r="AO2256" s="13" t="n">
        <v>25.7</v>
      </c>
      <c r="AP2256" s="13" t="n">
        <v>-22.5</v>
      </c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11" t="n">
        <v>40414</v>
      </c>
      <c r="AK2257" s="12" t="n">
        <v>282</v>
      </c>
      <c r="AL2257" s="12" t="n">
        <v>1397</v>
      </c>
      <c r="AM2257" s="13" t="n">
        <v>12.2</v>
      </c>
      <c r="AN2257" s="13" t="n">
        <v>338.2</v>
      </c>
      <c r="AO2257" s="13" t="n">
        <v>-43.8</v>
      </c>
      <c r="AP2257" s="13" t="n">
        <v>-76</v>
      </c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11" t="n">
        <v>6124</v>
      </c>
      <c r="AK2258" s="12" t="n">
        <v>1051</v>
      </c>
      <c r="AL2258" s="12" t="n">
        <v>1292</v>
      </c>
      <c r="AM2258" s="13" t="n">
        <v>-15.2</v>
      </c>
      <c r="AN2258" s="13" t="n">
        <v>-40.6</v>
      </c>
      <c r="AO2258" s="13" t="n">
        <v>4</v>
      </c>
      <c r="AP2258" s="13" t="n">
        <v>139.4</v>
      </c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11" t="n">
        <v>320</v>
      </c>
      <c r="AK2259" s="12" t="n">
        <v>-3008</v>
      </c>
      <c r="AL2259" s="12" t="n">
        <v>-3022</v>
      </c>
      <c r="AM2259" s="13" t="n">
        <v>3455.6</v>
      </c>
      <c r="AN2259" s="13" t="n">
        <v>-33.3</v>
      </c>
      <c r="AO2259" s="13" t="n">
        <v>-22.6</v>
      </c>
      <c r="AP2259" s="13" t="n">
        <v>9</v>
      </c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11" t="n">
        <v>21810</v>
      </c>
      <c r="AK2260" s="12" t="n">
        <v>-2014</v>
      </c>
      <c r="AL2260" s="12" t="n">
        <v>-3874</v>
      </c>
      <c r="AM2260" s="13" t="n">
        <v>13.5</v>
      </c>
      <c r="AN2260" s="13" t="n">
        <v>23.8</v>
      </c>
      <c r="AO2260" s="13" t="n">
        <v>24.6</v>
      </c>
      <c r="AP2260" s="13" t="n">
        <v>28.1</v>
      </c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11" t="n">
        <v>20833</v>
      </c>
      <c r="AK2261" s="12" t="n">
        <v>-786</v>
      </c>
      <c r="AL2261" s="12" t="n">
        <v>1297</v>
      </c>
      <c r="AM2261" s="13" t="n">
        <v>162.7</v>
      </c>
      <c r="AN2261" s="13" t="n">
        <v>-10</v>
      </c>
      <c r="AO2261" s="13" t="n">
        <v>85.8</v>
      </c>
      <c r="AP2261" s="13" t="n">
        <v>-130.5</v>
      </c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11" t="n">
        <v>2822</v>
      </c>
      <c r="AK2262" s="12" t="n">
        <v>-5267</v>
      </c>
      <c r="AL2262" s="12" t="n">
        <v>-4579</v>
      </c>
      <c r="AM2262" s="13" t="n">
        <v>-5.7</v>
      </c>
      <c r="AN2262" s="13" t="n">
        <v>-18</v>
      </c>
      <c r="AO2262" s="13" t="n">
        <v>-22.1</v>
      </c>
      <c r="AP2262" s="13" t="n">
        <v>-26.5</v>
      </c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11" t="n">
        <v>18302</v>
      </c>
      <c r="AK2263" s="12" t="n">
        <v>2648</v>
      </c>
      <c r="AL2263" s="12" t="n">
        <v>3383</v>
      </c>
      <c r="AM2263" s="13" t="n">
        <v>151</v>
      </c>
      <c r="AN2263" s="13" t="n">
        <v>70.90000000000001</v>
      </c>
      <c r="AO2263" s="13" t="n">
        <v>238.7</v>
      </c>
      <c r="AP2263" s="13" t="n">
        <v>1847.1</v>
      </c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11" t="n">
        <v>102321</v>
      </c>
      <c r="AK2264" s="12" t="n">
        <v>-11568</v>
      </c>
      <c r="AL2264" s="12" t="n">
        <v>-27758</v>
      </c>
      <c r="AM2264" s="13" t="n">
        <v>21.6</v>
      </c>
      <c r="AN2264" s="13" t="n">
        <v>59.7</v>
      </c>
      <c r="AO2264" s="13" t="n">
        <v>52.2</v>
      </c>
      <c r="AP2264" s="13" t="n">
        <v>-323.3</v>
      </c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42705</v>
      </c>
      <c r="AK2265" s="12" t="n">
        <v>34414</v>
      </c>
      <c r="AL2265" s="12" t="n">
        <v>12342</v>
      </c>
      <c r="AM2265" s="13" t="inlineStr"/>
      <c r="AN2265" s="13" t="n">
        <v>5.2</v>
      </c>
      <c r="AO2265" s="13" t="inlineStr"/>
      <c r="AP2265" s="13" t="n">
        <v>10.2</v>
      </c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11" t="n">
        <v>4380</v>
      </c>
      <c r="AK2266" s="12" t="n">
        <v>4102</v>
      </c>
      <c r="AL2266" s="12" t="n">
        <v>2976</v>
      </c>
      <c r="AM2266" s="13" t="inlineStr"/>
      <c r="AN2266" s="13" t="n">
        <v>-49.6</v>
      </c>
      <c r="AO2266" s="13" t="inlineStr"/>
      <c r="AP2266" s="13" t="n">
        <v>-47.1</v>
      </c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11" t="n">
        <v>865</v>
      </c>
      <c r="AK2267" s="12" t="n">
        <v>-2611</v>
      </c>
      <c r="AL2267" s="12" t="n">
        <v>-3012</v>
      </c>
      <c r="AM2267" s="13" t="n">
        <v>48.1</v>
      </c>
      <c r="AN2267" s="13" t="n">
        <v>-11.6</v>
      </c>
      <c r="AO2267" s="13" t="n">
        <v>-48.2</v>
      </c>
      <c r="AP2267" s="13" t="n">
        <v>10.2</v>
      </c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11" t="n">
        <v>18448</v>
      </c>
      <c r="AK2268" s="12" t="n">
        <v>-1471</v>
      </c>
      <c r="AL2268" s="12" t="n">
        <v>-3085</v>
      </c>
      <c r="AM2268" s="13" t="n">
        <v>30.9</v>
      </c>
      <c r="AN2268" s="13" t="n">
        <v>-3</v>
      </c>
      <c r="AO2268" s="13" t="n">
        <v>41.7</v>
      </c>
      <c r="AP2268" s="13" t="n">
        <v>5</v>
      </c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11" t="n">
        <v>26417</v>
      </c>
      <c r="AK2269" s="12" t="n">
        <v>2779</v>
      </c>
      <c r="AL2269" s="12" t="n">
        <v>-596</v>
      </c>
      <c r="AM2269" s="13" t="n">
        <v>37.6</v>
      </c>
      <c r="AN2269" s="13" t="n">
        <v>130.6</v>
      </c>
      <c r="AO2269" s="13" t="n">
        <v>410.2</v>
      </c>
      <c r="AP2269" s="13" t="n">
        <v>760.4</v>
      </c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11" t="n">
        <v>20769</v>
      </c>
      <c r="AK2270" s="12" t="n">
        <v>4587</v>
      </c>
      <c r="AL2270" s="12" t="n">
        <v>3728</v>
      </c>
      <c r="AM2270" s="13" t="n">
        <v>27.4</v>
      </c>
      <c r="AN2270" s="13" t="n">
        <v>2.6</v>
      </c>
      <c r="AO2270" s="13" t="n">
        <v>101</v>
      </c>
      <c r="AP2270" s="13" t="n">
        <v>10.3</v>
      </c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11" t="n">
        <v>73321</v>
      </c>
      <c r="AK2271" s="12" t="n">
        <v>1601</v>
      </c>
      <c r="AL2271" s="12" t="n">
        <v>-6233</v>
      </c>
      <c r="AM2271" s="13" t="n">
        <v>3.5</v>
      </c>
      <c r="AN2271" s="13" t="n">
        <v>-0.8</v>
      </c>
      <c r="AO2271" s="13" t="n">
        <v>-46</v>
      </c>
      <c r="AP2271" s="13" t="n">
        <v>-81.59999999999999</v>
      </c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11" t="n">
        <v>16337</v>
      </c>
      <c r="AK2272" s="12" t="n">
        <v>-1994</v>
      </c>
      <c r="AL2272" s="12" t="n">
        <v>-2417</v>
      </c>
      <c r="AM2272" s="13" t="n">
        <v>3.6</v>
      </c>
      <c r="AN2272" s="13" t="n">
        <v>-5.9</v>
      </c>
      <c r="AO2272" s="13" t="n">
        <v>-447.8</v>
      </c>
      <c r="AP2272" s="13" t="n">
        <v>-3167.7</v>
      </c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11" t="inlineStr"/>
      <c r="AK2273" s="12" t="n">
        <v>-447</v>
      </c>
      <c r="AL2273" s="12" t="n">
        <v>-444</v>
      </c>
      <c r="AM2273" s="13" t="inlineStr"/>
      <c r="AN2273" s="13" t="inlineStr"/>
      <c r="AO2273" s="13" t="n">
        <v>-76</v>
      </c>
      <c r="AP2273" s="13" t="n">
        <v>84.2</v>
      </c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11" t="n">
        <v>1449998</v>
      </c>
      <c r="AK2274" s="12" t="n">
        <v>170925</v>
      </c>
      <c r="AL2274" s="12" t="n">
        <v>109765</v>
      </c>
      <c r="AM2274" s="13" t="n">
        <v>107.6</v>
      </c>
      <c r="AN2274" s="13" t="n">
        <v>105.5</v>
      </c>
      <c r="AO2274" s="13" t="n">
        <v>187</v>
      </c>
      <c r="AP2274" s="13" t="n">
        <v>159.3</v>
      </c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11" t="n">
        <v>10995</v>
      </c>
      <c r="AK2275" s="12" t="n">
        <v>-1146</v>
      </c>
      <c r="AL2275" s="12" t="n">
        <v>242</v>
      </c>
      <c r="AM2275" s="13" t="n">
        <v>4.4</v>
      </c>
      <c r="AN2275" s="13" t="n">
        <v>33.4</v>
      </c>
      <c r="AO2275" s="13" t="n">
        <v>22.6</v>
      </c>
      <c r="AP2275" s="13" t="n">
        <v>21.2</v>
      </c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11" t="n">
        <v>10445</v>
      </c>
      <c r="AK2276" s="12" t="n">
        <v>172</v>
      </c>
      <c r="AL2276" s="12" t="n">
        <v>-41</v>
      </c>
      <c r="AM2276" s="13" t="n">
        <v>-26.1</v>
      </c>
      <c r="AN2276" s="13" t="n">
        <v>22.5</v>
      </c>
      <c r="AO2276" s="13" t="n">
        <v>-94.5</v>
      </c>
      <c r="AP2276" s="13" t="n">
        <v>203</v>
      </c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11" t="n">
        <v>21962</v>
      </c>
      <c r="AK2277" s="12" t="n">
        <v>-813</v>
      </c>
      <c r="AL2277" s="12" t="n">
        <v>-256</v>
      </c>
      <c r="AM2277" s="13" t="n">
        <v>-4.7</v>
      </c>
      <c r="AN2277" s="13" t="n">
        <v>-8.199999999999999</v>
      </c>
      <c r="AO2277" s="13" t="n">
        <v>-271.2</v>
      </c>
      <c r="AP2277" s="13" t="n">
        <v>-254.3</v>
      </c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11" t="n">
        <v>400975</v>
      </c>
      <c r="AK2278" s="12" t="n">
        <v>70276</v>
      </c>
      <c r="AL2278" s="12" t="n">
        <v>57675</v>
      </c>
      <c r="AM2278" s="13" t="n">
        <v>15.8</v>
      </c>
      <c r="AN2278" s="13" t="n">
        <v>63.1</v>
      </c>
      <c r="AO2278" s="13" t="n">
        <v>37</v>
      </c>
      <c r="AP2278" s="13" t="n">
        <v>3666.1</v>
      </c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11" t="n">
        <v>13255</v>
      </c>
      <c r="AK2279" s="12" t="n">
        <v>-1115</v>
      </c>
      <c r="AL2279" s="12" t="n">
        <v>-310</v>
      </c>
      <c r="AM2279" s="13" t="n">
        <v>19.5</v>
      </c>
      <c r="AN2279" s="13" t="n">
        <v>-20.1</v>
      </c>
      <c r="AO2279" s="13" t="n">
        <v>16.5</v>
      </c>
      <c r="AP2279" s="13" t="n">
        <v>-289.3</v>
      </c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11" t="n">
        <v>148130</v>
      </c>
      <c r="AK2280" s="12" t="n">
        <v>15060</v>
      </c>
      <c r="AL2280" s="12" t="n">
        <v>10857</v>
      </c>
      <c r="AM2280" s="13" t="n">
        <v>13.3</v>
      </c>
      <c r="AN2280" s="13" t="n">
        <v>30.2</v>
      </c>
      <c r="AO2280" s="13" t="n">
        <v>13.9</v>
      </c>
      <c r="AP2280" s="13" t="n">
        <v>36.3</v>
      </c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11" t="n">
        <v>12452</v>
      </c>
      <c r="AK2281" s="12" t="n">
        <v>-1185</v>
      </c>
      <c r="AL2281" s="12" t="n">
        <v>-3462</v>
      </c>
      <c r="AM2281" s="13" t="n">
        <v>4.2</v>
      </c>
      <c r="AN2281" s="13" t="n">
        <v>573.8</v>
      </c>
      <c r="AO2281" s="13" t="n">
        <v>24.3</v>
      </c>
      <c r="AP2281" s="13" t="n">
        <v>55.8</v>
      </c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11" t="n">
        <v>55217</v>
      </c>
      <c r="AK2282" s="12" t="n">
        <v>2601</v>
      </c>
      <c r="AL2282" s="12" t="n">
        <v>3507</v>
      </c>
      <c r="AM2282" s="13" t="n">
        <v>9</v>
      </c>
      <c r="AN2282" s="13" t="n">
        <v>13.9</v>
      </c>
      <c r="AO2282" s="13" t="n">
        <v>-7.5</v>
      </c>
      <c r="AP2282" s="13" t="n">
        <v>-7</v>
      </c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11" t="n">
        <v>5343</v>
      </c>
      <c r="AK2283" s="12" t="n">
        <v>1186</v>
      </c>
      <c r="AL2283" s="12" t="n">
        <v>903</v>
      </c>
      <c r="AM2283" s="13" t="n">
        <v>-1.9</v>
      </c>
      <c r="AN2283" s="13" t="n">
        <v>66.90000000000001</v>
      </c>
      <c r="AO2283" s="13" t="n">
        <v>4.9</v>
      </c>
      <c r="AP2283" s="13" t="n">
        <v>438.9</v>
      </c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11" t="n">
        <v>2351</v>
      </c>
      <c r="AK2284" s="12" t="n">
        <v>-3586</v>
      </c>
      <c r="AL2284" s="12" t="n">
        <v>-3022</v>
      </c>
      <c r="AM2284" s="13" t="n">
        <v>-17.5</v>
      </c>
      <c r="AN2284" s="13" t="n">
        <v>17.9</v>
      </c>
      <c r="AO2284" s="13" t="n">
        <v>-65.90000000000001</v>
      </c>
      <c r="AP2284" s="13" t="n">
        <v>-19.2</v>
      </c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11" t="n">
        <v>32295</v>
      </c>
      <c r="AK2285" s="12" t="n">
        <v>-995</v>
      </c>
      <c r="AL2285" s="12" t="n">
        <v>-1165</v>
      </c>
      <c r="AM2285" s="13" t="n">
        <v>23.7</v>
      </c>
      <c r="AN2285" s="13" t="n">
        <v>287.9</v>
      </c>
      <c r="AO2285" s="13" t="n">
        <v>28.3</v>
      </c>
      <c r="AP2285" s="13" t="n">
        <v>55.6</v>
      </c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11" t="n">
        <v>12092</v>
      </c>
      <c r="AK2286" s="12" t="n">
        <v>373</v>
      </c>
      <c r="AL2286" s="12" t="n">
        <v>581</v>
      </c>
      <c r="AM2286" s="13" t="n">
        <v>24.7</v>
      </c>
      <c r="AN2286" s="13" t="n">
        <v>13.2</v>
      </c>
      <c r="AO2286" s="13" t="n">
        <v>50.4</v>
      </c>
      <c r="AP2286" s="13" t="n">
        <v>218.4</v>
      </c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11" t="n">
        <v>88243</v>
      </c>
      <c r="AK2287" s="12" t="n">
        <v>12773</v>
      </c>
      <c r="AL2287" s="12" t="n">
        <v>10759</v>
      </c>
      <c r="AM2287" s="13" t="n">
        <v>16.4</v>
      </c>
      <c r="AN2287" s="13" t="n">
        <v>37.8</v>
      </c>
      <c r="AO2287" s="13" t="n">
        <v>19.2</v>
      </c>
      <c r="AP2287" s="13" t="n">
        <v>86.3</v>
      </c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11" t="n">
        <v>9691</v>
      </c>
      <c r="AK2288" s="12" t="n">
        <v>761</v>
      </c>
      <c r="AL2288" s="12" t="n">
        <v>1071</v>
      </c>
      <c r="AM2288" s="13" t="n">
        <v>32.4</v>
      </c>
      <c r="AN2288" s="13" t="n">
        <v>16.7</v>
      </c>
      <c r="AO2288" s="13" t="n">
        <v>478.6</v>
      </c>
      <c r="AP2288" s="13" t="n">
        <v>424.8</v>
      </c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27644</v>
      </c>
      <c r="AK2289" s="12" t="n">
        <v>16654</v>
      </c>
      <c r="AL2289" s="12" t="n">
        <v>1887</v>
      </c>
      <c r="AM2289" s="13" t="inlineStr"/>
      <c r="AN2289" s="13" t="n">
        <v>67.2</v>
      </c>
      <c r="AO2289" s="13" t="inlineStr"/>
      <c r="AP2289" s="13" t="n">
        <v>48.7</v>
      </c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11" t="n">
        <v>78493</v>
      </c>
      <c r="AK2290" s="12" t="n">
        <v>3896</v>
      </c>
      <c r="AL2290" s="12" t="n">
        <v>2387</v>
      </c>
      <c r="AM2290" s="13" t="n">
        <v>24</v>
      </c>
      <c r="AN2290" s="13" t="n">
        <v>4.8</v>
      </c>
      <c r="AO2290" s="13" t="n">
        <v>18.9</v>
      </c>
      <c r="AP2290" s="13" t="n">
        <v>-30.8</v>
      </c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3635</v>
      </c>
      <c r="AK2291" s="12" t="n">
        <v>1958</v>
      </c>
      <c r="AL2291" s="12" t="n">
        <v>-61</v>
      </c>
      <c r="AM2291" s="13" t="inlineStr"/>
      <c r="AN2291" s="13" t="n">
        <v>0.3</v>
      </c>
      <c r="AO2291" s="13" t="inlineStr"/>
      <c r="AP2291" s="13" t="n">
        <v>-1.3</v>
      </c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11" t="n">
        <v>2153</v>
      </c>
      <c r="AK2292" s="12" t="n">
        <v>1396</v>
      </c>
      <c r="AL2292" s="12" t="n">
        <v>510</v>
      </c>
      <c r="AM2292" s="13" t="inlineStr"/>
      <c r="AN2292" s="13" t="n">
        <v>109.2</v>
      </c>
      <c r="AO2292" s="13" t="inlineStr"/>
      <c r="AP2292" s="13" t="n">
        <v>488.9</v>
      </c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11" t="n">
        <v>5168</v>
      </c>
      <c r="AK2293" s="12" t="n">
        <v>1276</v>
      </c>
      <c r="AL2293" s="12" t="n">
        <v>1133</v>
      </c>
      <c r="AM2293" s="13" t="n">
        <v>13.3</v>
      </c>
      <c r="AN2293" s="13" t="n">
        <v>1.3</v>
      </c>
      <c r="AO2293" s="13" t="n">
        <v>-0.1</v>
      </c>
      <c r="AP2293" s="13" t="n">
        <v>-10</v>
      </c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11" t="n">
        <v>27179</v>
      </c>
      <c r="AK2294" s="12" t="n">
        <v>-1419</v>
      </c>
      <c r="AL2294" s="12" t="n">
        <v>-1602</v>
      </c>
      <c r="AM2294" s="13" t="n">
        <v>-2.3</v>
      </c>
      <c r="AN2294" s="13" t="n">
        <v>-6.5</v>
      </c>
      <c r="AO2294" s="13" t="n">
        <v>-367.2</v>
      </c>
      <c r="AP2294" s="13" t="n">
        <v>-210.1</v>
      </c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11" t="n">
        <v>311971</v>
      </c>
      <c r="AK2295" s="12" t="n">
        <v>46022</v>
      </c>
      <c r="AL2295" s="12" t="n">
        <v>56811</v>
      </c>
      <c r="AM2295" s="13" t="n">
        <v>18.3</v>
      </c>
      <c r="AN2295" s="13" t="n">
        <v>36.3</v>
      </c>
      <c r="AO2295" s="13" t="n">
        <v>3</v>
      </c>
      <c r="AP2295" s="13" t="n">
        <v>128.2</v>
      </c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11" t="n">
        <v>2738</v>
      </c>
      <c r="AK2296" s="12" t="n">
        <v>-2420</v>
      </c>
      <c r="AL2296" s="12" t="n">
        <v>-6883</v>
      </c>
      <c r="AM2296" s="13" t="n">
        <v>-15.3</v>
      </c>
      <c r="AN2296" s="13" t="inlineStr"/>
      <c r="AO2296" s="13" t="n">
        <v>-46.3</v>
      </c>
      <c r="AP2296" s="13" t="n">
        <v>-191.6</v>
      </c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11" t="inlineStr"/>
      <c r="AK2297" s="12" t="n">
        <v>-14385</v>
      </c>
      <c r="AL2297" s="12" t="n">
        <v>-14253</v>
      </c>
      <c r="AM2297" s="13" t="inlineStr"/>
      <c r="AN2297" s="13" t="inlineStr"/>
      <c r="AO2297" s="13" t="n">
        <v>-16.5</v>
      </c>
      <c r="AP2297" s="13" t="n">
        <v>-32.1</v>
      </c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11" t="n">
        <v>17778</v>
      </c>
      <c r="AK2298" s="12" t="n">
        <v>176</v>
      </c>
      <c r="AL2298" s="12" t="n">
        <v>-136</v>
      </c>
      <c r="AM2298" s="13" t="n">
        <v>20.4</v>
      </c>
      <c r="AN2298" s="13" t="n">
        <v>5</v>
      </c>
      <c r="AO2298" s="13" t="n">
        <v>118.1</v>
      </c>
      <c r="AP2298" s="13" t="n">
        <v>-86</v>
      </c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11" t="n">
        <v>5083</v>
      </c>
      <c r="AK2299" s="12" t="n">
        <v>-9647</v>
      </c>
      <c r="AL2299" s="12" t="n">
        <v>-10049</v>
      </c>
      <c r="AM2299" s="13" t="n">
        <v>-37</v>
      </c>
      <c r="AN2299" s="13" t="n">
        <v>19.8</v>
      </c>
      <c r="AO2299" s="13" t="n">
        <v>-252</v>
      </c>
      <c r="AP2299" s="13" t="n">
        <v>-104.3</v>
      </c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11" t="n">
        <v>2722</v>
      </c>
      <c r="AK2300" s="12" t="n">
        <v>-741</v>
      </c>
      <c r="AL2300" s="12" t="n">
        <v>-533</v>
      </c>
      <c r="AM2300" s="13" t="n">
        <v>7.8</v>
      </c>
      <c r="AN2300" s="13" t="n">
        <v>-6.8</v>
      </c>
      <c r="AO2300" s="13" t="n">
        <v>31.4</v>
      </c>
      <c r="AP2300" s="13" t="n">
        <v>9.699999999999999</v>
      </c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11" t="n">
        <v>10856</v>
      </c>
      <c r="AK2301" s="12" t="n">
        <v>-696</v>
      </c>
      <c r="AL2301" s="12" t="n">
        <v>193</v>
      </c>
      <c r="AM2301" s="13" t="n">
        <v>-6.3</v>
      </c>
      <c r="AN2301" s="13" t="n">
        <v>-22.4</v>
      </c>
      <c r="AO2301" s="13" t="n">
        <v>43.5</v>
      </c>
      <c r="AP2301" s="13" t="n">
        <v>50.2</v>
      </c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11" t="n">
        <v>14708</v>
      </c>
      <c r="AK2302" s="12" t="n">
        <v>2401</v>
      </c>
      <c r="AL2302" s="12" t="n">
        <v>4428</v>
      </c>
      <c r="AM2302" s="13" t="n">
        <v>53.9</v>
      </c>
      <c r="AN2302" s="13" t="n">
        <v>21.3</v>
      </c>
      <c r="AO2302" s="13" t="n">
        <v>633.6</v>
      </c>
      <c r="AP2302" s="13" t="n">
        <v>232</v>
      </c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11" t="n">
        <v>39526</v>
      </c>
      <c r="AK2303" s="12" t="n">
        <v>-63448</v>
      </c>
      <c r="AL2303" s="12" t="n">
        <v>-1327763</v>
      </c>
      <c r="AM2303" s="13" t="n">
        <v>10.2</v>
      </c>
      <c r="AN2303" s="13" t="n">
        <v>-52.2</v>
      </c>
      <c r="AO2303" s="13" t="n">
        <v>13.4</v>
      </c>
      <c r="AP2303" s="13" t="n">
        <v>-18.1</v>
      </c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11" t="n">
        <v>2756</v>
      </c>
      <c r="AK2304" s="12" t="n">
        <v>-407</v>
      </c>
      <c r="AL2304" s="12" t="n">
        <v>-264</v>
      </c>
      <c r="AM2304" s="13" t="n">
        <v>-9.800000000000001</v>
      </c>
      <c r="AN2304" s="13" t="n">
        <v>7.7</v>
      </c>
      <c r="AO2304" s="13" t="n">
        <v>-40600</v>
      </c>
      <c r="AP2304" s="13" t="n">
        <v>-15</v>
      </c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11" t="n">
        <v>65904</v>
      </c>
      <c r="AK2305" s="12" t="n">
        <v>1947</v>
      </c>
      <c r="AL2305" s="12" t="n">
        <v>-938</v>
      </c>
      <c r="AM2305" s="13" t="n">
        <v>36.4</v>
      </c>
      <c r="AN2305" s="13" t="n">
        <v>57.9</v>
      </c>
      <c r="AO2305" s="13" t="n">
        <v>-23.6</v>
      </c>
      <c r="AP2305" s="13" t="n">
        <v>-53.2</v>
      </c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11" t="n">
        <v>5382</v>
      </c>
      <c r="AK2306" s="12" t="n">
        <v>-249</v>
      </c>
      <c r="AL2306" s="12" t="n">
        <v>-211</v>
      </c>
      <c r="AM2306" s="13" t="n">
        <v>10.4</v>
      </c>
      <c r="AN2306" s="13" t="n">
        <v>7.3</v>
      </c>
      <c r="AO2306" s="13" t="n">
        <v>-49.1</v>
      </c>
      <c r="AP2306" s="13" t="n">
        <v>24.1</v>
      </c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11" t="n">
        <v>432</v>
      </c>
      <c r="AK2307" s="12" t="n">
        <v>-958</v>
      </c>
      <c r="AL2307" s="12" t="n">
        <v>-814</v>
      </c>
      <c r="AM2307" s="13" t="n">
        <v>31.3</v>
      </c>
      <c r="AN2307" s="13" t="n">
        <v>526.1</v>
      </c>
      <c r="AO2307" s="13" t="n">
        <v>40.6</v>
      </c>
      <c r="AP2307" s="13" t="n">
        <v>60.5</v>
      </c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11" t="n">
        <v>13011</v>
      </c>
      <c r="AK2308" s="12" t="n">
        <v>2895</v>
      </c>
      <c r="AL2308" s="12" t="n">
        <v>1608</v>
      </c>
      <c r="AM2308" s="13" t="n">
        <v>36.1</v>
      </c>
      <c r="AN2308" s="13" t="n">
        <v>6.8</v>
      </c>
      <c r="AO2308" s="13" t="n">
        <v>1833.5</v>
      </c>
      <c r="AP2308" s="13" t="n">
        <v>17</v>
      </c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11" t="n">
        <v>26347</v>
      </c>
      <c r="AK2309" s="12" t="n">
        <v>5143</v>
      </c>
      <c r="AL2309" s="12" t="n">
        <v>-2148</v>
      </c>
      <c r="AM2309" s="13" t="n">
        <v>98.90000000000001</v>
      </c>
      <c r="AN2309" s="13" t="n">
        <v>13.1</v>
      </c>
      <c r="AO2309" s="13" t="n">
        <v>310.1</v>
      </c>
      <c r="AP2309" s="13" t="n">
        <v>207.6</v>
      </c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11" t="n">
        <v>21552</v>
      </c>
      <c r="AK2310" s="12" t="n">
        <v>-2583</v>
      </c>
      <c r="AL2310" s="12" t="n">
        <v>98</v>
      </c>
      <c r="AM2310" s="13" t="n">
        <v>14.6</v>
      </c>
      <c r="AN2310" s="13" t="n">
        <v>2.6</v>
      </c>
      <c r="AO2310" s="13" t="n">
        <v>-530.5</v>
      </c>
      <c r="AP2310" s="13" t="n">
        <v>-158.7</v>
      </c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11" t="n">
        <v>7185</v>
      </c>
      <c r="AK2311" s="12" t="n">
        <v>2359</v>
      </c>
      <c r="AL2311" s="12" t="n">
        <v>3228</v>
      </c>
      <c r="AM2311" s="13" t="n">
        <v>584.9</v>
      </c>
      <c r="AN2311" s="13" t="inlineStr"/>
      <c r="AO2311" s="13" t="n">
        <v>178.7</v>
      </c>
      <c r="AP2311" s="13" t="n">
        <v>144.4</v>
      </c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11" t="n">
        <v>37647</v>
      </c>
      <c r="AK2312" s="12" t="n">
        <v>-2651</v>
      </c>
      <c r="AL2312" s="12" t="n">
        <v>-3159</v>
      </c>
      <c r="AM2312" s="13" t="n">
        <v>115.6</v>
      </c>
      <c r="AN2312" s="13" t="n">
        <v>50.6</v>
      </c>
      <c r="AO2312" s="13" t="n">
        <v>-350.1</v>
      </c>
      <c r="AP2312" s="13" t="n">
        <v>-1204.6</v>
      </c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11" t="n">
        <v>76814</v>
      </c>
      <c r="AK2313" s="12" t="n">
        <v>6331</v>
      </c>
      <c r="AL2313" s="12" t="n">
        <v>9298</v>
      </c>
      <c r="AM2313" s="13" t="n">
        <v>26.2</v>
      </c>
      <c r="AN2313" s="13" t="n">
        <v>20</v>
      </c>
      <c r="AO2313" s="13" t="n">
        <v>158375</v>
      </c>
      <c r="AP2313" s="13" t="n">
        <v>136.3</v>
      </c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11" t="n">
        <v>33432</v>
      </c>
      <c r="AK2314" s="12" t="n">
        <v>14321</v>
      </c>
      <c r="AL2314" s="12" t="n">
        <v>-2565</v>
      </c>
      <c r="AM2314" s="13" t="inlineStr"/>
      <c r="AN2314" s="13" t="n">
        <v>14.8</v>
      </c>
      <c r="AO2314" s="13" t="inlineStr"/>
      <c r="AP2314" s="13" t="n">
        <v>31</v>
      </c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11" t="n">
        <v>25</v>
      </c>
      <c r="AK2315" s="12" t="n">
        <v>-2931</v>
      </c>
      <c r="AL2315" s="12" t="n">
        <v>-3654</v>
      </c>
      <c r="AM2315" s="13" t="n">
        <v>13.6</v>
      </c>
      <c r="AN2315" s="13" t="n">
        <v>-92.7</v>
      </c>
      <c r="AO2315" s="13" t="n">
        <v>-3.9</v>
      </c>
      <c r="AP2315" s="13" t="n">
        <v>-27.1</v>
      </c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11" t="n">
        <v>2931</v>
      </c>
      <c r="AK2316" s="12" t="n">
        <v>-2127</v>
      </c>
      <c r="AL2316" s="12" t="n">
        <v>-2145</v>
      </c>
      <c r="AM2316" s="13" t="inlineStr"/>
      <c r="AN2316" s="13" t="inlineStr"/>
      <c r="AO2316" s="13" t="inlineStr"/>
      <c r="AP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11" t="n">
        <v>17462</v>
      </c>
      <c r="AK2317" s="12" t="n">
        <v>2103</v>
      </c>
      <c r="AL2317" s="12" t="n">
        <v>1673</v>
      </c>
      <c r="AM2317" s="13" t="n">
        <v>61.6</v>
      </c>
      <c r="AN2317" s="13" t="n">
        <v>41.3</v>
      </c>
      <c r="AO2317" s="13" t="n">
        <v>545.6</v>
      </c>
      <c r="AP2317" s="13" t="n">
        <v>74.40000000000001</v>
      </c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11" t="n">
        <v>14132</v>
      </c>
      <c r="AK2318" s="12" t="n">
        <v>1893</v>
      </c>
      <c r="AL2318" s="12" t="n">
        <v>8017</v>
      </c>
      <c r="AM2318" s="13" t="n">
        <v>70.2</v>
      </c>
      <c r="AN2318" s="13" t="n">
        <v>5.1</v>
      </c>
      <c r="AO2318" s="13" t="n">
        <v>125.6</v>
      </c>
      <c r="AP2318" s="13" t="n">
        <v>-21.7</v>
      </c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11" t="n">
        <v>10368</v>
      </c>
      <c r="AK2319" s="12" t="n">
        <v>362</v>
      </c>
      <c r="AL2319" s="12" t="n">
        <v>308</v>
      </c>
      <c r="AM2319" s="13" t="n">
        <v>20.4</v>
      </c>
      <c r="AN2319" s="13" t="n">
        <v>5.8</v>
      </c>
      <c r="AO2319" s="13" t="n">
        <v>126.1</v>
      </c>
      <c r="AP2319" s="13" t="n">
        <v>120.3</v>
      </c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11" t="n">
        <v>12573</v>
      </c>
      <c r="AK2320" s="12" t="n">
        <v>-2024</v>
      </c>
      <c r="AL2320" s="12" t="n">
        <v>-3263</v>
      </c>
      <c r="AM2320" s="13" t="n">
        <v>18.1</v>
      </c>
      <c r="AN2320" s="13" t="n">
        <v>6</v>
      </c>
      <c r="AO2320" s="13" t="n">
        <v>-378.8</v>
      </c>
      <c r="AP2320" s="13" t="n">
        <v>38.8</v>
      </c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11" t="n">
        <v>13339</v>
      </c>
      <c r="AK2321" s="12" t="n">
        <v>2699</v>
      </c>
      <c r="AL2321" s="12" t="n">
        <v>2361</v>
      </c>
      <c r="AM2321" s="13" t="n">
        <v>-6.6</v>
      </c>
      <c r="AN2321" s="13" t="n">
        <v>28.6</v>
      </c>
      <c r="AO2321" s="13" t="n">
        <v>-43.2</v>
      </c>
      <c r="AP2321" s="13" t="n">
        <v>30.1</v>
      </c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11" t="n">
        <v>6945</v>
      </c>
      <c r="AK2322" s="12" t="n">
        <v>474</v>
      </c>
      <c r="AL2322" s="12" t="n">
        <v>481</v>
      </c>
      <c r="AM2322" s="13" t="n">
        <v>-3.5</v>
      </c>
      <c r="AN2322" s="13" t="n">
        <v>16.6</v>
      </c>
      <c r="AO2322" s="13" t="n">
        <v>4.4</v>
      </c>
      <c r="AP2322" s="13" t="n">
        <v>255.9</v>
      </c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11" t="inlineStr"/>
      <c r="AK2323" s="12" t="n">
        <v>-1058</v>
      </c>
      <c r="AL2323" s="12" t="n">
        <v>-999</v>
      </c>
      <c r="AM2323" s="13" t="inlineStr"/>
      <c r="AN2323" s="13" t="inlineStr"/>
      <c r="AO2323" s="13" t="n">
        <v>55.6</v>
      </c>
      <c r="AP2323" s="13" t="n">
        <v>58.6</v>
      </c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11" t="n">
        <v>8628</v>
      </c>
      <c r="AK2324" s="12" t="n">
        <v>-494</v>
      </c>
      <c r="AL2324" s="12" t="n">
        <v>-135</v>
      </c>
      <c r="AM2324" s="13" t="n">
        <v>155.2</v>
      </c>
      <c r="AN2324" s="13" t="n">
        <v>65.59999999999999</v>
      </c>
      <c r="AO2324" s="13" t="n">
        <v>65.59999999999999</v>
      </c>
      <c r="AP2324" s="13" t="n">
        <v>64.40000000000001</v>
      </c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11" t="n">
        <v>10201</v>
      </c>
      <c r="AK2325" s="12" t="n">
        <v>-4544</v>
      </c>
      <c r="AL2325" s="12" t="n">
        <v>-4008</v>
      </c>
      <c r="AM2325" s="13" t="n">
        <v>13.5</v>
      </c>
      <c r="AN2325" s="13" t="n">
        <v>1.7</v>
      </c>
      <c r="AO2325" s="13" t="n">
        <v>-51.1</v>
      </c>
      <c r="AP2325" s="13" t="n">
        <v>-76.59999999999999</v>
      </c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11" t="n">
        <v>59822</v>
      </c>
      <c r="AK2326" s="12" t="n">
        <v>17074</v>
      </c>
      <c r="AL2326" s="12" t="n">
        <v>15990</v>
      </c>
      <c r="AM2326" s="13" t="n">
        <v>173</v>
      </c>
      <c r="AN2326" s="13" t="n">
        <v>107</v>
      </c>
      <c r="AO2326" s="13" t="n">
        <v>1252.1</v>
      </c>
      <c r="AP2326" s="13" t="n">
        <v>404.3</v>
      </c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11" t="n">
        <v>0</v>
      </c>
      <c r="AK2327" s="12" t="n">
        <v>-9739</v>
      </c>
      <c r="AL2327" s="12" t="n">
        <v>-17647</v>
      </c>
      <c r="AM2327" s="13" t="inlineStr"/>
      <c r="AN2327" s="13" t="inlineStr"/>
      <c r="AO2327" s="13" t="n">
        <v>-24.9</v>
      </c>
      <c r="AP2327" s="13" t="n">
        <v>19.8</v>
      </c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11" t="n">
        <v>12933</v>
      </c>
      <c r="AK2328" s="12" t="n">
        <v>-2997</v>
      </c>
      <c r="AL2328" s="12" t="n">
        <v>-2106</v>
      </c>
      <c r="AM2328" s="13" t="n">
        <v>-30.8</v>
      </c>
      <c r="AN2328" s="13" t="n">
        <v>-36.9</v>
      </c>
      <c r="AO2328" s="13" t="n">
        <v>-8.199999999999999</v>
      </c>
      <c r="AP2328" s="13" t="n">
        <v>-1054.5</v>
      </c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11" t="n">
        <v>55074</v>
      </c>
      <c r="AK2329" s="12" t="n">
        <v>7609</v>
      </c>
      <c r="AL2329" s="12" t="n">
        <v>6819</v>
      </c>
      <c r="AM2329" s="13" t="n">
        <v>819.6</v>
      </c>
      <c r="AN2329" s="13" t="n">
        <v>103.3</v>
      </c>
      <c r="AO2329" s="13" t="n">
        <v>299.5</v>
      </c>
      <c r="AP2329" s="13" t="n">
        <v>167.7</v>
      </c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11" t="n">
        <v>1937</v>
      </c>
      <c r="AK2330" s="12" t="n">
        <v>-2754</v>
      </c>
      <c r="AL2330" s="12" t="n">
        <v>-2762</v>
      </c>
      <c r="AM2330" s="13" t="n">
        <v>89.5</v>
      </c>
      <c r="AN2330" s="13" t="n">
        <v>776.5</v>
      </c>
      <c r="AO2330" s="13" t="n">
        <v>5.5</v>
      </c>
      <c r="AP2330" s="13" t="n">
        <v>-3.5</v>
      </c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11" t="n">
        <v>26788</v>
      </c>
      <c r="AK2331" s="12" t="n">
        <v>-3043</v>
      </c>
      <c r="AL2331" s="12" t="n">
        <v>-3221</v>
      </c>
      <c r="AM2331" s="13" t="n">
        <v>-11.6</v>
      </c>
      <c r="AN2331" s="13" t="n">
        <v>-8.199999999999999</v>
      </c>
      <c r="AO2331" s="13" t="n">
        <v>-884.3</v>
      </c>
      <c r="AP2331" s="13" t="n">
        <v>-851.4</v>
      </c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11" t="n">
        <v>5801</v>
      </c>
      <c r="AK2332" s="12" t="n">
        <v>-319</v>
      </c>
      <c r="AL2332" s="12" t="n">
        <v>-161</v>
      </c>
      <c r="AM2332" s="13" t="n">
        <v>30.7</v>
      </c>
      <c r="AN2332" s="13" t="n">
        <v>-21.7</v>
      </c>
      <c r="AO2332" s="13" t="n">
        <v>61.9</v>
      </c>
      <c r="AP2332" s="13" t="n">
        <v>-35.2</v>
      </c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11" t="n">
        <v>2659</v>
      </c>
      <c r="AK2333" s="12" t="n">
        <v>-2290</v>
      </c>
      <c r="AL2333" s="12" t="n">
        <v>-3874</v>
      </c>
      <c r="AM2333" s="13" t="n">
        <v>-32.3</v>
      </c>
      <c r="AN2333" s="13" t="n">
        <v>4.9</v>
      </c>
      <c r="AO2333" s="13" t="n">
        <v>-112.4</v>
      </c>
      <c r="AP2333" s="13" t="n">
        <v>-32.4</v>
      </c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11" t="n">
        <v>7560249</v>
      </c>
      <c r="AK2334" s="12" t="n">
        <v>113302</v>
      </c>
      <c r="AL2334" s="12" t="n">
        <v>-328644</v>
      </c>
      <c r="AM2334" s="13" t="n">
        <v>15.3</v>
      </c>
      <c r="AN2334" s="13" t="n">
        <v>35.8</v>
      </c>
      <c r="AO2334" s="13" t="n">
        <v>154.5</v>
      </c>
      <c r="AP2334" s="13" t="n">
        <v>-77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11" t="n">
        <v>1802922</v>
      </c>
      <c r="AK2335" s="12" t="n">
        <v>159428</v>
      </c>
      <c r="AL2335" s="12" t="n">
        <v>129720</v>
      </c>
      <c r="AM2335" s="13" t="n">
        <v>4.5</v>
      </c>
      <c r="AN2335" s="13" t="n">
        <v>-9.5</v>
      </c>
      <c r="AO2335" s="13" t="n">
        <v>1.3</v>
      </c>
      <c r="AP2335" s="13" t="n">
        <v>26.3</v>
      </c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11" t="n">
        <v>8438</v>
      </c>
      <c r="AK2336" s="12" t="n">
        <v>1203</v>
      </c>
      <c r="AL2336" s="12" t="n">
        <v>2389</v>
      </c>
      <c r="AM2336" s="13" t="n">
        <v>27.8</v>
      </c>
      <c r="AN2336" s="13" t="n">
        <v>-15.2</v>
      </c>
      <c r="AO2336" s="13" t="n">
        <v>3659.4</v>
      </c>
      <c r="AP2336" s="13" t="n">
        <v>139.2</v>
      </c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11" t="n">
        <v>4575</v>
      </c>
      <c r="AK2337" s="12" t="n">
        <v>-2859</v>
      </c>
      <c r="AL2337" s="12" t="n">
        <v>1405</v>
      </c>
      <c r="AM2337" s="13" t="n">
        <v>-7.4</v>
      </c>
      <c r="AN2337" s="13" t="n">
        <v>60.8</v>
      </c>
      <c r="AO2337" s="13" t="n">
        <v>25.6</v>
      </c>
      <c r="AP2337" s="13" t="n">
        <v>1.5</v>
      </c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11" t="n">
        <v>47985</v>
      </c>
      <c r="AK2338" s="12" t="n">
        <v>1551</v>
      </c>
      <c r="AL2338" s="12" t="n">
        <v>2686</v>
      </c>
      <c r="AM2338" s="13" t="n">
        <v>10.6</v>
      </c>
      <c r="AN2338" s="13" t="n">
        <v>-3.6</v>
      </c>
      <c r="AO2338" s="13" t="n">
        <v>-9.9</v>
      </c>
      <c r="AP2338" s="13" t="n">
        <v>683.3</v>
      </c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11" t="n">
        <v>23352</v>
      </c>
      <c r="AK2339" s="12" t="n">
        <v>9406</v>
      </c>
      <c r="AL2339" s="12" t="n">
        <v>4532</v>
      </c>
      <c r="AM2339" s="13" t="n">
        <v>-0.2</v>
      </c>
      <c r="AN2339" s="13" t="n">
        <v>15.7</v>
      </c>
      <c r="AO2339" s="13" t="n">
        <v>-3</v>
      </c>
      <c r="AP2339" s="13" t="n">
        <v>26.4</v>
      </c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11" t="n">
        <v>8216</v>
      </c>
      <c r="AK2340" s="12" t="n">
        <v>-13453</v>
      </c>
      <c r="AL2340" s="12" t="n">
        <v>-9343</v>
      </c>
      <c r="AM2340" s="13" t="n">
        <v>1.9</v>
      </c>
      <c r="AN2340" s="13" t="n">
        <v>36.6</v>
      </c>
      <c r="AO2340" s="13" t="n">
        <v>-472.2</v>
      </c>
      <c r="AP2340" s="13" t="n">
        <v>-61250</v>
      </c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11" t="n">
        <v>1008</v>
      </c>
      <c r="AK2341" s="12" t="n">
        <v>-4802</v>
      </c>
      <c r="AL2341" s="12" t="n">
        <v>-4691</v>
      </c>
      <c r="AM2341" s="13" t="n">
        <v>213</v>
      </c>
      <c r="AN2341" s="13" t="n">
        <v>-28.1</v>
      </c>
      <c r="AO2341" s="13" t="n">
        <v>1.1</v>
      </c>
      <c r="AP2341" s="13" t="n">
        <v>4.1</v>
      </c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11" t="n">
        <v>11735</v>
      </c>
      <c r="AK2342" s="12" t="n">
        <v>1717</v>
      </c>
      <c r="AL2342" s="12" t="n">
        <v>2261</v>
      </c>
      <c r="AM2342" s="13" t="n">
        <v>31.9</v>
      </c>
      <c r="AN2342" s="13" t="n">
        <v>21.4</v>
      </c>
      <c r="AO2342" s="13" t="n">
        <v>274.7</v>
      </c>
      <c r="AP2342" s="13" t="n">
        <v>227.7</v>
      </c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11" t="n">
        <v>4532</v>
      </c>
      <c r="AK2343" s="12" t="n">
        <v>-779</v>
      </c>
      <c r="AL2343" s="12" t="n">
        <v>-9033</v>
      </c>
      <c r="AM2343" s="13" t="n">
        <v>-26.1</v>
      </c>
      <c r="AN2343" s="13" t="n">
        <v>-27.1</v>
      </c>
      <c r="AO2343" s="13" t="n">
        <v>29.5</v>
      </c>
      <c r="AP2343" s="13" t="n">
        <v>71.59999999999999</v>
      </c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11" t="n">
        <v>14771</v>
      </c>
      <c r="AK2344" s="12" t="n">
        <v>10441</v>
      </c>
      <c r="AL2344" s="12" t="n">
        <v>2635</v>
      </c>
      <c r="AM2344" s="13" t="inlineStr"/>
      <c r="AN2344" s="13" t="inlineStr"/>
      <c r="AO2344" s="13" t="inlineStr"/>
      <c r="AP2344" s="13" t="n">
        <v>10.3</v>
      </c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11" t="n">
        <v>14665</v>
      </c>
      <c r="AK2345" s="12" t="n">
        <v>-553</v>
      </c>
      <c r="AL2345" s="12" t="n">
        <v>-1200</v>
      </c>
      <c r="AM2345" s="13" t="n">
        <v>-23.5</v>
      </c>
      <c r="AN2345" s="13" t="n">
        <v>-7.5</v>
      </c>
      <c r="AO2345" s="13" t="n">
        <v>83.2</v>
      </c>
      <c r="AP2345" s="13" t="n">
        <v>85.59999999999999</v>
      </c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11" t="n">
        <v>335079</v>
      </c>
      <c r="AK2346" s="12" t="n">
        <v>58603</v>
      </c>
      <c r="AL2346" s="12" t="n">
        <v>49596</v>
      </c>
      <c r="AM2346" s="13" t="n">
        <v>11.6</v>
      </c>
      <c r="AN2346" s="13" t="n">
        <v>40.6</v>
      </c>
      <c r="AO2346" s="13" t="n">
        <v>81.7</v>
      </c>
      <c r="AP2346" s="13" t="n">
        <v>528.2</v>
      </c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11" t="n">
        <v>3483</v>
      </c>
      <c r="AK2347" s="12" t="n">
        <v>-2321</v>
      </c>
      <c r="AL2347" s="12" t="n">
        <v>-2110</v>
      </c>
      <c r="AM2347" s="13" t="n">
        <v>144.9</v>
      </c>
      <c r="AN2347" s="13" t="n">
        <v>173</v>
      </c>
      <c r="AO2347" s="13" t="n">
        <v>32.9</v>
      </c>
      <c r="AP2347" s="13" t="n">
        <v>83.7</v>
      </c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11" t="n">
        <v>14114</v>
      </c>
      <c r="AK2348" s="12" t="n">
        <v>4861</v>
      </c>
      <c r="AL2348" s="12" t="n">
        <v>4839</v>
      </c>
      <c r="AM2348" s="13" t="n">
        <v>-6.1</v>
      </c>
      <c r="AN2348" s="13" t="inlineStr"/>
      <c r="AO2348" s="13" t="n">
        <v>-12.4</v>
      </c>
      <c r="AP2348" s="13" t="n">
        <v>-23.5</v>
      </c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11" t="n">
        <v>23530</v>
      </c>
      <c r="AK2349" s="12" t="n">
        <v>-700</v>
      </c>
      <c r="AL2349" s="12" t="n">
        <v>-1975</v>
      </c>
      <c r="AM2349" s="13" t="n">
        <v>22.4</v>
      </c>
      <c r="AN2349" s="13" t="n">
        <v>0.7</v>
      </c>
      <c r="AO2349" s="13" t="n">
        <v>49.8</v>
      </c>
      <c r="AP2349" s="13" t="n">
        <v>-173.9</v>
      </c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11" t="n">
        <v>962</v>
      </c>
      <c r="AK2350" s="12" t="n">
        <v>-3014</v>
      </c>
      <c r="AL2350" s="12" t="n">
        <v>-1352</v>
      </c>
      <c r="AM2350" s="13" t="n">
        <v>-43.8</v>
      </c>
      <c r="AN2350" s="13" t="n">
        <v>-58.2</v>
      </c>
      <c r="AO2350" s="13" t="n">
        <v>-44.5</v>
      </c>
      <c r="AP2350" s="13" t="n">
        <v>-88</v>
      </c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11" t="n">
        <v>36368</v>
      </c>
      <c r="AK2351" s="12" t="n">
        <v>8457</v>
      </c>
      <c r="AL2351" s="12" t="n">
        <v>9072</v>
      </c>
      <c r="AM2351" s="13" t="n">
        <v>11.7</v>
      </c>
      <c r="AN2351" s="13" t="n">
        <v>12.2</v>
      </c>
      <c r="AO2351" s="13" t="n">
        <v>33.3</v>
      </c>
      <c r="AP2351" s="13" t="n">
        <v>33.2</v>
      </c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11" t="n">
        <v>2391</v>
      </c>
      <c r="AK2352" s="12" t="n">
        <v>-7144</v>
      </c>
      <c r="AL2352" s="12" t="n">
        <v>-3797</v>
      </c>
      <c r="AM2352" s="13" t="n">
        <v>37.6</v>
      </c>
      <c r="AN2352" s="13" t="n">
        <v>-89.59999999999999</v>
      </c>
      <c r="AO2352" s="13" t="n">
        <v>-84</v>
      </c>
      <c r="AP2352" s="13" t="n">
        <v>-85.40000000000001</v>
      </c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11" t="n">
        <v>41</v>
      </c>
      <c r="AK2353" s="12" t="n">
        <v>-3115</v>
      </c>
      <c r="AL2353" s="12" t="n">
        <v>-3697</v>
      </c>
      <c r="AM2353" s="13" t="n">
        <v>-36.9</v>
      </c>
      <c r="AN2353" s="13" t="inlineStr"/>
      <c r="AO2353" s="13" t="n">
        <v>15.1</v>
      </c>
      <c r="AP2353" s="13" t="n">
        <v>7.6</v>
      </c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11" t="n">
        <v>201186</v>
      </c>
      <c r="AK2354" s="12" t="n">
        <v>10561</v>
      </c>
      <c r="AL2354" s="12" t="n">
        <v>8227</v>
      </c>
      <c r="AM2354" s="13" t="n">
        <v>8.9</v>
      </c>
      <c r="AN2354" s="13" t="n">
        <v>10.8</v>
      </c>
      <c r="AO2354" s="13" t="n">
        <v>16.6</v>
      </c>
      <c r="AP2354" s="13" t="n">
        <v>97.2</v>
      </c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11" t="n">
        <v>3388</v>
      </c>
      <c r="AK2355" s="12" t="n">
        <v>-1873</v>
      </c>
      <c r="AL2355" s="12" t="n">
        <v>-9701</v>
      </c>
      <c r="AM2355" s="13" t="n">
        <v>-71.5</v>
      </c>
      <c r="AN2355" s="13" t="n">
        <v>64.09999999999999</v>
      </c>
      <c r="AO2355" s="13" t="n">
        <v>-183.4</v>
      </c>
      <c r="AP2355" s="13" t="n">
        <v>27.2</v>
      </c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11" t="n">
        <v>782</v>
      </c>
      <c r="AK2356" s="12" t="n">
        <v>-5232</v>
      </c>
      <c r="AL2356" s="12" t="n">
        <v>-5660</v>
      </c>
      <c r="AM2356" s="13" t="n">
        <v>62.6</v>
      </c>
      <c r="AN2356" s="13" t="n">
        <v>3.6</v>
      </c>
      <c r="AO2356" s="13" t="n">
        <v>10</v>
      </c>
      <c r="AP2356" s="13" t="n">
        <v>-55.3</v>
      </c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11" t="n">
        <v>4477</v>
      </c>
      <c r="AK2357" s="12" t="n">
        <v>-2530</v>
      </c>
      <c r="AL2357" s="12" t="n">
        <v>-566</v>
      </c>
      <c r="AM2357" s="13" t="n">
        <v>3.7</v>
      </c>
      <c r="AN2357" s="13" t="n">
        <v>-36.7</v>
      </c>
      <c r="AO2357" s="13" t="n">
        <v>18.6</v>
      </c>
      <c r="AP2357" s="13" t="n">
        <v>13.1</v>
      </c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11" t="n">
        <v>439157</v>
      </c>
      <c r="AK2358" s="12" t="n">
        <v>-33635</v>
      </c>
      <c r="AL2358" s="12" t="n">
        <v>-27103</v>
      </c>
      <c r="AM2358" s="13" t="n">
        <v>-23.2</v>
      </c>
      <c r="AN2358" s="13" t="n">
        <v>-27.9</v>
      </c>
      <c r="AO2358" s="13" t="n">
        <v>-336.7</v>
      </c>
      <c r="AP2358" s="13" t="n">
        <v>-285.6</v>
      </c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11" t="inlineStr"/>
      <c r="AK2359" s="12" t="n">
        <v>-2698</v>
      </c>
      <c r="AL2359" s="12" t="n">
        <v>1011</v>
      </c>
      <c r="AM2359" s="13" t="inlineStr"/>
      <c r="AN2359" s="13" t="inlineStr"/>
      <c r="AO2359" s="13" t="n">
        <v>-7.3</v>
      </c>
      <c r="AP2359" s="13" t="n">
        <v>-44.4</v>
      </c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11" t="n">
        <v>9586</v>
      </c>
      <c r="AK2360" s="12" t="n">
        <v>-530</v>
      </c>
      <c r="AL2360" s="12" t="n">
        <v>365</v>
      </c>
      <c r="AM2360" s="13" t="n">
        <v>-5</v>
      </c>
      <c r="AN2360" s="13" t="n">
        <v>-15.5</v>
      </c>
      <c r="AO2360" s="13" t="n">
        <v>-202.5</v>
      </c>
      <c r="AP2360" s="13" t="n">
        <v>-136.5</v>
      </c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11" t="n">
        <v>36664</v>
      </c>
      <c r="AK2361" s="12" t="n">
        <v>5079</v>
      </c>
      <c r="AL2361" s="12" t="n">
        <v>5116</v>
      </c>
      <c r="AM2361" s="13" t="n">
        <v>-12.2</v>
      </c>
      <c r="AN2361" s="13" t="n">
        <v>43.9</v>
      </c>
      <c r="AO2361" s="13" t="n">
        <v>-43.8</v>
      </c>
      <c r="AP2361" s="13" t="n">
        <v>117.4</v>
      </c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11" t="n">
        <v>3464</v>
      </c>
      <c r="AK2362" s="12" t="n">
        <v>-14229</v>
      </c>
      <c r="AL2362" s="12" t="n">
        <v>-18805</v>
      </c>
      <c r="AM2362" s="13" t="n">
        <v>469.7</v>
      </c>
      <c r="AN2362" s="13" t="n">
        <v>-85.5</v>
      </c>
      <c r="AO2362" s="13" t="n">
        <v>-217.9</v>
      </c>
      <c r="AP2362" s="13" t="n">
        <v>-506.9</v>
      </c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11" t="n">
        <v>17825</v>
      </c>
      <c r="AK2363" s="12" t="n">
        <v>-3233</v>
      </c>
      <c r="AL2363" s="12" t="n">
        <v>-3988</v>
      </c>
      <c r="AM2363" s="13" t="n">
        <v>252.7</v>
      </c>
      <c r="AN2363" s="13" t="n">
        <v>152.4</v>
      </c>
      <c r="AO2363" s="13" t="n">
        <v>-50.7</v>
      </c>
      <c r="AP2363" s="13" t="n">
        <v>-2172.4</v>
      </c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11" t="n">
        <v>399622</v>
      </c>
      <c r="AK2364" s="12" t="n">
        <v>86499</v>
      </c>
      <c r="AL2364" s="12" t="n">
        <v>72988</v>
      </c>
      <c r="AM2364" s="13" t="n">
        <v>-28.8</v>
      </c>
      <c r="AN2364" s="13" t="n">
        <v>5.5</v>
      </c>
      <c r="AO2364" s="13" t="n">
        <v>-43.6</v>
      </c>
      <c r="AP2364" s="13" t="n">
        <v>2.9</v>
      </c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11" t="n">
        <v>51528</v>
      </c>
      <c r="AK2365" s="12" t="n">
        <v>5762</v>
      </c>
      <c r="AL2365" s="12" t="n">
        <v>5072</v>
      </c>
      <c r="AM2365" s="13" t="n">
        <v>48.6</v>
      </c>
      <c r="AN2365" s="13" t="n">
        <v>32.1</v>
      </c>
      <c r="AO2365" s="13" t="n">
        <v>14.6</v>
      </c>
      <c r="AP2365" s="13" t="n">
        <v>57.3</v>
      </c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11" t="n">
        <v>17286</v>
      </c>
      <c r="AK2366" s="12" t="n">
        <v>60337</v>
      </c>
      <c r="AL2366" s="12" t="n">
        <v>56551</v>
      </c>
      <c r="AM2366" s="13" t="n">
        <v>20.2</v>
      </c>
      <c r="AN2366" s="13" t="n">
        <v>70.5</v>
      </c>
      <c r="AO2366" s="13" t="n">
        <v>45</v>
      </c>
      <c r="AP2366" s="13" t="n">
        <v>42.1</v>
      </c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11" t="n">
        <v>11294</v>
      </c>
      <c r="AK2367" s="12" t="n">
        <v>-6565</v>
      </c>
      <c r="AL2367" s="12" t="n">
        <v>-4104</v>
      </c>
      <c r="AM2367" s="13" t="n">
        <v>11.5</v>
      </c>
      <c r="AN2367" s="13" t="n">
        <v>12.3</v>
      </c>
      <c r="AO2367" s="13" t="n">
        <v>-83.2</v>
      </c>
      <c r="AP2367" s="13" t="n">
        <v>-232.9</v>
      </c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11" t="inlineStr"/>
      <c r="AK2368" s="12" t="n">
        <v>-2369</v>
      </c>
      <c r="AL2368" s="12" t="n">
        <v>-3724</v>
      </c>
      <c r="AM2368" s="13" t="inlineStr"/>
      <c r="AN2368" s="13" t="inlineStr"/>
      <c r="AO2368" s="13" t="n">
        <v>23.7</v>
      </c>
      <c r="AP2368" s="13" t="n">
        <v>26.6</v>
      </c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11" t="n">
        <v>4031</v>
      </c>
      <c r="AK2369" s="12" t="n">
        <v>790</v>
      </c>
      <c r="AL2369" s="12" t="n">
        <v>777</v>
      </c>
      <c r="AM2369" s="13" t="n">
        <v>80.59999999999999</v>
      </c>
      <c r="AN2369" s="13" t="n">
        <v>63.9</v>
      </c>
      <c r="AO2369" s="13" t="n">
        <v>205.2</v>
      </c>
      <c r="AP2369" s="13" t="n">
        <v>250.8</v>
      </c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11" t="n">
        <v>6184</v>
      </c>
      <c r="AK2370" s="12" t="n">
        <v>2833</v>
      </c>
      <c r="AL2370" s="12" t="n">
        <v>1859</v>
      </c>
      <c r="AM2370" s="13" t="inlineStr"/>
      <c r="AN2370" s="13" t="inlineStr"/>
      <c r="AO2370" s="13" t="inlineStr"/>
      <c r="AP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11" t="n">
        <v>10417</v>
      </c>
      <c r="AK2371" s="12" t="n">
        <v>413</v>
      </c>
      <c r="AL2371" s="12" t="n">
        <v>349</v>
      </c>
      <c r="AM2371" s="13" t="n">
        <v>-45.7</v>
      </c>
      <c r="AN2371" s="13" t="n">
        <v>-26.8</v>
      </c>
      <c r="AO2371" s="13" t="n">
        <v>-81.8</v>
      </c>
      <c r="AP2371" s="13" t="n">
        <v>-29.8</v>
      </c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11" t="n">
        <v>47897</v>
      </c>
      <c r="AK2372" s="12" t="n">
        <v>15575</v>
      </c>
      <c r="AL2372" s="12" t="n">
        <v>10087</v>
      </c>
      <c r="AM2372" s="13" t="n">
        <v>8.6</v>
      </c>
      <c r="AN2372" s="13" t="n">
        <v>-38.1</v>
      </c>
      <c r="AO2372" s="13" t="n">
        <v>15.3</v>
      </c>
      <c r="AP2372" s="13" t="n">
        <v>-40.8</v>
      </c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11" t="n">
        <v>5464</v>
      </c>
      <c r="AK2373" s="12" t="n">
        <v>581</v>
      </c>
      <c r="AL2373" s="12" t="n">
        <v>417</v>
      </c>
      <c r="AM2373" s="13" t="n">
        <v>8.4</v>
      </c>
      <c r="AN2373" s="13" t="n">
        <v>21.7</v>
      </c>
      <c r="AO2373" s="13" t="n">
        <v>25.2</v>
      </c>
      <c r="AP2373" s="13" t="n">
        <v>201</v>
      </c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11" t="inlineStr"/>
      <c r="AK2374" s="12" t="n">
        <v>-1457</v>
      </c>
      <c r="AL2374" s="12" t="n">
        <v>-1283</v>
      </c>
      <c r="AM2374" s="13" t="inlineStr"/>
      <c r="AN2374" s="13" t="inlineStr"/>
      <c r="AO2374" s="13" t="n">
        <v>64.59999999999999</v>
      </c>
      <c r="AP2374" s="13" t="n">
        <v>64.7</v>
      </c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11" t="n">
        <v>4530</v>
      </c>
      <c r="AK2375" s="12" t="n">
        <v>128</v>
      </c>
      <c r="AL2375" s="12" t="n">
        <v>113</v>
      </c>
      <c r="AM2375" s="13" t="n">
        <v>67.8</v>
      </c>
      <c r="AN2375" s="13" t="n">
        <v>78.09999999999999</v>
      </c>
      <c r="AO2375" s="13" t="n">
        <v>114.5</v>
      </c>
      <c r="AP2375" s="13" t="n">
        <v>112</v>
      </c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11" t="inlineStr"/>
      <c r="AK2376" s="12" t="n">
        <v>-2280</v>
      </c>
      <c r="AL2376" s="12" t="n">
        <v>-2335</v>
      </c>
      <c r="AM2376" s="13" t="inlineStr"/>
      <c r="AN2376" s="13" t="inlineStr"/>
      <c r="AO2376" s="13" t="n">
        <v>3.7</v>
      </c>
      <c r="AP2376" s="13" t="n">
        <v>6.2</v>
      </c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11" t="n">
        <v>6095</v>
      </c>
      <c r="AK2377" s="12" t="n">
        <v>-314</v>
      </c>
      <c r="AL2377" s="12" t="n">
        <v>-240</v>
      </c>
      <c r="AM2377" s="13" t="n">
        <v>17.6</v>
      </c>
      <c r="AN2377" s="13" t="n">
        <v>125.7</v>
      </c>
      <c r="AO2377" s="13" t="n">
        <v>79.7</v>
      </c>
      <c r="AP2377" s="13" t="n">
        <v>80.8</v>
      </c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11" t="n">
        <v>3607</v>
      </c>
      <c r="AK2378" s="12" t="n">
        <v>-4595</v>
      </c>
      <c r="AL2378" s="12" t="n">
        <v>-7746</v>
      </c>
      <c r="AM2378" s="13" t="n">
        <v>51.2</v>
      </c>
      <c r="AN2378" s="13" t="n">
        <v>40.4</v>
      </c>
      <c r="AO2378" s="13" t="n">
        <v>-124.4</v>
      </c>
      <c r="AP2378" s="13" t="n">
        <v>-14.8</v>
      </c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11" t="inlineStr"/>
      <c r="AK2379" s="12" t="n">
        <v>-603</v>
      </c>
      <c r="AL2379" s="12" t="n">
        <v>-565</v>
      </c>
      <c r="AM2379" s="13" t="inlineStr"/>
      <c r="AN2379" s="13" t="inlineStr"/>
      <c r="AO2379" s="13" t="n">
        <v>75.90000000000001</v>
      </c>
      <c r="AP2379" s="13" t="n">
        <v>-577.5</v>
      </c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11" t="n">
        <v>25346</v>
      </c>
      <c r="AK2380" s="12" t="n">
        <v>3397</v>
      </c>
      <c r="AL2380" s="12" t="n">
        <v>16526</v>
      </c>
      <c r="AM2380" s="13" t="n">
        <v>-17.7</v>
      </c>
      <c r="AN2380" s="13" t="n">
        <v>14.9</v>
      </c>
      <c r="AO2380" s="13" t="n">
        <v>-81.09999999999999</v>
      </c>
      <c r="AP2380" s="13" t="n">
        <v>13.7</v>
      </c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11" t="n">
        <v>176</v>
      </c>
      <c r="AK2381" s="12" t="n">
        <v>-10285</v>
      </c>
      <c r="AL2381" s="12" t="n">
        <v>-4223</v>
      </c>
      <c r="AM2381" s="13" t="n">
        <v>-55.2</v>
      </c>
      <c r="AN2381" s="13" t="n">
        <v>-79.7</v>
      </c>
      <c r="AO2381" s="13" t="n">
        <v>-22.7</v>
      </c>
      <c r="AP2381" s="13" t="n">
        <v>-27.7</v>
      </c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11" t="n">
        <v>2704</v>
      </c>
      <c r="AK2382" s="12" t="n">
        <v>-2952</v>
      </c>
      <c r="AL2382" s="12" t="n">
        <v>-3228</v>
      </c>
      <c r="AM2382" s="13" t="n">
        <v>52.6</v>
      </c>
      <c r="AN2382" s="13" t="n">
        <v>47</v>
      </c>
      <c r="AO2382" s="13" t="n">
        <v>-59.7</v>
      </c>
      <c r="AP2382" s="13" t="n">
        <v>-53.3</v>
      </c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11" t="n">
        <v>4936</v>
      </c>
      <c r="AK2383" s="12" t="n">
        <v>-1034</v>
      </c>
      <c r="AL2383" s="12" t="n">
        <v>-633</v>
      </c>
      <c r="AM2383" s="13" t="n">
        <v>19.8</v>
      </c>
      <c r="AN2383" s="13" t="n">
        <v>24.3</v>
      </c>
      <c r="AO2383" s="13" t="n">
        <v>13.2</v>
      </c>
      <c r="AP2383" s="13" t="n">
        <v>-5023.8</v>
      </c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11" t="n">
        <v>743</v>
      </c>
      <c r="AK2384" s="12" t="n">
        <v>-693</v>
      </c>
      <c r="AL2384" s="12" t="n">
        <v>-627</v>
      </c>
      <c r="AM2384" s="13" t="n">
        <v>-16.5</v>
      </c>
      <c r="AN2384" s="13" t="n">
        <v>-5.8</v>
      </c>
      <c r="AO2384" s="13" t="n">
        <v>-24</v>
      </c>
      <c r="AP2384" s="13" t="n">
        <v>47.5</v>
      </c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11" t="n">
        <v>4930</v>
      </c>
      <c r="AK2385" s="12" t="n">
        <v>-1560</v>
      </c>
      <c r="AL2385" s="12" t="n">
        <v>-5715</v>
      </c>
      <c r="AM2385" s="13" t="n">
        <v>-42.7</v>
      </c>
      <c r="AN2385" s="13" t="n">
        <v>-15.9</v>
      </c>
      <c r="AO2385" s="13" t="n">
        <v>-883.9</v>
      </c>
      <c r="AP2385" s="13" t="n">
        <v>10.6</v>
      </c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11" t="n">
        <v>8416</v>
      </c>
      <c r="AK2386" s="12" t="n">
        <v>21</v>
      </c>
      <c r="AL2386" s="12" t="n">
        <v>-364</v>
      </c>
      <c r="AM2386" s="13" t="n">
        <v>1.6</v>
      </c>
      <c r="AN2386" s="13" t="n">
        <v>43.6</v>
      </c>
      <c r="AO2386" s="13" t="n">
        <v>-91.2</v>
      </c>
      <c r="AP2386" s="13" t="n">
        <v>102.8</v>
      </c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11" t="n">
        <v>36237</v>
      </c>
      <c r="AK2387" s="12" t="n">
        <v>-15499</v>
      </c>
      <c r="AL2387" s="12" t="n">
        <v>810</v>
      </c>
      <c r="AM2387" s="13" t="n">
        <v>-15.5</v>
      </c>
      <c r="AN2387" s="13" t="n">
        <v>-5.1</v>
      </c>
      <c r="AO2387" s="13" t="n">
        <v>24.4</v>
      </c>
      <c r="AP2387" s="13" t="n">
        <v>40.4</v>
      </c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11" t="n">
        <v>27002</v>
      </c>
      <c r="AK2388" s="12" t="n">
        <v>-560</v>
      </c>
      <c r="AL2388" s="12" t="n">
        <v>-930</v>
      </c>
      <c r="AM2388" s="13" t="n">
        <v>2.6</v>
      </c>
      <c r="AN2388" s="13" t="n">
        <v>119.2</v>
      </c>
      <c r="AO2388" s="13" t="n">
        <v>88.59999999999999</v>
      </c>
      <c r="AP2388" s="13" t="n">
        <v>88.5</v>
      </c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11" t="n">
        <v>2942</v>
      </c>
      <c r="AK2389" s="12" t="n">
        <v>-6254</v>
      </c>
      <c r="AL2389" s="12" t="n">
        <v>-6107</v>
      </c>
      <c r="AM2389" s="13" t="n">
        <v>10</v>
      </c>
      <c r="AN2389" s="13" t="n">
        <v>13.3</v>
      </c>
      <c r="AO2389" s="13" t="n">
        <v>30.6</v>
      </c>
      <c r="AP2389" s="13" t="n">
        <v>28.6</v>
      </c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11" t="n">
        <v>1687</v>
      </c>
      <c r="AK2390" s="12" t="inlineStr"/>
      <c r="AL2390" s="12" t="inlineStr"/>
      <c r="AM2390" s="13" t="n">
        <v>65.2</v>
      </c>
      <c r="AN2390" s="13" t="inlineStr"/>
      <c r="AO2390" s="13" t="inlineStr"/>
      <c r="AP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11" t="n">
        <v>3795</v>
      </c>
      <c r="AK2391" s="12" t="n">
        <v>-1667</v>
      </c>
      <c r="AL2391" s="12" t="n">
        <v>6718</v>
      </c>
      <c r="AM2391" s="13" t="n">
        <v>12.8</v>
      </c>
      <c r="AN2391" s="13" t="n">
        <v>46.4</v>
      </c>
      <c r="AO2391" s="13" t="n">
        <v>-0.4</v>
      </c>
      <c r="AP2391" s="13" t="n">
        <v>-4.6</v>
      </c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3" t="n">
        <v>16.1</v>
      </c>
      <c r="AN2392" s="13" t="n">
        <v>27.8</v>
      </c>
      <c r="AO2392" s="13" t="n">
        <v>16</v>
      </c>
      <c r="AP2392" s="13" t="n">
        <v>24.7</v>
      </c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11" t="n">
        <v>13208</v>
      </c>
      <c r="AK2393" s="12" t="n">
        <v>-590</v>
      </c>
      <c r="AL2393" s="12" t="n">
        <v>-711</v>
      </c>
      <c r="AM2393" s="13" t="n">
        <v>13.2</v>
      </c>
      <c r="AN2393" s="13" t="n">
        <v>40.6</v>
      </c>
      <c r="AO2393" s="13" t="n">
        <v>75.7</v>
      </c>
      <c r="AP2393" s="13" t="n">
        <v>78.8</v>
      </c>
    </row>
    <row r="2394">
      <c r="A2394" s="5" t="inlineStr">
        <is>
          <t>HT로보틱스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11" t="n">
        <v>37449</v>
      </c>
      <c r="AK2394" s="12" t="n">
        <v>2041</v>
      </c>
      <c r="AL2394" s="12" t="n">
        <v>3194</v>
      </c>
      <c r="AM2394" s="13" t="n">
        <v>11.4</v>
      </c>
      <c r="AN2394" s="13" t="n">
        <v>104.6</v>
      </c>
      <c r="AO2394" s="13" t="n">
        <v>23.4</v>
      </c>
      <c r="AP2394" s="13" t="n">
        <v>256.8</v>
      </c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11" t="n">
        <v>7705</v>
      </c>
      <c r="AK2395" s="12" t="n">
        <v>2077</v>
      </c>
      <c r="AL2395" s="12" t="n">
        <v>1918</v>
      </c>
      <c r="AM2395" s="13" t="n">
        <v>77.90000000000001</v>
      </c>
      <c r="AN2395" s="13" t="n">
        <v>241.1</v>
      </c>
      <c r="AO2395" s="13" t="n">
        <v>117.5</v>
      </c>
      <c r="AP2395" s="13" t="n">
        <v>7792.6</v>
      </c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11" t="n">
        <v>5941</v>
      </c>
      <c r="AK2396" s="12" t="n">
        <v>2784</v>
      </c>
      <c r="AL2396" s="12" t="n">
        <v>-7770</v>
      </c>
      <c r="AM2396" s="13" t="inlineStr"/>
      <c r="AN2396" s="13" t="n">
        <v>-13.3</v>
      </c>
      <c r="AO2396" s="13" t="inlineStr"/>
      <c r="AP2396" s="13" t="n">
        <v>2.7</v>
      </c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11" t="inlineStr"/>
      <c r="AK2397" s="12" t="n">
        <v>-2915</v>
      </c>
      <c r="AL2397" s="12" t="n">
        <v>-1985</v>
      </c>
      <c r="AM2397" s="13" t="inlineStr"/>
      <c r="AN2397" s="13" t="inlineStr"/>
      <c r="AO2397" s="13" t="n">
        <v>-32.9</v>
      </c>
      <c r="AP2397" s="13" t="n">
        <v>-9.699999999999999</v>
      </c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11" t="n">
        <v>12515</v>
      </c>
      <c r="AK2398" s="12" t="n">
        <v>463</v>
      </c>
      <c r="AL2398" s="12" t="n">
        <v>472</v>
      </c>
      <c r="AM2398" s="13" t="n">
        <v>60.1</v>
      </c>
      <c r="AN2398" s="13" t="n">
        <v>39.9</v>
      </c>
      <c r="AO2398" s="13" t="n">
        <v>-31.5</v>
      </c>
      <c r="AP2398" s="13" t="n">
        <v>-62.8</v>
      </c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11" t="n">
        <v>4193</v>
      </c>
      <c r="AK2399" s="12" t="n">
        <v>-751</v>
      </c>
      <c r="AL2399" s="12" t="n">
        <v>-668</v>
      </c>
      <c r="AM2399" s="13" t="n">
        <v>-15.2</v>
      </c>
      <c r="AN2399" s="13" t="n">
        <v>1.9</v>
      </c>
      <c r="AO2399" s="13" t="n">
        <v>-563.6</v>
      </c>
      <c r="AP2399" s="13" t="n">
        <v>-69.09999999999999</v>
      </c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11" t="n">
        <v>21310</v>
      </c>
      <c r="AK2400" s="12" t="n">
        <v>328</v>
      </c>
      <c r="AL2400" s="12" t="n">
        <v>729</v>
      </c>
      <c r="AM2400" s="13" t="n">
        <v>3.6</v>
      </c>
      <c r="AN2400" s="13" t="n">
        <v>133.2</v>
      </c>
      <c r="AO2400" s="13" t="n">
        <v>108.4</v>
      </c>
      <c r="AP2400" s="13" t="n">
        <v>106.9</v>
      </c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11" t="n">
        <v>12798</v>
      </c>
      <c r="AK2401" s="12" t="n">
        <v>8405</v>
      </c>
      <c r="AL2401" s="12" t="n">
        <v>89</v>
      </c>
      <c r="AM2401" s="13" t="inlineStr"/>
      <c r="AN2401" s="13" t="n">
        <v>-7.8</v>
      </c>
      <c r="AO2401" s="13" t="inlineStr"/>
      <c r="AP2401" s="13" t="n">
        <v>1.4</v>
      </c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11" t="n">
        <v>4172</v>
      </c>
      <c r="AK2402" s="12" t="n">
        <v>-2821</v>
      </c>
      <c r="AL2402" s="12" t="n">
        <v>-2678</v>
      </c>
      <c r="AM2402" s="13" t="n">
        <v>7.6</v>
      </c>
      <c r="AN2402" s="13" t="n">
        <v>23.1</v>
      </c>
      <c r="AO2402" s="13" t="n">
        <v>29.3</v>
      </c>
      <c r="AP2402" s="13" t="n">
        <v>36.6</v>
      </c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11" t="n">
        <v>328549</v>
      </c>
      <c r="AK2403" s="12" t="n">
        <v>19235428</v>
      </c>
      <c r="AL2403" s="12" t="n">
        <v>18675023</v>
      </c>
      <c r="AM2403" s="13" t="n">
        <v>9.4</v>
      </c>
      <c r="AN2403" s="13" t="n">
        <v>-19.2</v>
      </c>
      <c r="AO2403" s="13" t="n">
        <v>132.4</v>
      </c>
      <c r="AP2403" s="13" t="n">
        <v>1272.9</v>
      </c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11" t="n">
        <v>14419</v>
      </c>
      <c r="AK2404" s="12" t="n">
        <v>331</v>
      </c>
      <c r="AL2404" s="12" t="n">
        <v>-3780</v>
      </c>
      <c r="AM2404" s="13" t="n">
        <v>-31.1</v>
      </c>
      <c r="AN2404" s="13" t="n">
        <v>-44</v>
      </c>
      <c r="AO2404" s="13" t="n">
        <v>-86.7</v>
      </c>
      <c r="AP2404" s="13" t="n">
        <v>-61</v>
      </c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11" t="n">
        <v>14984</v>
      </c>
      <c r="AK2405" s="12" t="n">
        <v>1292</v>
      </c>
      <c r="AL2405" s="12" t="n">
        <v>1254</v>
      </c>
      <c r="AM2405" s="13" t="inlineStr"/>
      <c r="AN2405" s="13" t="inlineStr"/>
      <c r="AO2405" s="13" t="inlineStr"/>
      <c r="AP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11" t="n">
        <v>18391</v>
      </c>
      <c r="AK2406" s="12" t="n">
        <v>747</v>
      </c>
      <c r="AL2406" s="12" t="n">
        <v>-112</v>
      </c>
      <c r="AM2406" s="13" t="n">
        <v>47.8</v>
      </c>
      <c r="AN2406" s="13" t="n">
        <v>-1.1</v>
      </c>
      <c r="AO2406" s="13" t="n">
        <v>133.6</v>
      </c>
      <c r="AP2406" s="13" t="n">
        <v>-40</v>
      </c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11" t="n">
        <v>120993</v>
      </c>
      <c r="AK2407" s="12" t="n">
        <v>6811</v>
      </c>
      <c r="AL2407" s="12" t="n">
        <v>6465</v>
      </c>
      <c r="AM2407" s="13" t="n">
        <v>24.6</v>
      </c>
      <c r="AN2407" s="13" t="n">
        <v>22.6</v>
      </c>
      <c r="AO2407" s="13" t="n">
        <v>390.7</v>
      </c>
      <c r="AP2407" s="13" t="n">
        <v>271.2</v>
      </c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11" t="n">
        <v>21705</v>
      </c>
      <c r="AK2408" s="12" t="n">
        <v>2657</v>
      </c>
      <c r="AL2408" s="12" t="n">
        <v>21542</v>
      </c>
      <c r="AM2408" s="13" t="n">
        <v>5.1</v>
      </c>
      <c r="AN2408" s="13" t="n">
        <v>3.1</v>
      </c>
      <c r="AO2408" s="13" t="n">
        <v>-9.5</v>
      </c>
      <c r="AP2408" s="13" t="n">
        <v>-6.9</v>
      </c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11" t="n">
        <v>46123</v>
      </c>
      <c r="AK2409" s="12" t="n">
        <v>28314</v>
      </c>
      <c r="AL2409" s="12" t="n">
        <v>24107</v>
      </c>
      <c r="AM2409" s="13" t="n">
        <v>44.4</v>
      </c>
      <c r="AN2409" s="13" t="n">
        <v>-10.2</v>
      </c>
      <c r="AO2409" s="13" t="n">
        <v>75.5</v>
      </c>
      <c r="AP2409" s="13" t="n">
        <v>-1.2</v>
      </c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11" t="n">
        <v>15532</v>
      </c>
      <c r="AK2410" s="12" t="n">
        <v>11334</v>
      </c>
      <c r="AL2410" s="12" t="n">
        <v>2995</v>
      </c>
      <c r="AM2410" s="13" t="inlineStr"/>
      <c r="AN2410" s="13" t="n">
        <v>0.2</v>
      </c>
      <c r="AO2410" s="13" t="inlineStr"/>
      <c r="AP2410" s="13" t="n">
        <v>-1.3</v>
      </c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11" t="n">
        <v>2844</v>
      </c>
      <c r="AK2411" s="12" t="n">
        <v>-2286</v>
      </c>
      <c r="AL2411" s="12" t="n">
        <v>-2321</v>
      </c>
      <c r="AM2411" s="13" t="n">
        <v>0.8</v>
      </c>
      <c r="AN2411" s="13" t="n">
        <v>160.9</v>
      </c>
      <c r="AO2411" s="13" t="n">
        <v>-6.3</v>
      </c>
      <c r="AP2411" s="13" t="n">
        <v>17.7</v>
      </c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11" t="n">
        <v>18496</v>
      </c>
      <c r="AK2412" s="12" t="n">
        <v>1226</v>
      </c>
      <c r="AL2412" s="12" t="n">
        <v>1105</v>
      </c>
      <c r="AM2412" s="13" t="n">
        <v>-9.4</v>
      </c>
      <c r="AN2412" s="13" t="n">
        <v>6.5</v>
      </c>
      <c r="AO2412" s="13" t="n">
        <v>-58.8</v>
      </c>
      <c r="AP2412" s="13" t="n">
        <v>4.2</v>
      </c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11" t="n">
        <v>21470</v>
      </c>
      <c r="AK2413" s="12" t="n">
        <v>205</v>
      </c>
      <c r="AL2413" s="12" t="n">
        <v>-904</v>
      </c>
      <c r="AM2413" s="13" t="n">
        <v>-3.7</v>
      </c>
      <c r="AN2413" s="13" t="n">
        <v>15.8</v>
      </c>
      <c r="AO2413" s="13" t="n">
        <v>-61</v>
      </c>
      <c r="AP2413" s="13" t="n">
        <v>138.7</v>
      </c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11" t="n">
        <v>17476</v>
      </c>
      <c r="AK2414" s="12" t="n">
        <v>413</v>
      </c>
      <c r="AL2414" s="12" t="n">
        <v>-2723</v>
      </c>
      <c r="AM2414" s="13" t="n">
        <v>39.6</v>
      </c>
      <c r="AN2414" s="13" t="n">
        <v>20.1</v>
      </c>
      <c r="AO2414" s="13" t="n">
        <v>127.8</v>
      </c>
      <c r="AP2414" s="13" t="n">
        <v>123.9</v>
      </c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11" t="n">
        <v>35839</v>
      </c>
      <c r="AK2415" s="12" t="n">
        <v>210</v>
      </c>
      <c r="AL2415" s="12" t="n">
        <v>4028</v>
      </c>
      <c r="AM2415" s="13" t="n">
        <v>13.4</v>
      </c>
      <c r="AN2415" s="13" t="n">
        <v>121.7</v>
      </c>
      <c r="AO2415" s="13" t="n">
        <v>187.9</v>
      </c>
      <c r="AP2415" s="13" t="n">
        <v>-30.5</v>
      </c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11" t="n">
        <v>14416</v>
      </c>
      <c r="AK2416" s="12" t="n">
        <v>-3211</v>
      </c>
      <c r="AL2416" s="12" t="n">
        <v>-4878</v>
      </c>
      <c r="AM2416" s="13" t="n">
        <v>-15.5</v>
      </c>
      <c r="AN2416" s="13" t="inlineStr"/>
      <c r="AO2416" s="13" t="n">
        <v>-329.9</v>
      </c>
      <c r="AP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11" t="n">
        <v>3869</v>
      </c>
      <c r="AK2417" s="12" t="n">
        <v>-430</v>
      </c>
      <c r="AL2417" s="12" t="n">
        <v>-317</v>
      </c>
      <c r="AM2417" s="13" t="n">
        <v>9</v>
      </c>
      <c r="AN2417" s="13" t="n">
        <v>7.7</v>
      </c>
      <c r="AO2417" s="13" t="n">
        <v>52.3</v>
      </c>
      <c r="AP2417" s="13" t="n">
        <v>55.4</v>
      </c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11" t="n">
        <v>19383</v>
      </c>
      <c r="AK2418" s="12" t="n">
        <v>6651</v>
      </c>
      <c r="AL2418" s="12" t="n">
        <v>5432</v>
      </c>
      <c r="AM2418" s="13" t="n">
        <v>17</v>
      </c>
      <c r="AN2418" s="13" t="n">
        <v>11.2</v>
      </c>
      <c r="AO2418" s="13" t="n">
        <v>34.1</v>
      </c>
      <c r="AP2418" s="13" t="n">
        <v>2.8</v>
      </c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11" t="n">
        <v>1547</v>
      </c>
      <c r="AK2419" s="12" t="n">
        <v>-866</v>
      </c>
      <c r="AL2419" s="12" t="n">
        <v>-1861</v>
      </c>
      <c r="AM2419" s="13" t="n">
        <v>-15.3</v>
      </c>
      <c r="AN2419" s="13" t="n">
        <v>-58.3</v>
      </c>
      <c r="AO2419" s="13" t="n">
        <v>14.2</v>
      </c>
      <c r="AP2419" s="13" t="n">
        <v>38.3</v>
      </c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11" t="n">
        <v>2061</v>
      </c>
      <c r="AK2420" s="12" t="n">
        <v>-1051</v>
      </c>
      <c r="AL2420" s="12" t="n">
        <v>-3624</v>
      </c>
      <c r="AM2420" s="13" t="n">
        <v>72.59999999999999</v>
      </c>
      <c r="AN2420" s="13" t="n">
        <v>109.5</v>
      </c>
      <c r="AO2420" s="13" t="n">
        <v>38.4</v>
      </c>
      <c r="AP2420" s="13" t="n">
        <v>74.8</v>
      </c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11" t="n">
        <v>111617</v>
      </c>
      <c r="AK2421" s="12" t="n">
        <v>3753</v>
      </c>
      <c r="AL2421" s="12" t="n">
        <v>4138</v>
      </c>
      <c r="AM2421" s="13" t="n">
        <v>622</v>
      </c>
      <c r="AN2421" s="13" t="n">
        <v>607.2</v>
      </c>
      <c r="AO2421" s="13" t="n">
        <v>192.7</v>
      </c>
      <c r="AP2421" s="13" t="n">
        <v>113.9</v>
      </c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11" t="n">
        <v>31139</v>
      </c>
      <c r="AK2422" s="12" t="n">
        <v>1204</v>
      </c>
      <c r="AL2422" s="12" t="n">
        <v>1087</v>
      </c>
      <c r="AM2422" s="13" t="n">
        <v>174</v>
      </c>
      <c r="AN2422" s="13" t="n">
        <v>213.1</v>
      </c>
      <c r="AO2422" s="13" t="n">
        <v>692.1</v>
      </c>
      <c r="AP2422" s="13" t="n">
        <v>215.7</v>
      </c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11" t="n">
        <v>6847</v>
      </c>
      <c r="AK2423" s="12" t="n">
        <v>1873</v>
      </c>
      <c r="AL2423" s="12" t="n">
        <v>1788</v>
      </c>
      <c r="AM2423" s="13" t="n">
        <v>31.4</v>
      </c>
      <c r="AN2423" s="13" t="n">
        <v>31.6</v>
      </c>
      <c r="AO2423" s="13" t="n">
        <v>250.7</v>
      </c>
      <c r="AP2423" s="13" t="n">
        <v>166.1</v>
      </c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11" t="n">
        <v>7583</v>
      </c>
      <c r="AK2424" s="12" t="n">
        <v>-727</v>
      </c>
      <c r="AL2424" s="12" t="n">
        <v>-595</v>
      </c>
      <c r="AM2424" s="13" t="n">
        <v>-11</v>
      </c>
      <c r="AN2424" s="13" t="n">
        <v>-6.1</v>
      </c>
      <c r="AO2424" s="13" t="n">
        <v>-208.1</v>
      </c>
      <c r="AP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11" t="n">
        <v>22304</v>
      </c>
      <c r="AK2425" s="12" t="n">
        <v>363</v>
      </c>
      <c r="AL2425" s="12" t="n">
        <v>415</v>
      </c>
      <c r="AM2425" s="13" t="n">
        <v>-1.1</v>
      </c>
      <c r="AN2425" s="13" t="n">
        <v>-0.9</v>
      </c>
      <c r="AO2425" s="13" t="n">
        <v>-29.1</v>
      </c>
      <c r="AP2425" s="13" t="n">
        <v>-10.8</v>
      </c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11" t="n">
        <v>59874</v>
      </c>
      <c r="AK2426" s="12" t="n">
        <v>1672</v>
      </c>
      <c r="AL2426" s="12" t="n">
        <v>1229</v>
      </c>
      <c r="AM2426" s="13" t="n">
        <v>19.2</v>
      </c>
      <c r="AN2426" s="13" t="n">
        <v>150.2</v>
      </c>
      <c r="AO2426" s="13" t="n">
        <v>408.5</v>
      </c>
      <c r="AP2426" s="13" t="n">
        <v>803.8</v>
      </c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11" t="n">
        <v>14178</v>
      </c>
      <c r="AK2427" s="12" t="n">
        <v>1414</v>
      </c>
      <c r="AL2427" s="12" t="n">
        <v>727</v>
      </c>
      <c r="AM2427" s="13" t="n">
        <v>44.1</v>
      </c>
      <c r="AN2427" s="13" t="n">
        <v>30.4</v>
      </c>
      <c r="AO2427" s="13" t="n">
        <v>321.3</v>
      </c>
      <c r="AP2427" s="13" t="n">
        <v>2180.6</v>
      </c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11" t="n">
        <v>16922</v>
      </c>
      <c r="AK2428" s="12" t="n">
        <v>680</v>
      </c>
      <c r="AL2428" s="12" t="n">
        <v>-156</v>
      </c>
      <c r="AM2428" s="13" t="inlineStr"/>
      <c r="AN2428" s="13" t="inlineStr"/>
      <c r="AO2428" s="13" t="inlineStr"/>
      <c r="AP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11" t="n">
        <v>4769</v>
      </c>
      <c r="AK2429" s="12" t="n">
        <v>-345</v>
      </c>
      <c r="AL2429" s="12" t="n">
        <v>592</v>
      </c>
      <c r="AM2429" s="13" t="n">
        <v>-4.5</v>
      </c>
      <c r="AN2429" s="13" t="n">
        <v>13.3</v>
      </c>
      <c r="AO2429" s="13" t="n">
        <v>-219.4</v>
      </c>
      <c r="AP2429" s="13" t="n">
        <v>-305.4</v>
      </c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11" t="n">
        <v>51298</v>
      </c>
      <c r="AK2430" s="12" t="n">
        <v>533</v>
      </c>
      <c r="AL2430" s="12" t="n">
        <v>-287</v>
      </c>
      <c r="AM2430" s="13" t="n">
        <v>19.2</v>
      </c>
      <c r="AN2430" s="13" t="n">
        <v>30.9</v>
      </c>
      <c r="AO2430" s="13" t="n">
        <v>146.4</v>
      </c>
      <c r="AP2430" s="13" t="n">
        <v>1302.6</v>
      </c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11" t="n">
        <v>21882</v>
      </c>
      <c r="AK2431" s="12" t="n">
        <v>6341</v>
      </c>
      <c r="AL2431" s="12" t="n">
        <v>3917</v>
      </c>
      <c r="AM2431" s="13" t="n">
        <v>41.8</v>
      </c>
      <c r="AN2431" s="13" t="n">
        <v>90.2</v>
      </c>
      <c r="AO2431" s="13" t="n">
        <v>62.6</v>
      </c>
      <c r="AP2431" s="13" t="n">
        <v>256</v>
      </c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11" t="n">
        <v>16666</v>
      </c>
      <c r="AK2432" s="12" t="n">
        <v>4454</v>
      </c>
      <c r="AL2432" s="12" t="n">
        <v>4019</v>
      </c>
      <c r="AM2432" s="13" t="n">
        <v>113.2</v>
      </c>
      <c r="AN2432" s="13" t="n">
        <v>13.9</v>
      </c>
      <c r="AO2432" s="13" t="n">
        <v>165.3</v>
      </c>
      <c r="AP2432" s="13" t="n">
        <v>9.9</v>
      </c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11" t="n">
        <v>29324</v>
      </c>
      <c r="AK2433" s="12" t="n">
        <v>9276</v>
      </c>
      <c r="AL2433" s="12" t="n">
        <v>6790</v>
      </c>
      <c r="AM2433" s="13" t="n">
        <v>65.7</v>
      </c>
      <c r="AN2433" s="13" t="n">
        <v>159.4</v>
      </c>
      <c r="AO2433" s="13" t="n">
        <v>127.7</v>
      </c>
      <c r="AP2433" s="13" t="n">
        <v>346.4</v>
      </c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11" t="n">
        <v>12510</v>
      </c>
      <c r="AK2434" s="12" t="n">
        <v>-650</v>
      </c>
      <c r="AL2434" s="12" t="n">
        <v>4323</v>
      </c>
      <c r="AM2434" s="13" t="n">
        <v>-4.4</v>
      </c>
      <c r="AN2434" s="13" t="inlineStr"/>
      <c r="AO2434" s="13" t="n">
        <v>-39.8</v>
      </c>
      <c r="AP2434" s="13" t="n">
        <v>-187.4</v>
      </c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11" t="n">
        <v>20043</v>
      </c>
      <c r="AK2435" s="12" t="n">
        <v>1786</v>
      </c>
      <c r="AL2435" s="12" t="n">
        <v>1730</v>
      </c>
      <c r="AM2435" s="13" t="n">
        <v>7.1</v>
      </c>
      <c r="AN2435" s="13" t="n">
        <v>8.800000000000001</v>
      </c>
      <c r="AO2435" s="13" t="n">
        <v>138.8</v>
      </c>
      <c r="AP2435" s="13" t="n">
        <v>9.300000000000001</v>
      </c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11" t="n">
        <v>1602</v>
      </c>
      <c r="AK2436" s="12" t="n">
        <v>-618</v>
      </c>
      <c r="AL2436" s="12" t="n">
        <v>-685</v>
      </c>
      <c r="AM2436" s="13" t="n">
        <v>23.4</v>
      </c>
      <c r="AN2436" s="13" t="n">
        <v>882.8</v>
      </c>
      <c r="AO2436" s="13" t="n">
        <v>-155.4</v>
      </c>
      <c r="AP2436" s="13" t="n">
        <v>66.5</v>
      </c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11" t="n">
        <v>1462</v>
      </c>
      <c r="AK2437" s="12" t="n">
        <v>-2972</v>
      </c>
      <c r="AL2437" s="12" t="n">
        <v>-3272</v>
      </c>
      <c r="AM2437" s="13" t="n">
        <v>59.3</v>
      </c>
      <c r="AN2437" s="13" t="n">
        <v>-65.2</v>
      </c>
      <c r="AO2437" s="13" t="n">
        <v>10.5</v>
      </c>
      <c r="AP2437" s="13" t="n">
        <v>-1080.9</v>
      </c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11" t="n">
        <v>23846</v>
      </c>
      <c r="AK2438" s="12" t="n">
        <v>3392</v>
      </c>
      <c r="AL2438" s="12" t="n">
        <v>2718</v>
      </c>
      <c r="AM2438" s="13" t="n">
        <v>-0.4</v>
      </c>
      <c r="AN2438" s="13" t="n">
        <v>15.2</v>
      </c>
      <c r="AO2438" s="13" t="n">
        <v>-13</v>
      </c>
      <c r="AP2438" s="13" t="n">
        <v>-28.5</v>
      </c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11" t="n">
        <v>8935</v>
      </c>
      <c r="AK2439" s="12" t="n">
        <v>-1552</v>
      </c>
      <c r="AL2439" s="12" t="n">
        <v>-2476</v>
      </c>
      <c r="AM2439" s="13" t="n">
        <v>24.6</v>
      </c>
      <c r="AN2439" s="13" t="n">
        <v>-52.8</v>
      </c>
      <c r="AO2439" s="13" t="n">
        <v>20.9</v>
      </c>
      <c r="AP2439" s="13" t="n">
        <v>-3084.6</v>
      </c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11" t="n">
        <v>793</v>
      </c>
      <c r="AK2440" s="12" t="n">
        <v>-2521</v>
      </c>
      <c r="AL2440" s="12" t="n">
        <v>-2606</v>
      </c>
      <c r="AM2440" s="13" t="n">
        <v>116.1</v>
      </c>
      <c r="AN2440" s="13" t="n">
        <v>292.6</v>
      </c>
      <c r="AO2440" s="13" t="n">
        <v>5.1</v>
      </c>
      <c r="AP2440" s="13" t="n">
        <v>-1.9</v>
      </c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11" t="n">
        <v>64308</v>
      </c>
      <c r="AK2441" s="12" t="n">
        <v>3807</v>
      </c>
      <c r="AL2441" s="12" t="n">
        <v>4716</v>
      </c>
      <c r="AM2441" s="13" t="n">
        <v>31.4</v>
      </c>
      <c r="AN2441" s="13" t="n">
        <v>79.40000000000001</v>
      </c>
      <c r="AO2441" s="13" t="n">
        <v>233.7</v>
      </c>
      <c r="AP2441" s="13" t="n">
        <v>6.8</v>
      </c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11" t="n">
        <v>4074</v>
      </c>
      <c r="AK2442" s="12" t="n">
        <v>107</v>
      </c>
      <c r="AL2442" s="12" t="n">
        <v>-1204</v>
      </c>
      <c r="AM2442" s="13" t="n">
        <v>-6.7</v>
      </c>
      <c r="AN2442" s="13" t="n">
        <v>110.9</v>
      </c>
      <c r="AO2442" s="13" t="n">
        <v>107.9</v>
      </c>
      <c r="AP2442" s="13" t="n">
        <v>108</v>
      </c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11" t="n">
        <v>4924</v>
      </c>
      <c r="AK2443" s="12" t="n">
        <v>1178</v>
      </c>
      <c r="AL2443" s="12" t="n">
        <v>610</v>
      </c>
      <c r="AM2443" s="13" t="n">
        <v>-6.8</v>
      </c>
      <c r="AN2443" s="13" t="n">
        <v>-0.2</v>
      </c>
      <c r="AO2443" s="13" t="n">
        <v>-30.8</v>
      </c>
      <c r="AP2443" s="13" t="n">
        <v>10.8</v>
      </c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11" t="n">
        <v>37458</v>
      </c>
      <c r="AK2444" s="12" t="n">
        <v>2070</v>
      </c>
      <c r="AL2444" s="12" t="n">
        <v>-350</v>
      </c>
      <c r="AM2444" s="13" t="n">
        <v>-0.5</v>
      </c>
      <c r="AN2444" s="13" t="n">
        <v>5.7</v>
      </c>
      <c r="AO2444" s="13" t="n">
        <v>-46.7</v>
      </c>
      <c r="AP2444" s="13" t="n">
        <v>-61.3</v>
      </c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11" t="n">
        <v>4196</v>
      </c>
      <c r="AK2445" s="12" t="n">
        <v>-856</v>
      </c>
      <c r="AL2445" s="12" t="n">
        <v>-536</v>
      </c>
      <c r="AM2445" s="13" t="n">
        <v>41.2</v>
      </c>
      <c r="AN2445" s="13" t="n">
        <v>-6.3</v>
      </c>
      <c r="AO2445" s="13" t="n">
        <v>-118.9</v>
      </c>
      <c r="AP2445" s="13" t="n">
        <v>-12328.6</v>
      </c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11" t="n">
        <v>15605</v>
      </c>
      <c r="AK2446" s="12" t="n">
        <v>2693</v>
      </c>
      <c r="AL2446" s="12" t="n">
        <v>2666</v>
      </c>
      <c r="AM2446" s="13" t="n">
        <v>40.3</v>
      </c>
      <c r="AN2446" s="13" t="n">
        <v>83</v>
      </c>
      <c r="AO2446" s="13" t="n">
        <v>40.6</v>
      </c>
      <c r="AP2446" s="13" t="n">
        <v>285.8</v>
      </c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11" t="n">
        <v>22307</v>
      </c>
      <c r="AK2447" s="12" t="n">
        <v>6611</v>
      </c>
      <c r="AL2447" s="12" t="n">
        <v>5997</v>
      </c>
      <c r="AM2447" s="13" t="n">
        <v>272.5</v>
      </c>
      <c r="AN2447" s="13" t="n">
        <v>150.8</v>
      </c>
      <c r="AO2447" s="13" t="n">
        <v>780.8</v>
      </c>
      <c r="AP2447" s="13" t="n">
        <v>225</v>
      </c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11" t="n">
        <v>6130</v>
      </c>
      <c r="AK2448" s="12" t="n">
        <v>-130</v>
      </c>
      <c r="AL2448" s="12" t="n">
        <v>1242</v>
      </c>
      <c r="AM2448" s="13" t="n">
        <v>56.3</v>
      </c>
      <c r="AN2448" s="13" t="n">
        <v>-35.9</v>
      </c>
      <c r="AO2448" s="13" t="n">
        <v>90</v>
      </c>
      <c r="AP2448" s="13" t="n">
        <v>-133.2</v>
      </c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11" t="n">
        <v>0</v>
      </c>
      <c r="AK2449" s="12" t="n">
        <v>-4274</v>
      </c>
      <c r="AL2449" s="12" t="n">
        <v>-3902</v>
      </c>
      <c r="AM2449" s="13" t="inlineStr"/>
      <c r="AN2449" s="13" t="n">
        <v>-100</v>
      </c>
      <c r="AO2449" s="13" t="n">
        <v>25.7</v>
      </c>
      <c r="AP2449" s="13" t="n">
        <v>-28.6</v>
      </c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11" t="n">
        <v>1944</v>
      </c>
      <c r="AK2450" s="12" t="n">
        <v>-1798</v>
      </c>
      <c r="AL2450" s="12" t="n">
        <v>-5116</v>
      </c>
      <c r="AM2450" s="13" t="n">
        <v>32.8</v>
      </c>
      <c r="AN2450" s="13" t="n">
        <v>-25.7</v>
      </c>
      <c r="AO2450" s="13" t="n">
        <v>-22</v>
      </c>
      <c r="AP2450" s="13" t="n">
        <v>-45.5</v>
      </c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11" t="n">
        <v>11179</v>
      </c>
      <c r="AK2451" s="12" t="n">
        <v>1133</v>
      </c>
      <c r="AL2451" s="12" t="n">
        <v>921</v>
      </c>
      <c r="AM2451" s="13" t="n">
        <v>29.3</v>
      </c>
      <c r="AN2451" s="13" t="n">
        <v>108.9</v>
      </c>
      <c r="AO2451" s="13" t="n">
        <v>46.2</v>
      </c>
      <c r="AP2451" s="13" t="n">
        <v>199.7</v>
      </c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11" t="n">
        <v>86461</v>
      </c>
      <c r="AK2452" s="12" t="n">
        <v>5859</v>
      </c>
      <c r="AL2452" s="12" t="n">
        <v>5292</v>
      </c>
      <c r="AM2452" s="13" t="n">
        <v>74.59999999999999</v>
      </c>
      <c r="AN2452" s="13" t="n">
        <v>13.3</v>
      </c>
      <c r="AO2452" s="13" t="n">
        <v>4026.1</v>
      </c>
      <c r="AP2452" s="13" t="n">
        <v>-15.1</v>
      </c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11" t="n">
        <v>33609</v>
      </c>
      <c r="AK2453" s="12" t="n">
        <v>6082</v>
      </c>
      <c r="AL2453" s="12" t="n">
        <v>5947</v>
      </c>
      <c r="AM2453" s="13" t="n">
        <v>4</v>
      </c>
      <c r="AN2453" s="13" t="n">
        <v>34.1</v>
      </c>
      <c r="AO2453" s="13" t="n">
        <v>82.5</v>
      </c>
      <c r="AP2453" s="13" t="n">
        <v>55.2</v>
      </c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11" t="n">
        <v>3781</v>
      </c>
      <c r="AK2454" s="12" t="n">
        <v>-2137</v>
      </c>
      <c r="AL2454" s="12" t="n">
        <v>-2135</v>
      </c>
      <c r="AM2454" s="13" t="n">
        <v>5.4</v>
      </c>
      <c r="AN2454" s="13" t="n">
        <v>10.9</v>
      </c>
      <c r="AO2454" s="13" t="n">
        <v>5.5</v>
      </c>
      <c r="AP2454" s="13" t="n">
        <v>-12.2</v>
      </c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11" t="n">
        <v>7574</v>
      </c>
      <c r="AK2455" s="12" t="n">
        <v>808</v>
      </c>
      <c r="AL2455" s="12" t="n">
        <v>802</v>
      </c>
      <c r="AM2455" s="13" t="n">
        <v>114.9</v>
      </c>
      <c r="AN2455" s="13" t="n">
        <v>44.2</v>
      </c>
      <c r="AO2455" s="13" t="n">
        <v>144.7</v>
      </c>
      <c r="AP2455" s="13" t="n">
        <v>217.1</v>
      </c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11" t="n">
        <v>3140</v>
      </c>
      <c r="AK2456" s="12" t="n">
        <v>-1606</v>
      </c>
      <c r="AL2456" s="12" t="n">
        <v>-1248</v>
      </c>
      <c r="AM2456" s="13" t="n">
        <v>6</v>
      </c>
      <c r="AN2456" s="13" t="n">
        <v>25.2</v>
      </c>
      <c r="AO2456" s="13" t="n">
        <v>-16.7</v>
      </c>
      <c r="AP2456" s="13" t="n">
        <v>-19.5</v>
      </c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11" t="n">
        <v>16331</v>
      </c>
      <c r="AK2457" s="12" t="n">
        <v>9958</v>
      </c>
      <c r="AL2457" s="12" t="n">
        <v>2574</v>
      </c>
      <c r="AM2457" s="13" t="inlineStr"/>
      <c r="AN2457" s="13" t="n">
        <v>11.2</v>
      </c>
      <c r="AO2457" s="13" t="inlineStr"/>
      <c r="AP2457" s="13" t="n">
        <v>17.3</v>
      </c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11" t="n">
        <v>20450</v>
      </c>
      <c r="AK2458" s="12" t="n">
        <v>-1978</v>
      </c>
      <c r="AL2458" s="12" t="n">
        <v>-2153</v>
      </c>
      <c r="AM2458" s="13" t="n">
        <v>59.7</v>
      </c>
      <c r="AN2458" s="13" t="n">
        <v>76.8</v>
      </c>
      <c r="AO2458" s="13" t="n">
        <v>51.1</v>
      </c>
      <c r="AP2458" s="13" t="n">
        <v>3.4</v>
      </c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11" t="n">
        <v>17234</v>
      </c>
      <c r="AK2459" s="12" t="n">
        <v>1716</v>
      </c>
      <c r="AL2459" s="12" t="n">
        <v>-21</v>
      </c>
      <c r="AM2459" s="13" t="n">
        <v>29.8</v>
      </c>
      <c r="AN2459" s="13" t="n">
        <v>32.4</v>
      </c>
      <c r="AO2459" s="13" t="n">
        <v>28.3</v>
      </c>
      <c r="AP2459" s="13" t="n">
        <v>166.9</v>
      </c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11" t="n">
        <v>6343</v>
      </c>
      <c r="AK2460" s="12" t="n">
        <v>-865</v>
      </c>
      <c r="AL2460" s="12" t="n">
        <v>-1800</v>
      </c>
      <c r="AM2460" s="13" t="n">
        <v>23.1</v>
      </c>
      <c r="AN2460" s="13" t="n">
        <v>593.2</v>
      </c>
      <c r="AO2460" s="13" t="n">
        <v>81.8</v>
      </c>
      <c r="AP2460" s="13" t="n">
        <v>86.40000000000001</v>
      </c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11" t="n">
        <v>5998</v>
      </c>
      <c r="AK2461" s="12" t="n">
        <v>239</v>
      </c>
      <c r="AL2461" s="12" t="n">
        <v>300</v>
      </c>
      <c r="AM2461" s="13" t="n">
        <v>88.59999999999999</v>
      </c>
      <c r="AN2461" s="13" t="n">
        <v>10.9</v>
      </c>
      <c r="AO2461" s="13" t="n">
        <v>168.9</v>
      </c>
      <c r="AP2461" s="13" t="n">
        <v>-62.8</v>
      </c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11" t="n">
        <v>5629</v>
      </c>
      <c r="AK2462" s="12" t="n">
        <v>427</v>
      </c>
      <c r="AL2462" s="12" t="n">
        <v>988</v>
      </c>
      <c r="AM2462" s="13" t="n">
        <v>54.7</v>
      </c>
      <c r="AN2462" s="13" t="n">
        <v>47.9</v>
      </c>
      <c r="AO2462" s="13" t="n">
        <v>160.1</v>
      </c>
      <c r="AP2462" s="13" t="n">
        <v>452.9</v>
      </c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11" t="n">
        <v>10269</v>
      </c>
      <c r="AK2463" s="12" t="n">
        <v>-478</v>
      </c>
      <c r="AL2463" s="12" t="n">
        <v>-2579</v>
      </c>
      <c r="AM2463" s="13" t="n">
        <v>17.1</v>
      </c>
      <c r="AN2463" s="13" t="n">
        <v>17.2</v>
      </c>
      <c r="AO2463" s="13" t="n">
        <v>18</v>
      </c>
      <c r="AP2463" s="13" t="n">
        <v>-637.1</v>
      </c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11" t="n">
        <v>20996</v>
      </c>
      <c r="AK2464" s="12" t="n">
        <v>-5389</v>
      </c>
      <c r="AL2464" s="12" t="n">
        <v>-7018</v>
      </c>
      <c r="AM2464" s="13" t="n">
        <v>11.9</v>
      </c>
      <c r="AN2464" s="13" t="n">
        <v>-21.8</v>
      </c>
      <c r="AO2464" s="13" t="n">
        <v>-116</v>
      </c>
      <c r="AP2464" s="13" t="n">
        <v>-455.2</v>
      </c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11" t="n">
        <v>3459</v>
      </c>
      <c r="AK2465" s="12" t="n">
        <v>-1839</v>
      </c>
      <c r="AL2465" s="12" t="n">
        <v>-2091</v>
      </c>
      <c r="AM2465" s="13" t="n">
        <v>-8.9</v>
      </c>
      <c r="AN2465" s="13" t="n">
        <v>493.3</v>
      </c>
      <c r="AO2465" s="13" t="n">
        <v>-24.8</v>
      </c>
      <c r="AP2465" s="13" t="n">
        <v>24.4</v>
      </c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11" t="n">
        <v>25810</v>
      </c>
      <c r="AK2466" s="12" t="n">
        <v>2524</v>
      </c>
      <c r="AL2466" s="12" t="n">
        <v>2807</v>
      </c>
      <c r="AM2466" s="13" t="n">
        <v>-4.1</v>
      </c>
      <c r="AN2466" s="13" t="n">
        <v>-18.6</v>
      </c>
      <c r="AO2466" s="13" t="n">
        <v>-58.3</v>
      </c>
      <c r="AP2466" s="13" t="n">
        <v>-15.4</v>
      </c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11" t="n">
        <v>354435</v>
      </c>
      <c r="AK2467" s="12" t="n">
        <v>95248</v>
      </c>
      <c r="AL2467" s="12" t="n">
        <v>78724</v>
      </c>
      <c r="AM2467" s="13" t="n">
        <v>15</v>
      </c>
      <c r="AN2467" s="13" t="n">
        <v>19.7</v>
      </c>
      <c r="AO2467" s="13" t="n">
        <v>15.3</v>
      </c>
      <c r="AP2467" s="13" t="n">
        <v>52.5</v>
      </c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11" t="n">
        <v>54967</v>
      </c>
      <c r="AK2468" s="12" t="n">
        <v>182</v>
      </c>
      <c r="AL2468" s="12" t="n">
        <v>1976</v>
      </c>
      <c r="AM2468" s="13" t="n">
        <v>24.8</v>
      </c>
      <c r="AN2468" s="13" t="n">
        <v>20.4</v>
      </c>
      <c r="AO2468" s="13" t="n">
        <v>124.5</v>
      </c>
      <c r="AP2468" s="13" t="n">
        <v>122.8</v>
      </c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11" t="n">
        <v>1243</v>
      </c>
      <c r="AK2469" s="12" t="n">
        <v>-3317</v>
      </c>
      <c r="AL2469" s="12" t="n">
        <v>-7221</v>
      </c>
      <c r="AM2469" s="13" t="n">
        <v>-1.9</v>
      </c>
      <c r="AN2469" s="13" t="inlineStr"/>
      <c r="AO2469" s="13" t="n">
        <v>-23.9</v>
      </c>
      <c r="AP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11" t="n">
        <v>73174</v>
      </c>
      <c r="AK2470" s="12" t="n">
        <v>16224</v>
      </c>
      <c r="AL2470" s="12" t="n">
        <v>-60129</v>
      </c>
      <c r="AM2470" s="13" t="n">
        <v>22.9</v>
      </c>
      <c r="AN2470" s="13" t="n">
        <v>209</v>
      </c>
      <c r="AO2470" s="13" t="n">
        <v>111.1</v>
      </c>
      <c r="AP2470" s="13" t="n">
        <v>229.1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11" t="n">
        <v>4458</v>
      </c>
      <c r="AK2471" s="12" t="n">
        <v>2842</v>
      </c>
      <c r="AL2471" s="12" t="n">
        <v>2339</v>
      </c>
      <c r="AM2471" s="13" t="n">
        <v>40</v>
      </c>
      <c r="AN2471" s="13" t="n">
        <v>-32.2</v>
      </c>
      <c r="AO2471" s="13" t="n">
        <v>221.9</v>
      </c>
      <c r="AP2471" s="13" t="n">
        <v>-27.7</v>
      </c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11" t="n">
        <v>17718</v>
      </c>
      <c r="AK2472" s="12" t="n">
        <v>738</v>
      </c>
      <c r="AL2472" s="12" t="n">
        <v>-1400</v>
      </c>
      <c r="AM2472" s="13" t="n">
        <v>-19.8</v>
      </c>
      <c r="AN2472" s="13" t="n">
        <v>21.7</v>
      </c>
      <c r="AO2472" s="13" t="n">
        <v>-26</v>
      </c>
      <c r="AP2472" s="13" t="n">
        <v>149</v>
      </c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11" t="n">
        <v>95213</v>
      </c>
      <c r="AK2473" s="12" t="n">
        <v>7331</v>
      </c>
      <c r="AL2473" s="12" t="n">
        <v>-4850</v>
      </c>
      <c r="AM2473" s="13" t="n">
        <v>106.7</v>
      </c>
      <c r="AN2473" s="13" t="n">
        <v>24.4</v>
      </c>
      <c r="AO2473" s="13" t="n">
        <v>432.8</v>
      </c>
      <c r="AP2473" s="13" t="n">
        <v>38.6</v>
      </c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2026Q2</t>
        </is>
      </c>
      <c r="E2474" s="6" t="inlineStr">
        <is>
          <t>2024Q4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11" t="n">
        <v>580414</v>
      </c>
      <c r="AK2474" s="12" t="n">
        <v>97625</v>
      </c>
      <c r="AL2474" s="12" t="n">
        <v>83007</v>
      </c>
      <c r="AM2474" s="13" t="n">
        <v>1</v>
      </c>
      <c r="AN2474" s="13" t="n">
        <v>24.1</v>
      </c>
      <c r="AO2474" s="13" t="n">
        <v>4.5</v>
      </c>
      <c r="AP2474" s="13" t="n">
        <v>17.6</v>
      </c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11" t="n">
        <v>14793</v>
      </c>
      <c r="AK2475" s="12" t="n">
        <v>1993</v>
      </c>
      <c r="AL2475" s="12" t="n">
        <v>1176</v>
      </c>
      <c r="AM2475" s="13" t="n">
        <v>11.5</v>
      </c>
      <c r="AN2475" s="13" t="n">
        <v>6.5</v>
      </c>
      <c r="AO2475" s="13" t="n">
        <v>55.2</v>
      </c>
      <c r="AP2475" s="13" t="n">
        <v>-12.7</v>
      </c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11" t="n">
        <v>13102</v>
      </c>
      <c r="AK2476" s="12" t="n">
        <v>852</v>
      </c>
      <c r="AL2476" s="12" t="n">
        <v>622</v>
      </c>
      <c r="AM2476" s="13" t="n">
        <v>1.4</v>
      </c>
      <c r="AN2476" s="13" t="n">
        <v>-4.1</v>
      </c>
      <c r="AO2476" s="13" t="n">
        <v>0.5</v>
      </c>
      <c r="AP2476" s="13" t="n">
        <v>-7.1</v>
      </c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11" t="n">
        <v>2245</v>
      </c>
      <c r="AK2477" s="12" t="n">
        <v>-1441</v>
      </c>
      <c r="AL2477" s="12" t="n">
        <v>-1395</v>
      </c>
      <c r="AM2477" s="13" t="n">
        <v>375.6</v>
      </c>
      <c r="AN2477" s="13" t="n">
        <v>147.2</v>
      </c>
      <c r="AO2477" s="13" t="n">
        <v>39.3</v>
      </c>
      <c r="AP2477" s="13" t="n">
        <v>-40.9</v>
      </c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11" t="n">
        <v>59740</v>
      </c>
      <c r="AK2478" s="12" t="n">
        <v>7980</v>
      </c>
      <c r="AL2478" s="12" t="n">
        <v>9028</v>
      </c>
      <c r="AM2478" s="13" t="n">
        <v>10.7</v>
      </c>
      <c r="AN2478" s="13" t="n">
        <v>306.6</v>
      </c>
      <c r="AO2478" s="13" t="n">
        <v>366.8</v>
      </c>
      <c r="AP2478" s="13" t="n">
        <v>252.7</v>
      </c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11" t="n">
        <v>44880</v>
      </c>
      <c r="AK2479" s="12" t="n">
        <v>6489</v>
      </c>
      <c r="AL2479" s="12" t="n">
        <v>5258</v>
      </c>
      <c r="AM2479" s="13" t="n">
        <v>18.8</v>
      </c>
      <c r="AN2479" s="13" t="n">
        <v>26.6</v>
      </c>
      <c r="AO2479" s="13" t="n">
        <v>8.800000000000001</v>
      </c>
      <c r="AP2479" s="13" t="n">
        <v>53.7</v>
      </c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11" t="n">
        <v>1176</v>
      </c>
      <c r="AK2480" s="12" t="n">
        <v>-4457</v>
      </c>
      <c r="AL2480" s="12" t="n">
        <v>-4841</v>
      </c>
      <c r="AM2480" s="13" t="n">
        <v>-11.2</v>
      </c>
      <c r="AN2480" s="13" t="n">
        <v>18.1</v>
      </c>
      <c r="AO2480" s="13" t="n">
        <v>-37.1</v>
      </c>
      <c r="AP2480" s="13" t="n">
        <v>-12.6</v>
      </c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11" t="n">
        <v>42965</v>
      </c>
      <c r="AK2481" s="12" t="n">
        <v>2019</v>
      </c>
      <c r="AL2481" s="12" t="n">
        <v>3128</v>
      </c>
      <c r="AM2481" s="13" t="n">
        <v>6.6</v>
      </c>
      <c r="AN2481" s="13" t="n">
        <v>4.2</v>
      </c>
      <c r="AO2481" s="13" t="n">
        <v>205.6</v>
      </c>
      <c r="AP2481" s="13" t="n">
        <v>453</v>
      </c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11" t="n">
        <v>25216</v>
      </c>
      <c r="AK2482" s="12" t="n">
        <v>4772</v>
      </c>
      <c r="AL2482" s="12" t="n">
        <v>4080</v>
      </c>
      <c r="AM2482" s="13" t="n">
        <v>58.8</v>
      </c>
      <c r="AN2482" s="13" t="n">
        <v>107.7</v>
      </c>
      <c r="AO2482" s="13" t="n">
        <v>146.4</v>
      </c>
      <c r="AP2482" s="13" t="n">
        <v>5123.2</v>
      </c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11" t="n">
        <v>4898</v>
      </c>
      <c r="AK2483" s="12" t="n">
        <v>462</v>
      </c>
      <c r="AL2483" s="12" t="n">
        <v>389</v>
      </c>
      <c r="AM2483" s="13" t="n">
        <v>99</v>
      </c>
      <c r="AN2483" s="13" t="inlineStr"/>
      <c r="AO2483" s="13" t="n">
        <v>124.4</v>
      </c>
      <c r="AP2483" s="13" t="n">
        <v>1284.6</v>
      </c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11" t="n">
        <v>17756</v>
      </c>
      <c r="AK2484" s="12" t="n">
        <v>6163</v>
      </c>
      <c r="AL2484" s="12" t="n">
        <v>5809</v>
      </c>
      <c r="AM2484" s="13" t="n">
        <v>229.7</v>
      </c>
      <c r="AN2484" s="13" t="n">
        <v>199.7</v>
      </c>
      <c r="AO2484" s="13" t="n">
        <v>266</v>
      </c>
      <c r="AP2484" s="13" t="n">
        <v>3681</v>
      </c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11" t="n">
        <v>20748</v>
      </c>
      <c r="AK2485" s="12" t="n">
        <v>2480</v>
      </c>
      <c r="AL2485" s="12" t="n">
        <v>1909</v>
      </c>
      <c r="AM2485" s="13" t="n">
        <v>22.6</v>
      </c>
      <c r="AN2485" s="13" t="n">
        <v>49.9</v>
      </c>
      <c r="AO2485" s="13" t="n">
        <v>81.59999999999999</v>
      </c>
      <c r="AP2485" s="13" t="n">
        <v>72.7</v>
      </c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11" t="n">
        <v>10503</v>
      </c>
      <c r="AK2486" s="12" t="n">
        <v>180</v>
      </c>
      <c r="AL2486" s="12" t="n">
        <v>761</v>
      </c>
      <c r="AM2486" s="13" t="n">
        <v>26.3</v>
      </c>
      <c r="AN2486" s="13" t="n">
        <v>17.8</v>
      </c>
      <c r="AO2486" s="13" t="n">
        <v>124.1</v>
      </c>
      <c r="AP2486" s="13" t="n">
        <v>55.2</v>
      </c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11" t="n">
        <v>178788</v>
      </c>
      <c r="AK2487" s="12" t="n">
        <v>-10584</v>
      </c>
      <c r="AL2487" s="12" t="n">
        <v>-12449</v>
      </c>
      <c r="AM2487" s="13" t="n">
        <v>7.4</v>
      </c>
      <c r="AN2487" s="13" t="n">
        <v>129</v>
      </c>
      <c r="AO2487" s="13" t="n">
        <v>-167.5</v>
      </c>
      <c r="AP2487" s="13" t="n">
        <v>63.2</v>
      </c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11" t="n">
        <v>4118</v>
      </c>
      <c r="AK2488" s="12" t="n">
        <v>-615</v>
      </c>
      <c r="AL2488" s="12" t="n">
        <v>-580</v>
      </c>
      <c r="AM2488" s="13" t="n">
        <v>24.1</v>
      </c>
      <c r="AN2488" s="13" t="n">
        <v>-10.6</v>
      </c>
      <c r="AO2488" s="13" t="n">
        <v>24.8</v>
      </c>
      <c r="AP2488" s="13" t="n">
        <v>-163.9</v>
      </c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11" t="n">
        <v>15326</v>
      </c>
      <c r="AK2489" s="12" t="n">
        <v>-128</v>
      </c>
      <c r="AL2489" s="12" t="n">
        <v>135</v>
      </c>
      <c r="AM2489" s="13" t="n">
        <v>36.1</v>
      </c>
      <c r="AN2489" s="13" t="n">
        <v>47.7</v>
      </c>
      <c r="AO2489" s="13" t="n">
        <v>95.40000000000001</v>
      </c>
      <c r="AP2489" s="13" t="n">
        <v>88.09999999999999</v>
      </c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11" t="n">
        <v>11222</v>
      </c>
      <c r="AK2490" s="12" t="n">
        <v>79</v>
      </c>
      <c r="AL2490" s="12" t="n">
        <v>1298</v>
      </c>
      <c r="AM2490" s="13" t="n">
        <v>50.2</v>
      </c>
      <c r="AN2490" s="13" t="n">
        <v>8.6</v>
      </c>
      <c r="AO2490" s="13" t="n">
        <v>104.4</v>
      </c>
      <c r="AP2490" s="13" t="n">
        <v>-97.90000000000001</v>
      </c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11" t="n">
        <v>9347</v>
      </c>
      <c r="AK2491" s="12" t="n">
        <v>-163</v>
      </c>
      <c r="AL2491" s="12" t="n">
        <v>-407</v>
      </c>
      <c r="AM2491" s="13" t="n">
        <v>-23.6</v>
      </c>
      <c r="AN2491" s="13" t="n">
        <v>27</v>
      </c>
      <c r="AO2491" s="13" t="n">
        <v>-115.5</v>
      </c>
      <c r="AP2491" s="13" t="n">
        <v>58.9</v>
      </c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11" t="n">
        <v>21796</v>
      </c>
      <c r="AK2492" s="12" t="n">
        <v>1770</v>
      </c>
      <c r="AL2492" s="12" t="n">
        <v>1543</v>
      </c>
      <c r="AM2492" s="13" t="n">
        <v>7.6</v>
      </c>
      <c r="AN2492" s="13" t="n">
        <v>25.2</v>
      </c>
      <c r="AO2492" s="13" t="n">
        <v>-39.9</v>
      </c>
      <c r="AP2492" s="13" t="n">
        <v>846.5</v>
      </c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11" t="n">
        <v>17981</v>
      </c>
      <c r="AK2493" s="12" t="n">
        <v>-7913</v>
      </c>
      <c r="AL2493" s="12" t="n">
        <v>4906</v>
      </c>
      <c r="AM2493" s="13" t="n">
        <v>-1.3</v>
      </c>
      <c r="AN2493" s="13" t="n">
        <v>-32.3</v>
      </c>
      <c r="AO2493" s="13" t="n">
        <v>-224.6</v>
      </c>
      <c r="AP2493" s="13" t="n">
        <v>-48.9</v>
      </c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11" t="n">
        <v>31440</v>
      </c>
      <c r="AK2494" s="12" t="n">
        <v>19458</v>
      </c>
      <c r="AL2494" s="12" t="n">
        <v>8531</v>
      </c>
      <c r="AM2494" s="13" t="inlineStr"/>
      <c r="AN2494" s="13" t="n">
        <v>20.1</v>
      </c>
      <c r="AO2494" s="13" t="inlineStr"/>
      <c r="AP2494" s="13" t="n">
        <v>25.9</v>
      </c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11" t="n">
        <v>4929</v>
      </c>
      <c r="AK2495" s="12" t="n">
        <v>265</v>
      </c>
      <c r="AL2495" s="12" t="n">
        <v>-166</v>
      </c>
      <c r="AM2495" s="13" t="n">
        <v>39.2</v>
      </c>
      <c r="AN2495" s="13" t="n">
        <v>39.2</v>
      </c>
      <c r="AO2495" s="13" t="n">
        <v>171.8</v>
      </c>
      <c r="AP2495" s="13" t="n">
        <v>61.6</v>
      </c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11" t="n">
        <v>4451</v>
      </c>
      <c r="AK2496" s="12" t="n">
        <v>509</v>
      </c>
      <c r="AL2496" s="12" t="n">
        <v>472</v>
      </c>
      <c r="AM2496" s="13" t="n">
        <v>-29.7</v>
      </c>
      <c r="AN2496" s="13" t="n">
        <v>-44.8</v>
      </c>
      <c r="AO2496" s="13" t="n">
        <v>197.7</v>
      </c>
      <c r="AP2496" s="13" t="n">
        <v>-45.2</v>
      </c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11" t="n">
        <v>1540</v>
      </c>
      <c r="AK2497" s="12" t="n">
        <v>-2352</v>
      </c>
      <c r="AL2497" s="12" t="n">
        <v>-2554</v>
      </c>
      <c r="AM2497" s="13" t="n">
        <v>-4.6</v>
      </c>
      <c r="AN2497" s="13" t="n">
        <v>93.7</v>
      </c>
      <c r="AO2497" s="13" t="n">
        <v>12.2</v>
      </c>
      <c r="AP2497" s="13" t="n">
        <v>32</v>
      </c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11" t="n">
        <v>150904</v>
      </c>
      <c r="AK2498" s="12" t="n">
        <v>15135</v>
      </c>
      <c r="AL2498" s="12" t="n">
        <v>5085</v>
      </c>
      <c r="AM2498" s="13" t="n">
        <v>19.6</v>
      </c>
      <c r="AN2498" s="13" t="n">
        <v>18.9</v>
      </c>
      <c r="AO2498" s="13" t="n">
        <v>22.6</v>
      </c>
      <c r="AP2498" s="13" t="n">
        <v>408.5</v>
      </c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11" t="n">
        <v>23645</v>
      </c>
      <c r="AK2499" s="12" t="n">
        <v>5603</v>
      </c>
      <c r="AL2499" s="12" t="n">
        <v>2031</v>
      </c>
      <c r="AM2499" s="13" t="n">
        <v>5.6</v>
      </c>
      <c r="AN2499" s="13" t="n">
        <v>52.6</v>
      </c>
      <c r="AO2499" s="13" t="n">
        <v>-9.699999999999999</v>
      </c>
      <c r="AP2499" s="13" t="n">
        <v>111.2</v>
      </c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11" t="n">
        <v>2202</v>
      </c>
      <c r="AK2500" s="12" t="n">
        <v>1083</v>
      </c>
      <c r="AL2500" s="12" t="n">
        <v>828</v>
      </c>
      <c r="AM2500" s="13" t="n">
        <v>42.5</v>
      </c>
      <c r="AN2500" s="13" t="n">
        <v>20.1</v>
      </c>
      <c r="AO2500" s="13" t="n">
        <v>179.8</v>
      </c>
      <c r="AP2500" s="13" t="n">
        <v>140.1</v>
      </c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11" t="n">
        <v>29361</v>
      </c>
      <c r="AK2501" s="12" t="n">
        <v>98</v>
      </c>
      <c r="AL2501" s="12" t="n">
        <v>477</v>
      </c>
      <c r="AM2501" s="13" t="n">
        <v>10.4</v>
      </c>
      <c r="AN2501" s="13" t="n">
        <v>-11.3</v>
      </c>
      <c r="AO2501" s="13" t="n">
        <v>117.4</v>
      </c>
      <c r="AP2501" s="13" t="n">
        <v>42</v>
      </c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11" t="n">
        <v>7215</v>
      </c>
      <c r="AK2502" s="12" t="n">
        <v>312</v>
      </c>
      <c r="AL2502" s="12" t="n">
        <v>104</v>
      </c>
      <c r="AM2502" s="13" t="n">
        <v>1.1</v>
      </c>
      <c r="AN2502" s="13" t="n">
        <v>257.7</v>
      </c>
      <c r="AO2502" s="13" t="n">
        <v>205.9</v>
      </c>
      <c r="AP2502" s="13" t="n">
        <v>118.5</v>
      </c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11" t="n">
        <v>11008</v>
      </c>
      <c r="AK2503" s="12" t="n">
        <v>-2980</v>
      </c>
      <c r="AL2503" s="12" t="n">
        <v>-10565</v>
      </c>
      <c r="AM2503" s="13" t="n">
        <v>11.8</v>
      </c>
      <c r="AN2503" s="13" t="n">
        <v>-35.3</v>
      </c>
      <c r="AO2503" s="13" t="n">
        <v>4</v>
      </c>
      <c r="AP2503" s="13" t="n">
        <v>30.8</v>
      </c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11" t="n">
        <v>594973</v>
      </c>
      <c r="AK2504" s="12" t="n">
        <v>38127</v>
      </c>
      <c r="AL2504" s="12" t="n">
        <v>30574</v>
      </c>
      <c r="AM2504" s="13" t="n">
        <v>-4.3</v>
      </c>
      <c r="AN2504" s="13" t="n">
        <v>7.8</v>
      </c>
      <c r="AO2504" s="13" t="n">
        <v>-17.8</v>
      </c>
      <c r="AP2504" s="13" t="n">
        <v>23.4</v>
      </c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11" t="n">
        <v>20857</v>
      </c>
      <c r="AK2505" s="12" t="n">
        <v>-1652</v>
      </c>
      <c r="AL2505" s="12" t="n">
        <v>-946</v>
      </c>
      <c r="AM2505" s="13" t="n">
        <v>1.2</v>
      </c>
      <c r="AN2505" s="13" t="n">
        <v>-20.1</v>
      </c>
      <c r="AO2505" s="13" t="n">
        <v>24.8</v>
      </c>
      <c r="AP2505" s="13" t="n">
        <v>-214.5</v>
      </c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11" t="n">
        <v>4256</v>
      </c>
      <c r="AK2506" s="12" t="n">
        <v>-4893</v>
      </c>
      <c r="AL2506" s="12" t="n">
        <v>-5155</v>
      </c>
      <c r="AM2506" s="13" t="n">
        <v>-7.2</v>
      </c>
      <c r="AN2506" s="13" t="n">
        <v>-45</v>
      </c>
      <c r="AO2506" s="13" t="n">
        <v>-182.2</v>
      </c>
      <c r="AP2506" s="13" t="n">
        <v>-925.1</v>
      </c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11" t="n">
        <v>17674</v>
      </c>
      <c r="AK2507" s="12" t="n">
        <v>-14417</v>
      </c>
      <c r="AL2507" s="12" t="n">
        <v>-12792</v>
      </c>
      <c r="AM2507" s="13" t="n">
        <v>15.6</v>
      </c>
      <c r="AN2507" s="13" t="n">
        <v>290</v>
      </c>
      <c r="AO2507" s="13" t="n">
        <v>-19.5</v>
      </c>
      <c r="AP2507" s="13" t="n">
        <v>7.9</v>
      </c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11" t="n">
        <v>1659</v>
      </c>
      <c r="AK2508" s="12" t="n">
        <v>-1923</v>
      </c>
      <c r="AL2508" s="12" t="n">
        <v>-1984</v>
      </c>
      <c r="AM2508" s="13" t="n">
        <v>84.5</v>
      </c>
      <c r="AN2508" s="13" t="n">
        <v>-63.8</v>
      </c>
      <c r="AO2508" s="13" t="n">
        <v>-57.2</v>
      </c>
      <c r="AP2508" s="13" t="n">
        <v>-329.2</v>
      </c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11" t="n">
        <v>788</v>
      </c>
      <c r="AK2509" s="12" t="n">
        <v>-3486</v>
      </c>
      <c r="AL2509" s="12" t="n">
        <v>-1139</v>
      </c>
      <c r="AM2509" s="13" t="n">
        <v>55.4</v>
      </c>
      <c r="AN2509" s="13" t="n">
        <v>-47.1</v>
      </c>
      <c r="AO2509" s="13" t="n">
        <v>-30.2</v>
      </c>
      <c r="AP2509" s="13" t="n">
        <v>-60.1</v>
      </c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11" t="n">
        <v>1724</v>
      </c>
      <c r="AK2510" s="12" t="n">
        <v>-1940</v>
      </c>
      <c r="AL2510" s="12" t="n">
        <v>-12813</v>
      </c>
      <c r="AM2510" s="13" t="n">
        <v>185</v>
      </c>
      <c r="AN2510" s="13" t="n">
        <v>107.7</v>
      </c>
      <c r="AO2510" s="13" t="n">
        <v>36.2</v>
      </c>
      <c r="AP2510" s="13" t="n">
        <v>25.5</v>
      </c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2026Q2</t>
        </is>
      </c>
      <c r="E2511" s="6" t="inlineStr">
        <is>
          <t>2023Q4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11" t="n">
        <v>535010</v>
      </c>
      <c r="AK2511" s="12" t="n">
        <v>43261</v>
      </c>
      <c r="AL2511" s="12" t="n">
        <v>29787</v>
      </c>
      <c r="AM2511" s="13" t="n">
        <v>5.6</v>
      </c>
      <c r="AN2511" s="13" t="n">
        <v>1.5</v>
      </c>
      <c r="AO2511" s="13" t="n">
        <v>55.5</v>
      </c>
      <c r="AP2511" s="13" t="n">
        <v>2004.1</v>
      </c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11" t="n">
        <v>868</v>
      </c>
      <c r="AK2512" s="12" t="n">
        <v>-4679</v>
      </c>
      <c r="AL2512" s="12" t="n">
        <v>-7231</v>
      </c>
      <c r="AM2512" s="13" t="n">
        <v>180.9</v>
      </c>
      <c r="AN2512" s="13" t="n">
        <v>-26.3</v>
      </c>
      <c r="AO2512" s="13" t="n">
        <v>3.9</v>
      </c>
      <c r="AP2512" s="13" t="n">
        <v>-4.6</v>
      </c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11" t="n">
        <v>1603</v>
      </c>
      <c r="AK2513" s="12" t="n">
        <v>-2702</v>
      </c>
      <c r="AL2513" s="12" t="n">
        <v>-5710</v>
      </c>
      <c r="AM2513" s="13" t="n">
        <v>356.7</v>
      </c>
      <c r="AN2513" s="13" t="n">
        <v>947.7</v>
      </c>
      <c r="AO2513" s="13" t="n">
        <v>18.5</v>
      </c>
      <c r="AP2513" s="13" t="n">
        <v>1.6</v>
      </c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11" t="n">
        <v>108029</v>
      </c>
      <c r="AK2514" s="12" t="n">
        <v>7737</v>
      </c>
      <c r="AL2514" s="12" t="n">
        <v>3627</v>
      </c>
      <c r="AM2514" s="13" t="n">
        <v>-0.5</v>
      </c>
      <c r="AN2514" s="13" t="n">
        <v>8.300000000000001</v>
      </c>
      <c r="AO2514" s="13" t="n">
        <v>122.3</v>
      </c>
      <c r="AP2514" s="13" t="n">
        <v>266.3</v>
      </c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11" t="n">
        <v>6658</v>
      </c>
      <c r="AK2515" s="12" t="n">
        <v>414</v>
      </c>
      <c r="AL2515" s="12" t="n">
        <v>417</v>
      </c>
      <c r="AM2515" s="13" t="n">
        <v>5.6</v>
      </c>
      <c r="AN2515" s="13" t="n">
        <v>-39.3</v>
      </c>
      <c r="AO2515" s="13" t="n">
        <v>-10.2</v>
      </c>
      <c r="AP2515" s="13" t="n">
        <v>-79.5</v>
      </c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11" t="n">
        <v>11378</v>
      </c>
      <c r="AK2516" s="12" t="n">
        <v>1044</v>
      </c>
      <c r="AL2516" s="12" t="n">
        <v>984</v>
      </c>
      <c r="AM2516" s="13" t="n">
        <v>0.7</v>
      </c>
      <c r="AN2516" s="13" t="n">
        <v>-0.3</v>
      </c>
      <c r="AO2516" s="13" t="n">
        <v>-44.2</v>
      </c>
      <c r="AP2516" s="13" t="n">
        <v>-31.9</v>
      </c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11" t="n">
        <v>6059</v>
      </c>
      <c r="AK2517" s="12" t="n">
        <v>-1714</v>
      </c>
      <c r="AL2517" s="12" t="n">
        <v>-1735</v>
      </c>
      <c r="AM2517" s="13" t="n">
        <v>-61.4</v>
      </c>
      <c r="AN2517" s="13" t="n">
        <v>-16.1</v>
      </c>
      <c r="AO2517" s="13" t="n">
        <v>-165.7</v>
      </c>
      <c r="AP2517" s="13" t="n">
        <v>0.7</v>
      </c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11" t="n">
        <v>8640</v>
      </c>
      <c r="AK2518" s="12" t="n">
        <v>-100</v>
      </c>
      <c r="AL2518" s="12" t="n">
        <v>-370</v>
      </c>
      <c r="AM2518" s="13" t="n">
        <v>46.5</v>
      </c>
      <c r="AN2518" s="13" t="inlineStr"/>
      <c r="AO2518" s="13" t="n">
        <v>82.40000000000001</v>
      </c>
      <c r="AP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11" t="n">
        <v>24715</v>
      </c>
      <c r="AK2519" s="12" t="n">
        <v>764</v>
      </c>
      <c r="AL2519" s="12" t="n">
        <v>1939</v>
      </c>
      <c r="AM2519" s="13" t="n">
        <v>3.6</v>
      </c>
      <c r="AN2519" s="13" t="n">
        <v>18.6</v>
      </c>
      <c r="AO2519" s="13" t="n">
        <v>250.5</v>
      </c>
      <c r="AP2519" s="13" t="n">
        <v>155.8</v>
      </c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11" t="n">
        <v>28376</v>
      </c>
      <c r="AK2520" s="12" t="n">
        <v>12950</v>
      </c>
      <c r="AL2520" s="12" t="n">
        <v>12940</v>
      </c>
      <c r="AM2520" s="13" t="n">
        <v>-12.8</v>
      </c>
      <c r="AN2520" s="13" t="n">
        <v>256.8</v>
      </c>
      <c r="AO2520" s="13" t="n">
        <v>-6.5</v>
      </c>
      <c r="AP2520" s="13" t="n">
        <v>772.1</v>
      </c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11" t="n">
        <v>42713</v>
      </c>
      <c r="AK2521" s="12" t="n">
        <v>-1242</v>
      </c>
      <c r="AL2521" s="12" t="n">
        <v>-2107</v>
      </c>
      <c r="AM2521" s="13" t="n">
        <v>-22.2</v>
      </c>
      <c r="AN2521" s="13" t="n">
        <v>17.8</v>
      </c>
      <c r="AO2521" s="13" t="n">
        <v>-183</v>
      </c>
      <c r="AP2521" s="13" t="n">
        <v>-155.8</v>
      </c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11" t="n">
        <v>6165</v>
      </c>
      <c r="AK2522" s="12" t="n">
        <v>-4155</v>
      </c>
      <c r="AL2522" s="12" t="n">
        <v>-8274</v>
      </c>
      <c r="AM2522" s="13" t="n">
        <v>104.3</v>
      </c>
      <c r="AN2522" s="13" t="n">
        <v>176.3</v>
      </c>
      <c r="AO2522" s="13" t="n">
        <v>-57.9</v>
      </c>
      <c r="AP2522" s="13" t="n">
        <v>-135.9</v>
      </c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11" t="n">
        <v>8291</v>
      </c>
      <c r="AK2523" s="12" t="n">
        <v>-448</v>
      </c>
      <c r="AL2523" s="12" t="n">
        <v>818</v>
      </c>
      <c r="AM2523" s="13" t="n">
        <v>-54.3</v>
      </c>
      <c r="AN2523" s="13" t="inlineStr"/>
      <c r="AO2523" s="13" t="n">
        <v>43.1</v>
      </c>
      <c r="AP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11" t="n">
        <v>2977</v>
      </c>
      <c r="AK2524" s="12" t="n">
        <v>-195</v>
      </c>
      <c r="AL2524" s="12" t="n">
        <v>-114</v>
      </c>
      <c r="AM2524" s="13" t="n">
        <v>3766.2</v>
      </c>
      <c r="AN2524" s="13" t="n">
        <v>312.3</v>
      </c>
      <c r="AO2524" s="13" t="n">
        <v>86.59999999999999</v>
      </c>
      <c r="AP2524" s="13" t="n">
        <v>83.5</v>
      </c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11" t="n">
        <v>773358</v>
      </c>
      <c r="AK2525" s="12" t="n">
        <v>22032</v>
      </c>
      <c r="AL2525" s="12" t="n">
        <v>5623</v>
      </c>
      <c r="AM2525" s="13" t="n">
        <v>12.6</v>
      </c>
      <c r="AN2525" s="13" t="n">
        <v>12</v>
      </c>
      <c r="AO2525" s="13" t="n">
        <v>175.9</v>
      </c>
      <c r="AP2525" s="13" t="n">
        <v>209.8</v>
      </c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11" t="n">
        <v>995515</v>
      </c>
      <c r="AK2526" s="12" t="n">
        <v>45563</v>
      </c>
      <c r="AL2526" s="12" t="n">
        <v>11645</v>
      </c>
      <c r="AM2526" s="13" t="n">
        <v>16.1</v>
      </c>
      <c r="AN2526" s="13" t="n">
        <v>11.4</v>
      </c>
      <c r="AO2526" s="13" t="n">
        <v>112.5</v>
      </c>
      <c r="AP2526" s="13" t="n">
        <v>52.3</v>
      </c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11" t="n">
        <v>17323</v>
      </c>
      <c r="AK2527" s="12" t="n">
        <v>1660</v>
      </c>
      <c r="AL2527" s="12" t="n">
        <v>1418</v>
      </c>
      <c r="AM2527" s="13" t="n">
        <v>15.2</v>
      </c>
      <c r="AN2527" s="13" t="n">
        <v>7.4</v>
      </c>
      <c r="AO2527" s="13" t="n">
        <v>22.3</v>
      </c>
      <c r="AP2527" s="13" t="n">
        <v>-3.9</v>
      </c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11" t="n">
        <v>72768</v>
      </c>
      <c r="AK2528" s="12" t="n">
        <v>12183</v>
      </c>
      <c r="AL2528" s="12" t="n">
        <v>8714</v>
      </c>
      <c r="AM2528" s="13" t="n">
        <v>12.6</v>
      </c>
      <c r="AN2528" s="13" t="n">
        <v>16.8</v>
      </c>
      <c r="AO2528" s="13" t="n">
        <v>42.8</v>
      </c>
      <c r="AP2528" s="13" t="n">
        <v>47.5</v>
      </c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11" t="n">
        <v>1729</v>
      </c>
      <c r="AK2529" s="12" t="n">
        <v>-458</v>
      </c>
      <c r="AL2529" s="12" t="n">
        <v>218</v>
      </c>
      <c r="AM2529" s="13" t="n">
        <v>85.5</v>
      </c>
      <c r="AN2529" s="13" t="n">
        <v>-34.7</v>
      </c>
      <c r="AO2529" s="13" t="n">
        <v>-28.3</v>
      </c>
      <c r="AP2529" s="13" t="n">
        <v>-137.8</v>
      </c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11" t="n">
        <v>1509</v>
      </c>
      <c r="AK2530" s="12" t="n">
        <v>-1407</v>
      </c>
      <c r="AL2530" s="12" t="n">
        <v>-1062</v>
      </c>
      <c r="AM2530" s="13" t="n">
        <v>18.4</v>
      </c>
      <c r="AN2530" s="13" t="n">
        <v>-0.1</v>
      </c>
      <c r="AO2530" s="13" t="n">
        <v>42.8</v>
      </c>
      <c r="AP2530" s="13" t="n">
        <v>26.5</v>
      </c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11" t="n">
        <v>77184</v>
      </c>
      <c r="AK2531" s="12" t="n">
        <v>32329</v>
      </c>
      <c r="AL2531" s="12" t="n">
        <v>41806</v>
      </c>
      <c r="AM2531" s="13" t="n">
        <v>404.6</v>
      </c>
      <c r="AN2531" s="13" t="n">
        <v>19.3</v>
      </c>
      <c r="AO2531" s="13" t="n">
        <v>483.6</v>
      </c>
      <c r="AP2531" s="13" t="n">
        <v>34.4</v>
      </c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11" t="n">
        <v>16776</v>
      </c>
      <c r="AK2532" s="12" t="n">
        <v>1560</v>
      </c>
      <c r="AL2532" s="12" t="n">
        <v>1254</v>
      </c>
      <c r="AM2532" s="13" t="n">
        <v>62.8</v>
      </c>
      <c r="AN2532" s="13" t="n">
        <v>35.1</v>
      </c>
      <c r="AO2532" s="13" t="n">
        <v>406.5</v>
      </c>
      <c r="AP2532" s="13" t="n">
        <v>747.8</v>
      </c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11" t="n">
        <v>2472</v>
      </c>
      <c r="AK2533" s="12" t="n">
        <v>-15819</v>
      </c>
      <c r="AL2533" s="12" t="n">
        <v>-15967</v>
      </c>
      <c r="AM2533" s="13" t="n">
        <v>77</v>
      </c>
      <c r="AN2533" s="13" t="n">
        <v>446.9</v>
      </c>
      <c r="AO2533" s="13" t="n">
        <v>-27.8</v>
      </c>
      <c r="AP2533" s="13" t="n">
        <v>5.5</v>
      </c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11" t="n">
        <v>1134</v>
      </c>
      <c r="AK2534" s="12" t="n">
        <v>-1694</v>
      </c>
      <c r="AL2534" s="12" t="n">
        <v>-829</v>
      </c>
      <c r="AM2534" s="13" t="n">
        <v>39.1</v>
      </c>
      <c r="AN2534" s="13" t="n">
        <v>-31.3</v>
      </c>
      <c r="AO2534" s="13" t="n">
        <v>38.6</v>
      </c>
      <c r="AP2534" s="13" t="n">
        <v>35.3</v>
      </c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11" t="n">
        <v>126216</v>
      </c>
      <c r="AK2535" s="12" t="n">
        <v>1005</v>
      </c>
      <c r="AL2535" s="12" t="n">
        <v>-4560</v>
      </c>
      <c r="AM2535" s="13" t="n">
        <v>-4.3</v>
      </c>
      <c r="AN2535" s="13" t="n">
        <v>-7.4</v>
      </c>
      <c r="AO2535" s="13" t="n">
        <v>-88.8</v>
      </c>
      <c r="AP2535" s="13" t="n">
        <v>-82</v>
      </c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11" t="n">
        <v>15007</v>
      </c>
      <c r="AK2536" s="12" t="n">
        <v>3640</v>
      </c>
      <c r="AL2536" s="12" t="n">
        <v>2731</v>
      </c>
      <c r="AM2536" s="13" t="n">
        <v>-4.3</v>
      </c>
      <c r="AN2536" s="13" t="n">
        <v>2.7</v>
      </c>
      <c r="AO2536" s="13" t="n">
        <v>-6.6</v>
      </c>
      <c r="AP2536" s="13" t="n">
        <v>17.1</v>
      </c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11" t="n">
        <v>55724</v>
      </c>
      <c r="AK2537" s="12" t="n">
        <v>28118</v>
      </c>
      <c r="AL2537" s="12" t="n">
        <v>41736</v>
      </c>
      <c r="AM2537" s="13" t="n">
        <v>17.8</v>
      </c>
      <c r="AN2537" s="13" t="n">
        <v>-50.4</v>
      </c>
      <c r="AO2537" s="13" t="n">
        <v>30.7</v>
      </c>
      <c r="AP2537" s="13" t="n">
        <v>-58.8</v>
      </c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11" t="n">
        <v>9207</v>
      </c>
      <c r="AK2538" s="12" t="n">
        <v>1105</v>
      </c>
      <c r="AL2538" s="12" t="n">
        <v>859</v>
      </c>
      <c r="AM2538" s="13" t="n">
        <v>5.5</v>
      </c>
      <c r="AN2538" s="13" t="n">
        <v>18.6</v>
      </c>
      <c r="AO2538" s="13" t="n">
        <v>73.7</v>
      </c>
      <c r="AP2538" s="13" t="n">
        <v>991.1</v>
      </c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11" t="n">
        <v>5311</v>
      </c>
      <c r="AK2539" s="12" t="n">
        <v>227</v>
      </c>
      <c r="AL2539" s="12" t="n">
        <v>412</v>
      </c>
      <c r="AM2539" s="13" t="n">
        <v>22.3</v>
      </c>
      <c r="AN2539" s="13" t="n">
        <v>20.5</v>
      </c>
      <c r="AO2539" s="13" t="n">
        <v>130.5</v>
      </c>
      <c r="AP2539" s="13" t="n">
        <v>131.9</v>
      </c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11" t="n">
        <v>20223</v>
      </c>
      <c r="AK2540" s="12" t="n">
        <v>-1119</v>
      </c>
      <c r="AL2540" s="12" t="n">
        <v>-1117</v>
      </c>
      <c r="AM2540" s="13" t="n">
        <v>14.3</v>
      </c>
      <c r="AN2540" s="13" t="n">
        <v>-1.3</v>
      </c>
      <c r="AO2540" s="13" t="n">
        <v>22.3</v>
      </c>
      <c r="AP2540" s="13" t="n">
        <v>-1117.3</v>
      </c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11" t="n">
        <v>456</v>
      </c>
      <c r="AK2541" s="12" t="n">
        <v>-5177</v>
      </c>
      <c r="AL2541" s="12" t="n">
        <v>-6243</v>
      </c>
      <c r="AM2541" s="13" t="n">
        <v>-21.5</v>
      </c>
      <c r="AN2541" s="13" t="n">
        <v>-64.2</v>
      </c>
      <c r="AO2541" s="13" t="n">
        <v>5.9</v>
      </c>
      <c r="AP2541" s="13" t="n">
        <v>-21.9</v>
      </c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11" t="n">
        <v>8077</v>
      </c>
      <c r="AK2542" s="12" t="n">
        <v>1043</v>
      </c>
      <c r="AL2542" s="12" t="n">
        <v>959</v>
      </c>
      <c r="AM2542" s="13" t="n">
        <v>0.1</v>
      </c>
      <c r="AN2542" s="13" t="n">
        <v>44.7</v>
      </c>
      <c r="AO2542" s="13" t="n">
        <v>-22.4</v>
      </c>
      <c r="AP2542" s="13" t="n">
        <v>222.9</v>
      </c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11" t="inlineStr"/>
      <c r="AK2543" s="12" t="n">
        <v>-2370</v>
      </c>
      <c r="AL2543" s="12" t="n">
        <v>-2349</v>
      </c>
      <c r="AM2543" s="13" t="inlineStr"/>
      <c r="AN2543" s="13" t="inlineStr"/>
      <c r="AO2543" s="13" t="n">
        <v>46.3</v>
      </c>
      <c r="AP2543" s="13" t="n">
        <v>-7070.6</v>
      </c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11" t="n">
        <v>5680</v>
      </c>
      <c r="AK2544" s="12" t="n">
        <v>-1326</v>
      </c>
      <c r="AL2544" s="12" t="n">
        <v>-1076</v>
      </c>
      <c r="AM2544" s="13" t="n">
        <v>20.8</v>
      </c>
      <c r="AN2544" s="13" t="n">
        <v>538.2</v>
      </c>
      <c r="AO2544" s="13" t="n">
        <v>-32.3</v>
      </c>
      <c r="AP2544" s="13" t="n">
        <v>10.5</v>
      </c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11" t="n">
        <v>5205</v>
      </c>
      <c r="AK2545" s="12" t="n">
        <v>-1684</v>
      </c>
      <c r="AL2545" s="12" t="n">
        <v>-1692</v>
      </c>
      <c r="AM2545" s="13" t="n">
        <v>-13.8</v>
      </c>
      <c r="AN2545" s="13" t="n">
        <v>-9.199999999999999</v>
      </c>
      <c r="AO2545" s="13" t="n">
        <v>-9.6</v>
      </c>
      <c r="AP2545" s="13" t="n">
        <v>-235.5</v>
      </c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11" t="n">
        <v>0</v>
      </c>
      <c r="AK2546" s="12" t="n">
        <v>-6</v>
      </c>
      <c r="AL2546" s="12" t="n">
        <v>25</v>
      </c>
      <c r="AM2546" s="13" t="inlineStr"/>
      <c r="AN2546" s="13" t="inlineStr"/>
      <c r="AO2546" s="13" t="n">
        <v>68.40000000000001</v>
      </c>
      <c r="AP2546" s="13" t="n">
        <v>-20</v>
      </c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11" t="n">
        <v>4760</v>
      </c>
      <c r="AK2547" s="12" t="n">
        <v>1050</v>
      </c>
      <c r="AL2547" s="12" t="n">
        <v>3879</v>
      </c>
      <c r="AM2547" s="13" t="n">
        <v>19.5</v>
      </c>
      <c r="AN2547" s="13" t="n">
        <v>18.2</v>
      </c>
      <c r="AO2547" s="13" t="n">
        <v>446.9</v>
      </c>
      <c r="AP2547" s="13" t="n">
        <v>351.8</v>
      </c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11" t="n">
        <v>14827</v>
      </c>
      <c r="AK2548" s="12" t="n">
        <v>-104</v>
      </c>
      <c r="AL2548" s="12" t="n">
        <v>13148</v>
      </c>
      <c r="AM2548" s="13" t="n">
        <v>-6.9</v>
      </c>
      <c r="AN2548" s="13" t="n">
        <v>-66</v>
      </c>
      <c r="AO2548" s="13" t="n">
        <v>92.40000000000001</v>
      </c>
      <c r="AP2548" s="13" t="n">
        <v>97.90000000000001</v>
      </c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11" t="n">
        <v>8859</v>
      </c>
      <c r="AK2549" s="12" t="n">
        <v>-2840</v>
      </c>
      <c r="AL2549" s="12" t="n">
        <v>-2633</v>
      </c>
      <c r="AM2549" s="13" t="n">
        <v>9.1</v>
      </c>
      <c r="AN2549" s="13" t="n">
        <v>12.9</v>
      </c>
      <c r="AO2549" s="13" t="n">
        <v>-13.6</v>
      </c>
      <c r="AP2549" s="13" t="n">
        <v>-51.2</v>
      </c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11" t="n">
        <v>2862</v>
      </c>
      <c r="AK2550" s="12" t="n">
        <v>489</v>
      </c>
      <c r="AL2550" s="12" t="n">
        <v>893</v>
      </c>
      <c r="AM2550" s="13" t="n">
        <v>-16.8</v>
      </c>
      <c r="AN2550" s="13" t="n">
        <v>-5.2</v>
      </c>
      <c r="AO2550" s="13" t="n">
        <v>-55.3</v>
      </c>
      <c r="AP2550" s="13" t="n">
        <v>-41.2</v>
      </c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11" t="n">
        <v>0</v>
      </c>
      <c r="AK2551" s="12" t="n">
        <v>-8</v>
      </c>
      <c r="AL2551" s="12" t="n">
        <v>43</v>
      </c>
      <c r="AM2551" s="13" t="inlineStr"/>
      <c r="AN2551" s="13" t="inlineStr"/>
      <c r="AO2551" s="13" t="n">
        <v>50</v>
      </c>
      <c r="AP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11" t="inlineStr"/>
      <c r="AK2552" s="12" t="inlineStr"/>
      <c r="AL2552" s="12" t="inlineStr"/>
      <c r="AM2552" s="13" t="inlineStr"/>
      <c r="AN2552" s="13" t="inlineStr"/>
      <c r="AO2552" s="13" t="inlineStr"/>
      <c r="AP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11" t="n">
        <v>349</v>
      </c>
      <c r="AK2553" s="12" t="n">
        <v>-3956</v>
      </c>
      <c r="AL2553" s="12" t="n">
        <v>-3112</v>
      </c>
      <c r="AM2553" s="13" t="n">
        <v>106.5</v>
      </c>
      <c r="AN2553" s="13" t="n">
        <v>-63.8</v>
      </c>
      <c r="AO2553" s="13" t="n">
        <v>16</v>
      </c>
      <c r="AP2553" s="13" t="n">
        <v>-65</v>
      </c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11" t="n">
        <v>0</v>
      </c>
      <c r="AK2554" s="12" t="n">
        <v>-46</v>
      </c>
      <c r="AL2554" s="12" t="n">
        <v>4</v>
      </c>
      <c r="AM2554" s="13" t="inlineStr"/>
      <c r="AN2554" s="13" t="inlineStr"/>
      <c r="AO2554" s="13" t="n">
        <v>-142.1</v>
      </c>
      <c r="AP2554" s="13" t="n">
        <v>-411.1</v>
      </c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11" t="inlineStr"/>
      <c r="AK2555" s="12" t="n">
        <v>-71</v>
      </c>
      <c r="AL2555" s="12" t="n">
        <v>-29</v>
      </c>
      <c r="AM2555" s="13" t="inlineStr"/>
      <c r="AN2555" s="13" t="inlineStr"/>
      <c r="AO2555" s="13" t="n">
        <v>-491.7</v>
      </c>
      <c r="AP2555" s="13" t="n">
        <v>-688.9</v>
      </c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11" t="n">
        <v>19559</v>
      </c>
      <c r="AK2556" s="12" t="n">
        <v>894</v>
      </c>
      <c r="AL2556" s="12" t="n">
        <v>3206</v>
      </c>
      <c r="AM2556" s="13" t="n">
        <v>-1.5</v>
      </c>
      <c r="AN2556" s="13" t="inlineStr"/>
      <c r="AO2556" s="13" t="n">
        <v>-70.7</v>
      </c>
      <c r="AP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11" t="n">
        <v>4760</v>
      </c>
      <c r="AK2557" s="12" t="n">
        <v>10</v>
      </c>
      <c r="AL2557" s="12" t="n">
        <v>275</v>
      </c>
      <c r="AM2557" s="13" t="n">
        <v>6</v>
      </c>
      <c r="AN2557" s="13" t="n">
        <v>50.8</v>
      </c>
      <c r="AO2557" s="13" t="n">
        <v>102.1</v>
      </c>
      <c r="AP2557" s="13" t="n">
        <v>102.7</v>
      </c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11" t="n">
        <v>0</v>
      </c>
      <c r="AK2558" s="12" t="n">
        <v>-11</v>
      </c>
      <c r="AL2558" s="12" t="n">
        <v>38</v>
      </c>
      <c r="AM2558" s="13" t="inlineStr"/>
      <c r="AN2558" s="13" t="inlineStr"/>
      <c r="AO2558" s="13" t="n">
        <v>15.4</v>
      </c>
      <c r="AP2558" s="13" t="n">
        <v>8.300000000000001</v>
      </c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11" t="inlineStr"/>
      <c r="AK2559" s="12" t="n">
        <v>-11</v>
      </c>
      <c r="AL2559" s="12" t="n">
        <v>54</v>
      </c>
      <c r="AM2559" s="13" t="inlineStr"/>
      <c r="AN2559" s="13" t="inlineStr"/>
      <c r="AO2559" s="13" t="n">
        <v>15.4</v>
      </c>
      <c r="AP2559" s="13" t="n">
        <v>0</v>
      </c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11" t="n">
        <v>0</v>
      </c>
      <c r="AK2560" s="12" t="n">
        <v>-10</v>
      </c>
      <c r="AL2560" s="12" t="n">
        <v>-62</v>
      </c>
      <c r="AM2560" s="13" t="inlineStr"/>
      <c r="AN2560" s="13" t="inlineStr"/>
      <c r="AO2560" s="13" t="n">
        <v>-11.1</v>
      </c>
      <c r="AP2560" s="13" t="n">
        <v>0</v>
      </c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11" t="n">
        <v>5087</v>
      </c>
      <c r="AK2561" s="12" t="n">
        <v>981</v>
      </c>
      <c r="AL2561" s="12" t="n">
        <v>592</v>
      </c>
      <c r="AM2561" s="13" t="n">
        <v>8.1</v>
      </c>
      <c r="AN2561" s="13" t="n">
        <v>-21.3</v>
      </c>
      <c r="AO2561" s="13" t="n">
        <v>181.9</v>
      </c>
      <c r="AP2561" s="13" t="n">
        <v>-15.4</v>
      </c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11" t="n">
        <v>0</v>
      </c>
      <c r="AK2562" s="12" t="n">
        <v>-12</v>
      </c>
      <c r="AL2562" s="12" t="n">
        <v>27</v>
      </c>
      <c r="AM2562" s="13" t="inlineStr"/>
      <c r="AN2562" s="13" t="inlineStr"/>
      <c r="AO2562" s="13" t="n">
        <v>20</v>
      </c>
      <c r="AP2562" s="13" t="n">
        <v>0</v>
      </c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11" t="inlineStr"/>
      <c r="AK2563" s="12" t="n">
        <v>-8</v>
      </c>
      <c r="AL2563" s="12" t="n">
        <v>19</v>
      </c>
      <c r="AM2563" s="13" t="inlineStr"/>
      <c r="AN2563" s="13" t="inlineStr"/>
      <c r="AO2563" s="13" t="n">
        <v>42.9</v>
      </c>
      <c r="AP2563" s="13" t="n">
        <v>27.3</v>
      </c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11" t="n">
        <v>149183</v>
      </c>
      <c r="AK2564" s="12" t="n">
        <v>21711</v>
      </c>
      <c r="AL2564" s="12" t="n">
        <v>16282</v>
      </c>
      <c r="AM2564" s="13" t="n">
        <v>27.6</v>
      </c>
      <c r="AN2564" s="13" t="n">
        <v>33.1</v>
      </c>
      <c r="AO2564" s="13" t="n">
        <v>27.9</v>
      </c>
      <c r="AP2564" s="13" t="n">
        <v>37.8</v>
      </c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11" t="inlineStr"/>
      <c r="AK2565" s="12" t="n">
        <v>-8</v>
      </c>
      <c r="AL2565" s="12" t="n">
        <v>-2</v>
      </c>
      <c r="AM2565" s="13" t="inlineStr"/>
      <c r="AN2565" s="13" t="inlineStr"/>
      <c r="AO2565" s="13" t="n">
        <v>42.9</v>
      </c>
      <c r="AP2565" s="13" t="n">
        <v>27.3</v>
      </c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11" t="n">
        <v>0</v>
      </c>
      <c r="AK2566" s="12" t="n">
        <v>-10</v>
      </c>
      <c r="AL2566" s="12" t="n">
        <v>77</v>
      </c>
      <c r="AM2566" s="13" t="inlineStr"/>
      <c r="AN2566" s="13" t="inlineStr"/>
      <c r="AO2566" s="13" t="n">
        <v>37.5</v>
      </c>
      <c r="AP2566" s="13" t="n">
        <v>0</v>
      </c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11" t="inlineStr"/>
      <c r="AK2567" s="12" t="n">
        <v>-10</v>
      </c>
      <c r="AL2567" s="12" t="n">
        <v>9</v>
      </c>
      <c r="AM2567" s="13" t="inlineStr"/>
      <c r="AN2567" s="13" t="inlineStr"/>
      <c r="AO2567" s="13" t="n">
        <v>37.5</v>
      </c>
      <c r="AP2567" s="13" t="n">
        <v>23.1</v>
      </c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11" t="n">
        <v>16147</v>
      </c>
      <c r="AK2568" s="12" t="n">
        <v>3548</v>
      </c>
      <c r="AL2568" s="12" t="n">
        <v>4594</v>
      </c>
      <c r="AM2568" s="13" t="n">
        <v>-13.1</v>
      </c>
      <c r="AN2568" s="13" t="n">
        <v>0.7</v>
      </c>
      <c r="AO2568" s="13" t="n">
        <v>-11.3</v>
      </c>
      <c r="AP2568" s="13" t="n">
        <v>-15.9</v>
      </c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11" t="n">
        <v>4235</v>
      </c>
      <c r="AK2569" s="12" t="n">
        <v>-1056</v>
      </c>
      <c r="AL2569" s="12" t="n">
        <v>-880</v>
      </c>
      <c r="AM2569" s="13" t="n">
        <v>123.1</v>
      </c>
      <c r="AN2569" s="13" t="n">
        <v>110.6</v>
      </c>
      <c r="AO2569" s="13" t="n">
        <v>-322.4</v>
      </c>
      <c r="AP2569" s="13" t="n">
        <v>-441.7</v>
      </c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11" t="n">
        <v>0</v>
      </c>
      <c r="AK2570" s="12" t="n">
        <v>-13</v>
      </c>
      <c r="AL2570" s="12" t="n">
        <v>49</v>
      </c>
      <c r="AM2570" s="13" t="inlineStr"/>
      <c r="AN2570" s="13" t="inlineStr"/>
      <c r="AO2570" s="13" t="n">
        <v>13.3</v>
      </c>
      <c r="AP2570" s="13" t="n">
        <v>-62.5</v>
      </c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11" t="n">
        <v>11584</v>
      </c>
      <c r="AK2571" s="12" t="n">
        <v>1666</v>
      </c>
      <c r="AL2571" s="12" t="n">
        <v>2101</v>
      </c>
      <c r="AM2571" s="13" t="n">
        <v>15.8</v>
      </c>
      <c r="AN2571" s="13" t="n">
        <v>11.4</v>
      </c>
      <c r="AO2571" s="13" t="n">
        <v>48.5</v>
      </c>
      <c r="AP2571" s="13" t="n">
        <v>5.3</v>
      </c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11" t="n">
        <v>4269</v>
      </c>
      <c r="AK2572" s="12" t="n">
        <v>-4636</v>
      </c>
      <c r="AL2572" s="12" t="n">
        <v>57</v>
      </c>
      <c r="AM2572" s="13" t="n">
        <v>172.1</v>
      </c>
      <c r="AN2572" s="13" t="n">
        <v>121</v>
      </c>
      <c r="AO2572" s="13" t="n">
        <v>-25.6</v>
      </c>
      <c r="AP2572" s="13" t="n">
        <v>-105.1</v>
      </c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11" t="inlineStr"/>
      <c r="AK2573" s="12" t="n">
        <v>-9</v>
      </c>
      <c r="AL2573" s="12" t="n">
        <v>35</v>
      </c>
      <c r="AM2573" s="13" t="inlineStr"/>
      <c r="AN2573" s="13" t="inlineStr"/>
      <c r="AO2573" s="13" t="inlineStr"/>
      <c r="AP2573" s="13" t="n">
        <v>-28.6</v>
      </c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11" t="n">
        <v>0</v>
      </c>
      <c r="AK2574" s="12" t="n">
        <v>-16</v>
      </c>
      <c r="AL2574" s="12" t="n">
        <v>36</v>
      </c>
      <c r="AM2574" s="13" t="inlineStr"/>
      <c r="AN2574" s="13" t="inlineStr"/>
      <c r="AO2574" s="13" t="n">
        <v>-60</v>
      </c>
      <c r="AP2574" s="13" t="n">
        <v>-100</v>
      </c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11" t="n">
        <v>6420</v>
      </c>
      <c r="AK2575" s="12" t="n">
        <v>-11149</v>
      </c>
      <c r="AL2575" s="12" t="n">
        <v>-11308</v>
      </c>
      <c r="AM2575" s="13" t="n">
        <v>79.90000000000001</v>
      </c>
      <c r="AN2575" s="13" t="n">
        <v>107.6</v>
      </c>
      <c r="AO2575" s="13" t="n">
        <v>15.3</v>
      </c>
      <c r="AP2575" s="13" t="n">
        <v>24.9</v>
      </c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11" t="n">
        <v>240892</v>
      </c>
      <c r="AK2576" s="12" t="n">
        <v>4683</v>
      </c>
      <c r="AL2576" s="12" t="n">
        <v>-2893</v>
      </c>
      <c r="AM2576" s="13" t="n">
        <v>775.2</v>
      </c>
      <c r="AN2576" s="13" t="n">
        <v>268.8</v>
      </c>
      <c r="AO2576" s="13" t="n">
        <v>-4.6</v>
      </c>
      <c r="AP2576" s="13" t="n">
        <v>-51.2</v>
      </c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11" t="n">
        <v>19853</v>
      </c>
      <c r="AK2577" s="12" t="n">
        <v>1875</v>
      </c>
      <c r="AL2577" s="12" t="n">
        <v>5975</v>
      </c>
      <c r="AM2577" s="13" t="n">
        <v>15.7</v>
      </c>
      <c r="AN2577" s="13" t="n">
        <v>64</v>
      </c>
      <c r="AO2577" s="13" t="n">
        <v>28</v>
      </c>
      <c r="AP2577" s="13" t="n">
        <v>70.59999999999999</v>
      </c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11" t="n">
        <v>0</v>
      </c>
      <c r="AK2578" s="12" t="n">
        <v>-12</v>
      </c>
      <c r="AL2578" s="12" t="n">
        <v>20</v>
      </c>
      <c r="AM2578" s="13" t="inlineStr"/>
      <c r="AN2578" s="13" t="inlineStr"/>
      <c r="AO2578" s="13" t="n">
        <v>-20</v>
      </c>
      <c r="AP2578" s="13" t="n">
        <v>7.7</v>
      </c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11" t="inlineStr"/>
      <c r="AK2579" s="12" t="n">
        <v>-10</v>
      </c>
      <c r="AL2579" s="12" t="n">
        <v>44</v>
      </c>
      <c r="AM2579" s="13" t="inlineStr"/>
      <c r="AN2579" s="13" t="inlineStr"/>
      <c r="AO2579" s="13" t="n">
        <v>-42.9</v>
      </c>
      <c r="AP2579" s="13" t="n">
        <v>9.1</v>
      </c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11" t="n">
        <v>3744</v>
      </c>
      <c r="AK2580" s="12" t="n">
        <v>-4771</v>
      </c>
      <c r="AL2580" s="12" t="n">
        <v>-4301</v>
      </c>
      <c r="AM2580" s="13" t="n">
        <v>-35.1</v>
      </c>
      <c r="AN2580" s="13" t="n">
        <v>-3</v>
      </c>
      <c r="AO2580" s="13" t="n">
        <v>7.1</v>
      </c>
      <c r="AP2580" s="13" t="n">
        <v>-26</v>
      </c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11" t="n">
        <v>24848</v>
      </c>
      <c r="AK2581" s="12" t="n">
        <v>3277</v>
      </c>
      <c r="AL2581" s="12" t="n">
        <v>5814</v>
      </c>
      <c r="AM2581" s="13" t="n">
        <v>25.5</v>
      </c>
      <c r="AN2581" s="13" t="n">
        <v>30.1</v>
      </c>
      <c r="AO2581" s="13" t="n">
        <v>58.1</v>
      </c>
      <c r="AP2581" s="13" t="n">
        <v>50.5</v>
      </c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11" t="inlineStr"/>
      <c r="AK2582" s="12" t="n">
        <v>871</v>
      </c>
      <c r="AL2582" s="12" t="n">
        <v>324</v>
      </c>
      <c r="AM2582" s="13" t="inlineStr"/>
      <c r="AN2582" s="13" t="inlineStr"/>
      <c r="AO2582" s="13" t="n">
        <v>-45.2</v>
      </c>
      <c r="AP2582" s="13" t="n">
        <v>401.4</v>
      </c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11" t="n">
        <v>83217</v>
      </c>
      <c r="AK2583" s="12" t="n">
        <v>-5562</v>
      </c>
      <c r="AL2583" s="12" t="n">
        <v>-4406</v>
      </c>
      <c r="AM2583" s="13" t="n">
        <v>4.5</v>
      </c>
      <c r="AN2583" s="13" t="n">
        <v>12.2</v>
      </c>
      <c r="AO2583" s="13" t="n">
        <v>-32.6</v>
      </c>
      <c r="AP2583" s="13" t="n">
        <v>75.3</v>
      </c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11" t="n">
        <v>21913</v>
      </c>
      <c r="AK2584" s="12" t="n">
        <v>-1260</v>
      </c>
      <c r="AL2584" s="12" t="n">
        <v>-33</v>
      </c>
      <c r="AM2584" s="13" t="n">
        <v>43.8</v>
      </c>
      <c r="AN2584" s="13" t="n">
        <v>72.2</v>
      </c>
      <c r="AO2584" s="13" t="n">
        <v>49.9</v>
      </c>
      <c r="AP2584" s="13" t="n">
        <v>67.40000000000001</v>
      </c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11" t="n">
        <v>6527</v>
      </c>
      <c r="AK2585" s="12" t="n">
        <v>-1010</v>
      </c>
      <c r="AL2585" s="12" t="n">
        <v>-1088</v>
      </c>
      <c r="AM2585" s="13" t="n">
        <v>-2.1</v>
      </c>
      <c r="AN2585" s="13" t="n">
        <v>68.7</v>
      </c>
      <c r="AO2585" s="13" t="n">
        <v>-434.4</v>
      </c>
      <c r="AP2585" s="13" t="n">
        <v>-0.6</v>
      </c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11" t="n">
        <v>24</v>
      </c>
      <c r="AK2586" s="12" t="n">
        <v>-15353</v>
      </c>
      <c r="AL2586" s="12" t="n">
        <v>63384</v>
      </c>
      <c r="AM2586" s="13" t="inlineStr"/>
      <c r="AN2586" s="13" t="n">
        <v>500</v>
      </c>
      <c r="AO2586" s="13" t="n">
        <v>15.1</v>
      </c>
      <c r="AP2586" s="13" t="n">
        <v>-53.6</v>
      </c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11" t="n">
        <v>4964</v>
      </c>
      <c r="AK2587" s="12" t="n">
        <v>-587</v>
      </c>
      <c r="AL2587" s="12" t="n">
        <v>-203</v>
      </c>
      <c r="AM2587" s="13" t="n">
        <v>80.8</v>
      </c>
      <c r="AN2587" s="13" t="n">
        <v>57.9</v>
      </c>
      <c r="AO2587" s="13" t="n">
        <v>68.5</v>
      </c>
      <c r="AP2587" s="13" t="n">
        <v>47.9</v>
      </c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11" t="n">
        <v>598</v>
      </c>
      <c r="AK2588" s="12" t="n">
        <v>-4354</v>
      </c>
      <c r="AL2588" s="12" t="n">
        <v>-6953</v>
      </c>
      <c r="AM2588" s="13" t="n">
        <v>315.3</v>
      </c>
      <c r="AN2588" s="13" t="n">
        <v>-1.2</v>
      </c>
      <c r="AO2588" s="13" t="n">
        <v>-2.6</v>
      </c>
      <c r="AP2588" s="13" t="n">
        <v>7.3</v>
      </c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11" t="inlineStr"/>
      <c r="AK2589" s="12" t="n">
        <v>2789</v>
      </c>
      <c r="AL2589" s="12" t="n">
        <v>3768</v>
      </c>
      <c r="AM2589" s="13" t="inlineStr"/>
      <c r="AN2589" s="13" t="inlineStr"/>
      <c r="AO2589" s="13" t="n">
        <v>-39.2</v>
      </c>
      <c r="AP2589" s="13" t="n">
        <v>150.6</v>
      </c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11" t="n">
        <v>48963</v>
      </c>
      <c r="AK2590" s="12" t="n">
        <v>1593</v>
      </c>
      <c r="AL2590" s="12" t="n">
        <v>1196</v>
      </c>
      <c r="AM2590" s="13" t="n">
        <v>-26.8</v>
      </c>
      <c r="AN2590" s="13" t="n">
        <v>54.3</v>
      </c>
      <c r="AO2590" s="13" t="n">
        <v>161.7</v>
      </c>
      <c r="AP2590" s="13" t="n">
        <v>190.5</v>
      </c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11" t="n">
        <v>808</v>
      </c>
      <c r="AK2591" s="12" t="n">
        <v>-6852</v>
      </c>
      <c r="AL2591" s="12" t="n">
        <v>-6367</v>
      </c>
      <c r="AM2591" s="13" t="inlineStr"/>
      <c r="AN2591" s="13" t="inlineStr"/>
      <c r="AO2591" s="13" t="n">
        <v>15</v>
      </c>
      <c r="AP2591" s="13" t="n">
        <v>-324.2</v>
      </c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11" t="n">
        <v>0</v>
      </c>
      <c r="AK2592" s="12" t="n">
        <v>-6</v>
      </c>
      <c r="AL2592" s="12" t="n">
        <v>68</v>
      </c>
      <c r="AM2592" s="13" t="inlineStr"/>
      <c r="AN2592" s="13" t="inlineStr"/>
      <c r="AO2592" s="13" t="n">
        <v>33.3</v>
      </c>
      <c r="AP2592" s="13" t="n">
        <v>14.3</v>
      </c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11" t="inlineStr"/>
      <c r="AK2593" s="12" t="n">
        <v>-6</v>
      </c>
      <c r="AL2593" s="12" t="n">
        <v>84</v>
      </c>
      <c r="AM2593" s="13" t="inlineStr"/>
      <c r="AN2593" s="13" t="inlineStr"/>
      <c r="AO2593" s="13" t="n">
        <v>70</v>
      </c>
      <c r="AP2593" s="13" t="n">
        <v>25</v>
      </c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11" t="inlineStr"/>
      <c r="AK2594" s="12" t="n">
        <v>-11</v>
      </c>
      <c r="AL2594" s="12" t="n">
        <v>45</v>
      </c>
      <c r="AM2594" s="13" t="inlineStr"/>
      <c r="AN2594" s="13" t="inlineStr"/>
      <c r="AO2594" s="13" t="n">
        <v>50</v>
      </c>
      <c r="AP2594" s="13" t="n">
        <v>-37.5</v>
      </c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11" t="n">
        <v>0</v>
      </c>
      <c r="AK2595" s="12" t="n">
        <v>-7</v>
      </c>
      <c r="AL2595" s="12" t="n">
        <v>53</v>
      </c>
      <c r="AM2595" s="13" t="inlineStr"/>
      <c r="AN2595" s="13" t="inlineStr"/>
      <c r="AO2595" s="13" t="n">
        <v>50</v>
      </c>
      <c r="AP2595" s="13" t="n">
        <v>0</v>
      </c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11" t="n">
        <v>3992</v>
      </c>
      <c r="AK2596" s="12" t="n">
        <v>-1802</v>
      </c>
      <c r="AL2596" s="12" t="n">
        <v>-1547</v>
      </c>
      <c r="AM2596" s="13" t="n">
        <v>31.5</v>
      </c>
      <c r="AN2596" s="13" t="inlineStr"/>
      <c r="AO2596" s="13" t="n">
        <v>25.9</v>
      </c>
      <c r="AP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11" t="n">
        <v>0</v>
      </c>
      <c r="AK2597" s="12" t="n">
        <v>-13</v>
      </c>
      <c r="AL2597" s="12" t="n">
        <v>20</v>
      </c>
      <c r="AM2597" s="13" t="inlineStr"/>
      <c r="AN2597" s="13" t="inlineStr"/>
      <c r="AO2597" s="13" t="n">
        <v>-44.4</v>
      </c>
      <c r="AP2597" s="13" t="n">
        <v>-8.300000000000001</v>
      </c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11" t="n">
        <v>1947</v>
      </c>
      <c r="AK2598" s="12" t="n">
        <v>-3667</v>
      </c>
      <c r="AL2598" s="12" t="n">
        <v>-3509</v>
      </c>
      <c r="AM2598" s="13" t="n">
        <v>371.4</v>
      </c>
      <c r="AN2598" s="13" t="inlineStr"/>
      <c r="AO2598" s="13" t="n">
        <v>-21</v>
      </c>
      <c r="AP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11" t="n">
        <v>0</v>
      </c>
      <c r="AK2599" s="12" t="n">
        <v>-18</v>
      </c>
      <c r="AL2599" s="12" t="n">
        <v>47</v>
      </c>
      <c r="AM2599" s="13" t="inlineStr"/>
      <c r="AN2599" s="13" t="inlineStr"/>
      <c r="AO2599" s="13" t="n">
        <v>-200</v>
      </c>
      <c r="AP2599" s="13" t="n">
        <v>-28.6</v>
      </c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11" t="n">
        <v>0</v>
      </c>
      <c r="AK2600" s="12" t="n">
        <v>-10</v>
      </c>
      <c r="AL2600" s="12" t="n">
        <v>55</v>
      </c>
      <c r="AM2600" s="13" t="inlineStr"/>
      <c r="AN2600" s="13" t="inlineStr"/>
      <c r="AO2600" s="13" t="n">
        <v>41.2</v>
      </c>
      <c r="AP2600" s="13" t="n">
        <v>0</v>
      </c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11" t="n">
        <v>24876</v>
      </c>
      <c r="AK2601" s="12" t="n">
        <v>5868</v>
      </c>
      <c r="AL2601" s="12" t="n">
        <v>4958</v>
      </c>
      <c r="AM2601" s="13" t="n">
        <v>49</v>
      </c>
      <c r="AN2601" s="13" t="n">
        <v>75</v>
      </c>
      <c r="AO2601" s="13" t="n">
        <v>126.7</v>
      </c>
      <c r="AP2601" s="13" t="n">
        <v>101.8</v>
      </c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11" t="inlineStr"/>
      <c r="AK2602" s="12" t="n">
        <v>-29</v>
      </c>
      <c r="AL2602" s="12" t="n">
        <v>-146</v>
      </c>
      <c r="AM2602" s="13" t="inlineStr"/>
      <c r="AN2602" s="13" t="inlineStr"/>
      <c r="AO2602" s="13" t="n">
        <v>-107.1</v>
      </c>
      <c r="AP2602" s="13" t="n">
        <v>-45</v>
      </c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11" t="n">
        <v>8157</v>
      </c>
      <c r="AK2603" s="12" t="n">
        <v>1146</v>
      </c>
      <c r="AL2603" s="12" t="n">
        <v>917</v>
      </c>
      <c r="AM2603" s="13" t="n">
        <v>11.4</v>
      </c>
      <c r="AN2603" s="13" t="n">
        <v>0.4</v>
      </c>
      <c r="AO2603" s="13" t="n">
        <v>85.09999999999999</v>
      </c>
      <c r="AP2603" s="13" t="n">
        <v>-28.4</v>
      </c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11" t="n">
        <v>84960</v>
      </c>
      <c r="AK2604" s="12" t="n">
        <v>608</v>
      </c>
      <c r="AL2604" s="12" t="n">
        <v>-1171</v>
      </c>
      <c r="AM2604" s="13" t="n">
        <v>56.4</v>
      </c>
      <c r="AN2604" s="13" t="n">
        <v>45.2</v>
      </c>
      <c r="AO2604" s="13" t="n">
        <v>103.8</v>
      </c>
      <c r="AP2604" s="13" t="n">
        <v>106.5</v>
      </c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11" t="n">
        <v>30273</v>
      </c>
      <c r="AK2605" s="12" t="n">
        <v>6274</v>
      </c>
      <c r="AL2605" s="12" t="n">
        <v>4733</v>
      </c>
      <c r="AM2605" s="13" t="n">
        <v>63.8</v>
      </c>
      <c r="AN2605" s="13" t="n">
        <v>118.8</v>
      </c>
      <c r="AO2605" s="13" t="n">
        <v>210.1</v>
      </c>
      <c r="AP2605" s="13" t="n">
        <v>143.5</v>
      </c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11" t="n">
        <v>1300</v>
      </c>
      <c r="AK2606" s="12" t="n">
        <v>1154</v>
      </c>
      <c r="AL2606" s="12" t="n">
        <v>1150</v>
      </c>
      <c r="AM2606" s="13" t="inlineStr"/>
      <c r="AN2606" s="13" t="n">
        <v>23.8</v>
      </c>
      <c r="AO2606" s="13" t="inlineStr"/>
      <c r="AP2606" s="13" t="n">
        <v>105</v>
      </c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11" t="n">
        <v>0</v>
      </c>
      <c r="AK2607" s="12" t="n">
        <v>-17</v>
      </c>
      <c r="AL2607" s="12" t="n">
        <v>40</v>
      </c>
      <c r="AM2607" s="13" t="inlineStr"/>
      <c r="AN2607" s="13" t="inlineStr"/>
      <c r="AO2607" s="13" t="n">
        <v>-41.7</v>
      </c>
      <c r="AP2607" s="13" t="n">
        <v>0</v>
      </c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11" t="n">
        <v>0</v>
      </c>
      <c r="AK2608" s="12" t="n">
        <v>-38</v>
      </c>
      <c r="AL2608" s="12" t="n">
        <v>3</v>
      </c>
      <c r="AM2608" s="13" t="inlineStr"/>
      <c r="AN2608" s="13" t="inlineStr"/>
      <c r="AO2608" s="13" t="n">
        <v>-72.7</v>
      </c>
      <c r="AP2608" s="13" t="n">
        <v>-192.3</v>
      </c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11" t="n">
        <v>38008</v>
      </c>
      <c r="AK2609" s="12" t="n">
        <v>5587</v>
      </c>
      <c r="AL2609" s="12" t="n">
        <v>7128</v>
      </c>
      <c r="AM2609" s="13" t="n">
        <v>-6.6</v>
      </c>
      <c r="AN2609" s="13" t="n">
        <v>23.9</v>
      </c>
      <c r="AO2609" s="13" t="n">
        <v>-14.2</v>
      </c>
      <c r="AP2609" s="13" t="n">
        <v>30.2</v>
      </c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11" t="n">
        <v>0</v>
      </c>
      <c r="AK2610" s="12" t="n">
        <v>-5</v>
      </c>
      <c r="AL2610" s="12" t="n">
        <v>43</v>
      </c>
      <c r="AM2610" s="13" t="inlineStr"/>
      <c r="AN2610" s="13" t="inlineStr"/>
      <c r="AO2610" s="13" t="n">
        <v>89.59999999999999</v>
      </c>
      <c r="AP2610" s="13" t="n">
        <v>73.7</v>
      </c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0</v>
      </c>
      <c r="AK2611" s="12" t="n">
        <v>-8</v>
      </c>
      <c r="AL2611" s="12" t="n">
        <v>27</v>
      </c>
      <c r="AM2611" s="13" t="inlineStr"/>
      <c r="AN2611" s="13" t="inlineStr"/>
      <c r="AO2611" s="13" t="inlineStr"/>
      <c r="AP2611" s="13" t="n">
        <v>27.3</v>
      </c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11" t="n">
        <v>9751</v>
      </c>
      <c r="AK2612" s="12" t="n">
        <v>2558</v>
      </c>
      <c r="AL2612" s="12" t="n">
        <v>2651</v>
      </c>
      <c r="AM2612" s="13" t="inlineStr"/>
      <c r="AN2612" s="13" t="inlineStr"/>
      <c r="AO2612" s="13" t="inlineStr"/>
      <c r="AP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11" t="n">
        <v>186861</v>
      </c>
      <c r="AK2613" s="12" t="n">
        <v>47241</v>
      </c>
      <c r="AL2613" s="12" t="n">
        <v>38060</v>
      </c>
      <c r="AM2613" s="13" t="n">
        <v>9.1</v>
      </c>
      <c r="AN2613" s="13" t="n">
        <v>45.6</v>
      </c>
      <c r="AO2613" s="13" t="n">
        <v>4.8</v>
      </c>
      <c r="AP2613" s="13" t="n">
        <v>61.6</v>
      </c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11" t="n">
        <v>58892</v>
      </c>
      <c r="AK2614" s="12" t="n">
        <v>8200</v>
      </c>
      <c r="AL2614" s="12" t="n">
        <v>9822</v>
      </c>
      <c r="AM2614" s="13" t="n">
        <v>119.5</v>
      </c>
      <c r="AN2614" s="13" t="n">
        <v>10.7</v>
      </c>
      <c r="AO2614" s="13" t="n">
        <v>350.5</v>
      </c>
      <c r="AP2614" s="13" t="n">
        <v>125.2</v>
      </c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11" t="inlineStr"/>
      <c r="AK2615" s="12" t="n">
        <v>-14</v>
      </c>
      <c r="AL2615" s="12" t="n">
        <v>13</v>
      </c>
      <c r="AM2615" s="13" t="inlineStr"/>
      <c r="AN2615" s="13" t="inlineStr"/>
      <c r="AO2615" s="13" t="n">
        <v>-16.7</v>
      </c>
      <c r="AP2615" s="13" t="n">
        <v>6.7</v>
      </c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11" t="n">
        <v>46790</v>
      </c>
      <c r="AK2616" s="12" t="n">
        <v>11483</v>
      </c>
      <c r="AL2616" s="12" t="n">
        <v>9292</v>
      </c>
      <c r="AM2616" s="13" t="n">
        <v>183.1</v>
      </c>
      <c r="AN2616" s="13" t="n">
        <v>31.9</v>
      </c>
      <c r="AO2616" s="13" t="n">
        <v>475.3</v>
      </c>
      <c r="AP2616" s="13" t="n">
        <v>46.3</v>
      </c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11" t="n">
        <v>10143</v>
      </c>
      <c r="AK2617" s="12" t="n">
        <v>-1561</v>
      </c>
      <c r="AL2617" s="12" t="n">
        <v>-1443</v>
      </c>
      <c r="AM2617" s="13" t="n">
        <v>-7.8</v>
      </c>
      <c r="AN2617" s="13" t="n">
        <v>8.9</v>
      </c>
      <c r="AO2617" s="13" t="n">
        <v>-26</v>
      </c>
      <c r="AP2617" s="13" t="n">
        <v>-590.7</v>
      </c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11" t="n">
        <v>93509</v>
      </c>
      <c r="AK2618" s="12" t="n">
        <v>12509</v>
      </c>
      <c r="AL2618" s="12" t="n">
        <v>9897</v>
      </c>
      <c r="AM2618" s="13" t="n">
        <v>41.5</v>
      </c>
      <c r="AN2618" s="13" t="n">
        <v>-4</v>
      </c>
      <c r="AO2618" s="13" t="n">
        <v>57</v>
      </c>
      <c r="AP2618" s="13" t="n">
        <v>-7</v>
      </c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11" t="n">
        <v>0</v>
      </c>
      <c r="AK2619" s="12" t="n">
        <v>-12</v>
      </c>
      <c r="AL2619" s="12" t="n">
        <v>31</v>
      </c>
      <c r="AM2619" s="13" t="inlineStr"/>
      <c r="AN2619" s="13" t="inlineStr"/>
      <c r="AO2619" s="13" t="n">
        <v>-50</v>
      </c>
      <c r="AP2619" s="13" t="n">
        <v>20</v>
      </c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11" t="n">
        <v>3823</v>
      </c>
      <c r="AK2620" s="12" t="n">
        <v>-6191</v>
      </c>
      <c r="AL2620" s="12" t="n">
        <v>-6196</v>
      </c>
      <c r="AM2620" s="13" t="n">
        <v>6.6</v>
      </c>
      <c r="AN2620" s="13" t="inlineStr"/>
      <c r="AO2620" s="13" t="n">
        <v>-47.5</v>
      </c>
      <c r="AP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11" t="inlineStr"/>
      <c r="AK2621" s="12" t="n">
        <v>-12</v>
      </c>
      <c r="AL2621" s="12" t="n">
        <v>45</v>
      </c>
      <c r="AM2621" s="13" t="inlineStr"/>
      <c r="AN2621" s="13" t="inlineStr"/>
      <c r="AO2621" s="13" t="n">
        <v>55.6</v>
      </c>
      <c r="AP2621" s="13" t="n">
        <v>-50</v>
      </c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11" t="n">
        <v>3795</v>
      </c>
      <c r="AK2622" s="12" t="n">
        <v>-1475</v>
      </c>
      <c r="AL2622" s="12" t="n">
        <v>-1536</v>
      </c>
      <c r="AM2622" s="13" t="inlineStr"/>
      <c r="AN2622" s="13" t="inlineStr"/>
      <c r="AO2622" s="13" t="inlineStr"/>
      <c r="AP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11" t="n">
        <v>430921</v>
      </c>
      <c r="AK2623" s="12" t="n">
        <v>35763</v>
      </c>
      <c r="AL2623" s="12" t="n">
        <v>27112</v>
      </c>
      <c r="AM2623" s="13" t="n">
        <v>17.4</v>
      </c>
      <c r="AN2623" s="13" t="n">
        <v>11.1</v>
      </c>
      <c r="AO2623" s="13" t="n">
        <v>185.1</v>
      </c>
      <c r="AP2623" s="13" t="n">
        <v>231.8</v>
      </c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11" t="n">
        <v>25266</v>
      </c>
      <c r="AK2624" s="12" t="n">
        <v>2064</v>
      </c>
      <c r="AL2624" s="12" t="n">
        <v>1667</v>
      </c>
      <c r="AM2624" s="13" t="n">
        <v>-0.3</v>
      </c>
      <c r="AN2624" s="13" t="inlineStr"/>
      <c r="AO2624" s="13" t="n">
        <v>-54.1</v>
      </c>
      <c r="AP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11" t="n">
        <v>0</v>
      </c>
      <c r="AK2625" s="12" t="n">
        <v>-12</v>
      </c>
      <c r="AL2625" s="12" t="n">
        <v>21</v>
      </c>
      <c r="AM2625" s="13" t="inlineStr"/>
      <c r="AN2625" s="13" t="inlineStr"/>
      <c r="AO2625" s="13" t="n">
        <v>-50</v>
      </c>
      <c r="AP2625" s="13" t="n">
        <v>-300</v>
      </c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11" t="n">
        <v>0</v>
      </c>
      <c r="AK2626" s="12" t="n">
        <v>-11</v>
      </c>
      <c r="AL2626" s="12" t="n">
        <v>30</v>
      </c>
      <c r="AM2626" s="13" t="inlineStr"/>
      <c r="AN2626" s="13" t="inlineStr"/>
      <c r="AO2626" s="13" t="n">
        <v>38.9</v>
      </c>
      <c r="AP2626" s="13" t="n">
        <v>0</v>
      </c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11" t="n">
        <v>0</v>
      </c>
      <c r="AK2627" s="12" t="n">
        <v>-7</v>
      </c>
      <c r="AL2627" s="12" t="n">
        <v>33</v>
      </c>
      <c r="AM2627" s="13" t="inlineStr"/>
      <c r="AN2627" s="13" t="inlineStr"/>
      <c r="AO2627" s="13" t="n">
        <v>63.2</v>
      </c>
      <c r="AP2627" s="13" t="n">
        <v>22.2</v>
      </c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11" t="n">
        <v>2085</v>
      </c>
      <c r="AK2628" s="12" t="n">
        <v>-3163</v>
      </c>
      <c r="AL2628" s="12" t="n">
        <v>-3069</v>
      </c>
      <c r="AM2628" s="13" t="n">
        <v>-4.2</v>
      </c>
      <c r="AN2628" s="13" t="inlineStr"/>
      <c r="AO2628" s="13" t="n">
        <v>-40.5</v>
      </c>
      <c r="AP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11" t="n">
        <v>6670</v>
      </c>
      <c r="AK2629" s="12" t="n">
        <v>-3120</v>
      </c>
      <c r="AL2629" s="12" t="n">
        <v>-2437</v>
      </c>
      <c r="AM2629" s="13" t="n">
        <v>-6.3</v>
      </c>
      <c r="AN2629" s="13" t="inlineStr"/>
      <c r="AO2629" s="13" t="n">
        <v>7.4</v>
      </c>
      <c r="AP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11" t="n">
        <v>0</v>
      </c>
      <c r="AK2630" s="12" t="n">
        <v>-6</v>
      </c>
      <c r="AL2630" s="12" t="n">
        <v>45</v>
      </c>
      <c r="AM2630" s="13" t="inlineStr"/>
      <c r="AN2630" s="13" t="inlineStr"/>
      <c r="AO2630" s="13" t="n">
        <v>70</v>
      </c>
      <c r="AP2630" s="13" t="n">
        <v>50</v>
      </c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11" t="n">
        <v>9876</v>
      </c>
      <c r="AK2631" s="12" t="n">
        <v>2701</v>
      </c>
      <c r="AL2631" s="12" t="n">
        <v>2529</v>
      </c>
      <c r="AM2631" s="13" t="n">
        <v>23.2</v>
      </c>
      <c r="AN2631" s="13" t="n">
        <v>58.3</v>
      </c>
      <c r="AO2631" s="13" t="n">
        <v>4.1</v>
      </c>
      <c r="AP2631" s="13" t="n">
        <v>65.90000000000001</v>
      </c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11" t="n">
        <v>0</v>
      </c>
      <c r="AK2632" s="12" t="n">
        <v>-12</v>
      </c>
      <c r="AL2632" s="12" t="n">
        <v>44</v>
      </c>
      <c r="AM2632" s="13" t="inlineStr"/>
      <c r="AN2632" s="13" t="inlineStr"/>
      <c r="AO2632" s="13" t="n">
        <v>-100</v>
      </c>
      <c r="AP2632" s="13" t="n">
        <v>7.7</v>
      </c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11" t="n">
        <v>7644</v>
      </c>
      <c r="AK2633" s="12" t="n">
        <v>1900</v>
      </c>
      <c r="AL2633" s="12" t="n">
        <v>1857</v>
      </c>
      <c r="AM2633" s="13" t="n">
        <v>26.1</v>
      </c>
      <c r="AN2633" s="13" t="n">
        <v>32.7</v>
      </c>
      <c r="AO2633" s="13" t="n">
        <v>71.59999999999999</v>
      </c>
      <c r="AP2633" s="13" t="n">
        <v>8.9</v>
      </c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11" t="n">
        <v>0</v>
      </c>
      <c r="AK2634" s="12" t="n">
        <v>-5</v>
      </c>
      <c r="AL2634" s="12" t="n">
        <v>51</v>
      </c>
      <c r="AM2634" s="13" t="inlineStr"/>
      <c r="AN2634" s="13" t="inlineStr"/>
      <c r="AO2634" s="13" t="n">
        <v>70.59999999999999</v>
      </c>
      <c r="AP2634" s="13" t="n">
        <v>16.7</v>
      </c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11" t="n">
        <v>542289</v>
      </c>
      <c r="AK2635" s="12" t="n">
        <v>65578</v>
      </c>
      <c r="AL2635" s="12" t="n">
        <v>75295</v>
      </c>
      <c r="AM2635" s="13" t="n">
        <v>22.9</v>
      </c>
      <c r="AN2635" s="13" t="n">
        <v>18.6</v>
      </c>
      <c r="AO2635" s="13" t="n">
        <v>196.8</v>
      </c>
      <c r="AP2635" s="13" t="n">
        <v>16.5</v>
      </c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11" t="n">
        <v>46802</v>
      </c>
      <c r="AK2636" s="12" t="n">
        <v>-11038</v>
      </c>
      <c r="AL2636" s="12" t="n">
        <v>-12232</v>
      </c>
      <c r="AM2636" s="13" t="n">
        <v>-2.2</v>
      </c>
      <c r="AN2636" s="13" t="inlineStr"/>
      <c r="AO2636" s="13" t="n">
        <v>-10612.4</v>
      </c>
      <c r="AP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11" t="n">
        <v>12507</v>
      </c>
      <c r="AK2637" s="12" t="n">
        <v>-12190</v>
      </c>
      <c r="AL2637" s="12" t="n">
        <v>-11028</v>
      </c>
      <c r="AM2637" s="13" t="n">
        <v>21.9</v>
      </c>
      <c r="AN2637" s="13" t="inlineStr"/>
      <c r="AO2637" s="13" t="n">
        <v>-45.7</v>
      </c>
      <c r="AP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11" t="n">
        <v>0</v>
      </c>
      <c r="AK2638" s="12" t="n">
        <v>-13</v>
      </c>
      <c r="AL2638" s="12" t="n">
        <v>45</v>
      </c>
      <c r="AM2638" s="13" t="inlineStr"/>
      <c r="AN2638" s="13" t="inlineStr"/>
      <c r="AO2638" s="13" t="n">
        <v>-62.5</v>
      </c>
      <c r="AP2638" s="13" t="n">
        <v>81.7</v>
      </c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11" t="inlineStr"/>
      <c r="AK2639" s="12" t="n">
        <v>-2678</v>
      </c>
      <c r="AL2639" s="12" t="n">
        <v>-2122</v>
      </c>
      <c r="AM2639" s="13" t="inlineStr"/>
      <c r="AN2639" s="13" t="inlineStr"/>
      <c r="AO2639" s="13" t="n">
        <v>-198</v>
      </c>
      <c r="AP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11" t="n">
        <v>15538</v>
      </c>
      <c r="AK2640" s="12" t="n">
        <v>2955</v>
      </c>
      <c r="AL2640" s="12" t="n">
        <v>2284</v>
      </c>
      <c r="AM2640" s="13" t="n">
        <v>-20.2</v>
      </c>
      <c r="AN2640" s="13" t="inlineStr"/>
      <c r="AO2640" s="13" t="n">
        <v>1.8</v>
      </c>
      <c r="AP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11" t="n">
        <v>0</v>
      </c>
      <c r="AK2641" s="12" t="n">
        <v>-8</v>
      </c>
      <c r="AL2641" s="12" t="n">
        <v>41</v>
      </c>
      <c r="AM2641" s="13" t="inlineStr"/>
      <c r="AN2641" s="13" t="inlineStr"/>
      <c r="AO2641" s="13" t="n">
        <v>52.9</v>
      </c>
      <c r="AP2641" s="13" t="n">
        <v>33.3</v>
      </c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11" t="n">
        <v>3473</v>
      </c>
      <c r="AK2642" s="12" t="n">
        <v>-1869</v>
      </c>
      <c r="AL2642" s="12" t="n">
        <v>-2082</v>
      </c>
      <c r="AM2642" s="13" t="n">
        <v>203.1</v>
      </c>
      <c r="AN2642" s="13" t="n">
        <v>72.90000000000001</v>
      </c>
      <c r="AO2642" s="13" t="n">
        <v>-16.4</v>
      </c>
      <c r="AP2642" s="13" t="n">
        <v>-41.4</v>
      </c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11" t="inlineStr"/>
      <c r="AK2643" s="12" t="n">
        <v>-10</v>
      </c>
      <c r="AL2643" s="12" t="n">
        <v>60</v>
      </c>
      <c r="AM2643" s="13" t="inlineStr"/>
      <c r="AN2643" s="13" t="inlineStr"/>
      <c r="AO2643" s="13" t="n">
        <v>16.7</v>
      </c>
      <c r="AP2643" s="13" t="n">
        <v>9.1</v>
      </c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11" t="inlineStr"/>
      <c r="AK2644" s="12" t="n">
        <v>-56</v>
      </c>
      <c r="AL2644" s="12" t="n">
        <v>-73</v>
      </c>
      <c r="AM2644" s="13" t="inlineStr"/>
      <c r="AN2644" s="13" t="inlineStr"/>
      <c r="AO2644" s="13" t="n">
        <v>-229.4</v>
      </c>
      <c r="AP2644" s="13" t="n">
        <v>69.90000000000001</v>
      </c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11" t="n">
        <v>158961</v>
      </c>
      <c r="AK2645" s="12" t="n">
        <v>29360</v>
      </c>
      <c r="AL2645" s="12" t="n">
        <v>19222</v>
      </c>
      <c r="AM2645" s="13" t="n">
        <v>21.9</v>
      </c>
      <c r="AN2645" s="13" t="n">
        <v>41.7</v>
      </c>
      <c r="AO2645" s="13" t="n">
        <v>21.5</v>
      </c>
      <c r="AP2645" s="13" t="n">
        <v>153.9</v>
      </c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11" t="n">
        <v>25</v>
      </c>
      <c r="AK2646" s="12" t="n">
        <v>2</v>
      </c>
      <c r="AL2646" s="12" t="n">
        <v>1</v>
      </c>
      <c r="AM2646" s="13" t="n">
        <v>8.699999999999999</v>
      </c>
      <c r="AN2646" s="13" t="n">
        <v>8.699999999999999</v>
      </c>
      <c r="AO2646" s="13" t="n">
        <v>100</v>
      </c>
      <c r="AP2646" s="13" t="n">
        <v>0</v>
      </c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11" t="n">
        <v>2</v>
      </c>
      <c r="AK2647" s="12" t="n">
        <v>-1</v>
      </c>
      <c r="AL2647" s="12" t="n">
        <v>-1</v>
      </c>
      <c r="AM2647" s="13" t="n">
        <v>100</v>
      </c>
      <c r="AN2647" s="13" t="n">
        <v>100</v>
      </c>
      <c r="AO2647" s="13" t="n">
        <v>0</v>
      </c>
      <c r="AP2647" s="13" t="n">
        <v>0</v>
      </c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11" t="n">
        <v>74</v>
      </c>
      <c r="AK2648" s="12" t="n">
        <v>12</v>
      </c>
      <c r="AL2648" s="12" t="n">
        <v>11</v>
      </c>
      <c r="AM2648" s="13" t="n">
        <v>2.8</v>
      </c>
      <c r="AN2648" s="13" t="n">
        <v>-14</v>
      </c>
      <c r="AO2648" s="13" t="n">
        <v>50</v>
      </c>
      <c r="AP2648" s="13" t="n">
        <v>9.1</v>
      </c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2025Q4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11" t="n">
        <v>73</v>
      </c>
      <c r="AK2650" s="12" t="n">
        <v>12</v>
      </c>
      <c r="AL2650" s="12" t="n">
        <v>5</v>
      </c>
      <c r="AM2650" s="13" t="n">
        <v>-17</v>
      </c>
      <c r="AN2650" s="13" t="n">
        <v>2.8</v>
      </c>
      <c r="AO2650" s="13" t="n">
        <v>-14.3</v>
      </c>
      <c r="AP2650" s="13" t="n">
        <v>140</v>
      </c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11" t="n">
        <v>90</v>
      </c>
      <c r="AK2651" s="12" t="n">
        <v>12</v>
      </c>
      <c r="AL2651" s="12" t="n">
        <v>8</v>
      </c>
      <c r="AM2651" s="13" t="n">
        <v>63.6</v>
      </c>
      <c r="AN2651" s="13" t="n">
        <v>-39.2</v>
      </c>
      <c r="AO2651" s="13" t="n">
        <v>300</v>
      </c>
      <c r="AP2651" s="13" t="n">
        <v>-60</v>
      </c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11" t="n">
        <v>1083</v>
      </c>
      <c r="AK2652" s="12" t="n">
        <v>27</v>
      </c>
      <c r="AL2652" s="12" t="n">
        <v>34</v>
      </c>
      <c r="AM2652" s="13" t="n">
        <v>-12.7</v>
      </c>
      <c r="AN2652" s="13" t="n">
        <v>65.3</v>
      </c>
      <c r="AO2652" s="13" t="n">
        <v>-18.2</v>
      </c>
      <c r="AP2652" s="13" t="n">
        <v>145.5</v>
      </c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11" t="n">
        <v>134</v>
      </c>
      <c r="AK2653" s="12" t="n">
        <v>0</v>
      </c>
      <c r="AL2653" s="12" t="n">
        <v>8</v>
      </c>
      <c r="AM2653" s="13" t="n">
        <v>27.6</v>
      </c>
      <c r="AN2653" s="13" t="n">
        <v>-4.3</v>
      </c>
      <c r="AO2653" s="13" t="inlineStr"/>
      <c r="AP2653" s="13" t="n">
        <v>100</v>
      </c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2025Q4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11" t="inlineStr"/>
      <c r="AK2654" s="12" t="inlineStr"/>
      <c r="AL2654" s="12" t="inlineStr"/>
      <c r="AM2654" s="13" t="inlineStr"/>
      <c r="AN2654" s="13" t="inlineStr"/>
      <c r="AO2654" s="13" t="inlineStr"/>
      <c r="AP2654" s="13" t="inlineStr"/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11" t="n">
        <v>365</v>
      </c>
      <c r="AK2655" s="12" t="n">
        <v>65</v>
      </c>
      <c r="AL2655" s="12" t="n">
        <v>65</v>
      </c>
      <c r="AM2655" s="13" t="n">
        <v>87.2</v>
      </c>
      <c r="AN2655" s="13" t="n">
        <v>56</v>
      </c>
      <c r="AO2655" s="13" t="n">
        <v>285.7</v>
      </c>
      <c r="AP2655" s="13" t="n">
        <v>168.4</v>
      </c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11" t="n">
        <v>47</v>
      </c>
      <c r="AK2656" s="12" t="n">
        <v>3</v>
      </c>
      <c r="AL2656" s="12" t="n">
        <v>1</v>
      </c>
      <c r="AM2656" s="13" t="n">
        <v>-23</v>
      </c>
      <c r="AN2656" s="13" t="n">
        <v>-16.1</v>
      </c>
      <c r="AO2656" s="13" t="n">
        <v>-57.1</v>
      </c>
      <c r="AP2656" s="13" t="n">
        <v>50</v>
      </c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11" t="n">
        <v>218</v>
      </c>
      <c r="AK2657" s="12" t="n">
        <v>27</v>
      </c>
      <c r="AL2657" s="12" t="n">
        <v>14</v>
      </c>
      <c r="AM2657" s="13" t="n">
        <v>-0.5</v>
      </c>
      <c r="AN2657" s="13" t="n">
        <v>-15.8</v>
      </c>
      <c r="AO2657" s="13" t="n">
        <v>107.7</v>
      </c>
      <c r="AP2657" s="13" t="n">
        <v>50</v>
      </c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11" t="n">
        <v>6</v>
      </c>
      <c r="AK2658" s="12" t="n">
        <v>-16</v>
      </c>
      <c r="AL2658" s="12" t="n">
        <v>-26</v>
      </c>
      <c r="AM2658" s="13" t="n">
        <v>50</v>
      </c>
      <c r="AN2658" s="13" t="n">
        <v>500</v>
      </c>
      <c r="AO2658" s="13" t="n">
        <v>-100</v>
      </c>
      <c r="AP2658" s="13" t="n">
        <v>-14.3</v>
      </c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11" t="n">
        <v>35</v>
      </c>
      <c r="AK2659" s="12" t="n">
        <v>6</v>
      </c>
      <c r="AL2659" s="12" t="n">
        <v>4</v>
      </c>
      <c r="AM2659" s="13" t="n">
        <v>2.9</v>
      </c>
      <c r="AN2659" s="13" t="n">
        <v>-14.6</v>
      </c>
      <c r="AO2659" s="13" t="n">
        <v>50</v>
      </c>
      <c r="AP2659" s="13" t="n">
        <v>-14.3</v>
      </c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11" t="n">
        <v>1</v>
      </c>
      <c r="AK2660" s="12" t="n">
        <v>-5</v>
      </c>
      <c r="AL2660" s="12" t="n">
        <v>33</v>
      </c>
      <c r="AM2660" s="13" t="n">
        <v>0</v>
      </c>
      <c r="AN2660" s="13" t="n">
        <v>0</v>
      </c>
      <c r="AO2660" s="13" t="n">
        <v>-25</v>
      </c>
      <c r="AP2660" s="13" t="n">
        <v>-25</v>
      </c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11" t="inlineStr"/>
      <c r="AK2661" s="12" t="inlineStr"/>
      <c r="AL2661" s="12" t="inlineStr"/>
      <c r="AM2661" s="13" t="inlineStr"/>
      <c r="AN2661" s="13" t="inlineStr"/>
      <c r="AO2661" s="13" t="inlineStr"/>
      <c r="AP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11" t="n">
        <v>15</v>
      </c>
      <c r="AK2662" s="12" t="n">
        <v>3</v>
      </c>
      <c r="AL2662" s="12" t="n">
        <v>3</v>
      </c>
      <c r="AM2662" s="13" t="n">
        <v>7.1</v>
      </c>
      <c r="AN2662" s="13" t="n">
        <v>0</v>
      </c>
      <c r="AO2662" s="13" t="n">
        <v>0</v>
      </c>
      <c r="AP2662" s="13" t="n">
        <v>0</v>
      </c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11" t="n">
        <v>8</v>
      </c>
      <c r="AK2663" s="12" t="n">
        <v>0</v>
      </c>
      <c r="AL2663" s="12" t="n">
        <v>2</v>
      </c>
      <c r="AM2663" s="13" t="n">
        <v>-11.1</v>
      </c>
      <c r="AN2663" s="13" t="n">
        <v>-27.3</v>
      </c>
      <c r="AO2663" s="13" t="inlineStr"/>
      <c r="AP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2025Q4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11" t="inlineStr"/>
      <c r="AK2664" s="12" t="inlineStr"/>
      <c r="AL2664" s="12" t="inlineStr"/>
      <c r="AM2664" s="13" t="inlineStr"/>
      <c r="AN2664" s="13" t="inlineStr"/>
      <c r="AO2664" s="13" t="inlineStr"/>
      <c r="AP2664" s="13" t="inlineStr"/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11" t="n">
        <v>1</v>
      </c>
      <c r="AK2665" s="12" t="n">
        <v>-3</v>
      </c>
      <c r="AL2665" s="12" t="n">
        <v>0</v>
      </c>
      <c r="AM2665" s="13" t="inlineStr"/>
      <c r="AN2665" s="13" t="inlineStr"/>
      <c r="AO2665" s="13" t="n">
        <v>25</v>
      </c>
      <c r="AP2665" s="13" t="n">
        <v>40</v>
      </c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2026Q1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11" t="inlineStr"/>
      <c r="AK2666" s="12" t="inlineStr"/>
      <c r="AL2666" s="12" t="inlineStr"/>
      <c r="AM2666" s="13" t="inlineStr"/>
      <c r="AN2666" s="13" t="inlineStr"/>
      <c r="AO2666" s="13" t="inlineStr"/>
      <c r="AP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11" t="inlineStr"/>
      <c r="AK2667" s="12" t="n">
        <v>0</v>
      </c>
      <c r="AL2667" s="12" t="n">
        <v>0</v>
      </c>
      <c r="AM2667" s="13" t="inlineStr"/>
      <c r="AN2667" s="13" t="inlineStr"/>
      <c r="AO2667" s="13" t="inlineStr"/>
      <c r="AP2667" s="13" t="inlineStr"/>
    </row>
  </sheetData>
  <autoFilter ref="A1:AP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21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20260831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88684130</v>
      </c>
      <c r="K17" s="19" t="n">
        <v>90645918</v>
      </c>
      <c r="L17" s="18" t="n">
        <v>90228777</v>
      </c>
      <c r="M17" s="19" t="n">
        <v>125580735</v>
      </c>
      <c r="N17" s="18" t="n">
        <v>125739771</v>
      </c>
      <c r="O17" s="19" t="n">
        <v>122196481</v>
      </c>
      <c r="P17" s="18" t="n">
        <v>124633734</v>
      </c>
      <c r="Q17" s="19" t="n">
        <v>138860595</v>
      </c>
      <c r="R17" s="18" t="n">
        <v>140623959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HYPERLINK("https://dart.fss.or.kr/dsaf001/main.do?rcpNo=20260831001249",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20260518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HYPERLINK("https://dart.fss.or.kr/dsaf001/main.do?rcpNo=20260518000224",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20260818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HYPERLINK("https://dart.fss.or.kr/dsaf001/main.do?rcpNo=20260818000228",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118232</v>
      </c>
      <c r="N41" s="18" t="n">
        <v>141617</v>
      </c>
      <c r="O41" s="19" t="n">
        <v>120477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1840976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20260930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HYPERLINK("https://dart.fss.or.kr/dsaf001/main.do?rcpNo=20260930000356",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20250804</t>
        </is>
      </c>
      <c r="E55" s="16" t="n">
        <v>24090</v>
      </c>
      <c r="F55" s="16" t="inlineStr"/>
      <c r="G55" s="16" t="n">
        <v>24090</v>
      </c>
      <c r="H55" s="6" t="inlineStr">
        <is>
          <t>백만원</t>
        </is>
      </c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HYPERLINK("https://dart.fss.or.kr/dsaf001/main.do?rcpNo=20250804000178",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20260902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HYPERLINK("https://dart.fss.or.kr/dsaf001/main.do?rcpNo=20260902000346",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20260928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HYPERLINK("https://dart.fss.or.kr/dsaf001/main.do?rcpNo=20260928000292",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n">
        <v>3321788</v>
      </c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20260819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656067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HYPERLINK("https://dart.fss.or.kr/dsaf001/main.do?rcpNo=20260819000068",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20261014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HYPERLINK("https://dart.fss.or.kr/dsaf001/main.do?rcpNo=20261014000290",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20260930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HYPERLINK("https://dart.fss.or.kr/dsaf001/main.do?rcpNo=20260930000732",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20260930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HYPERLINK("https://dart.fss.or.kr/dsaf001/main.do?rcpNo=20260930000428",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20260929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HYPERLINK("https://dart.fss.or.kr/dsaf001/main.do?rcpNo=20260929000648",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669122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2024Q4</t>
        </is>
      </c>
      <c r="D93" s="6" t="inlineStr">
        <is>
          <t>20250319</t>
        </is>
      </c>
      <c r="E93" s="16" t="inlineStr"/>
      <c r="F93" s="16" t="inlineStr"/>
      <c r="G93" s="16" t="n">
        <v>624300</v>
      </c>
      <c r="H93" s="6" t="inlineStr">
        <is>
          <t>천원</t>
        </is>
      </c>
      <c r="I93" s="17" t="n">
        <v>2184.6</v>
      </c>
      <c r="J93" s="18" t="inlineStr"/>
      <c r="K93" s="19" t="inlineStr"/>
      <c r="L93" s="18" t="inlineStr"/>
      <c r="M93" s="19" t="n">
        <v>624300</v>
      </c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5</v>
      </c>
      <c r="U93" s="5" t="inlineStr">
        <is>
          <t xml:space="preserve">기타 / - | 한국 SMC CS도장실&amp;세정배출시설의 이설 공사 / 한 | 관급)구립가재울데이케어센터신축공사(통신) / 관급 / </t>
        </is>
      </c>
      <c r="V93" s="21">
        <f>HYPERLINK("https://dart.fss.or.kr/dsaf001/main.do?rcpNo=20250319001004",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선도전기</t>
        </is>
      </c>
      <c r="B106" s="6" t="inlineStr">
        <is>
          <t>007610</t>
        </is>
      </c>
      <c r="C106" s="6" t="inlineStr">
        <is>
          <t>2022Q4</t>
        </is>
      </c>
      <c r="D106" s="6" t="inlineStr">
        <is>
          <t>20240502</t>
        </is>
      </c>
      <c r="E106" s="16" t="n">
        <v>113445</v>
      </c>
      <c r="F106" s="16" t="n">
        <v>55666</v>
      </c>
      <c r="G106" s="16" t="n">
        <v>57779</v>
      </c>
      <c r="H106" s="6" t="inlineStr">
        <is>
          <t>백만원</t>
        </is>
      </c>
      <c r="I106" s="17" t="inlineStr"/>
      <c r="J106" s="18" t="inlineStr"/>
      <c r="K106" s="19" t="inlineStr"/>
      <c r="L106" s="18" t="inlineStr"/>
      <c r="M106" s="19" t="inlineStr"/>
      <c r="N106" s="18" t="inlineStr"/>
      <c r="O106" s="19" t="inlineStr"/>
      <c r="P106" s="18" t="inlineStr"/>
      <c r="Q106" s="19" t="inlineStr"/>
      <c r="R106" s="18" t="inlineStr"/>
      <c r="S106" s="20" t="inlineStr"/>
      <c r="T106" s="6" t="n">
        <v>5</v>
      </c>
      <c r="U106" s="5" t="inlineStr">
        <is>
          <t>수배전반류 / 22.01.01-12.31 | 태양광 / 22.01.01-12.31 | 전기공사 / 22.01.01-12.31</t>
        </is>
      </c>
      <c r="V106" s="21">
        <f>HYPERLINK("https://dart.fss.or.kr/dsaf001/main.do?rcpNo=20240502000538", "공시열람")</f>
        <v/>
      </c>
    </row>
    <row r="107">
      <c r="A107" s="5" t="inlineStr">
        <is>
          <t>이수페타시스</t>
        </is>
      </c>
      <c r="B107" s="6" t="inlineStr">
        <is>
          <t>007660</t>
        </is>
      </c>
      <c r="C107" s="6" t="inlineStr">
        <is>
          <t>2026Q2</t>
        </is>
      </c>
      <c r="D107" s="6" t="inlineStr">
        <is>
          <t>20260814</t>
        </is>
      </c>
      <c r="E107" s="16" t="n">
        <v>836195</v>
      </c>
      <c r="F107" s="16" t="n">
        <v>571375</v>
      </c>
      <c r="G107" s="16" t="n">
        <v>622180</v>
      </c>
      <c r="H107" s="6" t="inlineStr">
        <is>
          <t>㎡,백만원</t>
        </is>
      </c>
      <c r="I107" s="17" t="n">
        <v>8.4</v>
      </c>
      <c r="J107" s="18" t="n">
        <v>222618</v>
      </c>
      <c r="K107" s="19" t="n">
        <v>220131</v>
      </c>
      <c r="L107" s="18" t="n">
        <v>221900</v>
      </c>
      <c r="M107" s="19" t="n">
        <v>259266</v>
      </c>
      <c r="N107" s="18" t="n">
        <v>295719</v>
      </c>
      <c r="O107" s="19" t="n">
        <v>315496</v>
      </c>
      <c r="P107" s="18" t="n">
        <v>331893</v>
      </c>
      <c r="Q107" s="19" t="n">
        <v>357562</v>
      </c>
      <c r="R107" s="18" t="n">
        <v>573743</v>
      </c>
      <c r="S107" s="20" t="n">
        <v>622180</v>
      </c>
      <c r="T107" s="6" t="n">
        <v>1</v>
      </c>
      <c r="U107" s="5" t="inlineStr">
        <is>
          <t>PCB / 2026.01.01~2026.06.30</t>
        </is>
      </c>
      <c r="V107" s="21">
        <f>HYPERLINK("https://dart.fss.or.kr/dsaf001/main.do?rcpNo=20260814002283", "공시열람")</f>
        <v/>
      </c>
    </row>
    <row r="108">
      <c r="A108" s="5" t="inlineStr">
        <is>
          <t>대원</t>
        </is>
      </c>
      <c r="B108" s="6" t="inlineStr">
        <is>
          <t>007680</t>
        </is>
      </c>
      <c r="C108" s="6" t="inlineStr">
        <is>
          <t>2026Q2</t>
        </is>
      </c>
      <c r="D108" s="6" t="inlineStr">
        <is>
          <t>20261001</t>
        </is>
      </c>
      <c r="E108" s="16" t="inlineStr"/>
      <c r="F108" s="16" t="n">
        <v>169056218</v>
      </c>
      <c r="G108" s="16" t="n">
        <v>226933680</v>
      </c>
      <c r="H108" s="6" t="inlineStr">
        <is>
          <t>천원</t>
        </is>
      </c>
      <c r="I108" s="17" t="n">
        <v>15.2</v>
      </c>
      <c r="J108" s="18" t="n">
        <v>408626094</v>
      </c>
      <c r="K108" s="19" t="n">
        <v>351954982</v>
      </c>
      <c r="L108" s="18" t="n">
        <v>304729125</v>
      </c>
      <c r="M108" s="19" t="n">
        <v>276007592</v>
      </c>
      <c r="N108" s="18" t="n">
        <v>262628960</v>
      </c>
      <c r="O108" s="19" t="n">
        <v>218475632</v>
      </c>
      <c r="P108" s="18" t="n">
        <v>206402686</v>
      </c>
      <c r="Q108" s="19" t="n">
        <v>218343843</v>
      </c>
      <c r="R108" s="18" t="n">
        <v>196970495</v>
      </c>
      <c r="S108" s="20" t="n">
        <v>226933680</v>
      </c>
      <c r="T108" s="6" t="n">
        <v>20</v>
      </c>
      <c r="U108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8" s="21">
        <f>HYPERLINK("https://dart.fss.or.kr/dsaf001/main.do?rcpNo=20261001000561", "공시열람")</f>
        <v/>
      </c>
    </row>
    <row r="109">
      <c r="A109" s="5" t="inlineStr">
        <is>
          <t>코리아써키트</t>
        </is>
      </c>
      <c r="B109" s="6" t="inlineStr">
        <is>
          <t>007810</t>
        </is>
      </c>
      <c r="C109" s="6" t="inlineStr">
        <is>
          <t>2026Q2</t>
        </is>
      </c>
      <c r="D109" s="6" t="inlineStr">
        <is>
          <t>20260814</t>
        </is>
      </c>
      <c r="E109" s="16" t="n">
        <v>1027468</v>
      </c>
      <c r="F109" s="16" t="n">
        <v>600829</v>
      </c>
      <c r="G109" s="16" t="n">
        <v>426639</v>
      </c>
      <c r="H109" s="6" t="inlineStr">
        <is>
          <t>천㎡,백만원</t>
        </is>
      </c>
      <c r="I109" s="17" t="n">
        <v>171.3</v>
      </c>
      <c r="J109" s="18" t="n">
        <v>108719</v>
      </c>
      <c r="K109" s="19" t="n">
        <v>133743</v>
      </c>
      <c r="L109" s="18" t="n">
        <v>121390</v>
      </c>
      <c r="M109" s="19" t="n">
        <v>120870</v>
      </c>
      <c r="N109" s="18" t="n">
        <v>139730</v>
      </c>
      <c r="O109" s="19" t="n">
        <v>159968</v>
      </c>
      <c r="P109" s="18" t="n">
        <v>114941</v>
      </c>
      <c r="Q109" s="19" t="n">
        <v>199155</v>
      </c>
      <c r="R109" s="18" t="n">
        <v>157254</v>
      </c>
      <c r="S109" s="20" t="n">
        <v>426639</v>
      </c>
      <c r="T109" s="6" t="n">
        <v>2</v>
      </c>
      <c r="U109" s="5" t="inlineStr">
        <is>
          <t>PCB / 2026.01.01~2026.06.30 | FPCB / 2026.01.01~2026.06.30</t>
        </is>
      </c>
      <c r="V109" s="21">
        <f>HYPERLINK("https://dart.fss.or.kr/dsaf001/main.do?rcpNo=20260814002394", "공시열람")</f>
        <v/>
      </c>
    </row>
    <row r="110">
      <c r="A110" s="5" t="inlineStr">
        <is>
          <t>엠엑스로보틱스</t>
        </is>
      </c>
      <c r="B110" s="6" t="inlineStr">
        <is>
          <t>007820</t>
        </is>
      </c>
      <c r="C110" s="6" t="inlineStr">
        <is>
          <t>2026Q2</t>
        </is>
      </c>
      <c r="D110" s="6" t="inlineStr">
        <is>
          <t>20260813</t>
        </is>
      </c>
      <c r="E110" s="16" t="n">
        <v>235918460</v>
      </c>
      <c r="F110" s="16" t="n">
        <v>46028966</v>
      </c>
      <c r="G110" s="16" t="n">
        <v>189889494</v>
      </c>
      <c r="H110" s="6" t="inlineStr">
        <is>
          <t>천원</t>
        </is>
      </c>
      <c r="I110" s="17" t="n">
        <v>3.9</v>
      </c>
      <c r="J110" s="18" t="n">
        <v>256202055</v>
      </c>
      <c r="K110" s="19" t="n">
        <v>297036610</v>
      </c>
      <c r="L110" s="18" t="n">
        <v>254105440</v>
      </c>
      <c r="M110" s="19" t="n">
        <v>216527287</v>
      </c>
      <c r="N110" s="18" t="n">
        <v>176253486</v>
      </c>
      <c r="O110" s="19" t="n">
        <v>154258191</v>
      </c>
      <c r="P110" s="18" t="n">
        <v>155095695</v>
      </c>
      <c r="Q110" s="19" t="n">
        <v>164329344</v>
      </c>
      <c r="R110" s="18" t="n">
        <v>182779407</v>
      </c>
      <c r="S110" s="20" t="n">
        <v>189889494</v>
      </c>
      <c r="T110" s="6" t="n">
        <v>2</v>
      </c>
      <c r="U110" s="5" t="inlineStr">
        <is>
          <t xml:space="preserve">해외 자동화 물류시스템 외 / ~ 2026.06.30  | 국내 자동화 물류시스템 외 / ~ 2026.06.30 </t>
        </is>
      </c>
      <c r="V110" s="21">
        <f>HYPERLINK("https://dart.fss.or.kr/dsaf001/main.do?rcpNo=20260813001670", "공시열람")</f>
        <v/>
      </c>
    </row>
    <row r="111">
      <c r="A111" s="5" t="inlineStr">
        <is>
          <t>서연</t>
        </is>
      </c>
      <c r="B111" s="6" t="inlineStr">
        <is>
          <t>007860</t>
        </is>
      </c>
      <c r="C111" s="6" t="inlineStr">
        <is>
          <t>2026Q2</t>
        </is>
      </c>
      <c r="D111" s="6" t="inlineStr">
        <is>
          <t>20260814</t>
        </is>
      </c>
      <c r="E111" s="16" t="inlineStr"/>
      <c r="F111" s="16" t="inlineStr"/>
      <c r="G111" s="16" t="n">
        <v>22392034</v>
      </c>
      <c r="H111" s="6" t="inlineStr">
        <is>
          <t>천원</t>
        </is>
      </c>
      <c r="I111" s="17" t="n">
        <v>-21.7</v>
      </c>
      <c r="J111" s="18" t="n">
        <v>48175375</v>
      </c>
      <c r="K111" s="19" t="n">
        <v>47653434</v>
      </c>
      <c r="L111" s="18" t="n">
        <v>47653434</v>
      </c>
      <c r="M111" s="19" t="n">
        <v>47653434</v>
      </c>
      <c r="N111" s="18" t="n">
        <v>36886361</v>
      </c>
      <c r="O111" s="19" t="n">
        <v>36886361</v>
      </c>
      <c r="P111" s="18" t="n">
        <v>36886361</v>
      </c>
      <c r="Q111" s="19" t="n">
        <v>28582057</v>
      </c>
      <c r="R111" s="18" t="n">
        <v>28582056</v>
      </c>
      <c r="S111" s="20" t="n">
        <v>22392034</v>
      </c>
      <c r="T111" s="6" t="n">
        <v>1</v>
      </c>
      <c r="U111" s="5" t="inlineStr">
        <is>
          <t>금 형 / 금형사업부</t>
        </is>
      </c>
      <c r="V111" s="21">
        <f>HYPERLINK("https://dart.fss.or.kr/dsaf001/main.do?rcpNo=20260814003532", "공시열람")</f>
        <v/>
      </c>
    </row>
    <row r="112">
      <c r="A112" s="5" t="inlineStr">
        <is>
          <t>대덕</t>
        </is>
      </c>
      <c r="B112" s="6" t="inlineStr">
        <is>
          <t>008060</t>
        </is>
      </c>
      <c r="C112" s="6" t="inlineStr">
        <is>
          <t>2026Q2</t>
        </is>
      </c>
      <c r="D112" s="6" t="inlineStr">
        <is>
          <t>20260814</t>
        </is>
      </c>
      <c r="E112" s="16" t="n">
        <v>10777</v>
      </c>
      <c r="F112" s="16" t="n">
        <v>7449</v>
      </c>
      <c r="G112" s="16" t="n">
        <v>3328</v>
      </c>
      <c r="H112" s="6" t="inlineStr">
        <is>
          <t>천㎡,억원</t>
        </is>
      </c>
      <c r="I112" s="17" t="n">
        <v>40.2</v>
      </c>
      <c r="J112" s="18" t="n">
        <v>723</v>
      </c>
      <c r="K112" s="19" t="n">
        <v>682</v>
      </c>
      <c r="L112" s="18" t="n">
        <v>776</v>
      </c>
      <c r="M112" s="19" t="n">
        <v>357</v>
      </c>
      <c r="N112" s="18" t="n">
        <v>792</v>
      </c>
      <c r="O112" s="19" t="n">
        <v>1283</v>
      </c>
      <c r="P112" s="18" t="n">
        <v>3110</v>
      </c>
      <c r="Q112" s="19" t="n">
        <v>2168</v>
      </c>
      <c r="R112" s="18" t="n">
        <v>2374</v>
      </c>
      <c r="S112" s="20" t="n">
        <v>3328</v>
      </c>
      <c r="T112" s="6" t="n">
        <v>1</v>
      </c>
      <c r="U112" s="5" t="inlineStr">
        <is>
          <t>PCB / 2026.01.01~ 2026.06.30</t>
        </is>
      </c>
      <c r="V112" s="21">
        <f>HYPERLINK("https://dart.fss.or.kr/dsaf001/main.do?rcpNo=20260814002831", "공시열람")</f>
        <v/>
      </c>
    </row>
    <row r="113">
      <c r="A113" s="5" t="inlineStr">
        <is>
          <t>이건산업</t>
        </is>
      </c>
      <c r="B113" s="6" t="inlineStr">
        <is>
          <t>008250</t>
        </is>
      </c>
      <c r="C113" s="6" t="inlineStr">
        <is>
          <t>2026Q2</t>
        </is>
      </c>
      <c r="D113" s="6" t="inlineStr">
        <is>
          <t>20260814</t>
        </is>
      </c>
      <c r="E113" s="16" t="n">
        <v>77928</v>
      </c>
      <c r="F113" s="16" t="n">
        <v>43525</v>
      </c>
      <c r="G113" s="16" t="n">
        <v>34403</v>
      </c>
      <c r="H113" s="6" t="inlineStr">
        <is>
          <t>천M2/백만원</t>
        </is>
      </c>
      <c r="I113" s="17" t="n">
        <v>24.2</v>
      </c>
      <c r="J113" s="18" t="n">
        <v>59371</v>
      </c>
      <c r="K113" s="19" t="n">
        <v>61174</v>
      </c>
      <c r="L113" s="18" t="n">
        <v>53064</v>
      </c>
      <c r="M113" s="19" t="n">
        <v>48068</v>
      </c>
      <c r="N113" s="18" t="n">
        <v>50310</v>
      </c>
      <c r="O113" s="19" t="n">
        <v>48396</v>
      </c>
      <c r="P113" s="18" t="n">
        <v>54844</v>
      </c>
      <c r="Q113" s="19" t="n">
        <v>32010</v>
      </c>
      <c r="R113" s="18" t="n">
        <v>27691</v>
      </c>
      <c r="S113" s="20" t="n">
        <v>34403</v>
      </c>
      <c r="T113" s="6" t="n">
        <v>1</v>
      </c>
      <c r="U113" s="5" t="inlineStr">
        <is>
          <t>마루 / ~2026.06.30 / -</t>
        </is>
      </c>
      <c r="V113" s="21">
        <f>HYPERLINK("https://dart.fss.or.kr/dsaf001/main.do?rcpNo=20260814003058", "공시열람")</f>
        <v/>
      </c>
    </row>
    <row r="114">
      <c r="A114" s="5" t="inlineStr">
        <is>
          <t>남선알미늄</t>
        </is>
      </c>
      <c r="B114" s="6" t="inlineStr">
        <is>
          <t>008350</t>
        </is>
      </c>
      <c r="C114" s="6" t="inlineStr">
        <is>
          <t>2025Q3</t>
        </is>
      </c>
      <c r="D114" s="6" t="inlineStr">
        <is>
          <t>20251114</t>
        </is>
      </c>
      <c r="E114" s="16" t="inlineStr"/>
      <c r="F114" s="16" t="inlineStr"/>
      <c r="G114" s="16" t="n">
        <v>441056</v>
      </c>
      <c r="H114" s="6" t="inlineStr">
        <is>
          <t>천원</t>
        </is>
      </c>
      <c r="I114" s="17" t="n">
        <v>83.3</v>
      </c>
      <c r="J114" s="18" t="n">
        <v>22170</v>
      </c>
      <c r="K114" s="19" t="n">
        <v>10848</v>
      </c>
      <c r="L114" s="18" t="n">
        <v>33827</v>
      </c>
      <c r="M114" s="19" t="n">
        <v>37531</v>
      </c>
      <c r="N114" s="18" t="n">
        <v>15432</v>
      </c>
      <c r="O114" s="19" t="n">
        <v>240576</v>
      </c>
      <c r="P114" s="18" t="n">
        <v>441056</v>
      </c>
      <c r="Q114" s="19" t="inlineStr"/>
      <c r="R114" s="18" t="inlineStr"/>
      <c r="S114" s="20" t="inlineStr"/>
      <c r="T114" s="6" t="n">
        <v>2</v>
      </c>
      <c r="U114" s="5" t="inlineStr">
        <is>
          <t>사업결합 / - | 기말금액</t>
        </is>
      </c>
      <c r="V114" s="21">
        <f>HYPERLINK("https://dart.fss.or.kr/dsaf001/main.do?rcpNo=20251114002882", "공시열람")</f>
        <v/>
      </c>
    </row>
    <row r="115">
      <c r="A115" s="5" t="inlineStr">
        <is>
          <t>원풍</t>
        </is>
      </c>
      <c r="B115" s="6" t="inlineStr">
        <is>
          <t>008370</t>
        </is>
      </c>
      <c r="C115" s="6" t="inlineStr">
        <is>
          <t>2026Q2</t>
        </is>
      </c>
      <c r="D115" s="6" t="inlineStr">
        <is>
          <t>20260814</t>
        </is>
      </c>
      <c r="E115" s="16" t="n">
        <v>4833896</v>
      </c>
      <c r="F115" s="16" t="inlineStr"/>
      <c r="G115" s="16" t="n">
        <v>4833896</v>
      </c>
      <c r="H115" s="6" t="inlineStr">
        <is>
          <t>USD</t>
        </is>
      </c>
      <c r="I115" s="17" t="n">
        <v>-5.2</v>
      </c>
      <c r="J115" s="18" t="n">
        <v>4749052</v>
      </c>
      <c r="K115" s="19" t="n">
        <v>4549985</v>
      </c>
      <c r="L115" s="18" t="n">
        <v>4640541</v>
      </c>
      <c r="M115" s="19" t="n">
        <v>4628936</v>
      </c>
      <c r="N115" s="18" t="n">
        <v>5352337</v>
      </c>
      <c r="O115" s="19" t="n">
        <v>4056660</v>
      </c>
      <c r="P115" s="18" t="n">
        <v>4481024</v>
      </c>
      <c r="Q115" s="19" t="n">
        <v>4484723</v>
      </c>
      <c r="R115" s="18" t="n">
        <v>5100181</v>
      </c>
      <c r="S115" s="20" t="n">
        <v>4833896</v>
      </c>
      <c r="T115" s="6" t="n">
        <v>2</v>
      </c>
      <c r="U115" s="5" t="inlineStr">
        <is>
          <t xml:space="preserve">청주TARPAULIN / 2026.04~2026.06  | 옥천TARPAULIN / 2026.04~2026.06 </t>
        </is>
      </c>
      <c r="V115" s="21">
        <f>HYPERLINK("https://dart.fss.or.kr/dsaf001/main.do?rcpNo=20260814001554", "공시열람")</f>
        <v/>
      </c>
    </row>
    <row r="116">
      <c r="A116" s="5" t="inlineStr">
        <is>
          <t>율촌화학</t>
        </is>
      </c>
      <c r="B116" s="6" t="inlineStr">
        <is>
          <t>008730</t>
        </is>
      </c>
      <c r="C116" s="6" t="inlineStr">
        <is>
          <t>2024Q1</t>
        </is>
      </c>
      <c r="D116" s="6" t="inlineStr">
        <is>
          <t>20240516</t>
        </is>
      </c>
      <c r="E116" s="16" t="n">
        <v>1042020000</v>
      </c>
      <c r="F116" s="16" t="inlineStr"/>
      <c r="G116" s="16" t="n">
        <v>1042020000</v>
      </c>
      <c r="H116" s="6" t="inlineStr">
        <is>
          <t>USD</t>
        </is>
      </c>
      <c r="I116" s="17" t="n">
        <v>0</v>
      </c>
      <c r="J116" s="18" t="n">
        <v>1042020000</v>
      </c>
      <c r="K116" s="19" t="inlineStr"/>
      <c r="L116" s="18" t="inlineStr"/>
      <c r="M116" s="19" t="inlineStr"/>
      <c r="N116" s="18" t="inlineStr"/>
      <c r="O116" s="19" t="inlineStr"/>
      <c r="P116" s="18" t="inlineStr"/>
      <c r="Q116" s="19" t="inlineStr"/>
      <c r="R116" s="18" t="inlineStr"/>
      <c r="S116" s="20" t="inlineStr"/>
      <c r="T116" s="6" t="n">
        <v>1</v>
      </c>
      <c r="U116" s="5" t="inlineStr">
        <is>
          <t>LIB 제조용Aluminium Pouch / 2022-</t>
        </is>
      </c>
      <c r="V116" s="21">
        <f>HYPERLINK("https://dart.fss.or.kr/dsaf001/main.do?rcpNo=20240516001128", "공시열람")</f>
        <v/>
      </c>
    </row>
    <row r="117">
      <c r="A117" s="5" t="inlineStr">
        <is>
          <t>대동기어</t>
        </is>
      </c>
      <c r="B117" s="6" t="inlineStr">
        <is>
          <t>008830</t>
        </is>
      </c>
      <c r="C117" s="6" t="inlineStr">
        <is>
          <t>2026Q2</t>
        </is>
      </c>
      <c r="D117" s="6" t="inlineStr">
        <is>
          <t>20260814</t>
        </is>
      </c>
      <c r="E117" s="16" t="n">
        <v>126359</v>
      </c>
      <c r="F117" s="16" t="n">
        <v>126359</v>
      </c>
      <c r="G117" s="16" t="n">
        <v>0</v>
      </c>
      <c r="H117" s="6" t="inlineStr">
        <is>
          <t>개,백만원</t>
        </is>
      </c>
      <c r="I117" s="17" t="inlineStr"/>
      <c r="J117" s="18" t="n">
        <v>0</v>
      </c>
      <c r="K117" s="19" t="n">
        <v>0</v>
      </c>
      <c r="L117" s="18" t="n">
        <v>0</v>
      </c>
      <c r="M117" s="19" t="n">
        <v>0</v>
      </c>
      <c r="N117" s="18" t="n">
        <v>0</v>
      </c>
      <c r="O117" s="19" t="n">
        <v>0</v>
      </c>
      <c r="P117" s="18" t="n">
        <v>0</v>
      </c>
      <c r="Q117" s="19" t="n">
        <v>0</v>
      </c>
      <c r="R117" s="18" t="n">
        <v>0</v>
      </c>
      <c r="S117" s="20" t="n">
        <v>0</v>
      </c>
      <c r="T117" s="6" t="n">
        <v>1</v>
      </c>
      <c r="U117" s="5" t="inlineStr">
        <is>
          <t>기어 및 동력전달 장치 / 수시</t>
        </is>
      </c>
      <c r="V117" s="21">
        <f>HYPERLINK("https://dart.fss.or.kr/dsaf001/main.do?rcpNo=20260814001141", "공시열람")</f>
        <v/>
      </c>
    </row>
    <row r="118">
      <c r="A118" s="5" t="inlineStr">
        <is>
          <t>KBI동양철관</t>
        </is>
      </c>
      <c r="B118" s="6" t="inlineStr">
        <is>
          <t>008970</t>
        </is>
      </c>
      <c r="C118" s="6" t="inlineStr">
        <is>
          <t>2026Q2</t>
        </is>
      </c>
      <c r="D118" s="6" t="inlineStr">
        <is>
          <t>20260930</t>
        </is>
      </c>
      <c r="E118" s="16" t="n">
        <v>2042</v>
      </c>
      <c r="F118" s="16" t="n">
        <v>382</v>
      </c>
      <c r="G118" s="16" t="n">
        <v>1660</v>
      </c>
      <c r="H118" s="6" t="inlineStr">
        <is>
          <t>톤,억원</t>
        </is>
      </c>
      <c r="I118" s="17" t="n">
        <v>-9.4</v>
      </c>
      <c r="J118" s="18" t="n">
        <v>252</v>
      </c>
      <c r="K118" s="19" t="n">
        <v>397</v>
      </c>
      <c r="L118" s="18" t="n">
        <v>665</v>
      </c>
      <c r="M118" s="19" t="n">
        <v>576</v>
      </c>
      <c r="N118" s="18" t="n">
        <v>402</v>
      </c>
      <c r="O118" s="19" t="n">
        <v>593</v>
      </c>
      <c r="P118" s="18" t="n">
        <v>863</v>
      </c>
      <c r="Q118" s="19" t="n">
        <v>608</v>
      </c>
      <c r="R118" s="18" t="n">
        <v>1833</v>
      </c>
      <c r="S118" s="20" t="n">
        <v>1660</v>
      </c>
      <c r="T118" s="6" t="n">
        <v>1</v>
      </c>
      <c r="U118" s="5" t="inlineStr">
        <is>
          <t>강관제품 / 2026.01.01 ~ 06.30</t>
        </is>
      </c>
      <c r="V118" s="21">
        <f>HYPERLINK("https://dart.fss.or.kr/dsaf001/main.do?rcpNo=20260930000528", "공시열람")</f>
        <v/>
      </c>
    </row>
    <row r="119">
      <c r="A119" s="5" t="inlineStr">
        <is>
          <t>경인전자</t>
        </is>
      </c>
      <c r="B119" s="6" t="inlineStr">
        <is>
          <t>009140</t>
        </is>
      </c>
      <c r="C119" s="6" t="inlineStr">
        <is>
          <t>2026Q2</t>
        </is>
      </c>
      <c r="D119" s="6" t="inlineStr">
        <is>
          <t>20260814</t>
        </is>
      </c>
      <c r="E119" s="16" t="n">
        <v>28218247</v>
      </c>
      <c r="F119" s="16" t="n">
        <v>22762044</v>
      </c>
      <c r="G119" s="16" t="n">
        <v>5456203</v>
      </c>
      <c r="H119" s="6" t="inlineStr">
        <is>
          <t>천개,천원</t>
        </is>
      </c>
      <c r="I119" s="17" t="n">
        <v>-44.6</v>
      </c>
      <c r="J119" s="18" t="n">
        <v>3423158</v>
      </c>
      <c r="K119" s="19" t="n">
        <v>3691057</v>
      </c>
      <c r="L119" s="18" t="n">
        <v>2827988</v>
      </c>
      <c r="M119" s="19" t="n">
        <v>3078538</v>
      </c>
      <c r="N119" s="18" t="n">
        <v>4169236</v>
      </c>
      <c r="O119" s="19" t="n">
        <v>3644247</v>
      </c>
      <c r="P119" s="18" t="n">
        <v>4931511</v>
      </c>
      <c r="Q119" s="19" t="n">
        <v>5729817</v>
      </c>
      <c r="R119" s="18" t="n">
        <v>9840818</v>
      </c>
      <c r="S119" s="20" t="n">
        <v>5456203</v>
      </c>
      <c r="T119" s="6" t="n">
        <v>4</v>
      </c>
      <c r="U119" s="5" t="inlineStr">
        <is>
          <t>REMOCON / - / 120일 | TMS / - / 30일 | SWITCH / - / 30일</t>
        </is>
      </c>
      <c r="V119" s="21">
        <f>HYPERLINK("https://dart.fss.or.kr/dsaf001/main.do?rcpNo=20260814002986", "공시열람")</f>
        <v/>
      </c>
    </row>
    <row r="120">
      <c r="A120" s="5" t="inlineStr">
        <is>
          <t>SIMPAC</t>
        </is>
      </c>
      <c r="B120" s="6" t="inlineStr">
        <is>
          <t>009160</t>
        </is>
      </c>
      <c r="C120" s="6" t="inlineStr">
        <is>
          <t>2026Q2</t>
        </is>
      </c>
      <c r="D120" s="6" t="inlineStr">
        <is>
          <t>20260814</t>
        </is>
      </c>
      <c r="E120" s="16" t="n">
        <v>139498</v>
      </c>
      <c r="F120" s="16" t="n">
        <v>86546</v>
      </c>
      <c r="G120" s="16" t="n">
        <v>241755</v>
      </c>
      <c r="H120" s="6" t="inlineStr">
        <is>
          <t>백만원</t>
        </is>
      </c>
      <c r="I120" s="17" t="n">
        <v>23.6</v>
      </c>
      <c r="J120" s="18" t="n">
        <v>258726</v>
      </c>
      <c r="K120" s="19" t="n">
        <v>249030</v>
      </c>
      <c r="L120" s="18" t="n">
        <v>232474</v>
      </c>
      <c r="M120" s="19" t="n">
        <v>241613</v>
      </c>
      <c r="N120" s="18" t="n">
        <v>250178</v>
      </c>
      <c r="O120" s="19" t="n">
        <v>244801</v>
      </c>
      <c r="P120" s="18" t="n">
        <v>217787</v>
      </c>
      <c r="Q120" s="19" t="n">
        <v>204026</v>
      </c>
      <c r="R120" s="18" t="n">
        <v>195613</v>
      </c>
      <c r="S120" s="20" t="n">
        <v>241755</v>
      </c>
      <c r="T120" s="6" t="n">
        <v>2</v>
      </c>
      <c r="U120" s="5" t="inlineStr">
        <is>
          <t>프레스 | 산업기계</t>
        </is>
      </c>
      <c r="V120" s="21">
        <f>HYPERLINK("https://dart.fss.or.kr/dsaf001/main.do?rcpNo=20260814003619", "공시열람")</f>
        <v/>
      </c>
    </row>
    <row r="121">
      <c r="A121" s="5" t="inlineStr">
        <is>
          <t>한샘</t>
        </is>
      </c>
      <c r="B121" s="6" t="inlineStr">
        <is>
          <t>009240</t>
        </is>
      </c>
      <c r="C121" s="6" t="inlineStr">
        <is>
          <t>2026Q2</t>
        </is>
      </c>
      <c r="D121" s="6" t="inlineStr">
        <is>
          <t>20260813</t>
        </is>
      </c>
      <c r="E121" s="16" t="n">
        <v>43612</v>
      </c>
      <c r="F121" s="16" t="n">
        <v>63496</v>
      </c>
      <c r="G121" s="16" t="n">
        <v>217738</v>
      </c>
      <c r="H121" s="6" t="inlineStr">
        <is>
          <t>백만원</t>
        </is>
      </c>
      <c r="I121" s="17" t="n">
        <v>-8.199999999999999</v>
      </c>
      <c r="J121" s="18" t="n">
        <v>294383</v>
      </c>
      <c r="K121" s="19" t="n">
        <v>294524</v>
      </c>
      <c r="L121" s="18" t="n">
        <v>293637</v>
      </c>
      <c r="M121" s="19" t="n">
        <v>293545</v>
      </c>
      <c r="N121" s="18" t="n">
        <v>261723</v>
      </c>
      <c r="O121" s="19" t="n">
        <v>248123</v>
      </c>
      <c r="P121" s="18" t="n">
        <v>215988</v>
      </c>
      <c r="Q121" s="19" t="n">
        <v>237622</v>
      </c>
      <c r="R121" s="18" t="n">
        <v>237302</v>
      </c>
      <c r="S121" s="20" t="n">
        <v>217738</v>
      </c>
      <c r="T121" s="6" t="n">
        <v>1</v>
      </c>
      <c r="U121" s="5" t="inlineStr">
        <is>
          <t>건설사 특판 / 제54기 반기 / 2026.01.01~</t>
        </is>
      </c>
      <c r="V121" s="21">
        <f>HYPERLINK("https://dart.fss.or.kr/dsaf001/main.do?rcpNo=20260813001668", "공시열람")</f>
        <v/>
      </c>
    </row>
    <row r="122">
      <c r="A122" s="5" t="inlineStr">
        <is>
          <t>신원</t>
        </is>
      </c>
      <c r="B122" s="6" t="inlineStr">
        <is>
          <t>009270</t>
        </is>
      </c>
      <c r="C122" s="6" t="inlineStr">
        <is>
          <t>2026Q2</t>
        </is>
      </c>
      <c r="D122" s="6" t="inlineStr">
        <is>
          <t>20260814</t>
        </is>
      </c>
      <c r="E122" s="16" t="n">
        <v>560489</v>
      </c>
      <c r="F122" s="16" t="n">
        <v>332453</v>
      </c>
      <c r="G122" s="16" t="n">
        <v>228035</v>
      </c>
      <c r="H122" s="6" t="inlineStr">
        <is>
          <t>천PCS,천USD</t>
        </is>
      </c>
      <c r="I122" s="17" t="n">
        <v>8.699999999999999</v>
      </c>
      <c r="J122" s="18" t="n">
        <v>137590</v>
      </c>
      <c r="K122" s="19" t="n">
        <v>184320</v>
      </c>
      <c r="L122" s="18" t="n">
        <v>134471</v>
      </c>
      <c r="M122" s="19" t="n">
        <v>0</v>
      </c>
      <c r="N122" s="18" t="n">
        <v>174260</v>
      </c>
      <c r="O122" s="19" t="n">
        <v>188998</v>
      </c>
      <c r="P122" s="18" t="n">
        <v>158304</v>
      </c>
      <c r="Q122" s="19" t="n">
        <v>0</v>
      </c>
      <c r="R122" s="18" t="n">
        <v>209691</v>
      </c>
      <c r="S122" s="20" t="n">
        <v>228035</v>
      </c>
      <c r="T122" s="6" t="n">
        <v>2</v>
      </c>
      <c r="U122" s="5" t="inlineStr">
        <is>
          <t>KNIT / - | SWEATER / -</t>
        </is>
      </c>
      <c r="V122" s="21">
        <f>HYPERLINK("https://dart.fss.or.kr/dsaf001/main.do?rcpNo=20260814002817", "공시열람")</f>
        <v/>
      </c>
    </row>
    <row r="123">
      <c r="A123" s="5" t="inlineStr">
        <is>
          <t>참엔지니어링</t>
        </is>
      </c>
      <c r="B123" s="6" t="inlineStr">
        <is>
          <t>009310</t>
        </is>
      </c>
      <c r="C123" s="6" t="inlineStr">
        <is>
          <t>2024Q1</t>
        </is>
      </c>
      <c r="D123" s="6" t="inlineStr">
        <is>
          <t>20240514</t>
        </is>
      </c>
      <c r="E123" s="16" t="n">
        <v>34986</v>
      </c>
      <c r="F123" s="16" t="n">
        <v>27821</v>
      </c>
      <c r="G123" s="16" t="n">
        <v>7165</v>
      </c>
      <c r="H123" s="6" t="inlineStr">
        <is>
          <t>백만원</t>
        </is>
      </c>
      <c r="I123" s="17" t="n">
        <v>-4.9</v>
      </c>
      <c r="J123" s="18" t="n">
        <v>7165</v>
      </c>
      <c r="K123" s="19" t="inlineStr"/>
      <c r="L123" s="18" t="inlineStr"/>
      <c r="M123" s="19" t="inlineStr"/>
      <c r="N123" s="18" t="inlineStr"/>
      <c r="O123" s="19" t="inlineStr"/>
      <c r="P123" s="18" t="inlineStr"/>
      <c r="Q123" s="19" t="inlineStr"/>
      <c r="R123" s="18" t="inlineStr"/>
      <c r="S123" s="20" t="inlineStr"/>
      <c r="T123" s="6" t="n">
        <v>1</v>
      </c>
      <c r="U123" s="5" t="inlineStr">
        <is>
          <t>FPD Repair장비 외 / 22.04~24.03 /</t>
        </is>
      </c>
      <c r="V123" s="21">
        <f>HYPERLINK("https://dart.fss.or.kr/dsaf001/main.do?rcpNo=20240514000863", "공시열람")</f>
        <v/>
      </c>
    </row>
    <row r="124">
      <c r="A124" s="5" t="inlineStr">
        <is>
          <t>태영건설</t>
        </is>
      </c>
      <c r="B124" s="6" t="inlineStr">
        <is>
          <t>009410</t>
        </is>
      </c>
      <c r="C124" s="6" t="inlineStr">
        <is>
          <t>2026Q2</t>
        </is>
      </c>
      <c r="D124" s="6" t="inlineStr">
        <is>
          <t>20260814</t>
        </is>
      </c>
      <c r="E124" s="16" t="inlineStr"/>
      <c r="F124" s="16" t="n">
        <v>15436834544</v>
      </c>
      <c r="G124" s="16" t="n">
        <v>16488890540</v>
      </c>
      <c r="H124" s="6" t="inlineStr">
        <is>
          <t>천원</t>
        </is>
      </c>
      <c r="I124" s="17" t="n">
        <v>2.8</v>
      </c>
      <c r="J124" s="18" t="n">
        <v>18879296934</v>
      </c>
      <c r="K124" s="19" t="n">
        <v>17707786106</v>
      </c>
      <c r="L124" s="18" t="n">
        <v>16332763222</v>
      </c>
      <c r="M124" s="19" t="n">
        <v>16090300637</v>
      </c>
      <c r="N124" s="18" t="n">
        <v>14314854437</v>
      </c>
      <c r="O124" s="19" t="n">
        <v>13212960196</v>
      </c>
      <c r="P124" s="18" t="n">
        <v>14630615612</v>
      </c>
      <c r="Q124" s="19" t="n">
        <v>15318323438</v>
      </c>
      <c r="R124" s="18" t="n">
        <v>16033682219</v>
      </c>
      <c r="S124" s="20" t="n">
        <v>16488890540</v>
      </c>
      <c r="T124" s="6" t="n">
        <v>108</v>
      </c>
      <c r="U124" s="5" t="inlineStr">
        <is>
          <t>합계 - 전체 | 토목본부-전체 | 토목본부-국내</t>
        </is>
      </c>
      <c r="V124" s="21">
        <f>HYPERLINK("https://dart.fss.or.kr/dsaf001/main.do?rcpNo=20260814003287", "공시열람")</f>
        <v/>
      </c>
    </row>
    <row r="125">
      <c r="A125" s="5" t="inlineStr">
        <is>
          <t>KC그린홀딩스</t>
        </is>
      </c>
      <c r="B125" s="6" t="inlineStr">
        <is>
          <t>009440</t>
        </is>
      </c>
      <c r="C125" s="6" t="inlineStr">
        <is>
          <t>2025Q1</t>
        </is>
      </c>
      <c r="D125" s="6" t="inlineStr">
        <is>
          <t>20250515</t>
        </is>
      </c>
      <c r="E125" s="16" t="inlineStr"/>
      <c r="F125" s="16" t="inlineStr"/>
      <c r="G125" s="16" t="n">
        <v>5000814134.12</v>
      </c>
      <c r="H125" s="6" t="inlineStr">
        <is>
          <t>천원,USD등</t>
        </is>
      </c>
      <c r="I125" s="17" t="n">
        <v>-1.8</v>
      </c>
      <c r="J125" s="18" t="inlineStr"/>
      <c r="K125" s="19" t="inlineStr"/>
      <c r="L125" s="18" t="n">
        <v>5003305290</v>
      </c>
      <c r="M125" s="19" t="n">
        <v>5089927645.46</v>
      </c>
      <c r="N125" s="18" t="n">
        <v>5000814134.12</v>
      </c>
      <c r="O125" s="19" t="inlineStr"/>
      <c r="P125" s="18" t="inlineStr"/>
      <c r="Q125" s="19" t="inlineStr"/>
      <c r="R125" s="18" t="inlineStr"/>
      <c r="S125" s="20" t="inlineStr"/>
      <c r="T125" s="6" t="n">
        <v>5</v>
      </c>
      <c r="U125" s="5" t="inlineStr">
        <is>
          <t>INR | TWD | USD</t>
        </is>
      </c>
      <c r="V125" s="21">
        <f>HYPERLINK("https://dart.fss.or.kr/dsaf001/main.do?rcpNo=20250515002757", "공시열람")</f>
        <v/>
      </c>
    </row>
    <row r="126">
      <c r="A126" s="5" t="inlineStr">
        <is>
          <t>한창제지</t>
        </is>
      </c>
      <c r="B126" s="6" t="inlineStr">
        <is>
          <t>009460</t>
        </is>
      </c>
      <c r="C126" s="6" t="inlineStr">
        <is>
          <t>2026Q2</t>
        </is>
      </c>
      <c r="D126" s="6" t="inlineStr">
        <is>
          <t>20260814</t>
        </is>
      </c>
      <c r="E126" s="16" t="n">
        <v>25983</v>
      </c>
      <c r="F126" s="16" t="n">
        <v>17583</v>
      </c>
      <c r="G126" s="16" t="n">
        <v>8400</v>
      </c>
      <c r="H126" s="6" t="inlineStr">
        <is>
          <t>백만원</t>
        </is>
      </c>
      <c r="I126" s="17" t="inlineStr"/>
      <c r="J126" s="18" t="inlineStr"/>
      <c r="K126" s="19" t="inlineStr"/>
      <c r="L126" s="18" t="inlineStr"/>
      <c r="M126" s="19" t="inlineStr"/>
      <c r="N126" s="18" t="inlineStr"/>
      <c r="O126" s="19" t="inlineStr"/>
      <c r="P126" s="18" t="inlineStr"/>
      <c r="Q126" s="19" t="inlineStr"/>
      <c r="R126" s="18" t="inlineStr"/>
      <c r="S126" s="20" t="n">
        <v>8400</v>
      </c>
      <c r="T126" s="6" t="n">
        <v>1</v>
      </c>
      <c r="U126" s="5" t="inlineStr">
        <is>
          <t>백판지 / 2025.12.31 / 2026.01.01~</t>
        </is>
      </c>
      <c r="V126" s="21">
        <f>HYPERLINK("https://dart.fss.or.kr/dsaf001/main.do?rcpNo=20260814000990", "공시열람")</f>
        <v/>
      </c>
    </row>
    <row r="127">
      <c r="A127" s="5" t="inlineStr">
        <is>
          <t>삼화전기</t>
        </is>
      </c>
      <c r="B127" s="6" t="inlineStr">
        <is>
          <t>009470</t>
        </is>
      </c>
      <c r="C127" s="6" t="inlineStr">
        <is>
          <t>2026Q2</t>
        </is>
      </c>
      <c r="D127" s="6" t="inlineStr">
        <is>
          <t>20260814</t>
        </is>
      </c>
      <c r="E127" s="16" t="n">
        <v>125759</v>
      </c>
      <c r="F127" s="16" t="n">
        <v>86787</v>
      </c>
      <c r="G127" s="16" t="n">
        <v>38972</v>
      </c>
      <c r="H127" s="6" t="inlineStr">
        <is>
          <t>천개,백만원</t>
        </is>
      </c>
      <c r="I127" s="17" t="n">
        <v>64.7</v>
      </c>
      <c r="J127" s="18" t="n">
        <v>3057</v>
      </c>
      <c r="K127" s="19" t="n">
        <v>3150</v>
      </c>
      <c r="L127" s="18" t="n">
        <v>3609</v>
      </c>
      <c r="M127" s="19" t="n">
        <v>4196</v>
      </c>
      <c r="N127" s="18" t="n">
        <v>7089</v>
      </c>
      <c r="O127" s="19" t="n">
        <v>4519</v>
      </c>
      <c r="P127" s="18" t="n">
        <v>20843</v>
      </c>
      <c r="Q127" s="19" t="n">
        <v>20499</v>
      </c>
      <c r="R127" s="18" t="n">
        <v>23668</v>
      </c>
      <c r="S127" s="20" t="n">
        <v>38972</v>
      </c>
      <c r="T127" s="6" t="n">
        <v>3</v>
      </c>
      <c r="U127" s="5" t="inlineStr">
        <is>
          <t>전해콘덴서 / 2026.1.1~06.30 | 상품 / 2026.1.1~06.30 | GREEN CAP / 2026.1.1~06.30</t>
        </is>
      </c>
      <c r="V127" s="21">
        <f>HYPERLINK("https://dart.fss.or.kr/dsaf001/main.do?rcpNo=20260814002002", "공시열람")</f>
        <v/>
      </c>
    </row>
    <row r="128">
      <c r="A128" s="5" t="inlineStr">
        <is>
          <t>HD한국조선해양</t>
        </is>
      </c>
      <c r="B128" s="6" t="inlineStr">
        <is>
          <t>009540</t>
        </is>
      </c>
      <c r="C128" s="6" t="inlineStr">
        <is>
          <t>2026Q2</t>
        </is>
      </c>
      <c r="D128" s="6" t="inlineStr">
        <is>
          <t>20260814</t>
        </is>
      </c>
      <c r="E128" s="16" t="inlineStr"/>
      <c r="F128" s="16" t="n">
        <v>17070572</v>
      </c>
      <c r="G128" s="16" t="n">
        <v>98808720</v>
      </c>
      <c r="H128" s="6" t="inlineStr">
        <is>
          <t>백만원</t>
        </is>
      </c>
      <c r="I128" s="17" t="n">
        <v>10.9</v>
      </c>
      <c r="J128" s="18" t="n">
        <v>77179596</v>
      </c>
      <c r="K128" s="19" t="n">
        <v>78510928</v>
      </c>
      <c r="L128" s="18" t="n">
        <v>77076074</v>
      </c>
      <c r="M128" s="19" t="n">
        <v>83508459</v>
      </c>
      <c r="N128" s="18" t="n">
        <v>84046817</v>
      </c>
      <c r="O128" s="19" t="n">
        <v>81442477</v>
      </c>
      <c r="P128" s="18" t="n">
        <v>79890507</v>
      </c>
      <c r="Q128" s="19" t="n">
        <v>82236880</v>
      </c>
      <c r="R128" s="18" t="n">
        <v>89093027</v>
      </c>
      <c r="S128" s="20" t="n">
        <v>98808720</v>
      </c>
      <c r="T128" s="6" t="n">
        <v>3</v>
      </c>
      <c r="U128" s="5" t="inlineStr">
        <is>
          <t>조 선 / '26.06.30 까지 / - | 기 타 / '26.06.30 까지 / - | 해양플랜트 / '26.06.30 까지 / -</t>
        </is>
      </c>
      <c r="V128" s="21">
        <f>HYPERLINK("https://dart.fss.or.kr/dsaf001/main.do?rcpNo=20260814002569", "공시열람")</f>
        <v/>
      </c>
    </row>
    <row r="129">
      <c r="A129" s="5" t="inlineStr">
        <is>
          <t>이렘</t>
        </is>
      </c>
      <c r="B129" s="6" t="inlineStr">
        <is>
          <t>009730</t>
        </is>
      </c>
      <c r="C129" s="6" t="inlineStr">
        <is>
          <t>2025Q1</t>
        </is>
      </c>
      <c r="D129" s="6" t="inlineStr">
        <is>
          <t>20250515</t>
        </is>
      </c>
      <c r="E129" s="16" t="n">
        <v>15873</v>
      </c>
      <c r="F129" s="16" t="n">
        <v>4139</v>
      </c>
      <c r="G129" s="16" t="n">
        <v>11734</v>
      </c>
      <c r="H129" s="6" t="inlineStr">
        <is>
          <t>백만원</t>
        </is>
      </c>
      <c r="I129" s="17" t="n">
        <v>-4.1</v>
      </c>
      <c r="J129" s="18" t="n">
        <v>18150</v>
      </c>
      <c r="K129" s="19" t="n">
        <v>8570</v>
      </c>
      <c r="L129" s="18" t="n">
        <v>7970</v>
      </c>
      <c r="M129" s="19" t="n">
        <v>12233</v>
      </c>
      <c r="N129" s="18" t="n">
        <v>11734</v>
      </c>
      <c r="O129" s="19" t="inlineStr"/>
      <c r="P129" s="18" t="inlineStr"/>
      <c r="Q129" s="19" t="inlineStr"/>
      <c r="R129" s="18" t="inlineStr"/>
      <c r="S129" s="20" t="inlineStr"/>
      <c r="T129" s="6" t="n">
        <v>3</v>
      </c>
      <c r="U129" s="5" t="inlineStr">
        <is>
          <t>기타 및 유통대리점 | 사급(건설사) | 관급(조달) / -</t>
        </is>
      </c>
      <c r="V129" s="21">
        <f>HYPERLINK("https://dart.fss.or.kr/dsaf001/main.do?rcpNo=20250515002245", "공시열람")</f>
        <v/>
      </c>
    </row>
    <row r="130">
      <c r="A130" s="5" t="inlineStr">
        <is>
          <t>한국내화</t>
        </is>
      </c>
      <c r="B130" s="6" t="inlineStr">
        <is>
          <t>010040</t>
        </is>
      </c>
      <c r="C130" s="6" t="inlineStr">
        <is>
          <t>2026Q2</t>
        </is>
      </c>
      <c r="D130" s="6" t="inlineStr">
        <is>
          <t>20260814</t>
        </is>
      </c>
      <c r="E130" s="16" t="inlineStr"/>
      <c r="F130" s="16" t="n">
        <v>80037999</v>
      </c>
      <c r="G130" s="16" t="n">
        <v>141569208</v>
      </c>
      <c r="H130" s="6" t="inlineStr">
        <is>
          <t>천원</t>
        </is>
      </c>
      <c r="I130" s="17" t="n">
        <v>15.3</v>
      </c>
      <c r="J130" s="18" t="n">
        <v>150339333</v>
      </c>
      <c r="K130" s="19" t="n">
        <v>140585072</v>
      </c>
      <c r="L130" s="18" t="n">
        <v>141975246</v>
      </c>
      <c r="M130" s="19" t="n">
        <v>137165506</v>
      </c>
      <c r="N130" s="18" t="n">
        <v>114543560</v>
      </c>
      <c r="O130" s="19" t="n">
        <v>99827009</v>
      </c>
      <c r="P130" s="18" t="n">
        <v>114355912</v>
      </c>
      <c r="Q130" s="19" t="n">
        <v>127081707</v>
      </c>
      <c r="R130" s="18" t="n">
        <v>122809441</v>
      </c>
      <c r="S130" s="20" t="n">
        <v>141569208</v>
      </c>
      <c r="T130" s="6" t="n">
        <v>37</v>
      </c>
      <c r="U130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30" s="21">
        <f>HYPERLINK("https://dart.fss.or.kr/dsaf001/main.do?rcpNo=20260814002496", "공시열람")</f>
        <v/>
      </c>
    </row>
    <row r="131">
      <c r="A131" s="5" t="inlineStr">
        <is>
          <t>한국무브넥스</t>
        </is>
      </c>
      <c r="B131" s="6" t="inlineStr">
        <is>
          <t>010100</t>
        </is>
      </c>
      <c r="C131" s="6" t="inlineStr">
        <is>
          <t>2025Q1</t>
        </is>
      </c>
      <c r="D131" s="6" t="inlineStr">
        <is>
          <t>20250515</t>
        </is>
      </c>
      <c r="E131" s="16" t="n">
        <v>40.3</v>
      </c>
      <c r="F131" s="16" t="n">
        <v>29.8</v>
      </c>
      <c r="G131" s="16" t="n">
        <v>10.5</v>
      </c>
      <c r="H131" s="6" t="inlineStr">
        <is>
          <t>억원</t>
        </is>
      </c>
      <c r="I131" s="17" t="n">
        <v>-46.2</v>
      </c>
      <c r="J131" s="18" t="n">
        <v>155.5</v>
      </c>
      <c r="K131" s="19" t="n">
        <v>115.6</v>
      </c>
      <c r="L131" s="18" t="n">
        <v>73.5</v>
      </c>
      <c r="M131" s="19" t="n">
        <v>19.5</v>
      </c>
      <c r="N131" s="18" t="n">
        <v>10.5</v>
      </c>
      <c r="O131" s="19" t="inlineStr"/>
      <c r="P131" s="18" t="inlineStr"/>
      <c r="Q131" s="19" t="inlineStr"/>
      <c r="R131" s="18" t="inlineStr"/>
      <c r="S131" s="20" t="inlineStr"/>
      <c r="T131" s="6" t="n">
        <v>1</v>
      </c>
      <c r="U131" s="5" t="inlineStr">
        <is>
          <t>프랜지 / '25.1.1∼25.12.31 / '25년중</t>
        </is>
      </c>
      <c r="V131" s="21">
        <f>HYPERLINK("https://dart.fss.or.kr/dsaf001/main.do?rcpNo=20250515000527", "공시열람")</f>
        <v/>
      </c>
    </row>
    <row r="132">
      <c r="A132" s="5" t="inlineStr">
        <is>
          <t>엘에스일렉트릭</t>
        </is>
      </c>
      <c r="B132" s="6" t="inlineStr">
        <is>
          <t>010120</t>
        </is>
      </c>
      <c r="C132" s="6" t="inlineStr">
        <is>
          <t>2026Q2</t>
        </is>
      </c>
      <c r="D132" s="6" t="inlineStr">
        <is>
          <t>20260814</t>
        </is>
      </c>
      <c r="E132" s="16" t="inlineStr"/>
      <c r="F132" s="16" t="n">
        <v>14833</v>
      </c>
      <c r="G132" s="16" t="n">
        <v>50154</v>
      </c>
      <c r="H132" s="6" t="inlineStr">
        <is>
          <t>억원</t>
        </is>
      </c>
      <c r="I132" s="17" t="n">
        <v>224.7</v>
      </c>
      <c r="J132" s="18" t="n">
        <v>25866</v>
      </c>
      <c r="K132" s="19" t="n">
        <v>27622</v>
      </c>
      <c r="L132" s="18" t="n">
        <v>29041</v>
      </c>
      <c r="M132" s="19" t="n">
        <v>34477</v>
      </c>
      <c r="N132" s="18" t="n">
        <v>38894</v>
      </c>
      <c r="O132" s="19" t="n">
        <v>38557</v>
      </c>
      <c r="P132" s="18" t="n">
        <v>40679</v>
      </c>
      <c r="Q132" s="19" t="n">
        <v>50154</v>
      </c>
      <c r="R132" s="18" t="n">
        <v>15445</v>
      </c>
      <c r="S132" s="20" t="n">
        <v>50154</v>
      </c>
      <c r="T132" s="6" t="n">
        <v>3</v>
      </c>
      <c r="U132" s="5" t="inlineStr">
        <is>
          <t>전력 / T&amp;D / ~'26.12 | 전력 / 철도 / ~'26.12 | 자동화 / ~'26.12</t>
        </is>
      </c>
      <c r="V132" s="21">
        <f>HYPERLINK("https://dart.fss.or.kr/dsaf001/main.do?rcpNo=20260814003088", "공시열람")</f>
        <v/>
      </c>
    </row>
    <row r="133">
      <c r="A133" s="5" t="inlineStr">
        <is>
          <t>고려아연</t>
        </is>
      </c>
      <c r="B133" s="6" t="inlineStr">
        <is>
          <t>010130</t>
        </is>
      </c>
      <c r="C133" s="6" t="inlineStr">
        <is>
          <t>2026Q2</t>
        </is>
      </c>
      <c r="D133" s="6" t="inlineStr">
        <is>
          <t>20260814</t>
        </is>
      </c>
      <c r="E133" s="16" t="n">
        <v>4085922</v>
      </c>
      <c r="F133" s="16" t="n">
        <v>2279982</v>
      </c>
      <c r="G133" s="16" t="n">
        <v>1805940</v>
      </c>
      <c r="H133" s="6" t="inlineStr">
        <is>
          <t>톤,백만원</t>
        </is>
      </c>
      <c r="I133" s="17" t="n">
        <v>-38.1</v>
      </c>
      <c r="J133" s="18" t="n">
        <v>2726196</v>
      </c>
      <c r="K133" s="19" t="n">
        <v>1758481</v>
      </c>
      <c r="L133" s="18" t="n">
        <v>1298849</v>
      </c>
      <c r="M133" s="19" t="n">
        <v>1093354</v>
      </c>
      <c r="N133" s="18" t="n">
        <v>2934499</v>
      </c>
      <c r="O133" s="19" t="n">
        <v>1998249</v>
      </c>
      <c r="P133" s="18" t="n">
        <v>1079382</v>
      </c>
      <c r="Q133" s="19" t="n">
        <v>81947</v>
      </c>
      <c r="R133" s="18" t="n">
        <v>2916130</v>
      </c>
      <c r="S133" s="20" t="n">
        <v>1805940</v>
      </c>
      <c r="T133" s="6" t="n">
        <v>2</v>
      </c>
      <c r="U133" s="5" t="inlineStr">
        <is>
          <t>아연 / 연간 / 월간 | 연 / 연간 / 월간</t>
        </is>
      </c>
      <c r="V133" s="21">
        <f>HYPERLINK("https://dart.fss.or.kr/dsaf001/main.do?rcpNo=20260814003958", "공시열람")</f>
        <v/>
      </c>
    </row>
    <row r="134">
      <c r="A134" s="5" t="inlineStr">
        <is>
          <t>삼성중공업</t>
        </is>
      </c>
      <c r="B134" s="6" t="inlineStr">
        <is>
          <t>010140</t>
        </is>
      </c>
      <c r="C134" s="6" t="inlineStr">
        <is>
          <t>2026Q2</t>
        </is>
      </c>
      <c r="D134" s="6" t="inlineStr">
        <is>
          <t>20260814</t>
        </is>
      </c>
      <c r="E134" s="16" t="n">
        <v>571122</v>
      </c>
      <c r="F134" s="16" t="n">
        <v>221121</v>
      </c>
      <c r="G134" s="16" t="n">
        <v>350001</v>
      </c>
      <c r="H134" s="6" t="inlineStr">
        <is>
          <t>억원</t>
        </is>
      </c>
      <c r="I134" s="17" t="n">
        <v>18.6</v>
      </c>
      <c r="J134" s="18" t="n">
        <v>332458</v>
      </c>
      <c r="K134" s="19" t="n">
        <v>333569</v>
      </c>
      <c r="L134" s="18" t="n">
        <v>314117</v>
      </c>
      <c r="M134" s="19" t="n">
        <v>315.35</v>
      </c>
      <c r="N134" s="18" t="n">
        <v>323.129</v>
      </c>
      <c r="O134" s="19" t="n">
        <v>257439</v>
      </c>
      <c r="P134" s="18" t="n">
        <v>267300</v>
      </c>
      <c r="Q134" s="19" t="n">
        <v>280305</v>
      </c>
      <c r="R134" s="18" t="n">
        <v>295197</v>
      </c>
      <c r="S134" s="20" t="n">
        <v>350001</v>
      </c>
      <c r="T134" s="6" t="n">
        <v>2</v>
      </c>
      <c r="U134" s="5" t="inlineStr">
        <is>
          <t>조선해양 / ~ 2026.06.30 / - | 토건 / ~ 2026.06.30 / -</t>
        </is>
      </c>
      <c r="V134" s="21">
        <f>HYPERLINK("https://dart.fss.or.kr/dsaf001/main.do?rcpNo=20260814003496", "공시열람")</f>
        <v/>
      </c>
    </row>
    <row r="135">
      <c r="A135" s="5" t="inlineStr">
        <is>
          <t>대한광통신</t>
        </is>
      </c>
      <c r="B135" s="6" t="inlineStr">
        <is>
          <t>010170</t>
        </is>
      </c>
      <c r="C135" s="6" t="inlineStr">
        <is>
          <t>2026Q2</t>
        </is>
      </c>
      <c r="D135" s="6" t="inlineStr">
        <is>
          <t>20260814</t>
        </is>
      </c>
      <c r="E135" s="16" t="n">
        <v>158729</v>
      </c>
      <c r="F135" s="16" t="n">
        <v>31787</v>
      </c>
      <c r="G135" s="16" t="n">
        <v>126942</v>
      </c>
      <c r="H135" s="6" t="inlineStr">
        <is>
          <t>백만원</t>
        </is>
      </c>
      <c r="I135" s="17" t="n">
        <v>52.4</v>
      </c>
      <c r="J135" s="18" t="n">
        <v>42483</v>
      </c>
      <c r="K135" s="19" t="n">
        <v>40306</v>
      </c>
      <c r="L135" s="18" t="n">
        <v>41519</v>
      </c>
      <c r="M135" s="19" t="n">
        <v>41354</v>
      </c>
      <c r="N135" s="18" t="n">
        <v>57016</v>
      </c>
      <c r="O135" s="19" t="n">
        <v>69494</v>
      </c>
      <c r="P135" s="18" t="n">
        <v>59965</v>
      </c>
      <c r="Q135" s="19" t="n">
        <v>72556</v>
      </c>
      <c r="R135" s="18" t="n">
        <v>83283</v>
      </c>
      <c r="S135" s="20" t="n">
        <v>126942</v>
      </c>
      <c r="T135" s="6" t="n">
        <v>2</v>
      </c>
      <c r="U135" s="5" t="inlineStr">
        <is>
          <t>통신 / 제품/상품 / 각종 | 전력 / 제품/상품 / 각종</t>
        </is>
      </c>
      <c r="V135" s="21">
        <f>HYPERLINK("https://dart.fss.or.kr/dsaf001/main.do?rcpNo=20260814002121", "공시열람")</f>
        <v/>
      </c>
    </row>
    <row r="136">
      <c r="A136" s="5" t="inlineStr">
        <is>
          <t>아이티센엔텍</t>
        </is>
      </c>
      <c r="B136" s="6" t="inlineStr">
        <is>
          <t>010280</t>
        </is>
      </c>
      <c r="C136" s="6" t="inlineStr">
        <is>
          <t>2026Q2</t>
        </is>
      </c>
      <c r="D136" s="6" t="inlineStr">
        <is>
          <t>20260813</t>
        </is>
      </c>
      <c r="E136" s="16" t="n">
        <v>265305</v>
      </c>
      <c r="F136" s="16" t="n">
        <v>113124</v>
      </c>
      <c r="G136" s="16" t="n">
        <v>152181</v>
      </c>
      <c r="H136" s="6" t="inlineStr">
        <is>
          <t>백만원</t>
        </is>
      </c>
      <c r="I136" s="17" t="n">
        <v>26.9</v>
      </c>
      <c r="J136" s="18" t="n">
        <v>85945</v>
      </c>
      <c r="K136" s="19" t="n">
        <v>92753</v>
      </c>
      <c r="L136" s="18" t="n">
        <v>81512</v>
      </c>
      <c r="M136" s="19" t="n">
        <v>97723</v>
      </c>
      <c r="N136" s="18" t="n">
        <v>140534</v>
      </c>
      <c r="O136" s="19" t="n">
        <v>147124</v>
      </c>
      <c r="P136" s="18" t="n">
        <v>190668</v>
      </c>
      <c r="Q136" s="19" t="n">
        <v>115010</v>
      </c>
      <c r="R136" s="18" t="n">
        <v>119916</v>
      </c>
      <c r="S136" s="20" t="n">
        <v>152181</v>
      </c>
      <c r="T136" s="6" t="n">
        <v>11</v>
      </c>
      <c r="U136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6" s="21">
        <f>HYPERLINK("https://dart.fss.or.kr/dsaf001/main.do?rcpNo=20260813000658", "공시열람")</f>
        <v/>
      </c>
    </row>
    <row r="137">
      <c r="A137" s="5" t="inlineStr">
        <is>
          <t>우진아이엔에스</t>
        </is>
      </c>
      <c r="B137" s="6" t="inlineStr">
        <is>
          <t>010400</t>
        </is>
      </c>
      <c r="C137" s="6" t="inlineStr">
        <is>
          <t>2026Q2</t>
        </is>
      </c>
      <c r="D137" s="6" t="inlineStr">
        <is>
          <t>20260814</t>
        </is>
      </c>
      <c r="E137" s="16" t="n">
        <v>414645470</v>
      </c>
      <c r="F137" s="16" t="n">
        <v>205661323</v>
      </c>
      <c r="G137" s="16" t="n">
        <v>208984147</v>
      </c>
      <c r="H137" s="6" t="inlineStr">
        <is>
          <t>천원</t>
        </is>
      </c>
      <c r="I137" s="17" t="n">
        <v>13.1</v>
      </c>
      <c r="J137" s="18" t="n">
        <v>165858380</v>
      </c>
      <c r="K137" s="19" t="n">
        <v>191771127</v>
      </c>
      <c r="L137" s="18" t="n">
        <v>154887987</v>
      </c>
      <c r="M137" s="19" t="n">
        <v>162570291</v>
      </c>
      <c r="N137" s="18" t="n">
        <v>189937383</v>
      </c>
      <c r="O137" s="19" t="n">
        <v>193650428</v>
      </c>
      <c r="P137" s="18" t="n">
        <v>160744481</v>
      </c>
      <c r="Q137" s="19" t="n">
        <v>196251484</v>
      </c>
      <c r="R137" s="18" t="n">
        <v>184845960</v>
      </c>
      <c r="S137" s="20" t="n">
        <v>208984147</v>
      </c>
      <c r="T137" s="6" t="n">
        <v>28</v>
      </c>
      <c r="U137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7" s="21">
        <f>HYPERLINK("https://dart.fss.or.kr/dsaf001/main.do?rcpNo=20260814000853", "공시열람")</f>
        <v/>
      </c>
    </row>
    <row r="138">
      <c r="A138" s="5" t="inlineStr">
        <is>
          <t>화천기계</t>
        </is>
      </c>
      <c r="B138" s="6" t="inlineStr">
        <is>
          <t>010660</t>
        </is>
      </c>
      <c r="C138" s="6" t="inlineStr">
        <is>
          <t>2026Q2</t>
        </is>
      </c>
      <c r="D138" s="6" t="inlineStr">
        <is>
          <t>20260814</t>
        </is>
      </c>
      <c r="E138" s="16" t="n">
        <v>176359</v>
      </c>
      <c r="F138" s="16" t="n">
        <v>103140</v>
      </c>
      <c r="G138" s="16" t="n">
        <v>73219</v>
      </c>
      <c r="H138" s="6" t="inlineStr">
        <is>
          <t>백만원/대/개</t>
        </is>
      </c>
      <c r="I138" s="17" t="n">
        <v>84.2</v>
      </c>
      <c r="J138" s="18" t="n">
        <v>44794</v>
      </c>
      <c r="K138" s="19" t="n">
        <v>41288</v>
      </c>
      <c r="L138" s="18" t="n">
        <v>34062</v>
      </c>
      <c r="M138" s="19" t="n">
        <v>27330</v>
      </c>
      <c r="N138" s="18" t="n">
        <v>47130</v>
      </c>
      <c r="O138" s="19" t="n">
        <v>35201</v>
      </c>
      <c r="P138" s="18" t="n">
        <v>17336</v>
      </c>
      <c r="Q138" s="19" t="n">
        <v>20942</v>
      </c>
      <c r="R138" s="18" t="n">
        <v>39739</v>
      </c>
      <c r="S138" s="20" t="n">
        <v>73219</v>
      </c>
      <c r="T138" s="6" t="n">
        <v>2</v>
      </c>
      <c r="U138" s="5" t="inlineStr">
        <is>
          <t>공작기계 / 2026. 1. 1-2026. 06. 30 | 자동차부품 / 2026. 1. 1-2026. 06. 3</t>
        </is>
      </c>
      <c r="V138" s="21">
        <f>HYPERLINK("https://dart.fss.or.kr/dsaf001/main.do?rcpNo=20260814002178", "공시열람")</f>
        <v/>
      </c>
    </row>
    <row r="139">
      <c r="A139" s="5" t="inlineStr">
        <is>
          <t>아이에스동서</t>
        </is>
      </c>
      <c r="B139" s="6" t="inlineStr">
        <is>
          <t>010780</t>
        </is>
      </c>
      <c r="C139" s="6" t="inlineStr">
        <is>
          <t>2026Q2</t>
        </is>
      </c>
      <c r="D139" s="6" t="inlineStr">
        <is>
          <t>20260812</t>
        </is>
      </c>
      <c r="E139" s="16" t="n">
        <v>3928167</v>
      </c>
      <c r="F139" s="16" t="n">
        <v>1938006</v>
      </c>
      <c r="G139" s="16" t="n">
        <v>1990161</v>
      </c>
      <c r="H139" s="6" t="inlineStr">
        <is>
          <t>백만원</t>
        </is>
      </c>
      <c r="I139" s="17" t="n">
        <v>1.9</v>
      </c>
      <c r="J139" s="18" t="n">
        <v>1295834</v>
      </c>
      <c r="K139" s="19" t="n">
        <v>1278313</v>
      </c>
      <c r="L139" s="18" t="n">
        <v>1310070</v>
      </c>
      <c r="M139" s="19" t="n">
        <v>1297772</v>
      </c>
      <c r="N139" s="18" t="n">
        <v>1436182</v>
      </c>
      <c r="O139" s="19" t="n">
        <v>1519435</v>
      </c>
      <c r="P139" s="18" t="n">
        <v>1561525</v>
      </c>
      <c r="Q139" s="19" t="n">
        <v>1851819</v>
      </c>
      <c r="R139" s="18" t="n">
        <v>1952635</v>
      </c>
      <c r="S139" s="20" t="n">
        <v>1990161</v>
      </c>
      <c r="T139" s="6" t="n">
        <v>13</v>
      </c>
      <c r="U139" s="5" t="inlineStr">
        <is>
          <t>- / 기타 | 울산 남구 B-14구역 주택재개발정비사업조합 / 울산  | 원대2가 재개발정비사업조합 / 원대2가 주택재개발정비사</t>
        </is>
      </c>
      <c r="V139" s="21">
        <f>HYPERLINK("https://dart.fss.or.kr/dsaf001/main.do?rcpNo=20260812000770", "공시열람")</f>
        <v/>
      </c>
    </row>
    <row r="140">
      <c r="A140" s="5" t="inlineStr">
        <is>
          <t>퍼스텍</t>
        </is>
      </c>
      <c r="B140" s="6" t="inlineStr">
        <is>
          <t>010820</t>
        </is>
      </c>
      <c r="C140" s="6" t="inlineStr">
        <is>
          <t>2026Q2</t>
        </is>
      </c>
      <c r="D140" s="6" t="inlineStr">
        <is>
          <t>20260814</t>
        </is>
      </c>
      <c r="E140" s="16" t="inlineStr"/>
      <c r="F140" s="16" t="inlineStr"/>
      <c r="G140" s="16" t="n">
        <v>944080</v>
      </c>
      <c r="H140" s="6" t="inlineStr">
        <is>
          <t>백만원</t>
        </is>
      </c>
      <c r="I140" s="17" t="n">
        <v>-5.4</v>
      </c>
      <c r="J140" s="18" t="n">
        <v>783769</v>
      </c>
      <c r="K140" s="19" t="n">
        <v>905960</v>
      </c>
      <c r="L140" s="18" t="n">
        <v>924604</v>
      </c>
      <c r="M140" s="19" t="n">
        <v>917315</v>
      </c>
      <c r="N140" s="18" t="n">
        <v>1009251</v>
      </c>
      <c r="O140" s="19" t="n">
        <v>1034613</v>
      </c>
      <c r="P140" s="18" t="n">
        <v>1120804</v>
      </c>
      <c r="Q140" s="19" t="n">
        <v>1033671</v>
      </c>
      <c r="R140" s="18" t="n">
        <v>997934</v>
      </c>
      <c r="S140" s="20" t="n">
        <v>944080</v>
      </c>
      <c r="T140" s="6" t="n">
        <v>1</v>
      </c>
      <c r="U140" s="5" t="inlineStr">
        <is>
          <t>방산사업</t>
        </is>
      </c>
      <c r="V140" s="21">
        <f>HYPERLINK("https://dart.fss.or.kr/dsaf001/main.do?rcpNo=20260814002664", "공시열람")</f>
        <v/>
      </c>
    </row>
    <row r="141">
      <c r="A141" s="5" t="inlineStr">
        <is>
          <t>S-Oil</t>
        </is>
      </c>
      <c r="B141" s="6" t="inlineStr">
        <is>
          <t>010950</t>
        </is>
      </c>
      <c r="C141" s="6" t="inlineStr">
        <is>
          <t>2026Q2</t>
        </is>
      </c>
      <c r="D141" s="6" t="inlineStr">
        <is>
          <t>20260814</t>
        </is>
      </c>
      <c r="E141" s="16" t="n">
        <v>8848611</v>
      </c>
      <c r="F141" s="16" t="n">
        <v>8848611</v>
      </c>
      <c r="G141" s="16" t="n">
        <v>0</v>
      </c>
      <c r="H141" s="6" t="inlineStr">
        <is>
          <t>천배럴,백만원</t>
        </is>
      </c>
      <c r="I141" s="17" t="inlineStr"/>
      <c r="J141" s="18" t="n">
        <v>0</v>
      </c>
      <c r="K141" s="19" t="n">
        <v>0</v>
      </c>
      <c r="L141" s="18" t="n">
        <v>0</v>
      </c>
      <c r="M141" s="19" t="n">
        <v>0</v>
      </c>
      <c r="N141" s="18" t="n">
        <v>0</v>
      </c>
      <c r="O141" s="19" t="n">
        <v>0</v>
      </c>
      <c r="P141" s="18" t="n">
        <v>0</v>
      </c>
      <c r="Q141" s="19" t="n">
        <v>0</v>
      </c>
      <c r="R141" s="18" t="n">
        <v>0</v>
      </c>
      <c r="S141" s="20" t="n">
        <v>0</v>
      </c>
      <c r="T141" s="6" t="n">
        <v>11</v>
      </c>
      <c r="U141" s="5" t="inlineStr">
        <is>
          <t>Idemitsu Kosan / 윤활기유 제품 / 202 | Aramco Trading Singapore / 정유제 | Saudi Basic Industries Corpora</t>
        </is>
      </c>
      <c r="V141" s="21">
        <f>HYPERLINK("https://dart.fss.or.kr/dsaf001/main.do?rcpNo=20260814000827", "공시열람")</f>
        <v/>
      </c>
    </row>
    <row r="142">
      <c r="A142" s="5" t="inlineStr">
        <is>
          <t>삼호개발</t>
        </is>
      </c>
      <c r="B142" s="6" t="inlineStr">
        <is>
          <t>010960</t>
        </is>
      </c>
      <c r="C142" s="6" t="inlineStr">
        <is>
          <t>2026Q2</t>
        </is>
      </c>
      <c r="D142" s="6" t="inlineStr">
        <is>
          <t>20260814</t>
        </is>
      </c>
      <c r="E142" s="16" t="n">
        <v>2084342725</v>
      </c>
      <c r="F142" s="16" t="inlineStr"/>
      <c r="G142" s="16" t="n">
        <v>841894980</v>
      </c>
      <c r="H142" s="6" t="inlineStr">
        <is>
          <t>천원</t>
        </is>
      </c>
      <c r="I142" s="17" t="n">
        <v>-2.8</v>
      </c>
      <c r="J142" s="18" t="n">
        <v>627934751</v>
      </c>
      <c r="K142" s="19" t="n">
        <v>548466812</v>
      </c>
      <c r="L142" s="18" t="n">
        <v>536647052</v>
      </c>
      <c r="M142" s="19" t="n">
        <v>619800067</v>
      </c>
      <c r="N142" s="18" t="n">
        <v>740763157</v>
      </c>
      <c r="O142" s="19" t="n">
        <v>899677410</v>
      </c>
      <c r="P142" s="18" t="n">
        <v>823151107</v>
      </c>
      <c r="Q142" s="19" t="n">
        <v>896126494</v>
      </c>
      <c r="R142" s="18" t="n">
        <v>866429782</v>
      </c>
      <c r="S142" s="20" t="n">
        <v>841894980</v>
      </c>
      <c r="T142" s="6" t="n">
        <v>31</v>
      </c>
      <c r="U142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2" s="21">
        <f>HYPERLINK("https://dart.fss.or.kr/dsaf001/main.do?rcpNo=20260814000878", "공시열람")</f>
        <v/>
      </c>
    </row>
    <row r="143">
      <c r="A143" s="5" t="inlineStr">
        <is>
          <t>진원생명과학</t>
        </is>
      </c>
      <c r="B143" s="6" t="inlineStr">
        <is>
          <t>011000</t>
        </is>
      </c>
      <c r="C143" s="6" t="inlineStr">
        <is>
          <t>2026Q1</t>
        </is>
      </c>
      <c r="D143" s="6" t="inlineStr">
        <is>
          <t>20260515</t>
        </is>
      </c>
      <c r="E143" s="16" t="n">
        <v>3839630</v>
      </c>
      <c r="F143" s="16" t="n">
        <v>3430277</v>
      </c>
      <c r="G143" s="16" t="n">
        <v>409353</v>
      </c>
      <c r="H143" s="6" t="inlineStr">
        <is>
          <t>USD</t>
        </is>
      </c>
      <c r="I143" s="17" t="n">
        <v>0</v>
      </c>
      <c r="J143" s="18" t="n">
        <v>1112274</v>
      </c>
      <c r="K143" s="19" t="n">
        <v>3568232</v>
      </c>
      <c r="L143" s="18" t="n">
        <v>7842949</v>
      </c>
      <c r="M143" s="19" t="n">
        <v>11987072</v>
      </c>
      <c r="N143" s="18" t="n">
        <v>9637097</v>
      </c>
      <c r="O143" s="19" t="n">
        <v>3471280</v>
      </c>
      <c r="P143" s="18" t="n">
        <v>2137153</v>
      </c>
      <c r="Q143" s="19" t="n">
        <v>409353</v>
      </c>
      <c r="R143" s="18" t="n">
        <v>409353</v>
      </c>
      <c r="S143" s="20" t="inlineStr"/>
      <c r="T143" s="6" t="n">
        <v>1</v>
      </c>
      <c r="U143" s="5" t="inlineStr">
        <is>
          <t>임상용 Plasmid DNA / 2024-10-24 /</t>
        </is>
      </c>
      <c r="V143" s="21">
        <f>HYPERLINK("https://dart.fss.or.kr/dsaf001/main.do?rcpNo=20260515003080", "공시열람")</f>
        <v/>
      </c>
    </row>
    <row r="144">
      <c r="A144" s="5" t="inlineStr">
        <is>
          <t>에넥스</t>
        </is>
      </c>
      <c r="B144" s="6" t="inlineStr">
        <is>
          <t>011090</t>
        </is>
      </c>
      <c r="C144" s="6" t="inlineStr">
        <is>
          <t>2026Q2</t>
        </is>
      </c>
      <c r="D144" s="6" t="inlineStr">
        <is>
          <t>20260814</t>
        </is>
      </c>
      <c r="E144" s="16" t="n">
        <v>87777</v>
      </c>
      <c r="F144" s="16" t="n">
        <v>75801</v>
      </c>
      <c r="G144" s="16" t="n">
        <v>122069</v>
      </c>
      <c r="H144" s="6" t="inlineStr">
        <is>
          <t>백만원</t>
        </is>
      </c>
      <c r="I144" s="17" t="n">
        <v>7.6</v>
      </c>
      <c r="J144" s="18" t="n">
        <v>176593</v>
      </c>
      <c r="K144" s="19" t="n">
        <v>162776</v>
      </c>
      <c r="L144" s="18" t="n">
        <v>143865</v>
      </c>
      <c r="M144" s="19" t="n">
        <v>124203</v>
      </c>
      <c r="N144" s="18" t="n">
        <v>114485</v>
      </c>
      <c r="O144" s="19" t="n">
        <v>112822</v>
      </c>
      <c r="P144" s="18" t="n">
        <v>115639</v>
      </c>
      <c r="Q144" s="19" t="n">
        <v>110093</v>
      </c>
      <c r="R144" s="18" t="n">
        <v>113466</v>
      </c>
      <c r="S144" s="20" t="n">
        <v>122069</v>
      </c>
      <c r="T144" s="6" t="n">
        <v>1</v>
      </c>
      <c r="U144" s="5" t="inlineStr">
        <is>
          <t>주방가구외 / 2026.01~2026.06 / 2026</t>
        </is>
      </c>
      <c r="V144" s="21">
        <f>HYPERLINK("https://dart.fss.or.kr/dsaf001/main.do?rcpNo=20260814001047", "공시열람")</f>
        <v/>
      </c>
    </row>
    <row r="145">
      <c r="A145" s="5" t="inlineStr">
        <is>
          <t>현대위아</t>
        </is>
      </c>
      <c r="B145" s="6" t="inlineStr">
        <is>
          <t>011210</t>
        </is>
      </c>
      <c r="C145" s="6" t="inlineStr">
        <is>
          <t>2026Q2</t>
        </is>
      </c>
      <c r="D145" s="6" t="inlineStr">
        <is>
          <t>20260814</t>
        </is>
      </c>
      <c r="E145" s="16" t="n">
        <v>3145283</v>
      </c>
      <c r="F145" s="16" t="n">
        <v>1748763</v>
      </c>
      <c r="G145" s="16" t="n">
        <v>1396519</v>
      </c>
      <c r="H145" s="6" t="inlineStr">
        <is>
          <t>백만원</t>
        </is>
      </c>
      <c r="I145" s="17" t="n">
        <v>-2.3</v>
      </c>
      <c r="J145" s="18" t="n">
        <v>1148752</v>
      </c>
      <c r="K145" s="19" t="n">
        <v>1173461</v>
      </c>
      <c r="L145" s="18" t="n">
        <v>1092889</v>
      </c>
      <c r="M145" s="19" t="n">
        <v>1257964</v>
      </c>
      <c r="N145" s="18" t="n">
        <v>1258153</v>
      </c>
      <c r="O145" s="19" t="n">
        <v>1303556</v>
      </c>
      <c r="P145" s="18" t="n">
        <v>1227749</v>
      </c>
      <c r="Q145" s="19" t="n">
        <v>1429026</v>
      </c>
      <c r="R145" s="18" t="n">
        <v>1429026</v>
      </c>
      <c r="S145" s="20" t="n">
        <v>1396519</v>
      </c>
      <c r="T145" s="6" t="n">
        <v>1</v>
      </c>
      <c r="U145" s="5" t="inlineStr">
        <is>
          <t>-</t>
        </is>
      </c>
      <c r="V145" s="21">
        <f>HYPERLINK("https://dart.fss.or.kr/dsaf001/main.do?rcpNo=20260814002618", "공시열람")</f>
        <v/>
      </c>
    </row>
    <row r="146">
      <c r="A146" s="5" t="inlineStr">
        <is>
          <t>삼화전자공업</t>
        </is>
      </c>
      <c r="B146" s="6" t="inlineStr">
        <is>
          <t>011230</t>
        </is>
      </c>
      <c r="C146" s="6" t="inlineStr">
        <is>
          <t>2026Q2</t>
        </is>
      </c>
      <c r="D146" s="6" t="inlineStr">
        <is>
          <t>20260814</t>
        </is>
      </c>
      <c r="E146" s="16" t="n">
        <v>16954</v>
      </c>
      <c r="F146" s="16" t="n">
        <v>13544</v>
      </c>
      <c r="G146" s="16" t="n">
        <v>3410</v>
      </c>
      <c r="H146" s="6" t="inlineStr">
        <is>
          <t>천개/백만원</t>
        </is>
      </c>
      <c r="I146" s="17" t="n">
        <v>127.6</v>
      </c>
      <c r="J146" s="18" t="n">
        <v>1753</v>
      </c>
      <c r="K146" s="19" t="n">
        <v>3343</v>
      </c>
      <c r="L146" s="18" t="n">
        <v>6237</v>
      </c>
      <c r="M146" s="19" t="n">
        <v>8433</v>
      </c>
      <c r="N146" s="18" t="n">
        <v>2019</v>
      </c>
      <c r="O146" s="19" t="n">
        <v>3873</v>
      </c>
      <c r="P146" s="18" t="n">
        <v>5740</v>
      </c>
      <c r="Q146" s="19" t="n">
        <v>7402</v>
      </c>
      <c r="R146" s="18" t="n">
        <v>1498</v>
      </c>
      <c r="S146" s="20" t="n">
        <v>3410</v>
      </c>
      <c r="T146" s="6" t="n">
        <v>2</v>
      </c>
      <c r="U146" s="5" t="inlineStr">
        <is>
          <t>페라이트코어 등 / 2026년 / 01-06 | 상 품 / 2026년 / 01-06</t>
        </is>
      </c>
      <c r="V146" s="21">
        <f>HYPERLINK("https://dart.fss.or.kr/dsaf001/main.do?rcpNo=20260814003303", "공시열람")</f>
        <v/>
      </c>
    </row>
    <row r="147">
      <c r="A147" s="5" t="inlineStr">
        <is>
          <t>우성머티리얼스</t>
        </is>
      </c>
      <c r="B147" s="6" t="inlineStr">
        <is>
          <t>011300</t>
        </is>
      </c>
      <c r="C147" s="6" t="inlineStr">
        <is>
          <t>2025Q3</t>
        </is>
      </c>
      <c r="D147" s="6" t="inlineStr">
        <is>
          <t>20251114</t>
        </is>
      </c>
      <c r="E147" s="16" t="n">
        <v>3923</v>
      </c>
      <c r="F147" s="16" t="inlineStr"/>
      <c r="G147" s="16" t="n">
        <v>2983</v>
      </c>
      <c r="H147" s="6" t="inlineStr">
        <is>
          <t>천YD,천$</t>
        </is>
      </c>
      <c r="I147" s="17" t="n">
        <v>-8.1</v>
      </c>
      <c r="J147" s="18" t="n">
        <v>6326</v>
      </c>
      <c r="K147" s="19" t="n">
        <v>4152</v>
      </c>
      <c r="L147" s="18" t="inlineStr"/>
      <c r="M147" s="19" t="n">
        <v>4145</v>
      </c>
      <c r="N147" s="18" t="n">
        <v>3496</v>
      </c>
      <c r="O147" s="19" t="n">
        <v>3245</v>
      </c>
      <c r="P147" s="18" t="n">
        <v>2983</v>
      </c>
      <c r="Q147" s="19" t="inlineStr"/>
      <c r="R147" s="18" t="inlineStr"/>
      <c r="S147" s="20" t="inlineStr"/>
      <c r="T147" s="6" t="n">
        <v>3</v>
      </c>
      <c r="U147" s="5" t="inlineStr">
        <is>
          <t>가공제품 / - / 2025. 10월 | 가공제품 / - / 2025. 12월 | 가공제품 / - / 2025. 11월</t>
        </is>
      </c>
      <c r="V147" s="21">
        <f>HYPERLINK("https://dart.fss.or.kr/dsaf001/main.do?rcpNo=20251114000799", "공시열람")</f>
        <v/>
      </c>
    </row>
    <row r="148">
      <c r="A148" s="5" t="inlineStr">
        <is>
          <t>서한</t>
        </is>
      </c>
      <c r="B148" s="6" t="inlineStr">
        <is>
          <t>011370</t>
        </is>
      </c>
      <c r="C148" s="6" t="inlineStr">
        <is>
          <t>2026Q2</t>
        </is>
      </c>
      <c r="D148" s="6" t="inlineStr">
        <is>
          <t>20260814</t>
        </is>
      </c>
      <c r="E148" s="16" t="n">
        <v>1900394</v>
      </c>
      <c r="F148" s="16" t="n">
        <v>248413</v>
      </c>
      <c r="G148" s="16" t="n">
        <v>1651981</v>
      </c>
      <c r="H148" s="6" t="inlineStr">
        <is>
          <t>백만원</t>
        </is>
      </c>
      <c r="I148" s="17" t="n">
        <v>-2.5</v>
      </c>
      <c r="J148" s="18" t="n">
        <v>999014</v>
      </c>
      <c r="K148" s="19" t="n">
        <v>1540144</v>
      </c>
      <c r="L148" s="18" t="n">
        <v>1411789</v>
      </c>
      <c r="M148" s="19" t="n">
        <v>1319493</v>
      </c>
      <c r="N148" s="18" t="n">
        <v>1319499</v>
      </c>
      <c r="O148" s="19" t="n">
        <v>1063955</v>
      </c>
      <c r="P148" s="18" t="n">
        <v>1219613</v>
      </c>
      <c r="Q148" s="19" t="n">
        <v>1556647</v>
      </c>
      <c r="R148" s="18" t="n">
        <v>1693837</v>
      </c>
      <c r="S148" s="20" t="n">
        <v>1651981</v>
      </c>
      <c r="T148" s="6" t="n">
        <v>3</v>
      </c>
      <c r="U148" s="5" t="inlineStr">
        <is>
          <t>건축부문 / - | 분양공사 / - | 토목부문 / -</t>
        </is>
      </c>
      <c r="V148" s="21">
        <f>HYPERLINK("https://dart.fss.or.kr/dsaf001/main.do?rcpNo=20260814001200", "공시열람")</f>
        <v/>
      </c>
    </row>
    <row r="149">
      <c r="A149" s="5" t="inlineStr">
        <is>
          <t>부산산업</t>
        </is>
      </c>
      <c r="B149" s="6" t="inlineStr">
        <is>
          <t>011390</t>
        </is>
      </c>
      <c r="C149" s="6" t="inlineStr">
        <is>
          <t>2026Q2</t>
        </is>
      </c>
      <c r="D149" s="6" t="inlineStr">
        <is>
          <t>20260814</t>
        </is>
      </c>
      <c r="E149" s="16" t="n">
        <v>267430</v>
      </c>
      <c r="F149" s="16" t="n">
        <v>72266</v>
      </c>
      <c r="G149" s="16" t="n">
        <v>195164</v>
      </c>
      <c r="H149" s="6" t="inlineStr">
        <is>
          <t>백만원</t>
        </is>
      </c>
      <c r="I149" s="17" t="n">
        <v>24.4</v>
      </c>
      <c r="J149" s="18" t="n">
        <v>149846</v>
      </c>
      <c r="K149" s="19" t="n">
        <v>136083</v>
      </c>
      <c r="L149" s="18" t="n">
        <v>138279</v>
      </c>
      <c r="M149" s="19" t="n">
        <v>133038</v>
      </c>
      <c r="N149" s="18" t="n">
        <v>147809</v>
      </c>
      <c r="O149" s="19" t="n">
        <v>154281</v>
      </c>
      <c r="P149" s="18" t="n">
        <v>156902</v>
      </c>
      <c r="Q149" s="19" t="n">
        <v>151039</v>
      </c>
      <c r="R149" s="18" t="n">
        <v>156873</v>
      </c>
      <c r="S149" s="20" t="n">
        <v>195164</v>
      </c>
      <c r="T149" s="6" t="n">
        <v>4</v>
      </c>
      <c r="U149" s="5" t="inlineStr">
        <is>
          <t>세그멘트 | 건축 PC | 콘크리트침목</t>
        </is>
      </c>
      <c r="V149" s="21">
        <f>HYPERLINK("https://dart.fss.or.kr/dsaf001/main.do?rcpNo=20260814000505", "공시열람")</f>
        <v/>
      </c>
    </row>
    <row r="150">
      <c r="A150" s="5" t="inlineStr">
        <is>
          <t>세보엠이씨</t>
        </is>
      </c>
      <c r="B150" s="6" t="inlineStr">
        <is>
          <t>011560</t>
        </is>
      </c>
      <c r="C150" s="6" t="inlineStr">
        <is>
          <t>2026Q2</t>
        </is>
      </c>
      <c r="D150" s="6" t="inlineStr">
        <is>
          <t>20260814</t>
        </is>
      </c>
      <c r="E150" s="16" t="n">
        <v>1511077104</v>
      </c>
      <c r="F150" s="16" t="n">
        <v>1085426462</v>
      </c>
      <c r="G150" s="16" t="n">
        <v>425650643</v>
      </c>
      <c r="H150" s="6" t="inlineStr">
        <is>
          <t>천원</t>
        </is>
      </c>
      <c r="I150" s="17" t="n">
        <v>6.4</v>
      </c>
      <c r="J150" s="18" t="n">
        <v>320834902</v>
      </c>
      <c r="K150" s="19" t="n">
        <v>218138873</v>
      </c>
      <c r="L150" s="18" t="n">
        <v>306069523</v>
      </c>
      <c r="M150" s="19" t="n">
        <v>241360279</v>
      </c>
      <c r="N150" s="18" t="inlineStr"/>
      <c r="O150" s="19" t="n">
        <v>193488878</v>
      </c>
      <c r="P150" s="18" t="n">
        <v>414978919</v>
      </c>
      <c r="Q150" s="19" t="n">
        <v>408921350</v>
      </c>
      <c r="R150" s="18" t="n">
        <v>400215193</v>
      </c>
      <c r="S150" s="20" t="n">
        <v>425650643</v>
      </c>
      <c r="T150" s="6" t="n">
        <v>19</v>
      </c>
      <c r="U150" s="5" t="inlineStr">
        <is>
          <t>기계, 기계소방공사 | HVAC 및 소방공사 - 1공구 | Ph1 마감공사</t>
        </is>
      </c>
      <c r="V150" s="21">
        <f>HYPERLINK("https://dart.fss.or.kr/dsaf001/main.do?rcpNo=20260814000801", "공시열람")</f>
        <v/>
      </c>
    </row>
    <row r="151">
      <c r="A151" s="5" t="inlineStr">
        <is>
          <t>현대코퍼레이션</t>
        </is>
      </c>
      <c r="B151" s="6" t="inlineStr">
        <is>
          <t>011760</t>
        </is>
      </c>
      <c r="C151" s="6" t="inlineStr">
        <is>
          <t>2026Q2</t>
        </is>
      </c>
      <c r="D151" s="6" t="inlineStr">
        <is>
          <t>20260813</t>
        </is>
      </c>
      <c r="E151" s="16" t="n">
        <v>931281</v>
      </c>
      <c r="F151" s="16" t="n">
        <v>493702</v>
      </c>
      <c r="G151" s="16" t="n">
        <v>437579</v>
      </c>
      <c r="H151" s="6" t="inlineStr">
        <is>
          <t>U$천</t>
        </is>
      </c>
      <c r="I151" s="17" t="n">
        <v>-24</v>
      </c>
      <c r="J151" s="18" t="n">
        <v>908315</v>
      </c>
      <c r="K151" s="19" t="n">
        <v>1159533</v>
      </c>
      <c r="L151" s="18" t="n">
        <v>1076613</v>
      </c>
      <c r="M151" s="19" t="n">
        <v>999007</v>
      </c>
      <c r="N151" s="18" t="n">
        <v>985610</v>
      </c>
      <c r="O151" s="19" t="n">
        <v>879403</v>
      </c>
      <c r="P151" s="18" t="n">
        <v>807854</v>
      </c>
      <c r="Q151" s="19" t="n">
        <v>665237</v>
      </c>
      <c r="R151" s="18" t="n">
        <v>575611</v>
      </c>
      <c r="S151" s="20" t="n">
        <v>437579</v>
      </c>
      <c r="T151" s="6" t="n">
        <v>10</v>
      </c>
      <c r="U151" s="5" t="inlineStr">
        <is>
          <t>경유 / 2024-02-29 / 2027-01-31 | 항공유 / 2025-01-23 / 2026-12-31 | 항공유 / 2024-05-27 / 2026-07-31</t>
        </is>
      </c>
      <c r="V151" s="21">
        <f>HYPERLINK("https://dart.fss.or.kr/dsaf001/main.do?rcpNo=20260813001727", "공시열람")</f>
        <v/>
      </c>
    </row>
    <row r="152">
      <c r="A152" s="5" t="inlineStr">
        <is>
          <t>STX</t>
        </is>
      </c>
      <c r="B152" s="6" t="inlineStr">
        <is>
          <t>011810</t>
        </is>
      </c>
      <c r="C152" s="6" t="inlineStr">
        <is>
          <t>2026Q2</t>
        </is>
      </c>
      <c r="D152" s="6" t="inlineStr">
        <is>
          <t>20260814</t>
        </is>
      </c>
      <c r="E152" s="16" t="n">
        <v>201844</v>
      </c>
      <c r="F152" s="16" t="n">
        <v>90781</v>
      </c>
      <c r="G152" s="16" t="n">
        <v>111063</v>
      </c>
      <c r="H152" s="6" t="inlineStr">
        <is>
          <t>개,백만원</t>
        </is>
      </c>
      <c r="I152" s="17" t="n">
        <v>29.3</v>
      </c>
      <c r="J152" s="18" t="n">
        <v>111061</v>
      </c>
      <c r="K152" s="19" t="n">
        <v>85803</v>
      </c>
      <c r="L152" s="18" t="n">
        <v>96873</v>
      </c>
      <c r="M152" s="19" t="n">
        <v>112008</v>
      </c>
      <c r="N152" s="18" t="n">
        <v>116322</v>
      </c>
      <c r="O152" s="19" t="n">
        <v>109170</v>
      </c>
      <c r="P152" s="18" t="n">
        <v>102737</v>
      </c>
      <c r="Q152" s="19" t="n">
        <v>85871</v>
      </c>
      <c r="R152" s="18" t="n">
        <v>85871</v>
      </c>
      <c r="S152" s="20" t="n">
        <v>111063</v>
      </c>
      <c r="T152" s="6" t="n">
        <v>1</v>
      </c>
      <c r="U152" s="5" t="inlineStr">
        <is>
          <t>밸 브 / 2024.07.01~ / 2026.07.01</t>
        </is>
      </c>
      <c r="V152" s="21">
        <f>HYPERLINK("https://dart.fss.or.kr/dsaf001/main.do?rcpNo=20260814004103", "공시열람")</f>
        <v/>
      </c>
    </row>
    <row r="153">
      <c r="A153" s="5" t="inlineStr">
        <is>
          <t>신성이엔지</t>
        </is>
      </c>
      <c r="B153" s="6" t="inlineStr">
        <is>
          <t>011930</t>
        </is>
      </c>
      <c r="C153" s="6" t="inlineStr">
        <is>
          <t>2026Q2</t>
        </is>
      </c>
      <c r="D153" s="6" t="inlineStr">
        <is>
          <t>20260821</t>
        </is>
      </c>
      <c r="E153" s="16" t="n">
        <v>613290361</v>
      </c>
      <c r="F153" s="16" t="n">
        <v>283916896</v>
      </c>
      <c r="G153" s="16" t="n">
        <v>329373465</v>
      </c>
      <c r="H153" s="6" t="inlineStr">
        <is>
          <t>천원</t>
        </is>
      </c>
      <c r="I153" s="17" t="n">
        <v>87</v>
      </c>
      <c r="J153" s="18" t="n">
        <v>157531674</v>
      </c>
      <c r="K153" s="19" t="n">
        <v>112879308</v>
      </c>
      <c r="L153" s="18" t="n">
        <v>120470816</v>
      </c>
      <c r="M153" s="19" t="n">
        <v>96917600</v>
      </c>
      <c r="N153" s="18" t="n">
        <v>107582426</v>
      </c>
      <c r="O153" s="19" t="n">
        <v>86943666</v>
      </c>
      <c r="P153" s="18" t="n">
        <v>117273531</v>
      </c>
      <c r="Q153" s="19" t="n">
        <v>125328218</v>
      </c>
      <c r="R153" s="18" t="n">
        <v>176158148</v>
      </c>
      <c r="S153" s="20" t="n">
        <v>329373465</v>
      </c>
      <c r="T153" s="6" t="n">
        <v>1</v>
      </c>
      <c r="U153" s="5" t="inlineStr">
        <is>
          <t>클린룸 및 공조시스템 제조, 설치공사 외 / -</t>
        </is>
      </c>
      <c r="V153" s="21">
        <f>HYPERLINK("https://dart.fss.or.kr/dsaf001/main.do?rcpNo=20260821000469", "공시열람")</f>
        <v/>
      </c>
    </row>
    <row r="154">
      <c r="A154" s="5" t="inlineStr">
        <is>
          <t>DB</t>
        </is>
      </c>
      <c r="B154" s="6" t="inlineStr">
        <is>
          <t>012030</t>
        </is>
      </c>
      <c r="C154" s="6" t="inlineStr">
        <is>
          <t>2026Q2</t>
        </is>
      </c>
      <c r="D154" s="6" t="inlineStr">
        <is>
          <t>20260814</t>
        </is>
      </c>
      <c r="E154" s="16" t="n">
        <v>6808.3</v>
      </c>
      <c r="F154" s="16" t="n">
        <v>2586.9</v>
      </c>
      <c r="G154" s="16" t="n">
        <v>4221.4</v>
      </c>
      <c r="H154" s="6" t="inlineStr">
        <is>
          <t>억원</t>
        </is>
      </c>
      <c r="I154" s="17" t="n">
        <v>-2.3</v>
      </c>
      <c r="J154" s="18" t="n">
        <v>2779.4</v>
      </c>
      <c r="K154" s="19" t="n">
        <v>3053.5</v>
      </c>
      <c r="L154" s="18" t="n">
        <v>2721</v>
      </c>
      <c r="M154" s="19" t="n">
        <v>2429.8</v>
      </c>
      <c r="N154" s="18" t="n">
        <v>2486</v>
      </c>
      <c r="O154" s="19" t="n">
        <v>3616.9</v>
      </c>
      <c r="P154" s="18" t="n">
        <v>4385.9</v>
      </c>
      <c r="Q154" s="19" t="n">
        <v>4157.7</v>
      </c>
      <c r="R154" s="18" t="n">
        <v>4320.7</v>
      </c>
      <c r="S154" s="20" t="n">
        <v>4221.4</v>
      </c>
      <c r="T154" s="6" t="n">
        <v>97</v>
      </c>
      <c r="U154" s="5" t="inlineStr">
        <is>
          <t>** 토지정보시스템 구축 / 2025년05월 / 203 | ** IT인프라 통합 유지보수 / 2025년07월 /  | ** ** 과학기술대학교 연구센터 건립사업 / 2025</t>
        </is>
      </c>
      <c r="V154" s="21">
        <f>HYPERLINK("https://dart.fss.or.kr/dsaf001/main.do?rcpNo=20260814002948", "공시열람")</f>
        <v/>
      </c>
    </row>
    <row r="155">
      <c r="A155" s="5" t="inlineStr">
        <is>
          <t>삼미금속</t>
        </is>
      </c>
      <c r="B155" s="6" t="inlineStr">
        <is>
          <t>012210</t>
        </is>
      </c>
      <c r="C155" s="6" t="inlineStr">
        <is>
          <t>2026Q2</t>
        </is>
      </c>
      <c r="D155" s="6" t="inlineStr">
        <is>
          <t>20260813</t>
        </is>
      </c>
      <c r="E155" s="16" t="inlineStr"/>
      <c r="F155" s="16" t="n">
        <v>15813</v>
      </c>
      <c r="G155" s="16" t="n">
        <v>30428</v>
      </c>
      <c r="H155" s="6" t="inlineStr">
        <is>
          <t>백만원</t>
        </is>
      </c>
      <c r="I155" s="17" t="n">
        <v>17.1</v>
      </c>
      <c r="J155" s="18" t="inlineStr"/>
      <c r="K155" s="19" t="inlineStr"/>
      <c r="L155" s="18" t="inlineStr"/>
      <c r="M155" s="19" t="n">
        <v>16756</v>
      </c>
      <c r="N155" s="18" t="inlineStr"/>
      <c r="O155" s="19" t="n">
        <v>8512</v>
      </c>
      <c r="P155" s="18" t="n">
        <v>8549</v>
      </c>
      <c r="Q155" s="19" t="n">
        <v>15640</v>
      </c>
      <c r="R155" s="18" t="n">
        <v>25986</v>
      </c>
      <c r="S155" s="20" t="n">
        <v>30428</v>
      </c>
      <c r="T155" s="6" t="n">
        <v>4</v>
      </c>
      <c r="U155" s="5" t="inlineStr">
        <is>
          <t>선박엔진 | 발 전 | 중장비</t>
        </is>
      </c>
      <c r="V155" s="21">
        <f>HYPERLINK("https://dart.fss.or.kr/dsaf001/main.do?rcpNo=20260813001147", "공시열람")</f>
        <v/>
      </c>
    </row>
    <row r="156">
      <c r="A156" s="5" t="inlineStr">
        <is>
          <t>경동인베스트</t>
        </is>
      </c>
      <c r="B156" s="6" t="inlineStr">
        <is>
          <t>012320</t>
        </is>
      </c>
      <c r="C156" s="6" t="inlineStr">
        <is>
          <t>2026Q2</t>
        </is>
      </c>
      <c r="D156" s="6" t="inlineStr">
        <is>
          <t>20260814</t>
        </is>
      </c>
      <c r="E156" s="16" t="n">
        <v>481043</v>
      </c>
      <c r="F156" s="16" t="n">
        <v>148564</v>
      </c>
      <c r="G156" s="16" t="n">
        <v>332479</v>
      </c>
      <c r="H156" s="6" t="inlineStr">
        <is>
          <t>백만원</t>
        </is>
      </c>
      <c r="I156" s="17" t="n">
        <v>-3.5</v>
      </c>
      <c r="J156" s="18" t="n">
        <v>41222</v>
      </c>
      <c r="K156" s="19" t="n">
        <v>51702</v>
      </c>
      <c r="L156" s="18" t="n">
        <v>42858</v>
      </c>
      <c r="M156" s="19" t="n">
        <v>32473</v>
      </c>
      <c r="N156" s="18" t="n">
        <v>25986</v>
      </c>
      <c r="O156" s="19" t="n">
        <v>20415</v>
      </c>
      <c r="P156" s="18" t="n">
        <v>235303</v>
      </c>
      <c r="Q156" s="19" t="n">
        <v>234475</v>
      </c>
      <c r="R156" s="18" t="n">
        <v>344640</v>
      </c>
      <c r="S156" s="20" t="n">
        <v>332479</v>
      </c>
      <c r="T156" s="6" t="n">
        <v>24</v>
      </c>
      <c r="U156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6" s="21">
        <f>HYPERLINK("https://dart.fss.or.kr/dsaf001/main.do?rcpNo=20260814004025", "공시열람")</f>
        <v/>
      </c>
    </row>
    <row r="157">
      <c r="A157" s="5" t="inlineStr">
        <is>
          <t>뉴인텍</t>
        </is>
      </c>
      <c r="B157" s="6" t="inlineStr">
        <is>
          <t>012340</t>
        </is>
      </c>
      <c r="C157" s="6" t="inlineStr">
        <is>
          <t>2026Q2</t>
        </is>
      </c>
      <c r="D157" s="6" t="inlineStr">
        <is>
          <t>20260930</t>
        </is>
      </c>
      <c r="E157" s="16" t="inlineStr"/>
      <c r="F157" s="16" t="inlineStr"/>
      <c r="G157" s="16" t="n">
        <v>874511</v>
      </c>
      <c r="H157" s="6" t="inlineStr">
        <is>
          <t>천원</t>
        </is>
      </c>
      <c r="I157" s="17" t="n">
        <v>-53.4</v>
      </c>
      <c r="J157" s="18" t="n">
        <v>2642091</v>
      </c>
      <c r="K157" s="19" t="n">
        <v>1093276</v>
      </c>
      <c r="L157" s="18" t="n">
        <v>826236</v>
      </c>
      <c r="M157" s="19" t="n">
        <v>826236</v>
      </c>
      <c r="N157" s="18" t="n">
        <v>851748</v>
      </c>
      <c r="O157" s="19" t="n">
        <v>583963</v>
      </c>
      <c r="P157" s="18" t="n">
        <v>1103205</v>
      </c>
      <c r="Q157" s="19" t="n">
        <v>675061</v>
      </c>
      <c r="R157" s="18" t="n">
        <v>1875951</v>
      </c>
      <c r="S157" s="20" t="n">
        <v>874511</v>
      </c>
      <c r="T157" s="6" t="n">
        <v>1</v>
      </c>
      <c r="U157" s="5" t="inlineStr">
        <is>
          <t>유형자산</t>
        </is>
      </c>
      <c r="V157" s="21">
        <f>HYPERLINK("https://dart.fss.or.kr/dsaf001/main.do?rcpNo=20260930000280", "공시열람")</f>
        <v/>
      </c>
    </row>
    <row r="158">
      <c r="A158" s="5" t="inlineStr">
        <is>
          <t>한화에어로스페이스</t>
        </is>
      </c>
      <c r="B158" s="6" t="inlineStr">
        <is>
          <t>012450</t>
        </is>
      </c>
      <c r="C158" s="6" t="inlineStr">
        <is>
          <t>2026Q2</t>
        </is>
      </c>
      <c r="D158" s="6" t="inlineStr">
        <is>
          <t>20260814</t>
        </is>
      </c>
      <c r="E158" s="16" t="n">
        <v>158551529</v>
      </c>
      <c r="F158" s="16" t="n">
        <v>43633291</v>
      </c>
      <c r="G158" s="16" t="n">
        <v>114918238</v>
      </c>
      <c r="H158" s="6" t="inlineStr"/>
      <c r="I158" s="17" t="n">
        <v>-1.6</v>
      </c>
      <c r="J158" s="18" t="n">
        <v>66123433</v>
      </c>
      <c r="K158" s="19" t="n">
        <v>67730712</v>
      </c>
      <c r="L158" s="18" t="n">
        <v>68218801</v>
      </c>
      <c r="M158" s="19" t="n">
        <v>103415434</v>
      </c>
      <c r="N158" s="18" t="n">
        <v>104081142</v>
      </c>
      <c r="O158" s="19" t="n">
        <v>101651753</v>
      </c>
      <c r="P158" s="18" t="n">
        <v>103120796</v>
      </c>
      <c r="Q158" s="19" t="n">
        <v>116800728</v>
      </c>
      <c r="R158" s="18" t="inlineStr"/>
      <c r="S158" s="20" t="n">
        <v>114918238</v>
      </c>
      <c r="T158" s="6" t="n">
        <v>7</v>
      </c>
      <c r="U158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8" s="21">
        <f>HYPERLINK("https://dart.fss.or.kr/dsaf001/main.do?rcpNo=20260814003198", "공시열람")</f>
        <v/>
      </c>
    </row>
    <row r="159">
      <c r="A159" s="5" t="inlineStr">
        <is>
          <t>더존비즈온</t>
        </is>
      </c>
      <c r="B159" s="6" t="inlineStr">
        <is>
          <t>012510</t>
        </is>
      </c>
      <c r="C159" s="6" t="inlineStr">
        <is>
          <t>2026Q1</t>
        </is>
      </c>
      <c r="D159" s="6" t="inlineStr">
        <is>
          <t>20260515</t>
        </is>
      </c>
      <c r="E159" s="16" t="n">
        <v>108907</v>
      </c>
      <c r="F159" s="16" t="n">
        <v>50575</v>
      </c>
      <c r="G159" s="16" t="n">
        <v>56804</v>
      </c>
      <c r="H159" s="6" t="inlineStr">
        <is>
          <t>백만원:</t>
        </is>
      </c>
      <c r="I159" s="17" t="n">
        <v>0.5</v>
      </c>
      <c r="J159" s="18" t="n">
        <v>41289</v>
      </c>
      <c r="K159" s="19" t="n">
        <v>56578</v>
      </c>
      <c r="L159" s="18" t="n">
        <v>54931</v>
      </c>
      <c r="M159" s="19" t="n">
        <v>52798</v>
      </c>
      <c r="N159" s="18" t="n">
        <v>43186</v>
      </c>
      <c r="O159" s="19" t="n">
        <v>37765</v>
      </c>
      <c r="P159" s="18" t="n">
        <v>44511</v>
      </c>
      <c r="Q159" s="19" t="n">
        <v>56503</v>
      </c>
      <c r="R159" s="18" t="n">
        <v>56804</v>
      </c>
      <c r="S159" s="20" t="inlineStr"/>
      <c r="T159" s="6" t="n">
        <v>1</v>
      </c>
      <c r="U159" s="5" t="inlineStr">
        <is>
          <t>주요 제품등 / -</t>
        </is>
      </c>
      <c r="V159" s="21">
        <f>HYPERLINK("https://dart.fss.or.kr/dsaf001/main.do?rcpNo=20260515002089", "공시열람")</f>
        <v/>
      </c>
    </row>
    <row r="160">
      <c r="A160" s="5" t="inlineStr">
        <is>
          <t>원일특강</t>
        </is>
      </c>
      <c r="B160" s="6" t="inlineStr">
        <is>
          <t>012620</t>
        </is>
      </c>
      <c r="C160" s="6" t="inlineStr">
        <is>
          <t>2026Q2</t>
        </is>
      </c>
      <c r="D160" s="6" t="inlineStr">
        <is>
          <t>20260814</t>
        </is>
      </c>
      <c r="E160" s="16" t="n">
        <v>32354221</v>
      </c>
      <c r="F160" s="16" t="n">
        <v>25570803</v>
      </c>
      <c r="G160" s="16" t="n">
        <v>6783418</v>
      </c>
      <c r="H160" s="6" t="inlineStr">
        <is>
          <t>천원</t>
        </is>
      </c>
      <c r="I160" s="17" t="n">
        <v>-31.4</v>
      </c>
      <c r="J160" s="18" t="n">
        <v>6201476</v>
      </c>
      <c r="K160" s="19" t="n">
        <v>9917156</v>
      </c>
      <c r="L160" s="18" t="n">
        <v>7216008</v>
      </c>
      <c r="M160" s="19" t="n">
        <v>4697216</v>
      </c>
      <c r="N160" s="18" t="n">
        <v>6652821</v>
      </c>
      <c r="O160" s="19" t="n">
        <v>8579017</v>
      </c>
      <c r="P160" s="18" t="n">
        <v>5805329</v>
      </c>
      <c r="Q160" s="19" t="n">
        <v>5362341</v>
      </c>
      <c r="R160" s="18" t="n">
        <v>9893542</v>
      </c>
      <c r="S160" s="20" t="n">
        <v>6783418</v>
      </c>
      <c r="T160" s="6" t="n">
        <v>8</v>
      </c>
      <c r="U160" s="5" t="inlineStr">
        <is>
          <t>단조제품 / 2026년 01월 수주 / 2026.01~ | 단조제품 / 2026년 03월 수주 / 2026.03~ | 단조제품 / 2026년 06월 수주 / 2026.03~</t>
        </is>
      </c>
      <c r="V160" s="21">
        <f>HYPERLINK("https://dart.fss.or.kr/dsaf001/main.do?rcpNo=20260814002095", "공시열람")</f>
        <v/>
      </c>
    </row>
    <row r="161">
      <c r="A161" s="5" t="inlineStr">
        <is>
          <t>HDC</t>
        </is>
      </c>
      <c r="B161" s="6" t="inlineStr">
        <is>
          <t>012630</t>
        </is>
      </c>
      <c r="C161" s="6" t="inlineStr">
        <is>
          <t>2026Q2</t>
        </is>
      </c>
      <c r="D161" s="6" t="inlineStr">
        <is>
          <t>20260818</t>
        </is>
      </c>
      <c r="E161" s="16" t="n">
        <v>26519376</v>
      </c>
      <c r="F161" s="16" t="n">
        <v>4225760</v>
      </c>
      <c r="G161" s="16" t="n">
        <v>22293615</v>
      </c>
      <c r="H161" s="6" t="inlineStr">
        <is>
          <t>백만원</t>
        </is>
      </c>
      <c r="I161" s="17" t="n">
        <v>3681.3</v>
      </c>
      <c r="J161" s="18" t="n">
        <v>529568</v>
      </c>
      <c r="K161" s="19" t="n">
        <v>507718</v>
      </c>
      <c r="L161" s="18" t="n">
        <v>441264</v>
      </c>
      <c r="M161" s="19" t="n">
        <v>19942970</v>
      </c>
      <c r="N161" s="18" t="n">
        <v>560106</v>
      </c>
      <c r="O161" s="19" t="n">
        <v>499393</v>
      </c>
      <c r="P161" s="18" t="n">
        <v>472493</v>
      </c>
      <c r="Q161" s="19" t="n">
        <v>396270</v>
      </c>
      <c r="R161" s="18" t="n">
        <v>589570</v>
      </c>
      <c r="S161" s="20" t="n">
        <v>22293615</v>
      </c>
      <c r="T161" s="6" t="n">
        <v>2</v>
      </c>
      <c r="U161" s="5" t="inlineStr">
        <is>
          <t>민간공사 | 관급공사</t>
        </is>
      </c>
      <c r="V161" s="21">
        <f>HYPERLINK("https://dart.fss.or.kr/dsaf001/main.do?rcpNo=20260818000287", "공시열람")</f>
        <v/>
      </c>
    </row>
    <row r="162">
      <c r="A162" s="5" t="inlineStr">
        <is>
          <t>하이록코리아</t>
        </is>
      </c>
      <c r="B162" s="6" t="inlineStr">
        <is>
          <t>013030</t>
        </is>
      </c>
      <c r="C162" s="6" t="inlineStr">
        <is>
          <t>2024Q3</t>
        </is>
      </c>
      <c r="D162" s="6" t="inlineStr">
        <is>
          <t>20241114</t>
        </is>
      </c>
      <c r="E162" s="16" t="n">
        <v>131359</v>
      </c>
      <c r="F162" s="16" t="n">
        <v>126019</v>
      </c>
      <c r="G162" s="16" t="n">
        <v>5340</v>
      </c>
      <c r="H162" s="6" t="inlineStr">
        <is>
          <t>백만원</t>
        </is>
      </c>
      <c r="I162" s="17" t="n">
        <v>41.8</v>
      </c>
      <c r="J162" s="18" t="n">
        <v>179</v>
      </c>
      <c r="K162" s="19" t="n">
        <v>3766</v>
      </c>
      <c r="L162" s="18" t="n">
        <v>5340</v>
      </c>
      <c r="M162" s="19" t="inlineStr"/>
      <c r="N162" s="18" t="inlineStr"/>
      <c r="O162" s="19" t="inlineStr"/>
      <c r="P162" s="18" t="inlineStr"/>
      <c r="Q162" s="19" t="inlineStr"/>
      <c r="R162" s="18" t="inlineStr"/>
      <c r="S162" s="20" t="inlineStr"/>
      <c r="T162" s="6" t="n">
        <v>4</v>
      </c>
      <c r="U162" s="5" t="inlineStr">
        <is>
          <t>관이음쇠및밸브류 / 08월 / 24.08.01 ~ 24 | 관이음쇠및밸브류 / 09월 / 24.09.01 ~ 24 | 관이음쇠및밸브류 / 04월 / 24.04.01 ~ 24</t>
        </is>
      </c>
      <c r="V162" s="21">
        <f>HYPERLINK("https://dart.fss.or.kr/dsaf001/main.do?rcpNo=20241114001240", "공시열람")</f>
        <v/>
      </c>
    </row>
    <row r="163">
      <c r="A163" s="5" t="inlineStr">
        <is>
          <t>동원개발</t>
        </is>
      </c>
      <c r="B163" s="6" t="inlineStr">
        <is>
          <t>013120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2634751230</v>
      </c>
      <c r="F163" s="16" t="n">
        <v>360071352</v>
      </c>
      <c r="G163" s="16" t="n">
        <v>2274679879</v>
      </c>
      <c r="H163" s="6" t="inlineStr">
        <is>
          <t>천원</t>
        </is>
      </c>
      <c r="I163" s="17" t="n">
        <v>9.300000000000001</v>
      </c>
      <c r="J163" s="18" t="n">
        <v>1613134998</v>
      </c>
      <c r="K163" s="19" t="n">
        <v>1650599751</v>
      </c>
      <c r="L163" s="18" t="n">
        <v>1998309779</v>
      </c>
      <c r="M163" s="19" t="n">
        <v>1951363859</v>
      </c>
      <c r="N163" s="18" t="n">
        <v>2268728816</v>
      </c>
      <c r="O163" s="19" t="n">
        <v>2165146234</v>
      </c>
      <c r="P163" s="18" t="n">
        <v>1977184164</v>
      </c>
      <c r="Q163" s="19" t="n">
        <v>2082123669</v>
      </c>
      <c r="R163" s="18" t="n">
        <v>2082071631</v>
      </c>
      <c r="S163" s="20" t="n">
        <v>2274679879</v>
      </c>
      <c r="T163" s="6" t="n">
        <v>43</v>
      </c>
      <c r="U163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3" s="21">
        <f>HYPERLINK("https://dart.fss.or.kr/dsaf001/main.do?rcpNo=20260814001366", "공시열람")</f>
        <v/>
      </c>
    </row>
    <row r="164">
      <c r="A164" s="5" t="inlineStr">
        <is>
          <t>일성건설</t>
        </is>
      </c>
      <c r="B164" s="6" t="inlineStr">
        <is>
          <t>013360</t>
        </is>
      </c>
      <c r="C164" s="6" t="inlineStr">
        <is>
          <t>2026Q2</t>
        </is>
      </c>
      <c r="D164" s="6" t="inlineStr">
        <is>
          <t>20260814</t>
        </is>
      </c>
      <c r="E164" s="16" t="n">
        <v>2678814</v>
      </c>
      <c r="F164" s="16" t="n">
        <v>1167388</v>
      </c>
      <c r="G164" s="16" t="n">
        <v>1511426</v>
      </c>
      <c r="H164" s="6" t="inlineStr">
        <is>
          <t>백만원</t>
        </is>
      </c>
      <c r="I164" s="17" t="n">
        <v>-3.1</v>
      </c>
      <c r="J164" s="18" t="n">
        <v>992056</v>
      </c>
      <c r="K164" s="19" t="n">
        <v>935458</v>
      </c>
      <c r="L164" s="18" t="n">
        <v>1015317958</v>
      </c>
      <c r="M164" s="19" t="n">
        <v>1539460</v>
      </c>
      <c r="N164" s="18" t="n">
        <v>1533094</v>
      </c>
      <c r="O164" s="19" t="n">
        <v>1651221</v>
      </c>
      <c r="P164" s="18" t="n">
        <v>1443765</v>
      </c>
      <c r="Q164" s="19" t="n">
        <v>1626960</v>
      </c>
      <c r="R164" s="18" t="n">
        <v>1559269</v>
      </c>
      <c r="S164" s="20" t="n">
        <v>1511426</v>
      </c>
      <c r="T164" s="6" t="n">
        <v>32</v>
      </c>
      <c r="U164" s="5" t="inlineStr">
        <is>
          <t>기타 | 건축공공 / 남양주진접 아파트 / 한국토지주택공사 | 기타</t>
        </is>
      </c>
      <c r="V164" s="21">
        <f>HYPERLINK("https://dart.fss.or.kr/dsaf001/main.do?rcpNo=20260814002965", "공시열람")</f>
        <v/>
      </c>
    </row>
    <row r="165">
      <c r="A165" s="5" t="inlineStr">
        <is>
          <t>계룡건설산업</t>
        </is>
      </c>
      <c r="B165" s="6" t="inlineStr">
        <is>
          <t>013580</t>
        </is>
      </c>
      <c r="C165" s="6" t="inlineStr">
        <is>
          <t>2026Q2</t>
        </is>
      </c>
      <c r="D165" s="6" t="inlineStr">
        <is>
          <t>20260814</t>
        </is>
      </c>
      <c r="E165" s="16" t="inlineStr"/>
      <c r="F165" s="16" t="n">
        <v>6254450</v>
      </c>
      <c r="G165" s="16" t="n">
        <v>13798740</v>
      </c>
      <c r="H165" s="6" t="inlineStr">
        <is>
          <t>백만원,VAT제외</t>
        </is>
      </c>
      <c r="I165" s="17" t="n">
        <v>3.5</v>
      </c>
      <c r="J165" s="18" t="n">
        <v>9517398</v>
      </c>
      <c r="K165" s="19" t="n">
        <v>10083900</v>
      </c>
      <c r="L165" s="18" t="n">
        <v>10612570</v>
      </c>
      <c r="M165" s="19" t="n">
        <v>11690115</v>
      </c>
      <c r="N165" s="18" t="n">
        <v>11361849</v>
      </c>
      <c r="O165" s="19" t="n">
        <v>12292759</v>
      </c>
      <c r="P165" s="18" t="n">
        <v>12438983</v>
      </c>
      <c r="Q165" s="19" t="n">
        <v>13136647</v>
      </c>
      <c r="R165" s="18" t="n">
        <v>13328072</v>
      </c>
      <c r="S165" s="20" t="n">
        <v>13798740</v>
      </c>
      <c r="T165" s="6" t="n">
        <v>133</v>
      </c>
      <c r="U165" s="5" t="inlineStr">
        <is>
          <t>기 타 | 고양장항 B4 공공지원민간임대 / 2026-06-30  | 월곶~판교 복선전철 10공구 노반신설 / 2023-12</t>
        </is>
      </c>
      <c r="V165" s="21">
        <f>HYPERLINK("https://dart.fss.or.kr/dsaf001/main.do?rcpNo=20260814002364", "공시열람")</f>
        <v/>
      </c>
    </row>
    <row r="166">
      <c r="A166" s="5" t="inlineStr">
        <is>
          <t>까뮤이앤씨</t>
        </is>
      </c>
      <c r="B166" s="6" t="inlineStr">
        <is>
          <t>013700</t>
        </is>
      </c>
      <c r="C166" s="6" t="inlineStr">
        <is>
          <t>2026Q2</t>
        </is>
      </c>
      <c r="D166" s="6" t="inlineStr">
        <is>
          <t>20260814</t>
        </is>
      </c>
      <c r="E166" s="16" t="n">
        <v>840492</v>
      </c>
      <c r="F166" s="16" t="n">
        <v>466312</v>
      </c>
      <c r="G166" s="16" t="n">
        <v>374180</v>
      </c>
      <c r="H166" s="6" t="inlineStr">
        <is>
          <t>백만원,부가세별도</t>
        </is>
      </c>
      <c r="I166" s="17" t="n">
        <v>-2.2</v>
      </c>
      <c r="J166" s="18" t="n">
        <v>148399</v>
      </c>
      <c r="K166" s="19" t="n">
        <v>188485</v>
      </c>
      <c r="L166" s="18" t="n">
        <v>147204</v>
      </c>
      <c r="M166" s="19" t="n">
        <v>250808</v>
      </c>
      <c r="N166" s="18" t="n">
        <v>340696</v>
      </c>
      <c r="O166" s="19" t="n">
        <v>311993</v>
      </c>
      <c r="P166" s="18" t="n">
        <v>357705</v>
      </c>
      <c r="Q166" s="19" t="n">
        <v>400505</v>
      </c>
      <c r="R166" s="18" t="n">
        <v>382437</v>
      </c>
      <c r="S166" s="20" t="n">
        <v>374180</v>
      </c>
      <c r="T166" s="6" t="n">
        <v>24</v>
      </c>
      <c r="U166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6" s="21">
        <f>HYPERLINK("https://dart.fss.or.kr/dsaf001/main.do?rcpNo=20260814002074", "공시열람")</f>
        <v/>
      </c>
    </row>
    <row r="167">
      <c r="A167" s="5" t="inlineStr">
        <is>
          <t>한익스프레스</t>
        </is>
      </c>
      <c r="B167" s="6" t="inlineStr">
        <is>
          <t>014130</t>
        </is>
      </c>
      <c r="C167" s="6" t="inlineStr">
        <is>
          <t>2025Q3</t>
        </is>
      </c>
      <c r="D167" s="6" t="inlineStr">
        <is>
          <t>20251114</t>
        </is>
      </c>
      <c r="E167" s="16" t="n">
        <v>153450</v>
      </c>
      <c r="F167" s="16" t="n">
        <v>67621</v>
      </c>
      <c r="G167" s="16" t="n">
        <v>85829</v>
      </c>
      <c r="H167" s="6" t="inlineStr">
        <is>
          <t>MT,백만원</t>
        </is>
      </c>
      <c r="I167" s="17" t="n">
        <v>0</v>
      </c>
      <c r="J167" s="18" t="n">
        <v>98662</v>
      </c>
      <c r="K167" s="19" t="n">
        <v>98662</v>
      </c>
      <c r="L167" s="18" t="n">
        <v>85829</v>
      </c>
      <c r="M167" s="19" t="n">
        <v>85829</v>
      </c>
      <c r="N167" s="18" t="n">
        <v>85829</v>
      </c>
      <c r="O167" s="19" t="n">
        <v>85829</v>
      </c>
      <c r="P167" s="18" t="n">
        <v>85829</v>
      </c>
      <c r="Q167" s="19" t="inlineStr"/>
      <c r="R167" s="18" t="inlineStr"/>
      <c r="S167" s="20" t="inlineStr"/>
      <c r="T167" s="6" t="n">
        <v>1</v>
      </c>
      <c r="U167" s="5" t="inlineStr">
        <is>
          <t xml:space="preserve">목재펠릿공급 및 육상운송 / 2020.01.30. / </t>
        </is>
      </c>
      <c r="V167" s="21">
        <f>HYPERLINK("https://dart.fss.or.kr/dsaf001/main.do?rcpNo=20251114002024", "공시열람")</f>
        <v/>
      </c>
    </row>
    <row r="168">
      <c r="A168" s="5" t="inlineStr">
        <is>
          <t>대영포장</t>
        </is>
      </c>
      <c r="B168" s="6" t="inlineStr">
        <is>
          <t>014160</t>
        </is>
      </c>
      <c r="C168" s="6" t="inlineStr">
        <is>
          <t>2026Q2</t>
        </is>
      </c>
      <c r="D168" s="6" t="inlineStr">
        <is>
          <t>20260814</t>
        </is>
      </c>
      <c r="E168" s="16" t="n">
        <v>150717</v>
      </c>
      <c r="F168" s="16" t="n">
        <v>147365</v>
      </c>
      <c r="G168" s="16" t="n">
        <v>3352</v>
      </c>
      <c r="H168" s="6" t="inlineStr">
        <is>
          <t>백만㎡,백만원</t>
        </is>
      </c>
      <c r="I168" s="17" t="n">
        <v>7.1</v>
      </c>
      <c r="J168" s="18" t="n">
        <v>3227</v>
      </c>
      <c r="K168" s="19" t="n">
        <v>3106</v>
      </c>
      <c r="L168" s="18" t="n">
        <v>3392</v>
      </c>
      <c r="M168" s="19" t="n">
        <v>2440</v>
      </c>
      <c r="N168" s="18" t="n">
        <v>3212</v>
      </c>
      <c r="O168" s="19" t="n">
        <v>3209</v>
      </c>
      <c r="P168" s="18" t="n">
        <v>3090</v>
      </c>
      <c r="Q168" s="19" t="n">
        <v>2422</v>
      </c>
      <c r="R168" s="18" t="n">
        <v>3129</v>
      </c>
      <c r="S168" s="20" t="n">
        <v>3352</v>
      </c>
      <c r="T168" s="6" t="n">
        <v>3</v>
      </c>
      <c r="U168" s="5" t="inlineStr">
        <is>
          <t>상 자 / - | 원 단 / - | 기 타 / -</t>
        </is>
      </c>
      <c r="V168" s="21">
        <f>HYPERLINK("https://dart.fss.or.kr/dsaf001/main.do?rcpNo=20260814001731", "공시열람")</f>
        <v/>
      </c>
    </row>
    <row r="169">
      <c r="A169" s="5" t="inlineStr">
        <is>
          <t>금강공업</t>
        </is>
      </c>
      <c r="B169" s="6" t="inlineStr">
        <is>
          <t>014280</t>
        </is>
      </c>
      <c r="C169" s="6" t="inlineStr">
        <is>
          <t>2026Q2</t>
        </is>
      </c>
      <c r="D169" s="6" t="inlineStr">
        <is>
          <t>20260814</t>
        </is>
      </c>
      <c r="E169" s="16" t="n">
        <v>66149</v>
      </c>
      <c r="F169" s="16" t="n">
        <v>28981</v>
      </c>
      <c r="G169" s="16" t="n">
        <v>37168</v>
      </c>
      <c r="H169" s="6" t="inlineStr">
        <is>
          <t>백만원</t>
        </is>
      </c>
      <c r="I169" s="17" t="n">
        <v>-0.5</v>
      </c>
      <c r="J169" s="18" t="n">
        <v>44046</v>
      </c>
      <c r="K169" s="19" t="n">
        <v>43662</v>
      </c>
      <c r="L169" s="18" t="n">
        <v>33950</v>
      </c>
      <c r="M169" s="19" t="n">
        <v>33017</v>
      </c>
      <c r="N169" s="18" t="n">
        <v>25605</v>
      </c>
      <c r="O169" s="19" t="n">
        <v>31442</v>
      </c>
      <c r="P169" s="18" t="n">
        <v>28487</v>
      </c>
      <c r="Q169" s="19" t="n">
        <v>30807</v>
      </c>
      <c r="R169" s="18" t="n">
        <v>37342</v>
      </c>
      <c r="S169" s="20" t="n">
        <v>37168</v>
      </c>
      <c r="T169" s="6" t="n">
        <v>2</v>
      </c>
      <c r="U169" s="5" t="inlineStr">
        <is>
          <t>알루미늄폼(임대) / 2026.01~06 | 판넬폼(갱폼) / 2026.01~06</t>
        </is>
      </c>
      <c r="V169" s="21">
        <f>HYPERLINK("https://dart.fss.or.kr/dsaf001/main.do?rcpNo=20260814000814", "공시열람")</f>
        <v/>
      </c>
    </row>
    <row r="170">
      <c r="A170" s="5" t="inlineStr">
        <is>
          <t>성광벤드</t>
        </is>
      </c>
      <c r="B170" s="6" t="inlineStr">
        <is>
          <t>014620</t>
        </is>
      </c>
      <c r="C170" s="6" t="inlineStr">
        <is>
          <t>2026Q2</t>
        </is>
      </c>
      <c r="D170" s="6" t="inlineStr">
        <is>
          <t>20260814</t>
        </is>
      </c>
      <c r="E170" s="16" t="n">
        <v>128237009</v>
      </c>
      <c r="F170" s="16" t="n">
        <v>110652594</v>
      </c>
      <c r="G170" s="16" t="n">
        <v>17584415</v>
      </c>
      <c r="H170" s="6" t="inlineStr">
        <is>
          <t>천원</t>
        </is>
      </c>
      <c r="I170" s="17" t="n">
        <v>91.8</v>
      </c>
      <c r="J170" s="18" t="n">
        <v>6244075</v>
      </c>
      <c r="K170" s="19" t="n">
        <v>12189547</v>
      </c>
      <c r="L170" s="18" t="n">
        <v>10678523</v>
      </c>
      <c r="M170" s="19" t="n">
        <v>17447868</v>
      </c>
      <c r="N170" s="18" t="n">
        <v>5822391</v>
      </c>
      <c r="O170" s="19" t="n">
        <v>8101027</v>
      </c>
      <c r="P170" s="18" t="n">
        <v>15266424</v>
      </c>
      <c r="Q170" s="19" t="n">
        <v>19015874</v>
      </c>
      <c r="R170" s="18" t="n">
        <v>9167949</v>
      </c>
      <c r="S170" s="20" t="n">
        <v>17584415</v>
      </c>
      <c r="T170" s="6" t="n">
        <v>3</v>
      </c>
      <c r="U170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70" s="21">
        <f>HYPERLINK("https://dart.fss.or.kr/dsaf001/main.do?rcpNo=20260814002129", "공시열람")</f>
        <v/>
      </c>
    </row>
    <row r="171">
      <c r="A171" s="5" t="inlineStr">
        <is>
          <t>HL D&amp;I</t>
        </is>
      </c>
      <c r="B171" s="6" t="inlineStr">
        <is>
          <t>014790</t>
        </is>
      </c>
      <c r="C171" s="6" t="inlineStr">
        <is>
          <t>2026Q2</t>
        </is>
      </c>
      <c r="D171" s="6" t="inlineStr">
        <is>
          <t>20260813</t>
        </is>
      </c>
      <c r="E171" s="16" t="n">
        <v>8865787</v>
      </c>
      <c r="F171" s="16" t="n">
        <v>3003906</v>
      </c>
      <c r="G171" s="16" t="n">
        <v>5861881</v>
      </c>
      <c r="H171" s="6" t="inlineStr">
        <is>
          <t>백만원</t>
        </is>
      </c>
      <c r="I171" s="17" t="n">
        <v>-2.6</v>
      </c>
      <c r="J171" s="18" t="n">
        <v>3949505</v>
      </c>
      <c r="K171" s="19" t="n">
        <v>3987276</v>
      </c>
      <c r="L171" s="18" t="n">
        <v>3836832</v>
      </c>
      <c r="M171" s="19" t="n">
        <v>5279265</v>
      </c>
      <c r="N171" s="18" t="n">
        <v>5238212</v>
      </c>
      <c r="O171" s="19" t="n">
        <v>5733589</v>
      </c>
      <c r="P171" s="18" t="n">
        <v>5451660</v>
      </c>
      <c r="Q171" s="19" t="n">
        <v>6264816</v>
      </c>
      <c r="R171" s="18" t="n">
        <v>6019653</v>
      </c>
      <c r="S171" s="20" t="n">
        <v>5861881</v>
      </c>
      <c r="T171" s="6" t="n">
        <v>35</v>
      </c>
      <c r="U171" s="5" t="inlineStr">
        <is>
          <t>민간 / 기타 | 관급 / 기타 | 자체 / 에이치엘디앤아이한라㈜ / 이천아미1지구도시개발</t>
        </is>
      </c>
      <c r="V171" s="21">
        <f>HYPERLINK("https://dart.fss.or.kr/dsaf001/main.do?rcpNo=20260813001577", "공시열람")</f>
        <v/>
      </c>
    </row>
    <row r="172">
      <c r="A172" s="5" t="inlineStr">
        <is>
          <t>성문전자</t>
        </is>
      </c>
      <c r="B172" s="6" t="inlineStr">
        <is>
          <t>014910</t>
        </is>
      </c>
      <c r="C172" s="6" t="inlineStr">
        <is>
          <t>2024Q3</t>
        </is>
      </c>
      <c r="D172" s="6" t="inlineStr">
        <is>
          <t>20241114</t>
        </is>
      </c>
      <c r="E172" s="16" t="n">
        <v>15736</v>
      </c>
      <c r="F172" s="16" t="n">
        <v>15736</v>
      </c>
      <c r="G172" s="16" t="n">
        <v>0</v>
      </c>
      <c r="H172" s="6" t="inlineStr">
        <is>
          <t>톤,백만원</t>
        </is>
      </c>
      <c r="I172" s="17" t="inlineStr"/>
      <c r="J172" s="18" t="n">
        <v>0</v>
      </c>
      <c r="K172" s="19" t="n">
        <v>0</v>
      </c>
      <c r="L172" s="18" t="n">
        <v>0</v>
      </c>
      <c r="M172" s="19" t="inlineStr"/>
      <c r="N172" s="18" t="inlineStr"/>
      <c r="O172" s="19" t="inlineStr"/>
      <c r="P172" s="18" t="inlineStr"/>
      <c r="Q172" s="19" t="inlineStr"/>
      <c r="R172" s="18" t="inlineStr"/>
      <c r="S172" s="20" t="inlineStr"/>
      <c r="T172" s="6" t="n">
        <v>3</v>
      </c>
      <c r="U172" s="5" t="inlineStr">
        <is>
          <t>ZN증착 / 2024년 | AL증착 / 2024년 | 기타 / 2024년</t>
        </is>
      </c>
      <c r="V172" s="21">
        <f>HYPERLINK("https://dart.fss.or.kr/dsaf001/main.do?rcpNo=20241114000704", "공시열람")</f>
        <v/>
      </c>
    </row>
    <row r="173">
      <c r="A173" s="5" t="inlineStr">
        <is>
          <t>오리엔탈정공</t>
        </is>
      </c>
      <c r="B173" s="6" t="inlineStr">
        <is>
          <t>014940</t>
        </is>
      </c>
      <c r="C173" s="6" t="inlineStr">
        <is>
          <t>2026Q2</t>
        </is>
      </c>
      <c r="D173" s="6" t="inlineStr">
        <is>
          <t>20260814</t>
        </is>
      </c>
      <c r="E173" s="16" t="n">
        <v>406956</v>
      </c>
      <c r="F173" s="16" t="n">
        <v>116123</v>
      </c>
      <c r="G173" s="16" t="n">
        <v>290834</v>
      </c>
      <c r="H173" s="6" t="inlineStr">
        <is>
          <t>백만원</t>
        </is>
      </c>
      <c r="I173" s="17" t="n">
        <v>-5.3</v>
      </c>
      <c r="J173" s="18" t="n">
        <v>281304</v>
      </c>
      <c r="K173" s="19" t="n">
        <v>257171</v>
      </c>
      <c r="L173" s="18" t="n">
        <v>327720</v>
      </c>
      <c r="M173" s="19" t="n">
        <v>318583</v>
      </c>
      <c r="N173" s="18" t="n">
        <v>283816</v>
      </c>
      <c r="O173" s="19" t="n">
        <v>241158</v>
      </c>
      <c r="P173" s="18" t="n">
        <v>235825</v>
      </c>
      <c r="Q173" s="19" t="n">
        <v>323276</v>
      </c>
      <c r="R173" s="18" t="n">
        <v>307168</v>
      </c>
      <c r="S173" s="20" t="n">
        <v>290834</v>
      </c>
      <c r="T173" s="6" t="n">
        <v>3</v>
      </c>
      <c r="U173" s="5" t="inlineStr">
        <is>
          <t>기계품 / Lifting Appliances (선박용  | 구조물 / Deck House (선실거주구), E/R  | 기계품 / Life Saving Appliances (</t>
        </is>
      </c>
      <c r="V173" s="21">
        <f>HYPERLINK("https://dart.fss.or.kr/dsaf001/main.do?rcpNo=20260814000120", "공시열람")</f>
        <v/>
      </c>
    </row>
    <row r="174">
      <c r="A174" s="5" t="inlineStr">
        <is>
          <t>대창단조</t>
        </is>
      </c>
      <c r="B174" s="6" t="inlineStr">
        <is>
          <t>015230</t>
        </is>
      </c>
      <c r="C174" s="6" t="inlineStr">
        <is>
          <t>2026Q2</t>
        </is>
      </c>
      <c r="D174" s="6" t="inlineStr">
        <is>
          <t>20260814</t>
        </is>
      </c>
      <c r="E174" s="16" t="n">
        <v>68283298</v>
      </c>
      <c r="F174" s="16" t="n">
        <v>30440694</v>
      </c>
      <c r="G174" s="16" t="n">
        <v>37842603</v>
      </c>
      <c r="H174" s="6" t="inlineStr">
        <is>
          <t>EA,천원</t>
        </is>
      </c>
      <c r="I174" s="17" t="n">
        <v>4.9</v>
      </c>
      <c r="J174" s="18" t="n">
        <v>38158024</v>
      </c>
      <c r="K174" s="19" t="n">
        <v>37798546</v>
      </c>
      <c r="L174" s="18" t="n">
        <v>33809220</v>
      </c>
      <c r="M174" s="19" t="n">
        <v>36369989</v>
      </c>
      <c r="N174" s="18" t="n">
        <v>35140166</v>
      </c>
      <c r="O174" s="19" t="n">
        <v>31062834</v>
      </c>
      <c r="P174" s="18" t="n">
        <v>28798192</v>
      </c>
      <c r="Q174" s="19" t="n">
        <v>31773596</v>
      </c>
      <c r="R174" s="18" t="n">
        <v>36079079</v>
      </c>
      <c r="S174" s="20" t="n">
        <v>37842603</v>
      </c>
      <c r="T174" s="6" t="n">
        <v>2</v>
      </c>
      <c r="U174" s="5" t="inlineStr">
        <is>
          <t>중장비부품 / 2026년04월2026년06월 / 202 | 자동차부품 / 2026년04월2026년06월 / 202</t>
        </is>
      </c>
      <c r="V174" s="21">
        <f>HYPERLINK("https://dart.fss.or.kr/dsaf001/main.do?rcpNo=20260814000441", "공시열람")</f>
        <v/>
      </c>
    </row>
    <row r="175">
      <c r="A175" s="5" t="inlineStr">
        <is>
          <t>에이엔피</t>
        </is>
      </c>
      <c r="B175" s="6" t="inlineStr">
        <is>
          <t>015260</t>
        </is>
      </c>
      <c r="C175" s="6" t="inlineStr">
        <is>
          <t>2026Q2</t>
        </is>
      </c>
      <c r="D175" s="6" t="inlineStr">
        <is>
          <t>20260814</t>
        </is>
      </c>
      <c r="E175" s="16" t="n">
        <v>57369</v>
      </c>
      <c r="F175" s="16" t="n">
        <v>48759</v>
      </c>
      <c r="G175" s="16" t="n">
        <v>8610</v>
      </c>
      <c r="H175" s="6" t="inlineStr">
        <is>
          <t>M2,백만원</t>
        </is>
      </c>
      <c r="I175" s="17" t="n">
        <v>1.8</v>
      </c>
      <c r="J175" s="18" t="n">
        <v>9954</v>
      </c>
      <c r="K175" s="19" t="n">
        <v>7237</v>
      </c>
      <c r="L175" s="18" t="n">
        <v>8379</v>
      </c>
      <c r="M175" s="19" t="n">
        <v>7358</v>
      </c>
      <c r="N175" s="18" t="n">
        <v>10396</v>
      </c>
      <c r="O175" s="19" t="n">
        <v>8579</v>
      </c>
      <c r="P175" s="18" t="n">
        <v>7089</v>
      </c>
      <c r="Q175" s="19" t="n">
        <v>7634</v>
      </c>
      <c r="R175" s="18" t="n">
        <v>8461</v>
      </c>
      <c r="S175" s="20" t="n">
        <v>8610</v>
      </c>
      <c r="T175" s="6" t="n">
        <v>2</v>
      </c>
      <c r="U175" s="5" t="inlineStr">
        <is>
          <t>인쇄회로기판 / 2026.1.1~2026.6.30 | SMT 외 / 2026.1.1~2026.6.30</t>
        </is>
      </c>
      <c r="V175" s="21">
        <f>HYPERLINK("https://dart.fss.or.kr/dsaf001/main.do?rcpNo=20260814001901", "공시열람")</f>
        <v/>
      </c>
    </row>
    <row r="176">
      <c r="A176" s="5" t="inlineStr">
        <is>
          <t>INVENI</t>
        </is>
      </c>
      <c r="B176" s="6" t="inlineStr">
        <is>
          <t>015360</t>
        </is>
      </c>
      <c r="C176" s="6" t="inlineStr">
        <is>
          <t>2024Q2</t>
        </is>
      </c>
      <c r="D176" s="6" t="inlineStr">
        <is>
          <t>20240814</t>
        </is>
      </c>
      <c r="E176" s="16" t="n">
        <v>135104</v>
      </c>
      <c r="F176" s="16" t="n">
        <v>52295</v>
      </c>
      <c r="G176" s="16" t="n">
        <v>82809</v>
      </c>
      <c r="H176" s="6" t="inlineStr">
        <is>
          <t>백만원</t>
        </is>
      </c>
      <c r="I176" s="17" t="n">
        <v>8.4</v>
      </c>
      <c r="J176" s="18" t="n">
        <v>76388</v>
      </c>
      <c r="K176" s="19" t="n">
        <v>82809</v>
      </c>
      <c r="L176" s="18" t="inlineStr"/>
      <c r="M176" s="19" t="inlineStr"/>
      <c r="N176" s="18" t="inlineStr"/>
      <c r="O176" s="19" t="inlineStr"/>
      <c r="P176" s="18" t="inlineStr"/>
      <c r="Q176" s="19" t="inlineStr"/>
      <c r="R176" s="18" t="inlineStr"/>
      <c r="S176" s="20" t="inlineStr"/>
      <c r="T176" s="6" t="n">
        <v>1</v>
      </c>
      <c r="U176" s="5" t="inlineStr">
        <is>
          <t>PC제조부문 / 포스코 등 15건</t>
        </is>
      </c>
      <c r="V176" s="21">
        <f>HYPERLINK("https://dart.fss.or.kr/dsaf001/main.do?rcpNo=20240814004353", "공시열람")</f>
        <v/>
      </c>
    </row>
    <row r="177">
      <c r="A177" s="5" t="inlineStr">
        <is>
          <t>DKME</t>
        </is>
      </c>
      <c r="B177" s="6" t="inlineStr">
        <is>
          <t>015590</t>
        </is>
      </c>
      <c r="C177" s="6" t="inlineStr">
        <is>
          <t>2026Q2</t>
        </is>
      </c>
      <c r="D177" s="6" t="inlineStr">
        <is>
          <t>20261007</t>
        </is>
      </c>
      <c r="E177" s="16" t="n">
        <v>654</v>
      </c>
      <c r="F177" s="16" t="n">
        <v>378</v>
      </c>
      <c r="G177" s="16" t="n">
        <v>276</v>
      </c>
      <c r="H177" s="6" t="inlineStr">
        <is>
          <t>억원</t>
        </is>
      </c>
      <c r="I177" s="17" t="n">
        <v>-30.3</v>
      </c>
      <c r="J177" s="18" t="n">
        <v>1542</v>
      </c>
      <c r="K177" s="19" t="n">
        <v>137540020426</v>
      </c>
      <c r="L177" s="18" t="n">
        <v>1167</v>
      </c>
      <c r="M177" s="19" t="n">
        <v>150324507505</v>
      </c>
      <c r="N177" s="18" t="n">
        <v>1181</v>
      </c>
      <c r="O177" s="19" t="n">
        <v>867</v>
      </c>
      <c r="P177" s="18" t="n">
        <v>778</v>
      </c>
      <c r="Q177" s="19" t="n">
        <v>552</v>
      </c>
      <c r="R177" s="18" t="n">
        <v>396</v>
      </c>
      <c r="S177" s="20" t="n">
        <v>276</v>
      </c>
      <c r="T177" s="6" t="n">
        <v>1</v>
      </c>
      <c r="U177" s="5" t="inlineStr">
        <is>
          <t>열교환기 / -</t>
        </is>
      </c>
      <c r="V177" s="21">
        <f>HYPERLINK("https://dart.fss.or.kr/dsaf001/main.do?rcpNo=20261007000316", "공시열람")</f>
        <v/>
      </c>
    </row>
    <row r="178">
      <c r="A178" s="5" t="inlineStr">
        <is>
          <t>코콤</t>
        </is>
      </c>
      <c r="B178" s="6" t="inlineStr">
        <is>
          <t>015710</t>
        </is>
      </c>
      <c r="C178" s="6" t="inlineStr">
        <is>
          <t>2026Q2</t>
        </is>
      </c>
      <c r="D178" s="6" t="inlineStr">
        <is>
          <t>20260814</t>
        </is>
      </c>
      <c r="E178" s="16" t="n">
        <v>159999</v>
      </c>
      <c r="F178" s="16" t="n">
        <v>9189</v>
      </c>
      <c r="G178" s="16" t="n">
        <v>150810</v>
      </c>
      <c r="H178" s="6" t="inlineStr">
        <is>
          <t>백만원</t>
        </is>
      </c>
      <c r="I178" s="17" t="n">
        <v>8.699999999999999</v>
      </c>
      <c r="J178" s="18" t="n">
        <v>142002</v>
      </c>
      <c r="K178" s="19" t="n">
        <v>139018</v>
      </c>
      <c r="L178" s="18" t="n">
        <v>130286</v>
      </c>
      <c r="M178" s="19" t="n">
        <v>112858</v>
      </c>
      <c r="N178" s="18" t="n">
        <v>101971</v>
      </c>
      <c r="O178" s="19" t="n">
        <v>107354</v>
      </c>
      <c r="P178" s="18" t="n">
        <v>117843</v>
      </c>
      <c r="Q178" s="19" t="n">
        <v>128968</v>
      </c>
      <c r="R178" s="18" t="n">
        <v>138767</v>
      </c>
      <c r="S178" s="20" t="n">
        <v>150810</v>
      </c>
      <c r="T178" s="6" t="n">
        <v>1</v>
      </c>
      <c r="U178" s="5" t="inlineStr">
        <is>
          <t>스마트홈 외 / 2026.06.30 이전 / 2026.</t>
        </is>
      </c>
      <c r="V178" s="21">
        <f>HYPERLINK("https://dart.fss.or.kr/dsaf001/main.do?rcpNo=20260814003466", "공시열람")</f>
        <v/>
      </c>
    </row>
    <row r="179">
      <c r="A179" s="5" t="inlineStr">
        <is>
          <t>한국전력공사</t>
        </is>
      </c>
      <c r="B179" s="6" t="inlineStr">
        <is>
          <t>015760</t>
        </is>
      </c>
      <c r="C179" s="6" t="inlineStr">
        <is>
          <t>2026Q2</t>
        </is>
      </c>
      <c r="D179" s="6" t="inlineStr">
        <is>
          <t>20260814</t>
        </is>
      </c>
      <c r="E179" s="16" t="n">
        <v>6485330</v>
      </c>
      <c r="F179" s="16" t="n">
        <v>3902321</v>
      </c>
      <c r="G179" s="16" t="n">
        <v>2635045</v>
      </c>
      <c r="H179" s="6" t="inlineStr">
        <is>
          <t>백만원</t>
        </is>
      </c>
      <c r="I179" s="17" t="n">
        <v>90296.10000000001</v>
      </c>
      <c r="J179" s="18" t="n">
        <v>2982</v>
      </c>
      <c r="K179" s="19" t="n">
        <v>3094</v>
      </c>
      <c r="L179" s="18" t="n">
        <v>2924</v>
      </c>
      <c r="M179" s="19" t="n">
        <v>15012</v>
      </c>
      <c r="N179" s="18" t="n">
        <v>14889</v>
      </c>
      <c r="O179" s="19" t="n">
        <v>261397</v>
      </c>
      <c r="P179" s="18" t="n">
        <v>3040</v>
      </c>
      <c r="Q179" s="19" t="n">
        <v>2936</v>
      </c>
      <c r="R179" s="18" t="n">
        <v>2915</v>
      </c>
      <c r="S179" s="20" t="n">
        <v>2635045</v>
      </c>
      <c r="T179" s="6" t="n">
        <v>5</v>
      </c>
      <c r="U179" s="5" t="inlineStr">
        <is>
          <t>해외 / Amman Asia ElectricPower  | 원자력/양수 / 한국수력원자력(주) / 2025년도 원 | 대외 / 광양그린에너지(주) 등 / 광양바이오매스 발전</t>
        </is>
      </c>
      <c r="V179" s="21">
        <f>HYPERLINK("https://dart.fss.or.kr/dsaf001/main.do?rcpNo=20260814002198", "공시열람")</f>
        <v/>
      </c>
    </row>
    <row r="180">
      <c r="A180" s="5" t="inlineStr">
        <is>
          <t>일진홀딩스</t>
        </is>
      </c>
      <c r="B180" s="6" t="inlineStr">
        <is>
          <t>015860</t>
        </is>
      </c>
      <c r="C180" s="6" t="inlineStr">
        <is>
          <t>2026Q2</t>
        </is>
      </c>
      <c r="D180" s="6" t="inlineStr">
        <is>
          <t>20260812</t>
        </is>
      </c>
      <c r="E180" s="16" t="n">
        <v>2396160</v>
      </c>
      <c r="F180" s="16" t="n">
        <v>457069</v>
      </c>
      <c r="G180" s="16" t="n">
        <v>1939091</v>
      </c>
      <c r="H180" s="6" t="inlineStr">
        <is>
          <t>천USD</t>
        </is>
      </c>
      <c r="I180" s="17" t="n">
        <v>10.1</v>
      </c>
      <c r="J180" s="18" t="n">
        <v>1569945</v>
      </c>
      <c r="K180" s="19" t="n">
        <v>1645310</v>
      </c>
      <c r="L180" s="18" t="n">
        <v>1767894</v>
      </c>
      <c r="M180" s="19" t="n">
        <v>1671889</v>
      </c>
      <c r="N180" s="18" t="n">
        <v>1810470</v>
      </c>
      <c r="O180" s="19" t="n">
        <v>1892594</v>
      </c>
      <c r="P180" s="18" t="n">
        <v>1807060</v>
      </c>
      <c r="Q180" s="19" t="n">
        <v>1624785</v>
      </c>
      <c r="R180" s="18" t="n">
        <v>1761584</v>
      </c>
      <c r="S180" s="20" t="n">
        <v>1939091</v>
      </c>
      <c r="T180" s="6" t="n">
        <v>4</v>
      </c>
      <c r="U180" s="5" t="inlineStr">
        <is>
          <t>변압기 등중전기 / 해외 / ~2026년 반기 | 전력선 등 / 해외 / ~2026년 반기 | 변압기 등중전기 / 국내 / ~2026년 반기</t>
        </is>
      </c>
      <c r="V180" s="21">
        <f>HYPERLINK("https://dart.fss.or.kr/dsaf001/main.do?rcpNo=20260812000400", "공시열람")</f>
        <v/>
      </c>
    </row>
    <row r="181">
      <c r="A181" s="5" t="inlineStr">
        <is>
          <t>SGC E&amp;C</t>
        </is>
      </c>
      <c r="B181" s="6" t="inlineStr">
        <is>
          <t>016250</t>
        </is>
      </c>
      <c r="C181" s="6" t="inlineStr">
        <is>
          <t>2026Q2</t>
        </is>
      </c>
      <c r="D181" s="6" t="inlineStr">
        <is>
          <t>20260814</t>
        </is>
      </c>
      <c r="E181" s="16" t="n">
        <v>4204306</v>
      </c>
      <c r="F181" s="16" t="n">
        <v>2010550</v>
      </c>
      <c r="G181" s="16" t="n">
        <v>2193755</v>
      </c>
      <c r="H181" s="6" t="inlineStr">
        <is>
          <t>백만원,EA</t>
        </is>
      </c>
      <c r="I181" s="17" t="n">
        <v>-10.1</v>
      </c>
      <c r="J181" s="18" t="n">
        <v>1880699</v>
      </c>
      <c r="K181" s="19" t="n">
        <v>2318226</v>
      </c>
      <c r="L181" s="18" t="n">
        <v>2657362</v>
      </c>
      <c r="M181" s="19" t="n">
        <v>2395798</v>
      </c>
      <c r="N181" s="18" t="n">
        <v>2344241</v>
      </c>
      <c r="O181" s="19" t="n">
        <v>2249241</v>
      </c>
      <c r="P181" s="18" t="n">
        <v>1993454</v>
      </c>
      <c r="Q181" s="19" t="n">
        <v>1996527</v>
      </c>
      <c r="R181" s="18" t="n">
        <v>2440928</v>
      </c>
      <c r="S181" s="20" t="n">
        <v>2193755</v>
      </c>
      <c r="T181" s="6" t="n">
        <v>48</v>
      </c>
      <c r="U181" s="5" t="inlineStr">
        <is>
          <t>마석우리 공동주택 신축사업 / 26.03.17 / 30 | 광주 용두동 지역주택조합 신축공사 / 26.01.20  | SIPCHEM EVA DBN / 24.07.01 / 2</t>
        </is>
      </c>
      <c r="V181" s="21">
        <f>HYPERLINK("https://dart.fss.or.kr/dsaf001/main.do?rcpNo=20260814000203", "공시열람")</f>
        <v/>
      </c>
    </row>
    <row r="182">
      <c r="A182" s="5" t="inlineStr">
        <is>
          <t>KG스틸</t>
        </is>
      </c>
      <c r="B182" s="6" t="inlineStr">
        <is>
          <t>016380</t>
        </is>
      </c>
      <c r="C182" s="6" t="inlineStr">
        <is>
          <t>2026Q2</t>
        </is>
      </c>
      <c r="D182" s="6" t="inlineStr">
        <is>
          <t>20260814</t>
        </is>
      </c>
      <c r="E182" s="16" t="n">
        <v>57906</v>
      </c>
      <c r="F182" s="16" t="n">
        <v>48922</v>
      </c>
      <c r="G182" s="16" t="n">
        <v>8984</v>
      </c>
      <c r="H182" s="6" t="inlineStr">
        <is>
          <t>톤,백만원</t>
        </is>
      </c>
      <c r="I182" s="17" t="n">
        <v>-25.9</v>
      </c>
      <c r="J182" s="18" t="n">
        <v>29295</v>
      </c>
      <c r="K182" s="19" t="n">
        <v>35425</v>
      </c>
      <c r="L182" s="18" t="n">
        <v>19664</v>
      </c>
      <c r="M182" s="19" t="n">
        <v>16371</v>
      </c>
      <c r="N182" s="18" t="n">
        <v>13584</v>
      </c>
      <c r="O182" s="19" t="n">
        <v>13602</v>
      </c>
      <c r="P182" s="18" t="n">
        <v>14962</v>
      </c>
      <c r="Q182" s="19" t="n">
        <v>14085</v>
      </c>
      <c r="R182" s="18" t="n">
        <v>12117</v>
      </c>
      <c r="S182" s="20" t="n">
        <v>8984</v>
      </c>
      <c r="T182" s="6" t="n">
        <v>3</v>
      </c>
      <c r="U182" s="5" t="inlineStr">
        <is>
          <t>일반철골공사 / - | PEB 제품판매 / - | PEB 철골공사 / -</t>
        </is>
      </c>
      <c r="V182" s="21">
        <f>HYPERLINK("https://dart.fss.or.kr/dsaf001/main.do?rcpNo=20260814004122", "공시열람")</f>
        <v/>
      </c>
    </row>
    <row r="183">
      <c r="A183" s="5" t="inlineStr">
        <is>
          <t>웅진</t>
        </is>
      </c>
      <c r="B183" s="6" t="inlineStr">
        <is>
          <t>016880</t>
        </is>
      </c>
      <c r="C183" s="6" t="inlineStr">
        <is>
          <t>2026Q2</t>
        </is>
      </c>
      <c r="D183" s="6" t="inlineStr">
        <is>
          <t>20260814</t>
        </is>
      </c>
      <c r="E183" s="16" t="inlineStr"/>
      <c r="F183" s="16" t="n">
        <v>103937</v>
      </c>
      <c r="G183" s="16" t="n">
        <v>43589</v>
      </c>
      <c r="H183" s="6" t="inlineStr">
        <is>
          <t>백만원</t>
        </is>
      </c>
      <c r="I183" s="17" t="n">
        <v>10.2</v>
      </c>
      <c r="J183" s="18" t="n">
        <v>43462</v>
      </c>
      <c r="K183" s="19" t="n">
        <v>44362</v>
      </c>
      <c r="L183" s="18" t="n">
        <v>41852</v>
      </c>
      <c r="M183" s="19" t="n">
        <v>36591</v>
      </c>
      <c r="N183" s="18" t="n">
        <v>40119</v>
      </c>
      <c r="O183" s="19" t="n">
        <v>40708</v>
      </c>
      <c r="P183" s="18" t="n">
        <v>33668</v>
      </c>
      <c r="Q183" s="19" t="n">
        <v>27101</v>
      </c>
      <c r="R183" s="18" t="n">
        <v>39563</v>
      </c>
      <c r="S183" s="20" t="n">
        <v>43589</v>
      </c>
      <c r="T183" s="6" t="n">
        <v>14</v>
      </c>
      <c r="U183" s="5" t="inlineStr">
        <is>
          <t>B社 KOREA DMS Next 시스템 구축 / WDM | V社 NEXT DMS 구축 / WDMS / 2023.1 | C社 SAP Cloud BPO 서비스 / SAP Clo</t>
        </is>
      </c>
      <c r="V183" s="21">
        <f>HYPERLINK("https://dart.fss.or.kr/dsaf001/main.do?rcpNo=20260814004222", "공시열람")</f>
        <v/>
      </c>
    </row>
    <row r="184">
      <c r="A184" s="5" t="inlineStr">
        <is>
          <t>신원종합개발</t>
        </is>
      </c>
      <c r="B184" s="6" t="inlineStr">
        <is>
          <t>017000</t>
        </is>
      </c>
      <c r="C184" s="6" t="inlineStr">
        <is>
          <t>2026Q2</t>
        </is>
      </c>
      <c r="D184" s="6" t="inlineStr">
        <is>
          <t>20260814</t>
        </is>
      </c>
      <c r="E184" s="16" t="n">
        <v>1034137</v>
      </c>
      <c r="F184" s="16" t="inlineStr"/>
      <c r="G184" s="16" t="n">
        <v>622151</v>
      </c>
      <c r="H184" s="6" t="inlineStr">
        <is>
          <t>백만원</t>
        </is>
      </c>
      <c r="I184" s="17" t="n">
        <v>2.4</v>
      </c>
      <c r="J184" s="18" t="n">
        <v>477377</v>
      </c>
      <c r="K184" s="19" t="n">
        <v>477377</v>
      </c>
      <c r="L184" s="18" t="n">
        <v>477377</v>
      </c>
      <c r="M184" s="19" t="n">
        <v>393195</v>
      </c>
      <c r="N184" s="18" t="n">
        <v>390842</v>
      </c>
      <c r="O184" s="19" t="n">
        <v>474127</v>
      </c>
      <c r="P184" s="18" t="n">
        <v>547034</v>
      </c>
      <c r="Q184" s="19" t="n">
        <v>598493</v>
      </c>
      <c r="R184" s="18" t="n">
        <v>607725</v>
      </c>
      <c r="S184" s="20" t="n">
        <v>622151</v>
      </c>
      <c r="T184" s="6" t="n">
        <v>2</v>
      </c>
      <c r="U184" s="5" t="inlineStr">
        <is>
          <t>민간 | 관급</t>
        </is>
      </c>
      <c r="V184" s="21">
        <f>HYPERLINK("https://dart.fss.or.kr/dsaf001/main.do?rcpNo=20260814001061", "공시열람")</f>
        <v/>
      </c>
    </row>
    <row r="185">
      <c r="A185" s="5" t="inlineStr">
        <is>
          <t>광명전기</t>
        </is>
      </c>
      <c r="B185" s="6" t="inlineStr">
        <is>
          <t>017040</t>
        </is>
      </c>
      <c r="C185" s="6" t="inlineStr">
        <is>
          <t>2026Q2</t>
        </is>
      </c>
      <c r="D185" s="6" t="inlineStr">
        <is>
          <t>20260814</t>
        </is>
      </c>
      <c r="E185" s="16" t="n">
        <v>136257</v>
      </c>
      <c r="F185" s="16" t="n">
        <v>69939</v>
      </c>
      <c r="G185" s="16" t="n">
        <v>66318</v>
      </c>
      <c r="H185" s="6" t="inlineStr">
        <is>
          <t>백만원</t>
        </is>
      </c>
      <c r="I185" s="17" t="n">
        <v>-5.8</v>
      </c>
      <c r="J185" s="18" t="n">
        <v>49829</v>
      </c>
      <c r="K185" s="19" t="n">
        <v>56400</v>
      </c>
      <c r="L185" s="18" t="n">
        <v>47121</v>
      </c>
      <c r="M185" s="19" t="n">
        <v>31641</v>
      </c>
      <c r="N185" s="18" t="n">
        <v>95063</v>
      </c>
      <c r="O185" s="19" t="n">
        <v>87204</v>
      </c>
      <c r="P185" s="18" t="n">
        <v>71799</v>
      </c>
      <c r="Q185" s="19" t="n">
        <v>72040</v>
      </c>
      <c r="R185" s="18" t="n">
        <v>70372</v>
      </c>
      <c r="S185" s="20" t="n">
        <v>66318</v>
      </c>
      <c r="T185" s="6" t="n">
        <v>7</v>
      </c>
      <c r="U185" s="5" t="inlineStr">
        <is>
          <t>수배전반 / 25.03.19 / 2029.04월 분납 | 수배전반 / 25.03.13 / 2029.12월 분납 | 수배전반 / 16.05.31 / 2026.04월 분납</t>
        </is>
      </c>
      <c r="V185" s="21">
        <f>HYPERLINK("https://dart.fss.or.kr/dsaf001/main.do?rcpNo=20260814000759", "공시열람")</f>
        <v/>
      </c>
    </row>
    <row r="186">
      <c r="A186" s="5" t="inlineStr">
        <is>
          <t>인터엠</t>
        </is>
      </c>
      <c r="B186" s="6" t="inlineStr">
        <is>
          <t>017250</t>
        </is>
      </c>
      <c r="C186" s="6" t="inlineStr">
        <is>
          <t>2026Q2</t>
        </is>
      </c>
      <c r="D186" s="6" t="inlineStr">
        <is>
          <t>20260813</t>
        </is>
      </c>
      <c r="E186" s="16" t="n">
        <v>16357347200</v>
      </c>
      <c r="F186" s="16" t="inlineStr"/>
      <c r="G186" s="16" t="n">
        <v>8440996617</v>
      </c>
      <c r="H186" s="6" t="inlineStr"/>
      <c r="I186" s="17" t="n">
        <v>-34.3</v>
      </c>
      <c r="J186" s="18" t="inlineStr"/>
      <c r="K186" s="19" t="inlineStr"/>
      <c r="L186" s="18" t="inlineStr"/>
      <c r="M186" s="19" t="inlineStr"/>
      <c r="N186" s="18" t="n">
        <v>10022000000</v>
      </c>
      <c r="O186" s="19" t="n">
        <v>8117820000</v>
      </c>
      <c r="P186" s="18" t="n">
        <v>16357347200</v>
      </c>
      <c r="Q186" s="19" t="n">
        <v>15807305198</v>
      </c>
      <c r="R186" s="18" t="n">
        <v>12840279778</v>
      </c>
      <c r="S186" s="20" t="n">
        <v>8440996617</v>
      </c>
      <c r="T186" s="6" t="n">
        <v>2</v>
      </c>
      <c r="U186" s="5" t="inlineStr">
        <is>
          <t>서울아레나 무대특장 / 2025.02.28 | 튀르키예 열차 제작 / 2025.08.19</t>
        </is>
      </c>
      <c r="V186" s="21">
        <f>HYPERLINK("https://dart.fss.or.kr/dsaf001/main.do?rcpNo=20260813001162", "공시열람")</f>
        <v/>
      </c>
    </row>
    <row r="187">
      <c r="A187" s="5" t="inlineStr">
        <is>
          <t>우신시스템</t>
        </is>
      </c>
      <c r="B187" s="6" t="inlineStr">
        <is>
          <t>017370</t>
        </is>
      </c>
      <c r="C187" s="6" t="inlineStr">
        <is>
          <t>2026Q2</t>
        </is>
      </c>
      <c r="D187" s="6" t="inlineStr">
        <is>
          <t>20260814</t>
        </is>
      </c>
      <c r="E187" s="16" t="n">
        <v>587046023</v>
      </c>
      <c r="F187" s="16" t="n">
        <v>493780019</v>
      </c>
      <c r="G187" s="16" t="n">
        <v>93266003</v>
      </c>
      <c r="H187" s="6" t="inlineStr">
        <is>
          <t>천원</t>
        </is>
      </c>
      <c r="I187" s="17" t="n">
        <v>1.8</v>
      </c>
      <c r="J187" s="18" t="n">
        <v>436755682</v>
      </c>
      <c r="K187" s="19" t="n">
        <v>460386729</v>
      </c>
      <c r="L187" s="18" t="n">
        <v>240253806</v>
      </c>
      <c r="M187" s="19" t="n">
        <v>197802941</v>
      </c>
      <c r="N187" s="18" t="n">
        <v>177343652</v>
      </c>
      <c r="O187" s="19" t="n">
        <v>157690190</v>
      </c>
      <c r="P187" s="18" t="n">
        <v>126670538</v>
      </c>
      <c r="Q187" s="19" t="n">
        <v>111018898</v>
      </c>
      <c r="R187" s="18" t="n">
        <v>91583669</v>
      </c>
      <c r="S187" s="20" t="n">
        <v>93266003</v>
      </c>
      <c r="T187" s="6" t="n">
        <v>4</v>
      </c>
      <c r="U187" s="5" t="inlineStr">
        <is>
          <t>기타 / - | 자동화설비 / 2025-10-23 / 2026-09-3 | 자동화설비 / 2024-11-19 / 2026-07-0</t>
        </is>
      </c>
      <c r="V187" s="21">
        <f>HYPERLINK("https://dart.fss.or.kr/dsaf001/main.do?rcpNo=20260814003539", "공시열람")</f>
        <v/>
      </c>
    </row>
    <row r="188">
      <c r="A188" s="5" t="inlineStr">
        <is>
          <t>세명전기</t>
        </is>
      </c>
      <c r="B188" s="6" t="inlineStr">
        <is>
          <t>017510</t>
        </is>
      </c>
      <c r="C188" s="6" t="inlineStr">
        <is>
          <t>2026Q2</t>
        </is>
      </c>
      <c r="D188" s="6" t="inlineStr">
        <is>
          <t>20260812</t>
        </is>
      </c>
      <c r="E188" s="16" t="n">
        <v>15528</v>
      </c>
      <c r="F188" s="16" t="inlineStr"/>
      <c r="G188" s="16" t="n">
        <v>15528</v>
      </c>
      <c r="H188" s="6" t="inlineStr">
        <is>
          <t>백만원</t>
        </is>
      </c>
      <c r="I188" s="17" t="n">
        <v>-33.2</v>
      </c>
      <c r="J188" s="18" t="n">
        <v>15803</v>
      </c>
      <c r="K188" s="19" t="n">
        <v>15047</v>
      </c>
      <c r="L188" s="18" t="n">
        <v>4615</v>
      </c>
      <c r="M188" s="19" t="n">
        <v>21229</v>
      </c>
      <c r="N188" s="18" t="n">
        <v>24567</v>
      </c>
      <c r="O188" s="19" t="n">
        <v>28328</v>
      </c>
      <c r="P188" s="18" t="n">
        <v>34744</v>
      </c>
      <c r="Q188" s="19" t="n">
        <v>30545</v>
      </c>
      <c r="R188" s="18" t="n">
        <v>23251</v>
      </c>
      <c r="S188" s="20" t="n">
        <v>15528</v>
      </c>
      <c r="T188" s="6" t="n">
        <v>1</v>
      </c>
      <c r="U188" s="5" t="inlineStr">
        <is>
          <t>금구류 / 24.12.13 / 27.5.28</t>
        </is>
      </c>
      <c r="V188" s="21">
        <f>HYPERLINK("https://dart.fss.or.kr/dsaf001/main.do?rcpNo=20260812000276", "공시열람")</f>
        <v/>
      </c>
    </row>
    <row r="189">
      <c r="A189" s="5" t="inlineStr">
        <is>
          <t>수산세보틱스</t>
        </is>
      </c>
      <c r="B189" s="6" t="inlineStr">
        <is>
          <t>017550</t>
        </is>
      </c>
      <c r="C189" s="6" t="inlineStr">
        <is>
          <t>2026Q2</t>
        </is>
      </c>
      <c r="D189" s="6" t="inlineStr">
        <is>
          <t>20260814</t>
        </is>
      </c>
      <c r="E189" s="16" t="inlineStr"/>
      <c r="F189" s="16" t="inlineStr"/>
      <c r="G189" s="16" t="n">
        <v>1000000</v>
      </c>
      <c r="H189" s="6" t="inlineStr">
        <is>
          <t>원,외화단위:USD</t>
        </is>
      </c>
      <c r="I189" s="17" t="n">
        <v>3794.4</v>
      </c>
      <c r="J189" s="18" t="n">
        <v>36400</v>
      </c>
      <c r="K189" s="19" t="n">
        <v>40700</v>
      </c>
      <c r="L189" s="18" t="n">
        <v>27058</v>
      </c>
      <c r="M189" s="19" t="n">
        <v>6205</v>
      </c>
      <c r="N189" s="18" t="n">
        <v>6205</v>
      </c>
      <c r="O189" s="19" t="n">
        <v>34135</v>
      </c>
      <c r="P189" s="18" t="n">
        <v>35737</v>
      </c>
      <c r="Q189" s="19" t="n">
        <v>26345</v>
      </c>
      <c r="R189" s="18" t="n">
        <v>25678</v>
      </c>
      <c r="S189" s="20" t="n">
        <v>1000000</v>
      </c>
      <c r="T189" s="6" t="n">
        <v>1</v>
      </c>
      <c r="U189" s="5" t="inlineStr">
        <is>
          <t>통화선도 / 우리은행 / USD</t>
        </is>
      </c>
      <c r="V189" s="21">
        <f>HYPERLINK("https://dart.fss.or.kr/dsaf001/main.do?rcpNo=20260814003497", "공시열람")</f>
        <v/>
      </c>
    </row>
    <row r="190">
      <c r="A190" s="5" t="inlineStr">
        <is>
          <t>현대엘리베이터</t>
        </is>
      </c>
      <c r="B190" s="6" t="inlineStr">
        <is>
          <t>017800</t>
        </is>
      </c>
      <c r="C190" s="6" t="inlineStr">
        <is>
          <t>2026Q2</t>
        </is>
      </c>
      <c r="D190" s="6" t="inlineStr">
        <is>
          <t>20260814</t>
        </is>
      </c>
      <c r="E190" s="16" t="n">
        <v>3471088</v>
      </c>
      <c r="F190" s="16" t="n">
        <v>1431652</v>
      </c>
      <c r="G190" s="16" t="n">
        <v>2039436</v>
      </c>
      <c r="H190" s="6" t="inlineStr">
        <is>
          <t>백만원</t>
        </is>
      </c>
      <c r="I190" s="17" t="n">
        <v>-9</v>
      </c>
      <c r="J190" s="18" t="n">
        <v>2188665</v>
      </c>
      <c r="K190" s="19" t="n">
        <v>2259829</v>
      </c>
      <c r="L190" s="18" t="n">
        <v>2056010</v>
      </c>
      <c r="M190" s="19" t="n">
        <v>1868214</v>
      </c>
      <c r="N190" s="18" t="n">
        <v>1882197</v>
      </c>
      <c r="O190" s="19" t="n">
        <v>2096503</v>
      </c>
      <c r="P190" s="18" t="n">
        <v>2058310</v>
      </c>
      <c r="Q190" s="19" t="n">
        <v>2090815</v>
      </c>
      <c r="R190" s="18" t="n">
        <v>2240777</v>
      </c>
      <c r="S190" s="20" t="n">
        <v>2039436</v>
      </c>
      <c r="T190" s="6" t="n">
        <v>4</v>
      </c>
      <c r="U190" s="5" t="inlineStr">
        <is>
          <t>물품취급장비부문 / 2026.06.30.까지 / - | 건설업부문 / 2026.06.30.까지 / - | 물류사업부문 / 2026.06.30.까지 / -</t>
        </is>
      </c>
      <c r="V190" s="21">
        <f>HYPERLINK("https://dart.fss.or.kr/dsaf001/main.do?rcpNo=20260814003691", "공시열람")</f>
        <v/>
      </c>
    </row>
    <row r="191">
      <c r="A191" s="5" t="inlineStr">
        <is>
          <t>E1</t>
        </is>
      </c>
      <c r="B191" s="6" t="inlineStr">
        <is>
          <t>017940</t>
        </is>
      </c>
      <c r="C191" s="6" t="inlineStr">
        <is>
          <t>2026Q2</t>
        </is>
      </c>
      <c r="D191" s="6" t="inlineStr">
        <is>
          <t>20260814</t>
        </is>
      </c>
      <c r="E191" s="16" t="n">
        <v>22707</v>
      </c>
      <c r="F191" s="16" t="n">
        <v>9540</v>
      </c>
      <c r="G191" s="16" t="n">
        <v>13167</v>
      </c>
      <c r="H191" s="6" t="inlineStr">
        <is>
          <t>백만원</t>
        </is>
      </c>
      <c r="I191" s="17" t="n">
        <v>0</v>
      </c>
      <c r="J191" s="18" t="n">
        <v>15710</v>
      </c>
      <c r="K191" s="19" t="n">
        <v>15262</v>
      </c>
      <c r="L191" s="18" t="n">
        <v>15175</v>
      </c>
      <c r="M191" s="19" t="n">
        <v>14970</v>
      </c>
      <c r="N191" s="18" t="n">
        <v>14087</v>
      </c>
      <c r="O191" s="19" t="n">
        <v>13408</v>
      </c>
      <c r="P191" s="18" t="n">
        <v>13167</v>
      </c>
      <c r="Q191" s="19" t="n">
        <v>13408</v>
      </c>
      <c r="R191" s="18" t="n">
        <v>13167</v>
      </c>
      <c r="S191" s="20" t="n">
        <v>13167</v>
      </c>
      <c r="T191" s="6" t="n">
        <v>2</v>
      </c>
      <c r="U191" s="5" t="inlineStr">
        <is>
          <t>우드펠릿(펠릿) / 2020.11.01 / 2028.1 | 우드펠릿(원재료) / 2020.11.01 / 2028.</t>
        </is>
      </c>
      <c r="V191" s="21">
        <f>HYPERLINK("https://dart.fss.or.kr/dsaf001/main.do?rcpNo=20260814004295", "공시열람")</f>
        <v/>
      </c>
    </row>
    <row r="192">
      <c r="A192" s="5" t="inlineStr">
        <is>
          <t>한국카본</t>
        </is>
      </c>
      <c r="B192" s="6" t="inlineStr">
        <is>
          <t>017960</t>
        </is>
      </c>
      <c r="C192" s="6" t="inlineStr">
        <is>
          <t>2026Q2</t>
        </is>
      </c>
      <c r="D192" s="6" t="inlineStr">
        <is>
          <t>20260814</t>
        </is>
      </c>
      <c r="E192" s="16" t="n">
        <v>3603440</v>
      </c>
      <c r="F192" s="16" t="n">
        <v>2442331</v>
      </c>
      <c r="G192" s="16" t="n">
        <v>1161108</v>
      </c>
      <c r="H192" s="6" t="inlineStr">
        <is>
          <t>천USD</t>
        </is>
      </c>
      <c r="I192" s="17" t="n">
        <v>-3.6</v>
      </c>
      <c r="J192" s="18" t="n">
        <v>1459747</v>
      </c>
      <c r="K192" s="19" t="n">
        <v>1351013</v>
      </c>
      <c r="L192" s="18" t="n">
        <v>1257992</v>
      </c>
      <c r="M192" s="19" t="n">
        <v>1213871</v>
      </c>
      <c r="N192" s="18" t="n">
        <v>1293112</v>
      </c>
      <c r="O192" s="19" t="n">
        <v>1189725</v>
      </c>
      <c r="P192" s="18" t="n">
        <v>1238125</v>
      </c>
      <c r="Q192" s="19" t="n">
        <v>1141657</v>
      </c>
      <c r="R192" s="18" t="n">
        <v>1204445</v>
      </c>
      <c r="S192" s="20" t="n">
        <v>1161108</v>
      </c>
      <c r="T192" s="6" t="n">
        <v>1</v>
      </c>
      <c r="U192" s="5" t="inlineStr">
        <is>
          <t xml:space="preserve">LNG운반선 화물창판넬 / ~ 2026.06.30 / </t>
        </is>
      </c>
      <c r="V192" s="21">
        <f>HYPERLINK("https://dart.fss.or.kr/dsaf001/main.do?rcpNo=20260814000604", "공시열람")</f>
        <v/>
      </c>
    </row>
    <row r="193">
      <c r="A193" s="5" t="inlineStr">
        <is>
          <t>유니슨</t>
        </is>
      </c>
      <c r="B193" s="6" t="inlineStr">
        <is>
          <t>018000</t>
        </is>
      </c>
      <c r="C193" s="6" t="inlineStr">
        <is>
          <t>2026Q2</t>
        </is>
      </c>
      <c r="D193" s="6" t="inlineStr">
        <is>
          <t>20260814</t>
        </is>
      </c>
      <c r="E193" s="16" t="n">
        <v>111838</v>
      </c>
      <c r="F193" s="16" t="n">
        <v>9548</v>
      </c>
      <c r="G193" s="16" t="n">
        <v>102291</v>
      </c>
      <c r="H193" s="6" t="inlineStr">
        <is>
          <t>백만원</t>
        </is>
      </c>
      <c r="I193" s="17" t="n">
        <v>-2.7</v>
      </c>
      <c r="J193" s="18" t="n">
        <v>108536</v>
      </c>
      <c r="K193" s="19" t="n">
        <v>121110</v>
      </c>
      <c r="L193" s="18" t="n">
        <v>141791</v>
      </c>
      <c r="M193" s="19" t="n">
        <v>137004</v>
      </c>
      <c r="N193" s="18" t="n">
        <v>132842</v>
      </c>
      <c r="O193" s="19" t="n">
        <v>124515</v>
      </c>
      <c r="P193" s="18" t="n">
        <v>106091</v>
      </c>
      <c r="Q193" s="19" t="n">
        <v>105770</v>
      </c>
      <c r="R193" s="18" t="n">
        <v>105108</v>
      </c>
      <c r="S193" s="20" t="n">
        <v>102291</v>
      </c>
      <c r="T193" s="6" t="n">
        <v>1</v>
      </c>
      <c r="U193" s="5" t="inlineStr">
        <is>
          <t>풍력발전사업 / ~2026년 반기말 / 기준일 이후</t>
        </is>
      </c>
      <c r="V193" s="21">
        <f>HYPERLINK("https://dart.fss.or.kr/dsaf001/main.do?rcpNo=20260814004133", "공시열람")</f>
        <v/>
      </c>
    </row>
    <row r="194">
      <c r="A194" s="5" t="inlineStr">
        <is>
          <t>삼성에스디에스</t>
        </is>
      </c>
      <c r="B194" s="6" t="inlineStr">
        <is>
          <t>018260</t>
        </is>
      </c>
      <c r="C194" s="6" t="inlineStr">
        <is>
          <t>2026Q2</t>
        </is>
      </c>
      <c r="D194" s="6" t="inlineStr">
        <is>
          <t>20260814</t>
        </is>
      </c>
      <c r="E194" s="16" t="n">
        <v>36938</v>
      </c>
      <c r="F194" s="16" t="n">
        <v>21278</v>
      </c>
      <c r="G194" s="16" t="n">
        <v>15660</v>
      </c>
      <c r="H194" s="6" t="inlineStr">
        <is>
          <t>억원</t>
        </is>
      </c>
      <c r="I194" s="17" t="n">
        <v>10.1</v>
      </c>
      <c r="J194" s="18" t="n">
        <v>9486</v>
      </c>
      <c r="K194" s="19" t="inlineStr"/>
      <c r="L194" s="18" t="n">
        <v>8333</v>
      </c>
      <c r="M194" s="19" t="n">
        <v>8969</v>
      </c>
      <c r="N194" s="18" t="n">
        <v>9230</v>
      </c>
      <c r="O194" s="19" t="n">
        <v>9008</v>
      </c>
      <c r="P194" s="18" t="n">
        <v>9344</v>
      </c>
      <c r="Q194" s="19" t="n">
        <v>9668</v>
      </c>
      <c r="R194" s="18" t="n">
        <v>14225</v>
      </c>
      <c r="S194" s="20" t="n">
        <v>15660</v>
      </c>
      <c r="T194" s="6" t="n">
        <v>1</v>
      </c>
      <c r="U194" s="5" t="inlineStr">
        <is>
          <t>시스템 구축 및 운영/유지보수 / -</t>
        </is>
      </c>
      <c r="V194" s="21">
        <f>HYPERLINK("https://dart.fss.or.kr/dsaf001/main.do?rcpNo=20260814003604", "공시열람")</f>
        <v/>
      </c>
    </row>
    <row r="195">
      <c r="A195" s="5" t="inlineStr">
        <is>
          <t>브이티</t>
        </is>
      </c>
      <c r="B195" s="6" t="inlineStr">
        <is>
          <t>018290</t>
        </is>
      </c>
      <c r="C195" s="6" t="inlineStr">
        <is>
          <t>2024Q2</t>
        </is>
      </c>
      <c r="D195" s="6" t="inlineStr">
        <is>
          <t>20240813</t>
        </is>
      </c>
      <c r="E195" s="16" t="n">
        <v>72727273</v>
      </c>
      <c r="F195" s="16" t="n">
        <v>43729457</v>
      </c>
      <c r="G195" s="16" t="n">
        <v>28997816</v>
      </c>
      <c r="H195" s="6" t="inlineStr">
        <is>
          <t>천원</t>
        </is>
      </c>
      <c r="I195" s="17" t="n">
        <v>0</v>
      </c>
      <c r="J195" s="18" t="n">
        <v>28997816</v>
      </c>
      <c r="K195" s="19" t="n">
        <v>28997816</v>
      </c>
      <c r="L195" s="18" t="inlineStr"/>
      <c r="M195" s="19" t="inlineStr"/>
      <c r="N195" s="18" t="inlineStr"/>
      <c r="O195" s="19" t="inlineStr"/>
      <c r="P195" s="18" t="inlineStr"/>
      <c r="Q195" s="19" t="inlineStr"/>
      <c r="R195" s="18" t="inlineStr"/>
      <c r="S195" s="20" t="inlineStr"/>
      <c r="T195" s="6" t="n">
        <v>1</v>
      </c>
      <c r="U195" s="5" t="inlineStr">
        <is>
          <t xml:space="preserve">(주)카카오엔터테인먼트(주1) / 2022.12.01 </t>
        </is>
      </c>
      <c r="V195" s="21">
        <f>HYPERLINK("https://dart.fss.or.kr/dsaf001/main.do?rcpNo=20240812001019", "공시열람")</f>
        <v/>
      </c>
    </row>
    <row r="196">
      <c r="A196" s="5" t="inlineStr">
        <is>
          <t>삼목에스폼</t>
        </is>
      </c>
      <c r="B196" s="6" t="inlineStr">
        <is>
          <t>018310</t>
        </is>
      </c>
      <c r="C196" s="6" t="inlineStr">
        <is>
          <t>2026Q2</t>
        </is>
      </c>
      <c r="D196" s="6" t="inlineStr">
        <is>
          <t>20260814</t>
        </is>
      </c>
      <c r="E196" s="16" t="n">
        <v>205810</v>
      </c>
      <c r="F196" s="16" t="n">
        <v>156129</v>
      </c>
      <c r="G196" s="16" t="n">
        <v>49681</v>
      </c>
      <c r="H196" s="6" t="inlineStr">
        <is>
          <t>백만원</t>
        </is>
      </c>
      <c r="I196" s="17" t="n">
        <v>-5.1</v>
      </c>
      <c r="J196" s="18" t="n">
        <v>88130</v>
      </c>
      <c r="K196" s="19" t="n">
        <v>51211</v>
      </c>
      <c r="L196" s="18" t="n">
        <v>10630</v>
      </c>
      <c r="M196" s="19" t="n">
        <v>9464</v>
      </c>
      <c r="N196" s="18" t="n">
        <v>91193</v>
      </c>
      <c r="O196" s="19" t="n">
        <v>62045</v>
      </c>
      <c r="P196" s="18" t="n">
        <v>64974</v>
      </c>
      <c r="Q196" s="19" t="n">
        <v>54082</v>
      </c>
      <c r="R196" s="18" t="n">
        <v>52340</v>
      </c>
      <c r="S196" s="20" t="n">
        <v>49681</v>
      </c>
      <c r="T196" s="6" t="n">
        <v>2</v>
      </c>
      <c r="U196" s="5" t="inlineStr">
        <is>
          <t>알루미늄폼 / 26.01.0126.06.30 / - | 판넬폼 등 / 26.01.0126.06.30 / -</t>
        </is>
      </c>
      <c r="V196" s="21">
        <f>HYPERLINK("https://dart.fss.or.kr/dsaf001/main.do?rcpNo=20260814002300", "공시열람")</f>
        <v/>
      </c>
    </row>
    <row r="197">
      <c r="A197" s="5" t="inlineStr">
        <is>
          <t>졸스</t>
        </is>
      </c>
      <c r="B197" s="6" t="inlineStr">
        <is>
          <t>018700</t>
        </is>
      </c>
      <c r="C197" s="6" t="inlineStr">
        <is>
          <t>2024Q4</t>
        </is>
      </c>
      <c r="D197" s="6" t="inlineStr">
        <is>
          <t>20250320</t>
        </is>
      </c>
      <c r="E197" s="16" t="inlineStr"/>
      <c r="F197" s="16" t="inlineStr"/>
      <c r="G197" s="16" t="n">
        <v>409254</v>
      </c>
      <c r="H197" s="6" t="inlineStr"/>
      <c r="I197" s="17" t="n">
        <v>-76.3</v>
      </c>
      <c r="J197" s="18" t="n">
        <v>4194491</v>
      </c>
      <c r="K197" s="19" t="n">
        <v>5000935</v>
      </c>
      <c r="L197" s="18" t="n">
        <v>1726209</v>
      </c>
      <c r="M197" s="19" t="n">
        <v>409254</v>
      </c>
      <c r="N197" s="18" t="inlineStr"/>
      <c r="O197" s="19" t="inlineStr"/>
      <c r="P197" s="18" t="inlineStr"/>
      <c r="Q197" s="19" t="inlineStr"/>
      <c r="R197" s="18" t="inlineStr"/>
      <c r="S197" s="20" t="inlineStr"/>
      <c r="T197" s="6" t="n">
        <v>1</v>
      </c>
      <c r="U197" s="5" t="inlineStr">
        <is>
          <t>별들에게 물어봐 / 2022.05.24 / 2025.0</t>
        </is>
      </c>
      <c r="V197" s="21">
        <f>HYPERLINK("https://dart.fss.or.kr/dsaf001/main.do?rcpNo=20250320001342", "공시열람")</f>
        <v/>
      </c>
    </row>
    <row r="198">
      <c r="A198" s="5" t="inlineStr">
        <is>
          <t>엑시큐어하이트론</t>
        </is>
      </c>
      <c r="B198" s="6" t="inlineStr">
        <is>
          <t>019490</t>
        </is>
      </c>
      <c r="C198" s="6" t="inlineStr">
        <is>
          <t>2026Q2</t>
        </is>
      </c>
      <c r="D198" s="6" t="inlineStr">
        <is>
          <t>20261002</t>
        </is>
      </c>
      <c r="E198" s="16" t="n">
        <v>6642016</v>
      </c>
      <c r="F198" s="16" t="n">
        <v>1614618</v>
      </c>
      <c r="G198" s="16" t="n">
        <v>5027398</v>
      </c>
      <c r="H198" s="6" t="inlineStr">
        <is>
          <t>천원</t>
        </is>
      </c>
      <c r="I198" s="17" t="n">
        <v>5.4</v>
      </c>
      <c r="J198" s="18" t="n">
        <v>1453447</v>
      </c>
      <c r="K198" s="19" t="n">
        <v>24018353</v>
      </c>
      <c r="L198" s="18" t="n">
        <v>422</v>
      </c>
      <c r="M198" s="19" t="n">
        <v>262</v>
      </c>
      <c r="N198" s="18" t="n">
        <v>1831</v>
      </c>
      <c r="O198" s="19" t="n">
        <v>4335800</v>
      </c>
      <c r="P198" s="18" t="n">
        <v>5285003</v>
      </c>
      <c r="Q198" s="19" t="n">
        <v>5838273</v>
      </c>
      <c r="R198" s="18" t="n">
        <v>4769785</v>
      </c>
      <c r="S198" s="20" t="n">
        <v>5027398</v>
      </c>
      <c r="T198" s="6" t="n">
        <v>5</v>
      </c>
      <c r="U198" s="5" t="inlineStr">
        <is>
          <t>교통공사 스마트관제 / 2024년 / 2027년 | 교통공사 7호선 개량사업 / 2025년 / 2026년 | CCTV Camera 및 저장장치 / 2026년</t>
        </is>
      </c>
      <c r="V198" s="21">
        <f>HYPERLINK("https://dart.fss.or.kr/dsaf001/main.do?rcpNo=20261002000601", "공시열람")</f>
        <v/>
      </c>
    </row>
    <row r="199">
      <c r="A199" s="5" t="inlineStr">
        <is>
          <t>서연탑메탈</t>
        </is>
      </c>
      <c r="B199" s="6" t="inlineStr">
        <is>
          <t>019770</t>
        </is>
      </c>
      <c r="C199" s="6" t="inlineStr">
        <is>
          <t>2026Q2</t>
        </is>
      </c>
      <c r="D199" s="6" t="inlineStr">
        <is>
          <t>20260814</t>
        </is>
      </c>
      <c r="E199" s="16" t="inlineStr"/>
      <c r="F199" s="16" t="inlineStr"/>
      <c r="G199" s="16" t="n">
        <v>121062559</v>
      </c>
      <c r="H199" s="6" t="inlineStr">
        <is>
          <t>천원</t>
        </is>
      </c>
      <c r="I199" s="17" t="n">
        <v>-5.2</v>
      </c>
      <c r="J199" s="18" t="n">
        <v>104449180</v>
      </c>
      <c r="K199" s="19" t="n">
        <v>103463048</v>
      </c>
      <c r="L199" s="18" t="n">
        <v>104274735</v>
      </c>
      <c r="M199" s="19" t="n">
        <v>103019749</v>
      </c>
      <c r="N199" s="18" t="n">
        <v>93636679</v>
      </c>
      <c r="O199" s="19" t="n">
        <v>100974825</v>
      </c>
      <c r="P199" s="18" t="n">
        <v>115830879</v>
      </c>
      <c r="Q199" s="19" t="n">
        <v>125572802</v>
      </c>
      <c r="R199" s="18" t="n">
        <v>127722033</v>
      </c>
      <c r="S199" s="20" t="n">
        <v>121062559</v>
      </c>
      <c r="T199" s="6" t="n">
        <v>2</v>
      </c>
      <c r="U199" s="5" t="inlineStr">
        <is>
          <t>사출금형사업부 | 프레스금형사업부</t>
        </is>
      </c>
      <c r="V199" s="21">
        <f>HYPERLINK("https://dart.fss.or.kr/dsaf001/main.do?rcpNo=20260814002590", "공시열람")</f>
        <v/>
      </c>
    </row>
    <row r="200">
      <c r="A200" s="5" t="inlineStr">
        <is>
          <t>에너토크</t>
        </is>
      </c>
      <c r="B200" s="6" t="inlineStr">
        <is>
          <t>019990</t>
        </is>
      </c>
      <c r="C200" s="6" t="inlineStr">
        <is>
          <t>2026Q2</t>
        </is>
      </c>
      <c r="D200" s="6" t="inlineStr">
        <is>
          <t>20260930</t>
        </is>
      </c>
      <c r="E200" s="16" t="n">
        <v>42243</v>
      </c>
      <c r="F200" s="16" t="n">
        <v>11584</v>
      </c>
      <c r="G200" s="16" t="n">
        <v>30659</v>
      </c>
      <c r="H200" s="6" t="inlineStr">
        <is>
          <t>백만원,대</t>
        </is>
      </c>
      <c r="I200" s="17" t="n">
        <v>63.3</v>
      </c>
      <c r="J200" s="18" t="n">
        <v>3979</v>
      </c>
      <c r="K200" s="19" t="n">
        <v>3029</v>
      </c>
      <c r="L200" s="18" t="n">
        <v>2606</v>
      </c>
      <c r="M200" s="19" t="n">
        <v>2682</v>
      </c>
      <c r="N200" s="18" t="n">
        <v>3781</v>
      </c>
      <c r="O200" s="19" t="n">
        <v>6299</v>
      </c>
      <c r="P200" s="18" t="n">
        <v>16410</v>
      </c>
      <c r="Q200" s="19" t="n">
        <v>19634</v>
      </c>
      <c r="R200" s="18" t="n">
        <v>18774</v>
      </c>
      <c r="S200" s="20" t="n">
        <v>30659</v>
      </c>
      <c r="T200" s="6" t="n">
        <v>2</v>
      </c>
      <c r="U200" s="5" t="inlineStr">
        <is>
          <t>액츄에이터 및관련장비 / 이월분 | 액츄에이터 및관련장비</t>
        </is>
      </c>
      <c r="V200" s="21">
        <f>HYPERLINK("https://dart.fss.or.kr/dsaf001/main.do?rcpNo=20260930000453", "공시열람")</f>
        <v/>
      </c>
    </row>
    <row r="201">
      <c r="A201" s="5" t="inlineStr">
        <is>
          <t>롯데에너지머티리얼즈</t>
        </is>
      </c>
      <c r="B201" s="6" t="inlineStr">
        <is>
          <t>020150</t>
        </is>
      </c>
      <c r="C201" s="6" t="inlineStr">
        <is>
          <t>2026Q2</t>
        </is>
      </c>
      <c r="D201" s="6" t="inlineStr">
        <is>
          <t>20260814</t>
        </is>
      </c>
      <c r="E201" s="16" t="n">
        <v>453659</v>
      </c>
      <c r="F201" s="16" t="n">
        <v>283160</v>
      </c>
      <c r="G201" s="16" t="n">
        <v>170499</v>
      </c>
      <c r="H201" s="6" t="inlineStr">
        <is>
          <t>백만원</t>
        </is>
      </c>
      <c r="I201" s="17" t="n">
        <v>-1.9</v>
      </c>
      <c r="J201" s="18" t="n">
        <v>215838</v>
      </c>
      <c r="K201" s="19" t="n">
        <v>192872</v>
      </c>
      <c r="L201" s="18" t="n">
        <v>183041</v>
      </c>
      <c r="M201" s="19" t="n">
        <v>179979</v>
      </c>
      <c r="N201" s="18" t="n">
        <v>170925</v>
      </c>
      <c r="O201" s="19" t="n">
        <v>172572</v>
      </c>
      <c r="P201" s="18" t="n">
        <v>178713</v>
      </c>
      <c r="Q201" s="19" t="n">
        <v>196826</v>
      </c>
      <c r="R201" s="18" t="n">
        <v>173831</v>
      </c>
      <c r="S201" s="20" t="n">
        <v>170499</v>
      </c>
      <c r="T201" s="6" t="n">
        <v>1</v>
      </c>
      <c r="U201" s="5" t="inlineStr">
        <is>
          <t>커튼월 / Oakridge POD 외 (36)개</t>
        </is>
      </c>
      <c r="V201" s="21">
        <f>HYPERLINK("https://dart.fss.or.kr/dsaf001/main.do?rcpNo=20260814000373", "공시열람")</f>
        <v/>
      </c>
    </row>
    <row r="202">
      <c r="A202" s="5" t="inlineStr">
        <is>
          <t>대신정보통신</t>
        </is>
      </c>
      <c r="B202" s="6" t="inlineStr">
        <is>
          <t>020180</t>
        </is>
      </c>
      <c r="C202" s="6" t="inlineStr">
        <is>
          <t>2026Q2</t>
        </is>
      </c>
      <c r="D202" s="6" t="inlineStr">
        <is>
          <t>20260814</t>
        </is>
      </c>
      <c r="E202" s="16" t="n">
        <v>191371</v>
      </c>
      <c r="F202" s="16" t="n">
        <v>101463</v>
      </c>
      <c r="G202" s="16" t="n">
        <v>89908</v>
      </c>
      <c r="H202" s="6" t="inlineStr">
        <is>
          <t>백만원</t>
        </is>
      </c>
      <c r="I202" s="17" t="n">
        <v>13.9</v>
      </c>
      <c r="J202" s="18" t="n">
        <v>33722</v>
      </c>
      <c r="K202" s="19" t="n">
        <v>54486</v>
      </c>
      <c r="L202" s="18" t="n">
        <v>83318</v>
      </c>
      <c r="M202" s="19" t="n">
        <v>25954</v>
      </c>
      <c r="N202" s="18" t="n">
        <v>70312</v>
      </c>
      <c r="O202" s="19" t="n">
        <v>124099</v>
      </c>
      <c r="P202" s="18" t="n">
        <v>113427</v>
      </c>
      <c r="Q202" s="19" t="n">
        <v>93229</v>
      </c>
      <c r="R202" s="18" t="n">
        <v>78921</v>
      </c>
      <c r="S202" s="20" t="n">
        <v>89908</v>
      </c>
      <c r="T202" s="6" t="n">
        <v>4</v>
      </c>
      <c r="U202" s="5" t="inlineStr">
        <is>
          <t>시스템통합 / - | LH 정보인프라 유지보수 / 2025.12.18 / 2 | 광주센터1군 유지관리 / 2025.2.28 / 2026</t>
        </is>
      </c>
      <c r="V202" s="21">
        <f>HYPERLINK("https://dart.fss.or.kr/dsaf001/main.do?rcpNo=20260814000310", "공시열람")</f>
        <v/>
      </c>
    </row>
    <row r="203">
      <c r="A203" s="5" t="inlineStr">
        <is>
          <t>송우인포텍</t>
        </is>
      </c>
      <c r="B203" s="6" t="inlineStr">
        <is>
          <t>0203K0</t>
        </is>
      </c>
      <c r="C203" s="6" t="inlineStr">
        <is>
          <t>2025Q4</t>
        </is>
      </c>
      <c r="D203" s="6" t="inlineStr">
        <is>
          <t>20260727</t>
        </is>
      </c>
      <c r="E203" s="16" t="n">
        <v>13818</v>
      </c>
      <c r="F203" s="16" t="n">
        <v>9787</v>
      </c>
      <c r="G203" s="16" t="n">
        <v>4031</v>
      </c>
      <c r="H203" s="6" t="inlineStr">
        <is>
          <t>백만원</t>
        </is>
      </c>
      <c r="I203" s="17" t="inlineStr"/>
      <c r="J203" s="18" t="inlineStr"/>
      <c r="K203" s="19" t="inlineStr"/>
      <c r="L203" s="18" t="inlineStr"/>
      <c r="M203" s="19" t="inlineStr"/>
      <c r="N203" s="18" t="inlineStr"/>
      <c r="O203" s="19" t="inlineStr"/>
      <c r="P203" s="18" t="inlineStr"/>
      <c r="Q203" s="19" t="n">
        <v>4031</v>
      </c>
      <c r="R203" s="18" t="inlineStr"/>
      <c r="S203" s="20" t="inlineStr"/>
      <c r="T203" s="6" t="n">
        <v>1</v>
      </c>
      <c r="U203" s="5" t="inlineStr">
        <is>
          <t>제품매출 / -</t>
        </is>
      </c>
      <c r="V203" s="21">
        <f>HYPERLINK("https://dart.fss.or.kr/dsaf001/main.do?rcpNo=20260727000043", "공시열람")</f>
        <v/>
      </c>
    </row>
    <row r="204">
      <c r="A204" s="5" t="inlineStr">
        <is>
          <t>아시아나항공</t>
        </is>
      </c>
      <c r="B204" s="6" t="inlineStr">
        <is>
          <t>020560</t>
        </is>
      </c>
      <c r="C204" s="6" t="inlineStr">
        <is>
          <t>2026Q2</t>
        </is>
      </c>
      <c r="D204" s="6" t="inlineStr">
        <is>
          <t>20260813</t>
        </is>
      </c>
      <c r="E204" s="16" t="n">
        <v>2526</v>
      </c>
      <c r="F204" s="16" t="n">
        <v>1418</v>
      </c>
      <c r="G204" s="16" t="n">
        <v>1108</v>
      </c>
      <c r="H204" s="6" t="inlineStr">
        <is>
          <t>억원</t>
        </is>
      </c>
      <c r="I204" s="17" t="n">
        <v>-19.1</v>
      </c>
      <c r="J204" s="18" t="n">
        <v>479</v>
      </c>
      <c r="K204" s="19" t="n">
        <v>502</v>
      </c>
      <c r="L204" s="18" t="n">
        <v>441</v>
      </c>
      <c r="M204" s="19" t="n">
        <v>551</v>
      </c>
      <c r="N204" s="18" t="n">
        <v>446</v>
      </c>
      <c r="O204" s="19" t="n">
        <v>324</v>
      </c>
      <c r="P204" s="18" t="n">
        <v>634</v>
      </c>
      <c r="Q204" s="19" t="n">
        <v>768</v>
      </c>
      <c r="R204" s="18" t="n">
        <v>1370</v>
      </c>
      <c r="S204" s="20" t="n">
        <v>1108</v>
      </c>
      <c r="T204" s="6" t="n">
        <v>2</v>
      </c>
      <c r="U204" s="5" t="inlineStr">
        <is>
          <t>운영유지보수 / - | 컨설팅/SI 등 / -</t>
        </is>
      </c>
      <c r="V204" s="21">
        <f>HYPERLINK("https://dart.fss.or.kr/dsaf001/main.do?rcpNo=20260813001561", "공시열람")</f>
        <v/>
      </c>
    </row>
    <row r="205">
      <c r="A205" s="5" t="inlineStr">
        <is>
          <t>시공테크</t>
        </is>
      </c>
      <c r="B205" s="6" t="inlineStr">
        <is>
          <t>020710</t>
        </is>
      </c>
      <c r="C205" s="6" t="inlineStr">
        <is>
          <t>2026Q2</t>
        </is>
      </c>
      <c r="D205" s="6" t="inlineStr">
        <is>
          <t>20260814</t>
        </is>
      </c>
      <c r="E205" s="16" t="n">
        <v>188078610</v>
      </c>
      <c r="F205" s="16" t="n">
        <v>127839968</v>
      </c>
      <c r="G205" s="16" t="n">
        <v>60238641</v>
      </c>
      <c r="H205" s="6" t="inlineStr">
        <is>
          <t>천원</t>
        </is>
      </c>
      <c r="I205" s="17" t="n">
        <v>0.2</v>
      </c>
      <c r="J205" s="18" t="n">
        <v>124293447</v>
      </c>
      <c r="K205" s="19" t="n">
        <v>129744793</v>
      </c>
      <c r="L205" s="18" t="n">
        <v>121627393</v>
      </c>
      <c r="M205" s="19" t="n">
        <v>96580255</v>
      </c>
      <c r="N205" s="18" t="n">
        <v>94652646</v>
      </c>
      <c r="O205" s="19" t="n">
        <v>67244196</v>
      </c>
      <c r="P205" s="18" t="n">
        <v>81299596</v>
      </c>
      <c r="Q205" s="19" t="n">
        <v>69470504</v>
      </c>
      <c r="R205" s="18" t="n">
        <v>60097815</v>
      </c>
      <c r="S205" s="20" t="n">
        <v>60238641</v>
      </c>
      <c r="T205" s="6" t="n">
        <v>13</v>
      </c>
      <c r="U205" s="5" t="inlineStr">
        <is>
          <t>전시관 및 인테리어 / - | 전시관 및 인테리어 / 28.12.31 / (재)대한불 | 전시관 및 인테리어 / 22.02.25 / 원주시</t>
        </is>
      </c>
      <c r="V205" s="21">
        <f>HYPERLINK("https://dart.fss.or.kr/dsaf001/main.do?rcpNo=20260814000863", "공시열람")</f>
        <v/>
      </c>
    </row>
    <row r="206">
      <c r="A206" s="5" t="inlineStr">
        <is>
          <t>KCC건설</t>
        </is>
      </c>
      <c r="B206" s="6" t="inlineStr">
        <is>
          <t>021320</t>
        </is>
      </c>
      <c r="C206" s="6" t="inlineStr">
        <is>
          <t>2026Q2</t>
        </is>
      </c>
      <c r="D206" s="6" t="inlineStr">
        <is>
          <t>20260813</t>
        </is>
      </c>
      <c r="E206" s="16" t="n">
        <v>5691747</v>
      </c>
      <c r="F206" s="16" t="inlineStr"/>
      <c r="G206" s="16" t="n">
        <v>3185719</v>
      </c>
      <c r="H206" s="6" t="inlineStr">
        <is>
          <t>백만원</t>
        </is>
      </c>
      <c r="I206" s="17" t="n">
        <v>29.5</v>
      </c>
      <c r="J206" s="18" t="n">
        <v>2866825</v>
      </c>
      <c r="K206" s="19" t="n">
        <v>2685055</v>
      </c>
      <c r="L206" s="18" t="n">
        <v>2842999400588</v>
      </c>
      <c r="M206" s="19" t="n">
        <v>2199690536725</v>
      </c>
      <c r="N206" s="18" t="n">
        <v>2423401</v>
      </c>
      <c r="O206" s="19" t="n">
        <v>2270735461501</v>
      </c>
      <c r="P206" s="18" t="n">
        <v>2327796</v>
      </c>
      <c r="Q206" s="19" t="n">
        <v>2208034</v>
      </c>
      <c r="R206" s="18" t="n">
        <v>2459450</v>
      </c>
      <c r="S206" s="20" t="n">
        <v>3185719</v>
      </c>
      <c r="T206" s="6" t="n">
        <v>2</v>
      </c>
      <c r="U206" s="5" t="inlineStr">
        <is>
          <t>민 간 | 관 급</t>
        </is>
      </c>
      <c r="V206" s="21">
        <f>HYPERLINK("https://dart.fss.or.kr/dsaf001/main.do?rcpNo=20260813001598", "공시열람")</f>
        <v/>
      </c>
    </row>
    <row r="207">
      <c r="A207" s="5" t="inlineStr">
        <is>
          <t>포스코DX</t>
        </is>
      </c>
      <c r="B207" s="6" t="inlineStr">
        <is>
          <t>022100</t>
        </is>
      </c>
      <c r="C207" s="6" t="inlineStr">
        <is>
          <t>2026Q2</t>
        </is>
      </c>
      <c r="D207" s="6" t="inlineStr">
        <is>
          <t>20260814</t>
        </is>
      </c>
      <c r="E207" s="16" t="n">
        <v>2796665</v>
      </c>
      <c r="F207" s="16" t="n">
        <v>1839989</v>
      </c>
      <c r="G207" s="16" t="n">
        <v>956676</v>
      </c>
      <c r="H207" s="6" t="inlineStr">
        <is>
          <t>백만원</t>
        </is>
      </c>
      <c r="I207" s="17" t="n">
        <v>-0.4</v>
      </c>
      <c r="J207" s="18" t="n">
        <v>1172426</v>
      </c>
      <c r="K207" s="19" t="n">
        <v>1057746</v>
      </c>
      <c r="L207" s="18" t="n">
        <v>838744</v>
      </c>
      <c r="M207" s="19" t="n">
        <v>947999</v>
      </c>
      <c r="N207" s="18" t="n">
        <v>856316</v>
      </c>
      <c r="O207" s="19" t="n">
        <v>757138</v>
      </c>
      <c r="P207" s="18" t="n">
        <v>699577</v>
      </c>
      <c r="Q207" s="19" t="n">
        <v>931448</v>
      </c>
      <c r="R207" s="18" t="n">
        <v>960198</v>
      </c>
      <c r="S207" s="20" t="n">
        <v>956676</v>
      </c>
      <c r="T207" s="6" t="n">
        <v>2</v>
      </c>
      <c r="U207" s="5" t="inlineStr">
        <is>
          <t>자동화 / - | IT서비스 / -</t>
        </is>
      </c>
      <c r="V207" s="21">
        <f>HYPERLINK("https://dart.fss.or.kr/dsaf001/main.do?rcpNo=20260814000366", "공시열람")</f>
        <v/>
      </c>
    </row>
    <row r="208">
      <c r="A208" s="5" t="inlineStr">
        <is>
          <t>태광</t>
        </is>
      </c>
      <c r="B208" s="6" t="inlineStr">
        <is>
          <t>023160</t>
        </is>
      </c>
      <c r="C208" s="6" t="inlineStr">
        <is>
          <t>2026Q2</t>
        </is>
      </c>
      <c r="D208" s="6" t="inlineStr">
        <is>
          <t>20261001</t>
        </is>
      </c>
      <c r="E208" s="16" t="n">
        <v>23728650</v>
      </c>
      <c r="F208" s="16" t="n">
        <v>18678584</v>
      </c>
      <c r="G208" s="16" t="n">
        <v>5050066</v>
      </c>
      <c r="H208" s="6" t="inlineStr">
        <is>
          <t>천원</t>
        </is>
      </c>
      <c r="I208" s="17" t="n">
        <v>30.6</v>
      </c>
      <c r="J208" s="18" t="n">
        <v>739538</v>
      </c>
      <c r="K208" s="19" t="n">
        <v>10454359</v>
      </c>
      <c r="L208" s="18" t="n">
        <v>21681337</v>
      </c>
      <c r="M208" s="19" t="n">
        <v>36288491</v>
      </c>
      <c r="N208" s="18" t="n">
        <v>9968846</v>
      </c>
      <c r="O208" s="19" t="n">
        <v>14618374</v>
      </c>
      <c r="P208" s="18" t="n">
        <v>16840488</v>
      </c>
      <c r="Q208" s="19" t="n">
        <v>14167148</v>
      </c>
      <c r="R208" s="18" t="n">
        <v>3867880</v>
      </c>
      <c r="S208" s="20" t="n">
        <v>5050066</v>
      </c>
      <c r="T208" s="6" t="n">
        <v>4</v>
      </c>
      <c r="U208" s="5" t="inlineStr">
        <is>
          <t xml:space="preserve">2차전지용생산설비류 / 03월 / 26.03.01 -  | 2차전지용생산설비류 / 05월 / 26.05.01 -  | 2차전지용생산설비류 / 06월 / 26.06.01 - </t>
        </is>
      </c>
      <c r="V208" s="21">
        <f>HYPERLINK("https://dart.fss.or.kr/dsaf001/main.do?rcpNo=20261001000037", "공시열람")</f>
        <v/>
      </c>
    </row>
    <row r="209">
      <c r="A209" s="5" t="inlineStr">
        <is>
          <t>한국종합기술</t>
        </is>
      </c>
      <c r="B209" s="6" t="inlineStr">
        <is>
          <t>023350</t>
        </is>
      </c>
      <c r="C209" s="6" t="inlineStr">
        <is>
          <t>2026Q2</t>
        </is>
      </c>
      <c r="D209" s="6" t="inlineStr">
        <is>
          <t>20260814</t>
        </is>
      </c>
      <c r="E209" s="16" t="n">
        <v>1130389</v>
      </c>
      <c r="F209" s="16" t="n">
        <v>194357</v>
      </c>
      <c r="G209" s="16" t="n">
        <v>936032</v>
      </c>
      <c r="H209" s="6" t="inlineStr">
        <is>
          <t>백만원</t>
        </is>
      </c>
      <c r="I209" s="17" t="n">
        <v>-1.6</v>
      </c>
      <c r="J209" s="18" t="n">
        <v>710038</v>
      </c>
      <c r="K209" s="19" t="n">
        <v>721542</v>
      </c>
      <c r="L209" s="18" t="n">
        <v>742327</v>
      </c>
      <c r="M209" s="19" t="n">
        <v>794595</v>
      </c>
      <c r="N209" s="18" t="n">
        <v>792754</v>
      </c>
      <c r="O209" s="19" t="n">
        <v>791591</v>
      </c>
      <c r="P209" s="18" t="n">
        <v>794516</v>
      </c>
      <c r="Q209" s="19" t="n">
        <v>914628</v>
      </c>
      <c r="R209" s="18" t="n">
        <v>951596</v>
      </c>
      <c r="S209" s="20" t="n">
        <v>936032</v>
      </c>
      <c r="T209" s="6" t="n">
        <v>8</v>
      </c>
      <c r="U209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9" s="21">
        <f>HYPERLINK("https://dart.fss.or.kr/dsaf001/main.do?rcpNo=20260814002779", "공시열람")</f>
        <v/>
      </c>
    </row>
    <row r="210">
      <c r="A210" s="5" t="inlineStr">
        <is>
          <t>유진기업</t>
        </is>
      </c>
      <c r="B210" s="6" t="inlineStr">
        <is>
          <t>023410</t>
        </is>
      </c>
      <c r="C210" s="6" t="inlineStr">
        <is>
          <t>2026Q2</t>
        </is>
      </c>
      <c r="D210" s="6" t="inlineStr">
        <is>
          <t>20260814</t>
        </is>
      </c>
      <c r="E210" s="16" t="inlineStr"/>
      <c r="F210" s="16" t="inlineStr"/>
      <c r="G210" s="16" t="n">
        <v>2316637</v>
      </c>
      <c r="H210" s="6" t="inlineStr">
        <is>
          <t>천원</t>
        </is>
      </c>
      <c r="I210" s="17" t="n">
        <v>0</v>
      </c>
      <c r="J210" s="18" t="n">
        <v>881800</v>
      </c>
      <c r="K210" s="19" t="n">
        <v>2312521</v>
      </c>
      <c r="L210" s="18" t="n">
        <v>921382</v>
      </c>
      <c r="M210" s="19" t="n">
        <v>1338930</v>
      </c>
      <c r="N210" s="18" t="n">
        <v>1338930</v>
      </c>
      <c r="O210" s="19" t="n">
        <v>1338930</v>
      </c>
      <c r="P210" s="18" t="n">
        <v>1946785</v>
      </c>
      <c r="Q210" s="19" t="n">
        <v>2316637</v>
      </c>
      <c r="R210" s="18" t="n">
        <v>2316637</v>
      </c>
      <c r="S210" s="20" t="n">
        <v>2316637</v>
      </c>
      <c r="T210" s="6" t="n">
        <v>1</v>
      </c>
      <c r="U210" s="5" t="inlineStr">
        <is>
          <t>건설계약</t>
        </is>
      </c>
      <c r="V210" s="21">
        <f>HYPERLINK("https://dart.fss.or.kr/dsaf001/main.do?rcpNo=20260814003236", "공시열람")</f>
        <v/>
      </c>
    </row>
    <row r="211">
      <c r="A211" s="5" t="inlineStr">
        <is>
          <t>다우기술</t>
        </is>
      </c>
      <c r="B211" s="6" t="inlineStr">
        <is>
          <t>023590</t>
        </is>
      </c>
      <c r="C211" s="6" t="inlineStr">
        <is>
          <t>2026Q2</t>
        </is>
      </c>
      <c r="D211" s="6" t="inlineStr">
        <is>
          <t>20260814</t>
        </is>
      </c>
      <c r="E211" s="16" t="n">
        <v>38135</v>
      </c>
      <c r="F211" s="16" t="n">
        <v>28289</v>
      </c>
      <c r="G211" s="16" t="n">
        <v>9846</v>
      </c>
      <c r="H211" s="6" t="inlineStr">
        <is>
          <t>백만원</t>
        </is>
      </c>
      <c r="I211" s="17" t="n">
        <v>-31</v>
      </c>
      <c r="J211" s="18" t="n">
        <v>11147</v>
      </c>
      <c r="K211" s="19" t="n">
        <v>11147</v>
      </c>
      <c r="L211" s="18" t="n">
        <v>9814</v>
      </c>
      <c r="M211" s="19" t="n">
        <v>17796</v>
      </c>
      <c r="N211" s="18" t="n">
        <v>12681</v>
      </c>
      <c r="O211" s="19" t="n">
        <v>28087</v>
      </c>
      <c r="P211" s="18" t="n">
        <v>20887</v>
      </c>
      <c r="Q211" s="19" t="n">
        <v>19928</v>
      </c>
      <c r="R211" s="18" t="n">
        <v>14265</v>
      </c>
      <c r="S211" s="20" t="n">
        <v>9846</v>
      </c>
      <c r="T211" s="6" t="n">
        <v>17</v>
      </c>
      <c r="U21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1" s="21">
        <f>HYPERLINK("https://dart.fss.or.kr/dsaf001/main.do?rcpNo=20260814003900", "공시열람")</f>
        <v/>
      </c>
    </row>
    <row r="212">
      <c r="A212" s="5" t="inlineStr">
        <is>
          <t>한일단조</t>
        </is>
      </c>
      <c r="B212" s="6" t="inlineStr">
        <is>
          <t>024740</t>
        </is>
      </c>
      <c r="C212" s="6" t="inlineStr">
        <is>
          <t>2026Q2</t>
        </is>
      </c>
      <c r="D212" s="6" t="inlineStr">
        <is>
          <t>20260814</t>
        </is>
      </c>
      <c r="E212" s="16" t="n">
        <v>17422</v>
      </c>
      <c r="F212" s="16" t="n">
        <v>8993</v>
      </c>
      <c r="G212" s="16" t="n">
        <v>8429</v>
      </c>
      <c r="H212" s="6" t="inlineStr">
        <is>
          <t>개,백만원</t>
        </is>
      </c>
      <c r="I212" s="17" t="n">
        <v>-37.4</v>
      </c>
      <c r="J212" s="18" t="inlineStr"/>
      <c r="K212" s="19" t="inlineStr"/>
      <c r="L212" s="18" t="inlineStr"/>
      <c r="M212" s="19" t="inlineStr"/>
      <c r="N212" s="18" t="inlineStr"/>
      <c r="O212" s="19" t="inlineStr"/>
      <c r="P212" s="18" t="inlineStr"/>
      <c r="Q212" s="19" t="n">
        <v>17422</v>
      </c>
      <c r="R212" s="18" t="n">
        <v>13463</v>
      </c>
      <c r="S212" s="20" t="n">
        <v>8429</v>
      </c>
      <c r="T212" s="6" t="n">
        <v>1</v>
      </c>
      <c r="U212" s="5" t="inlineStr">
        <is>
          <t>M107 155MM 완성탄체 / 25.12.05 / 2</t>
        </is>
      </c>
      <c r="V212" s="21">
        <f>HYPERLINK("https://dart.fss.or.kr/dsaf001/main.do?rcpNo=20260814002077", "공시열람")</f>
        <v/>
      </c>
    </row>
    <row r="213">
      <c r="A213" s="5" t="inlineStr">
        <is>
          <t>HLB이노베이션</t>
        </is>
      </c>
      <c r="B213" s="6" t="inlineStr">
        <is>
          <t>024850</t>
        </is>
      </c>
      <c r="C213" s="6" t="inlineStr">
        <is>
          <t>2026Q2</t>
        </is>
      </c>
      <c r="D213" s="6" t="inlineStr">
        <is>
          <t>20260813</t>
        </is>
      </c>
      <c r="E213" s="16" t="n">
        <v>19039811</v>
      </c>
      <c r="F213" s="16" t="n">
        <v>16303819</v>
      </c>
      <c r="G213" s="16" t="n">
        <v>2735992</v>
      </c>
      <c r="H213" s="6" t="inlineStr">
        <is>
          <t>백만개(KK</t>
        </is>
      </c>
      <c r="I213" s="17" t="n">
        <v>-42.1</v>
      </c>
      <c r="J213" s="18" t="n">
        <v>154</v>
      </c>
      <c r="K213" s="19" t="n">
        <v>1545</v>
      </c>
      <c r="L213" s="18" t="n">
        <v>1184</v>
      </c>
      <c r="M213" s="19" t="n">
        <v>558</v>
      </c>
      <c r="N213" s="18" t="n">
        <v>931</v>
      </c>
      <c r="O213" s="19" t="n">
        <v>2748</v>
      </c>
      <c r="P213" s="18" t="n">
        <v>27897</v>
      </c>
      <c r="Q213" s="19" t="n">
        <v>3381663</v>
      </c>
      <c r="R213" s="18" t="n">
        <v>4727023</v>
      </c>
      <c r="S213" s="20" t="n">
        <v>2735992</v>
      </c>
      <c r="T213" s="6" t="n">
        <v>2</v>
      </c>
      <c r="U213" s="5" t="inlineStr">
        <is>
          <t xml:space="preserve">CONTACT PIN / 2026.01.01~06.30 | LEAD FRAME / 2026.01.01~06.30 </t>
        </is>
      </c>
      <c r="V213" s="21">
        <f>HYPERLINK("https://dart.fss.or.kr/dsaf001/main.do?rcpNo=20260813001458", "공시열람")</f>
        <v/>
      </c>
    </row>
    <row r="214">
      <c r="A214" s="5" t="inlineStr">
        <is>
          <t>케이피에프</t>
        </is>
      </c>
      <c r="B214" s="6" t="inlineStr">
        <is>
          <t>024880</t>
        </is>
      </c>
      <c r="C214" s="6" t="inlineStr">
        <is>
          <t>2026Q2</t>
        </is>
      </c>
      <c r="D214" s="6" t="inlineStr">
        <is>
          <t>20260813</t>
        </is>
      </c>
      <c r="E214" s="16" t="n">
        <v>2351</v>
      </c>
      <c r="F214" s="16" t="inlineStr"/>
      <c r="G214" s="16" t="n">
        <v>2034</v>
      </c>
      <c r="H214" s="6" t="inlineStr">
        <is>
          <t>톤,억원</t>
        </is>
      </c>
      <c r="I214" s="17" t="n">
        <v>-16.3</v>
      </c>
      <c r="J214" s="18" t="n">
        <v>1215</v>
      </c>
      <c r="K214" s="19" t="n">
        <v>1990</v>
      </c>
      <c r="L214" s="18" t="n">
        <v>1905</v>
      </c>
      <c r="M214" s="19" t="n">
        <v>2142</v>
      </c>
      <c r="N214" s="18" t="n">
        <v>2465</v>
      </c>
      <c r="O214" s="19" t="n">
        <v>2038</v>
      </c>
      <c r="P214" s="18" t="n">
        <v>2094</v>
      </c>
      <c r="Q214" s="19" t="n">
        <v>2118</v>
      </c>
      <c r="R214" s="18" t="n">
        <v>2429</v>
      </c>
      <c r="S214" s="20" t="n">
        <v>2034</v>
      </c>
      <c r="T214" s="6" t="n">
        <v>3</v>
      </c>
      <c r="U214" s="5" t="inlineStr">
        <is>
          <t>볼트, 너트, 단조품 / 충주공장 / - | 볼트, 너트 / 베트남 / - | 단조품 / 중국 / -</t>
        </is>
      </c>
      <c r="V214" s="21">
        <f>HYPERLINK("https://dart.fss.or.kr/dsaf001/main.do?rcpNo=20260813000697", "공시열람")</f>
        <v/>
      </c>
    </row>
    <row r="215">
      <c r="A215" s="5" t="inlineStr">
        <is>
          <t>대원화성</t>
        </is>
      </c>
      <c r="B215" s="6" t="inlineStr">
        <is>
          <t>024890</t>
        </is>
      </c>
      <c r="C215" s="6" t="inlineStr">
        <is>
          <t>2026Q2</t>
        </is>
      </c>
      <c r="D215" s="6" t="inlineStr">
        <is>
          <t>20260814</t>
        </is>
      </c>
      <c r="E215" s="16" t="n">
        <v>93559</v>
      </c>
      <c r="F215" s="16" t="n">
        <v>89177</v>
      </c>
      <c r="G215" s="16" t="n">
        <v>4382</v>
      </c>
      <c r="H215" s="6" t="inlineStr">
        <is>
          <t>백만원</t>
        </is>
      </c>
      <c r="I215" s="17" t="n">
        <v>94.2</v>
      </c>
      <c r="J215" s="18" t="n">
        <v>1210</v>
      </c>
      <c r="K215" s="19" t="n">
        <v>2604</v>
      </c>
      <c r="L215" s="18" t="n">
        <v>4274</v>
      </c>
      <c r="M215" s="19" t="n">
        <v>6065</v>
      </c>
      <c r="N215" s="18" t="n">
        <v>1637</v>
      </c>
      <c r="O215" s="19" t="n">
        <v>4689</v>
      </c>
      <c r="P215" s="18" t="n">
        <v>4793</v>
      </c>
      <c r="Q215" s="19" t="n">
        <v>7684</v>
      </c>
      <c r="R215" s="18" t="n">
        <v>2256</v>
      </c>
      <c r="S215" s="20" t="n">
        <v>4382</v>
      </c>
      <c r="T215" s="6" t="n">
        <v>2</v>
      </c>
      <c r="U215" s="5" t="inlineStr">
        <is>
          <t>합성피혁 (천m) / 26.01~06 / 26.01~2 | 정 제 (톤) / 26.01~06 / 26.01~25.</t>
        </is>
      </c>
      <c r="V215" s="21">
        <f>HYPERLINK("https://dart.fss.or.kr/dsaf001/main.do?rcpNo=20260814003150", "공시열람")</f>
        <v/>
      </c>
    </row>
    <row r="216">
      <c r="A216" s="5" t="inlineStr">
        <is>
          <t>경창산업</t>
        </is>
      </c>
      <c r="B216" s="6" t="inlineStr">
        <is>
          <t>024910</t>
        </is>
      </c>
      <c r="C216" s="6" t="inlineStr">
        <is>
          <t>2026Q2</t>
        </is>
      </c>
      <c r="D216" s="6" t="inlineStr">
        <is>
          <t>20260814</t>
        </is>
      </c>
      <c r="E216" s="16" t="n">
        <v>89</v>
      </c>
      <c r="F216" s="16" t="n">
        <v>11</v>
      </c>
      <c r="G216" s="16" t="n">
        <v>78</v>
      </c>
      <c r="H216" s="6" t="inlineStr">
        <is>
          <t>억원</t>
        </is>
      </c>
      <c r="I216" s="17" t="n">
        <v>-3.7</v>
      </c>
      <c r="J216" s="18" t="n">
        <v>1697</v>
      </c>
      <c r="K216" s="19" t="n">
        <v>1696</v>
      </c>
      <c r="L216" s="18" t="n">
        <v>1693</v>
      </c>
      <c r="M216" s="19" t="n">
        <v>1688</v>
      </c>
      <c r="N216" s="18" t="n">
        <v>1687</v>
      </c>
      <c r="O216" s="19" t="n">
        <v>1687</v>
      </c>
      <c r="P216" s="18" t="n">
        <v>1686</v>
      </c>
      <c r="Q216" s="19" t="n">
        <v>65</v>
      </c>
      <c r="R216" s="18" t="n">
        <v>81</v>
      </c>
      <c r="S216" s="20" t="n">
        <v>78</v>
      </c>
      <c r="T216" s="6" t="n">
        <v>1</v>
      </c>
      <c r="U216" s="5" t="inlineStr">
        <is>
          <t>전기자동차 변속제어장치 E-Shifter / '19.1</t>
        </is>
      </c>
      <c r="V216" s="21">
        <f>HYPERLINK("https://dart.fss.or.kr/dsaf001/main.do?rcpNo=20260814002675", "공시열람")</f>
        <v/>
      </c>
    </row>
    <row r="217">
      <c r="A217" s="5" t="inlineStr">
        <is>
          <t>시노펙스</t>
        </is>
      </c>
      <c r="B217" s="6" t="inlineStr">
        <is>
          <t>025320</t>
        </is>
      </c>
      <c r="C217" s="6" t="inlineStr">
        <is>
          <t>2025Q4</t>
        </is>
      </c>
      <c r="D217" s="6" t="inlineStr">
        <is>
          <t>20260318</t>
        </is>
      </c>
      <c r="E217" s="16" t="n">
        <v>1669</v>
      </c>
      <c r="F217" s="16" t="n">
        <v>1669</v>
      </c>
      <c r="G217" s="16" t="n">
        <v>0</v>
      </c>
      <c r="H217" s="6" t="inlineStr">
        <is>
          <t>백만원</t>
        </is>
      </c>
      <c r="I217" s="17" t="inlineStr"/>
      <c r="J217" s="18" t="n">
        <v>3281</v>
      </c>
      <c r="K217" s="19" t="n">
        <v>350</v>
      </c>
      <c r="L217" s="18" t="n">
        <v>479</v>
      </c>
      <c r="M217" s="19" t="n">
        <v>21</v>
      </c>
      <c r="N217" s="18" t="n">
        <v>0</v>
      </c>
      <c r="O217" s="19" t="n">
        <v>32</v>
      </c>
      <c r="P217" s="18" t="n">
        <v>0</v>
      </c>
      <c r="Q217" s="19" t="n">
        <v>0</v>
      </c>
      <c r="R217" s="18" t="inlineStr"/>
      <c r="S217" s="20" t="inlineStr"/>
      <c r="T217" s="6" t="n">
        <v>28</v>
      </c>
      <c r="U217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7" s="21">
        <f>HYPERLINK("https://dart.fss.or.kr/dsaf001/main.do?rcpNo=20260318001595", "공시열람")</f>
        <v/>
      </c>
    </row>
    <row r="218">
      <c r="A218" s="5" t="inlineStr">
        <is>
          <t>미래산업</t>
        </is>
      </c>
      <c r="B218" s="6" t="inlineStr">
        <is>
          <t>025560</t>
        </is>
      </c>
      <c r="C218" s="6" t="inlineStr">
        <is>
          <t>2025Q3</t>
        </is>
      </c>
      <c r="D218" s="6" t="inlineStr">
        <is>
          <t>20251112</t>
        </is>
      </c>
      <c r="E218" s="16" t="n">
        <v>2885</v>
      </c>
      <c r="F218" s="16" t="n">
        <v>2885</v>
      </c>
      <c r="G218" s="16" t="n">
        <v>0</v>
      </c>
      <c r="H218" s="6" t="inlineStr">
        <is>
          <t>백만원</t>
        </is>
      </c>
      <c r="I218" s="17" t="inlineStr"/>
      <c r="J218" s="18" t="n">
        <v>0</v>
      </c>
      <c r="K218" s="19" t="n">
        <v>0</v>
      </c>
      <c r="L218" s="18" t="n">
        <v>0</v>
      </c>
      <c r="M218" s="19" t="n">
        <v>0</v>
      </c>
      <c r="N218" s="18" t="n">
        <v>764</v>
      </c>
      <c r="O218" s="19" t="n">
        <v>0</v>
      </c>
      <c r="P218" s="18" t="n">
        <v>0</v>
      </c>
      <c r="Q218" s="19" t="inlineStr"/>
      <c r="R218" s="18" t="inlineStr"/>
      <c r="S218" s="20" t="inlineStr"/>
      <c r="T218" s="6" t="n">
        <v>1</v>
      </c>
      <c r="U218" s="5" t="inlineStr">
        <is>
          <t>반도체 검사장비 / 2025.06.27 / 2025.0</t>
        </is>
      </c>
      <c r="V218" s="21">
        <f>HYPERLINK("https://dart.fss.or.kr/dsaf001/main.do?rcpNo=20251112000133", "공시열람")</f>
        <v/>
      </c>
    </row>
    <row r="219">
      <c r="A219" s="5" t="inlineStr">
        <is>
          <t>이구산업</t>
        </is>
      </c>
      <c r="B219" s="6" t="inlineStr">
        <is>
          <t>025820</t>
        </is>
      </c>
      <c r="C219" s="6" t="inlineStr">
        <is>
          <t>2026Q2</t>
        </is>
      </c>
      <c r="D219" s="6" t="inlineStr">
        <is>
          <t>20260930</t>
        </is>
      </c>
      <c r="E219" s="16" t="n">
        <v>396106</v>
      </c>
      <c r="F219" s="16" t="n">
        <v>339198</v>
      </c>
      <c r="G219" s="16" t="n">
        <v>56908</v>
      </c>
      <c r="H219" s="6" t="inlineStr">
        <is>
          <t>TON/백만원</t>
        </is>
      </c>
      <c r="I219" s="17" t="n">
        <v>58.7</v>
      </c>
      <c r="J219" s="18" t="n">
        <v>20380</v>
      </c>
      <c r="K219" s="19" t="n">
        <v>35107</v>
      </c>
      <c r="L219" s="18" t="n">
        <v>32330</v>
      </c>
      <c r="M219" s="19" t="n">
        <v>32088</v>
      </c>
      <c r="N219" s="18" t="n">
        <v>29793</v>
      </c>
      <c r="O219" s="19" t="n">
        <v>44222</v>
      </c>
      <c r="P219" s="18" t="n">
        <v>36952</v>
      </c>
      <c r="Q219" s="19" t="n">
        <v>37371</v>
      </c>
      <c r="R219" s="18" t="n">
        <v>35859</v>
      </c>
      <c r="S219" s="20" t="n">
        <v>56908</v>
      </c>
      <c r="T219" s="6" t="n">
        <v>1</v>
      </c>
      <c r="U219" s="5" t="inlineStr">
        <is>
          <t>동 및 황동판, 조 / - / 2026.01~2026.</t>
        </is>
      </c>
      <c r="V219" s="21">
        <f>HYPERLINK("https://dart.fss.or.kr/dsaf001/main.do?rcpNo=20260930000239", "공시열람")</f>
        <v/>
      </c>
    </row>
    <row r="220">
      <c r="A220" s="5" t="inlineStr">
        <is>
          <t>남해화학</t>
        </is>
      </c>
      <c r="B220" s="6" t="inlineStr">
        <is>
          <t>025860</t>
        </is>
      </c>
      <c r="C220" s="6" t="inlineStr">
        <is>
          <t>2026Q2</t>
        </is>
      </c>
      <c r="D220" s="6" t="inlineStr">
        <is>
          <t>20260814</t>
        </is>
      </c>
      <c r="E220" s="16" t="n">
        <v>352915</v>
      </c>
      <c r="F220" s="16" t="n">
        <v>208407</v>
      </c>
      <c r="G220" s="16" t="n">
        <v>144508</v>
      </c>
      <c r="H220" s="6" t="inlineStr">
        <is>
          <t>천톤,백만원</t>
        </is>
      </c>
      <c r="I220" s="17" t="n">
        <v>-32.1</v>
      </c>
      <c r="J220" s="18" t="n">
        <v>241652</v>
      </c>
      <c r="K220" s="19" t="n">
        <v>143973</v>
      </c>
      <c r="L220" s="18" t="n">
        <v>115241</v>
      </c>
      <c r="M220" s="19" t="n">
        <v>83375</v>
      </c>
      <c r="N220" s="18" t="n">
        <v>203179</v>
      </c>
      <c r="O220" s="19" t="n">
        <v>113109</v>
      </c>
      <c r="P220" s="18" t="n">
        <v>76530</v>
      </c>
      <c r="Q220" s="19" t="n">
        <v>37482</v>
      </c>
      <c r="R220" s="18" t="n">
        <v>212854</v>
      </c>
      <c r="S220" s="20" t="n">
        <v>144508</v>
      </c>
      <c r="T220" s="6" t="n">
        <v>1</v>
      </c>
      <c r="U220" s="5" t="inlineStr">
        <is>
          <t>비료 / 2026.02.06 / 2026.01.01~2</t>
        </is>
      </c>
      <c r="V220" s="21">
        <f>HYPERLINK("https://dart.fss.or.kr/dsaf001/main.do?rcpNo=20260814001191", "공시열람")</f>
        <v/>
      </c>
    </row>
    <row r="221">
      <c r="A221" s="5" t="inlineStr">
        <is>
          <t>한국주강</t>
        </is>
      </c>
      <c r="B221" s="6" t="inlineStr">
        <is>
          <t>025890</t>
        </is>
      </c>
      <c r="C221" s="6" t="inlineStr">
        <is>
          <t>2026Q2</t>
        </is>
      </c>
      <c r="D221" s="6" t="inlineStr">
        <is>
          <t>20260814</t>
        </is>
      </c>
      <c r="E221" s="16" t="n">
        <v>53170958</v>
      </c>
      <c r="F221" s="16" t="n">
        <v>19902218</v>
      </c>
      <c r="G221" s="16" t="n">
        <v>33268740</v>
      </c>
      <c r="H221" s="6" t="inlineStr">
        <is>
          <t>톤,천원</t>
        </is>
      </c>
      <c r="I221" s="17" t="n">
        <v>15.3</v>
      </c>
      <c r="J221" s="18" t="n">
        <v>19802488</v>
      </c>
      <c r="K221" s="19" t="n">
        <v>21190209</v>
      </c>
      <c r="L221" s="18" t="n">
        <v>16041054</v>
      </c>
      <c r="M221" s="19" t="n">
        <v>17822295</v>
      </c>
      <c r="N221" s="18" t="n">
        <v>22948849</v>
      </c>
      <c r="O221" s="19" t="n">
        <v>18913287</v>
      </c>
      <c r="P221" s="18" t="n">
        <v>21448973</v>
      </c>
      <c r="Q221" s="19" t="n">
        <v>25208107</v>
      </c>
      <c r="R221" s="18" t="n">
        <v>28852726</v>
      </c>
      <c r="S221" s="20" t="n">
        <v>33268740</v>
      </c>
      <c r="T221" s="6" t="n">
        <v>3</v>
      </c>
      <c r="U221" s="5" t="inlineStr">
        <is>
          <t>주강품 / - | 압축분철제조 / - | 기타 / -</t>
        </is>
      </c>
      <c r="V221" s="21">
        <f>HYPERLINK("https://dart.fss.or.kr/dsaf001/main.do?rcpNo=20260814003729", "공시열람")</f>
        <v/>
      </c>
    </row>
    <row r="222">
      <c r="A222" s="5" t="inlineStr">
        <is>
          <t>동신건설</t>
        </is>
      </c>
      <c r="B222" s="6" t="inlineStr">
        <is>
          <t>025950</t>
        </is>
      </c>
      <c r="C222" s="6" t="inlineStr">
        <is>
          <t>2026Q2</t>
        </is>
      </c>
      <c r="D222" s="6" t="inlineStr">
        <is>
          <t>20260814</t>
        </is>
      </c>
      <c r="E222" s="16" t="inlineStr"/>
      <c r="F222" s="16" t="inlineStr"/>
      <c r="G222" s="16" t="n">
        <v>128044482</v>
      </c>
      <c r="H222" s="6" t="inlineStr">
        <is>
          <t>천원</t>
        </is>
      </c>
      <c r="I222" s="17" t="n">
        <v>-5.5</v>
      </c>
      <c r="J222" s="18" t="n">
        <v>101016315</v>
      </c>
      <c r="K222" s="19" t="n">
        <v>91104472</v>
      </c>
      <c r="L222" s="18" t="n">
        <v>147286715</v>
      </c>
      <c r="M222" s="19" t="n">
        <v>142602331</v>
      </c>
      <c r="N222" s="18" t="n">
        <v>140190135</v>
      </c>
      <c r="O222" s="19" t="n">
        <v>137380810</v>
      </c>
      <c r="P222" s="18" t="n">
        <v>131247450</v>
      </c>
      <c r="Q222" s="19" t="n">
        <v>136539462</v>
      </c>
      <c r="R222" s="18" t="n">
        <v>135546673</v>
      </c>
      <c r="S222" s="20" t="n">
        <v>128044482</v>
      </c>
      <c r="T222" s="6" t="n">
        <v>18</v>
      </c>
      <c r="U222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2" s="21">
        <f>HYPERLINK("https://dart.fss.or.kr/dsaf001/main.do?rcpNo=20260814001010", "공시열람")</f>
        <v/>
      </c>
    </row>
    <row r="223">
      <c r="A223" s="5" t="inlineStr">
        <is>
          <t>삼성E&amp;A</t>
        </is>
      </c>
      <c r="B223" s="6" t="inlineStr">
        <is>
          <t>028050</t>
        </is>
      </c>
      <c r="C223" s="6" t="inlineStr">
        <is>
          <t>2026Q2</t>
        </is>
      </c>
      <c r="D223" s="6" t="inlineStr">
        <is>
          <t>20260814</t>
        </is>
      </c>
      <c r="E223" s="16" t="n">
        <v>678759</v>
      </c>
      <c r="F223" s="16" t="n">
        <v>476885</v>
      </c>
      <c r="G223" s="16" t="n">
        <v>201874</v>
      </c>
      <c r="H223" s="6" t="inlineStr">
        <is>
          <t>억원</t>
        </is>
      </c>
      <c r="I223" s="17" t="n">
        <v>30.7</v>
      </c>
      <c r="J223" s="18" t="n">
        <v>126252</v>
      </c>
      <c r="K223" s="19" t="n">
        <v>211199</v>
      </c>
      <c r="L223" s="18" t="n">
        <v>193458</v>
      </c>
      <c r="M223" s="19" t="n">
        <v>175339</v>
      </c>
      <c r="N223" s="18" t="n">
        <v>197574</v>
      </c>
      <c r="O223" s="19" t="n">
        <v>167556</v>
      </c>
      <c r="P223" s="18" t="n">
        <v>165126</v>
      </c>
      <c r="Q223" s="19" t="n">
        <v>160671</v>
      </c>
      <c r="R223" s="18" t="n">
        <v>154480</v>
      </c>
      <c r="S223" s="20" t="n">
        <v>201874</v>
      </c>
      <c r="T223" s="6" t="n">
        <v>53</v>
      </c>
      <c r="U223" s="5" t="inlineStr">
        <is>
          <t>해외 / SAUDI ARABIAN OIL COMPANY | 국내민간 / 삼성전자주식회사 / 평택 전자 P5-PJT | 해외 / QatarEnergy / 카타르 RLP 2 P</t>
        </is>
      </c>
      <c r="V223" s="21">
        <f>HYPERLINK("https://dart.fss.or.kr/dsaf001/main.do?rcpNo=20260814003428", "공시열람")</f>
        <v/>
      </c>
    </row>
    <row r="224">
      <c r="A224" s="5" t="inlineStr">
        <is>
          <t>동아지질</t>
        </is>
      </c>
      <c r="B224" s="6" t="inlineStr">
        <is>
          <t>028100</t>
        </is>
      </c>
      <c r="C224" s="6" t="inlineStr">
        <is>
          <t>2026Q2</t>
        </is>
      </c>
      <c r="D224" s="6" t="inlineStr">
        <is>
          <t>20260814</t>
        </is>
      </c>
      <c r="E224" s="16" t="n">
        <v>2424256</v>
      </c>
      <c r="F224" s="16" t="n">
        <v>1624169</v>
      </c>
      <c r="G224" s="16" t="n">
        <v>800087</v>
      </c>
      <c r="H224" s="6" t="inlineStr">
        <is>
          <t>백만원</t>
        </is>
      </c>
      <c r="I224" s="17" t="n">
        <v>0.4</v>
      </c>
      <c r="J224" s="18" t="n">
        <v>1103822</v>
      </c>
      <c r="K224" s="19" t="n">
        <v>1102156</v>
      </c>
      <c r="L224" s="18" t="n">
        <v>1026966</v>
      </c>
      <c r="M224" s="19" t="n">
        <v>1052125</v>
      </c>
      <c r="N224" s="18" t="n">
        <v>1040630</v>
      </c>
      <c r="O224" s="19" t="n">
        <v>957698</v>
      </c>
      <c r="P224" s="18" t="n">
        <v>909034</v>
      </c>
      <c r="Q224" s="19" t="n">
        <v>860522</v>
      </c>
      <c r="R224" s="18" t="n">
        <v>797075</v>
      </c>
      <c r="S224" s="20" t="n">
        <v>800087</v>
      </c>
      <c r="T224" s="6" t="n">
        <v>20</v>
      </c>
      <c r="U224" s="5" t="inlineStr">
        <is>
          <t>(싱가폴)창이공항 터미널5 Package B / 지반개 | 싱가폴 LTA / (싱가폴)CRL CR108 / 202 | 싱가폴 LTA / (싱가폴)CRL CR106 / 202</t>
        </is>
      </c>
      <c r="V224" s="21">
        <f>HYPERLINK("https://dart.fss.or.kr/dsaf001/main.do?rcpNo=20260814003080", "공시열람")</f>
        <v/>
      </c>
    </row>
    <row r="225">
      <c r="A225" s="5" t="inlineStr">
        <is>
          <t>삼성물산</t>
        </is>
      </c>
      <c r="B225" s="6" t="inlineStr">
        <is>
          <t>028260</t>
        </is>
      </c>
      <c r="C225" s="6" t="inlineStr">
        <is>
          <t>2026Q2</t>
        </is>
      </c>
      <c r="D225" s="6" t="inlineStr">
        <is>
          <t>20260814</t>
        </is>
      </c>
      <c r="E225" s="16" t="n">
        <v>98687631</v>
      </c>
      <c r="F225" s="16" t="n">
        <v>64442154</v>
      </c>
      <c r="G225" s="16" t="n">
        <v>34245477</v>
      </c>
      <c r="H225" s="6" t="inlineStr">
        <is>
          <t>백만원</t>
        </is>
      </c>
      <c r="I225" s="17" t="n">
        <v>7.9</v>
      </c>
      <c r="J225" s="18" t="n">
        <v>24981055</v>
      </c>
      <c r="K225" s="19" t="n">
        <v>24841144</v>
      </c>
      <c r="L225" s="18" t="n">
        <v>23587679</v>
      </c>
      <c r="M225" s="19" t="n">
        <v>27714965</v>
      </c>
      <c r="N225" s="18" t="n">
        <v>27546358</v>
      </c>
      <c r="O225" s="19" t="n">
        <v>25512527</v>
      </c>
      <c r="P225" s="18" t="n">
        <v>29679701</v>
      </c>
      <c r="Q225" s="19" t="n">
        <v>29497804</v>
      </c>
      <c r="R225" s="18" t="n">
        <v>31726646</v>
      </c>
      <c r="S225" s="20" t="n">
        <v>34245477</v>
      </c>
      <c r="T225" s="6" t="n">
        <v>81</v>
      </c>
      <c r="U225" s="5" t="inlineStr">
        <is>
          <t>주택사업 / 기타 / 울산중구B04 외 3개 현장 | 건설사업 / (카타르) Sumitomo Corporat | 건설사업 / 삼성전자(주) / 평택 P5 신축공사</t>
        </is>
      </c>
      <c r="V225" s="21">
        <f>HYPERLINK("https://dart.fss.or.kr/dsaf001/main.do?rcpNo=20260814002969", "공시열람")</f>
        <v/>
      </c>
    </row>
    <row r="226">
      <c r="A226" s="5" t="inlineStr">
        <is>
          <t>HLB</t>
        </is>
      </c>
      <c r="B226" s="6" t="inlineStr">
        <is>
          <t>028300</t>
        </is>
      </c>
      <c r="C226" s="6" t="inlineStr">
        <is>
          <t>2026Q2</t>
        </is>
      </c>
      <c r="D226" s="6" t="inlineStr">
        <is>
          <t>20260814</t>
        </is>
      </c>
      <c r="E226" s="16" t="inlineStr"/>
      <c r="F226" s="16" t="n">
        <v>8458</v>
      </c>
      <c r="G226" s="16" t="n">
        <v>17613</v>
      </c>
      <c r="H226" s="6" t="inlineStr">
        <is>
          <t>백만원</t>
        </is>
      </c>
      <c r="I226" s="17" t="n">
        <v>10.6</v>
      </c>
      <c r="J226" s="18" t="n">
        <v>15911</v>
      </c>
      <c r="K226" s="19" t="n">
        <v>17764</v>
      </c>
      <c r="L226" s="18" t="n">
        <v>20760</v>
      </c>
      <c r="M226" s="19" t="n">
        <v>18100</v>
      </c>
      <c r="N226" s="18" t="n">
        <v>18177</v>
      </c>
      <c r="O226" s="19" t="n">
        <v>16666</v>
      </c>
      <c r="P226" s="18" t="n">
        <v>15964</v>
      </c>
      <c r="Q226" s="19" t="n">
        <v>12638</v>
      </c>
      <c r="R226" s="18" t="n">
        <v>15920</v>
      </c>
      <c r="S226" s="20" t="n">
        <v>17613</v>
      </c>
      <c r="T226" s="6" t="n">
        <v>2</v>
      </c>
      <c r="U226" s="5" t="inlineStr">
        <is>
          <t>파이프 | 선박</t>
        </is>
      </c>
      <c r="V226" s="21">
        <f>HYPERLINK("https://dart.fss.or.kr/dsaf001/main.do?rcpNo=20260814002713", "공시열람")</f>
        <v/>
      </c>
    </row>
    <row r="227">
      <c r="A227" s="5" t="inlineStr">
        <is>
          <t>NICE평가정보</t>
        </is>
      </c>
      <c r="B227" s="6" t="inlineStr">
        <is>
          <t>030190</t>
        </is>
      </c>
      <c r="C227" s="6" t="inlineStr">
        <is>
          <t>2026Q2</t>
        </is>
      </c>
      <c r="D227" s="6" t="inlineStr">
        <is>
          <t>20260813</t>
        </is>
      </c>
      <c r="E227" s="16" t="n">
        <v>48433</v>
      </c>
      <c r="F227" s="16" t="n">
        <v>24112</v>
      </c>
      <c r="G227" s="16" t="n">
        <v>24321</v>
      </c>
      <c r="H227" s="6" t="inlineStr">
        <is>
          <t>백만원</t>
        </is>
      </c>
      <c r="I227" s="17" t="n">
        <v>28.9</v>
      </c>
      <c r="J227" s="18" t="n">
        <v>11879</v>
      </c>
      <c r="K227" s="19" t="n">
        <v>19303</v>
      </c>
      <c r="L227" s="18" t="n">
        <v>17452</v>
      </c>
      <c r="M227" s="19" t="n">
        <v>16019</v>
      </c>
      <c r="N227" s="18" t="n">
        <v>19397</v>
      </c>
      <c r="O227" s="19" t="n">
        <v>18591</v>
      </c>
      <c r="P227" s="18" t="n">
        <v>28827</v>
      </c>
      <c r="Q227" s="19" t="n">
        <v>23066</v>
      </c>
      <c r="R227" s="18" t="n">
        <v>18868</v>
      </c>
      <c r="S227" s="20" t="n">
        <v>24321</v>
      </c>
      <c r="T227" s="6" t="n">
        <v>2</v>
      </c>
      <c r="U227" s="5" t="inlineStr">
        <is>
          <t>정보 사업 / CRMS 모형개발 등 기업 컨설팅 / 2 | 정보 사업 / CSS 모형개발 등 솔루션 컨설팅 / 2</t>
        </is>
      </c>
      <c r="V227" s="21">
        <f>HYPERLINK("https://dart.fss.or.kr/dsaf001/main.do?rcpNo=20260813000967", "공시열람")</f>
        <v/>
      </c>
    </row>
    <row r="228">
      <c r="A228" s="5" t="inlineStr">
        <is>
          <t>케이티</t>
        </is>
      </c>
      <c r="B228" s="6" t="inlineStr">
        <is>
          <t>030200</t>
        </is>
      </c>
      <c r="C228" s="6" t="inlineStr">
        <is>
          <t>2026Q2</t>
        </is>
      </c>
      <c r="D228" s="6" t="inlineStr">
        <is>
          <t>20260814</t>
        </is>
      </c>
      <c r="E228" s="16" t="n">
        <v>817315</v>
      </c>
      <c r="F228" s="16" t="n">
        <v>341857</v>
      </c>
      <c r="G228" s="16" t="n">
        <v>475458</v>
      </c>
      <c r="H228" s="6" t="inlineStr">
        <is>
          <t>백만원,%</t>
        </is>
      </c>
      <c r="I228" s="17" t="n">
        <v>14000.2</v>
      </c>
      <c r="J228" s="18" t="n">
        <v>67072</v>
      </c>
      <c r="K228" s="19" t="n">
        <v>150860</v>
      </c>
      <c r="L228" s="18" t="n">
        <v>75745</v>
      </c>
      <c r="M228" s="19" t="n">
        <v>595154</v>
      </c>
      <c r="N228" s="18" t="n">
        <v>142949</v>
      </c>
      <c r="O228" s="19" t="n">
        <v>295172</v>
      </c>
      <c r="P228" s="18" t="n">
        <v>210013</v>
      </c>
      <c r="Q228" s="19" t="n">
        <v>3372</v>
      </c>
      <c r="R228" s="18" t="n">
        <v>3372</v>
      </c>
      <c r="S228" s="20" t="n">
        <v>475458</v>
      </c>
      <c r="T228" s="6" t="n">
        <v>2</v>
      </c>
      <c r="U228" s="5" t="inlineStr">
        <is>
          <t>대전 둔산 엘리프 더센트럴 / 2024.12.09 | 수원 영통역 오피스텔 / 2026.04.24</t>
        </is>
      </c>
      <c r="V228" s="21">
        <f>HYPERLINK("https://dart.fss.or.kr/dsaf001/main.do?rcpNo=20260814003463", "공시열람")</f>
        <v/>
      </c>
    </row>
    <row r="229">
      <c r="A229" s="5" t="inlineStr">
        <is>
          <t>원익홀딩스</t>
        </is>
      </c>
      <c r="B229" s="6" t="inlineStr">
        <is>
          <t>030530</t>
        </is>
      </c>
      <c r="C229" s="6" t="inlineStr">
        <is>
          <t>2026Q2</t>
        </is>
      </c>
      <c r="D229" s="6" t="inlineStr">
        <is>
          <t>20260814</t>
        </is>
      </c>
      <c r="E229" s="16" t="n">
        <v>1197393</v>
      </c>
      <c r="F229" s="16" t="n">
        <v>562803</v>
      </c>
      <c r="G229" s="16" t="n">
        <v>634590</v>
      </c>
      <c r="H229" s="6" t="inlineStr">
        <is>
          <t>백만원</t>
        </is>
      </c>
      <c r="I229" s="17" t="n">
        <v>41.5</v>
      </c>
      <c r="J229" s="18" t="n">
        <v>198735</v>
      </c>
      <c r="K229" s="19" t="n">
        <v>169638</v>
      </c>
      <c r="L229" s="18" t="n">
        <v>246252</v>
      </c>
      <c r="M229" s="19" t="n">
        <v>201965</v>
      </c>
      <c r="N229" s="18" t="n">
        <v>159126</v>
      </c>
      <c r="O229" s="19" t="n">
        <v>98577</v>
      </c>
      <c r="P229" s="18" t="n">
        <v>81274</v>
      </c>
      <c r="Q229" s="19" t="n">
        <v>409224</v>
      </c>
      <c r="R229" s="18" t="n">
        <v>448394</v>
      </c>
      <c r="S229" s="20" t="n">
        <v>634590</v>
      </c>
      <c r="T229" s="6" t="n">
        <v>1</v>
      </c>
      <c r="U229" s="5" t="inlineStr">
        <is>
          <t>반도체/Display 장비 / 2026년 반기 / -</t>
        </is>
      </c>
      <c r="V229" s="21">
        <f>HYPERLINK("https://dart.fss.or.kr/dsaf001/main.do?rcpNo=20260814003849", "공시열람")</f>
        <v/>
      </c>
    </row>
    <row r="230">
      <c r="A230" s="5" t="inlineStr">
        <is>
          <t>아이티센씨티에스</t>
        </is>
      </c>
      <c r="B230" s="6" t="inlineStr">
        <is>
          <t>031820</t>
        </is>
      </c>
      <c r="C230" s="6" t="inlineStr">
        <is>
          <t>2024Q2</t>
        </is>
      </c>
      <c r="D230" s="6" t="inlineStr">
        <is>
          <t>20240814</t>
        </is>
      </c>
      <c r="E230" s="16" t="inlineStr"/>
      <c r="F230" s="16" t="inlineStr"/>
      <c r="G230" s="16" t="n">
        <v>1943817</v>
      </c>
      <c r="H230" s="6" t="inlineStr">
        <is>
          <t>천원</t>
        </is>
      </c>
      <c r="I230" s="17" t="n">
        <v>-9.9</v>
      </c>
      <c r="J230" s="18" t="n">
        <v>2158593</v>
      </c>
      <c r="K230" s="19" t="n">
        <v>1943817</v>
      </c>
      <c r="L230" s="18" t="inlineStr"/>
      <c r="M230" s="19" t="inlineStr"/>
      <c r="N230" s="18" t="inlineStr"/>
      <c r="O230" s="19" t="inlineStr"/>
      <c r="P230" s="18" t="inlineStr"/>
      <c r="Q230" s="19" t="inlineStr"/>
      <c r="R230" s="18" t="inlineStr"/>
      <c r="S230" s="20" t="inlineStr"/>
      <c r="T230" s="6" t="n">
        <v>2</v>
      </c>
      <c r="U230" s="5" t="inlineStr">
        <is>
          <t>기초 | 반기말 순장부금액</t>
        </is>
      </c>
      <c r="V230" s="21">
        <f>HYPERLINK("https://dart.fss.or.kr/dsaf001/main.do?rcpNo=20240814001897", "공시열람")</f>
        <v/>
      </c>
    </row>
    <row r="231">
      <c r="A231" s="5" t="inlineStr">
        <is>
          <t>아즈텍WB</t>
        </is>
      </c>
      <c r="B231" s="6" t="inlineStr">
        <is>
          <t>032080</t>
        </is>
      </c>
      <c r="C231" s="6" t="inlineStr">
        <is>
          <t>2026Q2</t>
        </is>
      </c>
      <c r="D231" s="6" t="inlineStr">
        <is>
          <t>20260814</t>
        </is>
      </c>
      <c r="E231" s="16" t="n">
        <v>24118</v>
      </c>
      <c r="F231" s="16" t="n">
        <v>10607</v>
      </c>
      <c r="G231" s="16" t="n">
        <v>13511</v>
      </c>
      <c r="H231" s="6" t="inlineStr">
        <is>
          <t>YD,PCS,백만원</t>
        </is>
      </c>
      <c r="I231" s="17" t="n">
        <v>2.5</v>
      </c>
      <c r="J231" s="18" t="n">
        <v>13220</v>
      </c>
      <c r="K231" s="19" t="n">
        <v>13215</v>
      </c>
      <c r="L231" s="18" t="n">
        <v>10094</v>
      </c>
      <c r="M231" s="19" t="n">
        <v>9281</v>
      </c>
      <c r="N231" s="18" t="n">
        <v>8159</v>
      </c>
      <c r="O231" s="19" t="n">
        <v>14975</v>
      </c>
      <c r="P231" s="18" t="n">
        <v>11933</v>
      </c>
      <c r="Q231" s="19" t="n">
        <v>11583</v>
      </c>
      <c r="R231" s="18" t="n">
        <v>13182</v>
      </c>
      <c r="S231" s="20" t="n">
        <v>13511</v>
      </c>
      <c r="T231" s="6" t="n">
        <v>2</v>
      </c>
      <c r="U231" s="5" t="inlineStr">
        <is>
          <t>직물 / 2026.01 ~ 2026.06 / 2026. | 의류 / 2026.01 ~ 2026.06 / 2026.</t>
        </is>
      </c>
      <c r="V231" s="21">
        <f>HYPERLINK("https://dart.fss.or.kr/dsaf001/main.do?rcpNo=20260814002462", "공시열람")</f>
        <v/>
      </c>
    </row>
    <row r="232">
      <c r="A232" s="5" t="inlineStr">
        <is>
          <t>다우데이타</t>
        </is>
      </c>
      <c r="B232" s="6" t="inlineStr">
        <is>
          <t>032190</t>
        </is>
      </c>
      <c r="C232" s="6" t="inlineStr">
        <is>
          <t>2026Q2</t>
        </is>
      </c>
      <c r="D232" s="6" t="inlineStr">
        <is>
          <t>20260814</t>
        </is>
      </c>
      <c r="E232" s="16" t="n">
        <v>38135</v>
      </c>
      <c r="F232" s="16" t="n">
        <v>28289</v>
      </c>
      <c r="G232" s="16" t="n">
        <v>9846</v>
      </c>
      <c r="H232" s="6" t="inlineStr">
        <is>
          <t>백만원</t>
        </is>
      </c>
      <c r="I232" s="17" t="n">
        <v>-31</v>
      </c>
      <c r="J232" s="18" t="n">
        <v>11147</v>
      </c>
      <c r="K232" s="19" t="n">
        <v>11147</v>
      </c>
      <c r="L232" s="18" t="n">
        <v>9814</v>
      </c>
      <c r="M232" s="19" t="n">
        <v>17796</v>
      </c>
      <c r="N232" s="18" t="n">
        <v>12681</v>
      </c>
      <c r="O232" s="19" t="n">
        <v>28087</v>
      </c>
      <c r="P232" s="18" t="n">
        <v>20887</v>
      </c>
      <c r="Q232" s="19" t="n">
        <v>19928</v>
      </c>
      <c r="R232" s="18" t="n">
        <v>14265</v>
      </c>
      <c r="S232" s="20" t="n">
        <v>9846</v>
      </c>
      <c r="T232" s="6" t="n">
        <v>17</v>
      </c>
      <c r="U232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2" s="21">
        <f>HYPERLINK("https://dart.fss.or.kr/dsaf001/main.do?rcpNo=20260814004039", "공시열람")</f>
        <v/>
      </c>
    </row>
    <row r="233">
      <c r="A233" s="5" t="inlineStr">
        <is>
          <t>케이엠더블유</t>
        </is>
      </c>
      <c r="B233" s="6" t="inlineStr">
        <is>
          <t>032500</t>
        </is>
      </c>
      <c r="C233" s="6" t="inlineStr">
        <is>
          <t>2026Q2</t>
        </is>
      </c>
      <c r="D233" s="6" t="inlineStr">
        <is>
          <t>20260814</t>
        </is>
      </c>
      <c r="E233" s="16" t="n">
        <v>212680</v>
      </c>
      <c r="F233" s="16" t="n">
        <v>212680</v>
      </c>
      <c r="G233" s="16" t="n">
        <v>0</v>
      </c>
      <c r="H233" s="6" t="inlineStr">
        <is>
          <t>백만원</t>
        </is>
      </c>
      <c r="I233" s="17" t="inlineStr"/>
      <c r="J233" s="18" t="n">
        <v>4382</v>
      </c>
      <c r="K233" s="19" t="n">
        <v>4682</v>
      </c>
      <c r="L233" s="18" t="n">
        <v>4682</v>
      </c>
      <c r="M233" s="19" t="n">
        <v>0</v>
      </c>
      <c r="N233" s="18" t="n">
        <v>0</v>
      </c>
      <c r="O233" s="19" t="n">
        <v>0</v>
      </c>
      <c r="P233" s="18" t="n">
        <v>0</v>
      </c>
      <c r="Q233" s="19" t="n">
        <v>0</v>
      </c>
      <c r="R233" s="18" t="n">
        <v>0</v>
      </c>
      <c r="S233" s="20" t="n">
        <v>0</v>
      </c>
      <c r="T233" s="6" t="n">
        <v>5</v>
      </c>
      <c r="U233" s="5" t="inlineStr">
        <is>
          <t>ZTE향 5G용 통신장비(MBF) 공급계약 / 19.0 | ZTE향 5G용 통신장비(MBF) 공급계약 / 19.0 | 4G 기지국 장비(RRA, RTS) 공급 / 20.03</t>
        </is>
      </c>
      <c r="V233" s="21">
        <f>HYPERLINK("https://dart.fss.or.kr/dsaf001/main.do?rcpNo=20260814003461", "공시열람")</f>
        <v/>
      </c>
    </row>
    <row r="234">
      <c r="A234" s="5" t="inlineStr">
        <is>
          <t>황금에스티</t>
        </is>
      </c>
      <c r="B234" s="6" t="inlineStr">
        <is>
          <t>032560</t>
        </is>
      </c>
      <c r="C234" s="6" t="inlineStr">
        <is>
          <t>2026Q2</t>
        </is>
      </c>
      <c r="D234" s="6" t="inlineStr">
        <is>
          <t>20260814</t>
        </is>
      </c>
      <c r="E234" s="16" t="n">
        <v>156666</v>
      </c>
      <c r="F234" s="16" t="n">
        <v>56941</v>
      </c>
      <c r="G234" s="16" t="n">
        <v>99725</v>
      </c>
      <c r="H234" s="6" t="inlineStr">
        <is>
          <t>백만원</t>
        </is>
      </c>
      <c r="I234" s="17" t="n">
        <v>-19.6</v>
      </c>
      <c r="J234" s="18" t="n">
        <v>154706</v>
      </c>
      <c r="K234" s="19" t="n">
        <v>124289</v>
      </c>
      <c r="L234" s="18" t="n">
        <v>115315</v>
      </c>
      <c r="M234" s="19" t="n">
        <v>109703</v>
      </c>
      <c r="N234" s="18" t="n">
        <v>104455</v>
      </c>
      <c r="O234" s="19" t="n">
        <v>96840</v>
      </c>
      <c r="P234" s="18" t="n">
        <v>133630</v>
      </c>
      <c r="Q234" s="19" t="n">
        <v>121534</v>
      </c>
      <c r="R234" s="18" t="n">
        <v>124070</v>
      </c>
      <c r="S234" s="20" t="n">
        <v>99725</v>
      </c>
      <c r="T234" s="6" t="n">
        <v>1</v>
      </c>
      <c r="U234" s="5" t="inlineStr">
        <is>
          <t>자연재해위험개선지구(문막교) 정비사업 / 2021-10</t>
        </is>
      </c>
      <c r="V234" s="21">
        <f>HYPERLINK("https://dart.fss.or.kr/dsaf001/main.do?rcpNo=20260814001151", "공시열람")</f>
        <v/>
      </c>
    </row>
    <row r="235">
      <c r="A235" s="5" t="inlineStr">
        <is>
          <t>피델릭스</t>
        </is>
      </c>
      <c r="B235" s="6" t="inlineStr">
        <is>
          <t>032580</t>
        </is>
      </c>
      <c r="C235" s="6" t="inlineStr">
        <is>
          <t>2026Q2</t>
        </is>
      </c>
      <c r="D235" s="6" t="inlineStr">
        <is>
          <t>20260930</t>
        </is>
      </c>
      <c r="E235" s="16" t="n">
        <v>105428</v>
      </c>
      <c r="F235" s="16" t="n">
        <v>10825</v>
      </c>
      <c r="G235" s="16" t="n">
        <v>94603</v>
      </c>
      <c r="H235" s="6" t="inlineStr">
        <is>
          <t>백만원,천개</t>
        </is>
      </c>
      <c r="I235" s="17" t="n">
        <v>90.5</v>
      </c>
      <c r="J235" s="18" t="n">
        <v>10729</v>
      </c>
      <c r="K235" s="19" t="n">
        <v>14271</v>
      </c>
      <c r="L235" s="18" t="n">
        <v>13635</v>
      </c>
      <c r="M235" s="19" t="n">
        <v>12515</v>
      </c>
      <c r="N235" s="18" t="n">
        <v>12520</v>
      </c>
      <c r="O235" s="19" t="n">
        <v>14267</v>
      </c>
      <c r="P235" s="18" t="n">
        <v>19035</v>
      </c>
      <c r="Q235" s="19" t="n">
        <v>25974</v>
      </c>
      <c r="R235" s="18" t="n">
        <v>49666</v>
      </c>
      <c r="S235" s="20" t="n">
        <v>94603</v>
      </c>
      <c r="T235" s="6" t="n">
        <v>1</v>
      </c>
      <c r="U235" s="5" t="inlineStr">
        <is>
          <t>Memory 반도체 / 24.11.01 ~26.06.3</t>
        </is>
      </c>
      <c r="V235" s="21">
        <f>HYPERLINK("https://dart.fss.or.kr/dsaf001/main.do?rcpNo=20260930000121", "공시열람")</f>
        <v/>
      </c>
    </row>
    <row r="236">
      <c r="A236" s="5" t="inlineStr">
        <is>
          <t>LG유플러스</t>
        </is>
      </c>
      <c r="B236" s="6" t="inlineStr">
        <is>
          <t>032640</t>
        </is>
      </c>
      <c r="C236" s="6" t="inlineStr">
        <is>
          <t>2025Q4</t>
        </is>
      </c>
      <c r="D236" s="6" t="inlineStr">
        <is>
          <t>20260313</t>
        </is>
      </c>
      <c r="E236" s="16" t="n">
        <v>70152</v>
      </c>
      <c r="F236" s="16" t="n">
        <v>70152</v>
      </c>
      <c r="G236" s="16" t="n">
        <v>0</v>
      </c>
      <c r="H236" s="6" t="inlineStr">
        <is>
          <t>백만원</t>
        </is>
      </c>
      <c r="I236" s="17" t="n">
        <v>-100</v>
      </c>
      <c r="J236" s="18" t="inlineStr"/>
      <c r="K236" s="19" t="inlineStr"/>
      <c r="L236" s="18" t="inlineStr"/>
      <c r="M236" s="19" t="n">
        <v>70152</v>
      </c>
      <c r="N236" s="18" t="inlineStr"/>
      <c r="O236" s="19" t="inlineStr"/>
      <c r="P236" s="18" t="inlineStr"/>
      <c r="Q236" s="19" t="n">
        <v>0</v>
      </c>
      <c r="R236" s="18" t="inlineStr"/>
      <c r="S236" s="20" t="inlineStr"/>
      <c r="T236" s="6" t="n">
        <v>1</v>
      </c>
      <c r="U236" s="5" t="inlineStr">
        <is>
          <t>스마트단말기 / '24.12.23 / '25.06.21</t>
        </is>
      </c>
      <c r="V236" s="21">
        <f>HYPERLINK("https://dart.fss.or.kr/dsaf001/main.do?rcpNo=20260313000442", "공시열람")</f>
        <v/>
      </c>
    </row>
    <row r="237">
      <c r="A237" s="5" t="inlineStr">
        <is>
          <t>소프트센</t>
        </is>
      </c>
      <c r="B237" s="6" t="inlineStr">
        <is>
          <t>032680</t>
        </is>
      </c>
      <c r="C237" s="6" t="inlineStr">
        <is>
          <t>2026Q2</t>
        </is>
      </c>
      <c r="D237" s="6" t="inlineStr">
        <is>
          <t>20260814</t>
        </is>
      </c>
      <c r="E237" s="16" t="n">
        <v>5400</v>
      </c>
      <c r="F237" s="16" t="n">
        <v>3242</v>
      </c>
      <c r="G237" s="16" t="n">
        <v>2158</v>
      </c>
      <c r="H237" s="6" t="inlineStr">
        <is>
          <t>백만원,%</t>
        </is>
      </c>
      <c r="I237" s="17" t="n">
        <v>0</v>
      </c>
      <c r="J237" s="18" t="n">
        <v>6192</v>
      </c>
      <c r="K237" s="19" t="n">
        <v>5334</v>
      </c>
      <c r="L237" s="18" t="n">
        <v>4441</v>
      </c>
      <c r="M237" s="19" t="n">
        <v>4853</v>
      </c>
      <c r="N237" s="18" t="n">
        <v>4853</v>
      </c>
      <c r="O237" s="19" t="n">
        <v>2158</v>
      </c>
      <c r="P237" s="18" t="n">
        <v>2158</v>
      </c>
      <c r="Q237" s="19" t="n">
        <v>2158</v>
      </c>
      <c r="R237" s="18" t="n">
        <v>2158</v>
      </c>
      <c r="S237" s="20" t="n">
        <v>2158</v>
      </c>
      <c r="T237" s="6" t="n">
        <v>2</v>
      </c>
      <c r="U237" s="5" t="inlineStr">
        <is>
          <t>검사장비 / 2023.04.27 / 2025.11.30 | 검사장비 / 2023.02.27 / 2025.09.30</t>
        </is>
      </c>
      <c r="V237" s="21">
        <f>HYPERLINK("https://dart.fss.or.kr/dsaf001/main.do?rcpNo=20260814002158", "공시열람")</f>
        <v/>
      </c>
    </row>
    <row r="238">
      <c r="A238" s="5" t="inlineStr">
        <is>
          <t>우리기술</t>
        </is>
      </c>
      <c r="B238" s="6" t="inlineStr">
        <is>
          <t>032820</t>
        </is>
      </c>
      <c r="C238" s="6" t="inlineStr">
        <is>
          <t>2026Q2</t>
        </is>
      </c>
      <c r="D238" s="6" t="inlineStr">
        <is>
          <t>20260814</t>
        </is>
      </c>
      <c r="E238" s="16" t="n">
        <v>199524724</v>
      </c>
      <c r="F238" s="16" t="n">
        <v>95309158</v>
      </c>
      <c r="G238" s="16" t="n">
        <v>104215566</v>
      </c>
      <c r="H238" s="6" t="inlineStr">
        <is>
          <t>천원</t>
        </is>
      </c>
      <c r="I238" s="17" t="n">
        <v>3.8</v>
      </c>
      <c r="J238" s="18" t="n">
        <v>88590954</v>
      </c>
      <c r="K238" s="19" t="n">
        <v>87940220</v>
      </c>
      <c r="L238" s="18" t="n">
        <v>97934210</v>
      </c>
      <c r="M238" s="19" t="n">
        <v>113162848</v>
      </c>
      <c r="N238" s="18" t="n">
        <v>89707731</v>
      </c>
      <c r="O238" s="19" t="n">
        <v>104380051</v>
      </c>
      <c r="P238" s="18" t="n">
        <v>97374231</v>
      </c>
      <c r="Q238" s="19" t="n">
        <v>106878443</v>
      </c>
      <c r="R238" s="18" t="n">
        <v>100360660</v>
      </c>
      <c r="S238" s="20" t="n">
        <v>104215566</v>
      </c>
      <c r="T238" s="6" t="n">
        <v>45</v>
      </c>
      <c r="U238" s="5" t="inlineStr">
        <is>
          <t>신한울3,4호기 DCS / 23.04.17 / 27.1 | 비안전계통 DCS / 24.11.15 / 26.12.3 | 한울1발 전산기 DAS 개선 / 26.05.18 / 2</t>
        </is>
      </c>
      <c r="V238" s="21">
        <f>HYPERLINK("https://dart.fss.or.kr/dsaf001/main.do?rcpNo=20260814003825", "공시열람")</f>
        <v/>
      </c>
    </row>
    <row r="239">
      <c r="A239" s="5" t="inlineStr">
        <is>
          <t>비트컴퓨터</t>
        </is>
      </c>
      <c r="B239" s="6" t="inlineStr">
        <is>
          <t>032850</t>
        </is>
      </c>
      <c r="C239" s="6" t="inlineStr">
        <is>
          <t>2026Q2</t>
        </is>
      </c>
      <c r="D239" s="6" t="inlineStr">
        <is>
          <t>20260814</t>
        </is>
      </c>
      <c r="E239" s="16" t="n">
        <v>16205170</v>
      </c>
      <c r="F239" s="16" t="n">
        <v>2500212</v>
      </c>
      <c r="G239" s="16" t="n">
        <v>13704958</v>
      </c>
      <c r="H239" s="6" t="inlineStr">
        <is>
          <t>천원</t>
        </is>
      </c>
      <c r="I239" s="17" t="n">
        <v>-5</v>
      </c>
      <c r="J239" s="18" t="n">
        <v>3295129</v>
      </c>
      <c r="K239" s="19" t="n">
        <v>1756508</v>
      </c>
      <c r="L239" s="18" t="n">
        <v>3298752</v>
      </c>
      <c r="M239" s="19" t="n">
        <v>2830746</v>
      </c>
      <c r="N239" s="18" t="n">
        <v>1469491</v>
      </c>
      <c r="O239" s="19" t="n">
        <v>10032927</v>
      </c>
      <c r="P239" s="18" t="n">
        <v>9986461</v>
      </c>
      <c r="Q239" s="19" t="n">
        <v>8417944</v>
      </c>
      <c r="R239" s="18" t="n">
        <v>14429555</v>
      </c>
      <c r="S239" s="20" t="n">
        <v>13704958</v>
      </c>
      <c r="T239" s="6" t="n">
        <v>5</v>
      </c>
      <c r="U239" s="5" t="inlineStr">
        <is>
          <t>라오스 UHS병원 병원정보시스템 공급 / 2025.05 | 병원정보시스템 구축 사업 / 2026.03.02 / 2 | 종합의료정보시스템 구축 / 2026.06.12 / 20</t>
        </is>
      </c>
      <c r="V239" s="21">
        <f>HYPERLINK("https://dart.fss.or.kr/dsaf001/main.do?rcpNo=20260814000526", "공시열람")</f>
        <v/>
      </c>
    </row>
    <row r="240">
      <c r="A240" s="5" t="inlineStr">
        <is>
          <t>제룡전기</t>
        </is>
      </c>
      <c r="B240" s="6" t="inlineStr">
        <is>
          <t>033100</t>
        </is>
      </c>
      <c r="C240" s="6" t="inlineStr">
        <is>
          <t>2026Q2</t>
        </is>
      </c>
      <c r="D240" s="6" t="inlineStr">
        <is>
          <t>20260813</t>
        </is>
      </c>
      <c r="E240" s="16" t="n">
        <v>211903</v>
      </c>
      <c r="F240" s="16" t="n">
        <v>70323</v>
      </c>
      <c r="G240" s="16" t="n">
        <v>141580</v>
      </c>
      <c r="H240" s="6" t="inlineStr">
        <is>
          <t>백만원</t>
        </is>
      </c>
      <c r="I240" s="17" t="n">
        <v>-7.6</v>
      </c>
      <c r="J240" s="18" t="n">
        <v>305567</v>
      </c>
      <c r="K240" s="19" t="n">
        <v>292992</v>
      </c>
      <c r="L240" s="18" t="n">
        <v>232679</v>
      </c>
      <c r="M240" s="19" t="n">
        <v>255603</v>
      </c>
      <c r="N240" s="18" t="n">
        <v>219456</v>
      </c>
      <c r="O240" s="19" t="n">
        <v>167438</v>
      </c>
      <c r="P240" s="18" t="n">
        <v>143828</v>
      </c>
      <c r="Q240" s="19" t="n">
        <v>150076</v>
      </c>
      <c r="R240" s="18" t="n">
        <v>153251</v>
      </c>
      <c r="S240" s="20" t="n">
        <v>141580</v>
      </c>
      <c r="T240" s="6" t="n">
        <v>1</v>
      </c>
      <c r="U240" s="5" t="inlineStr">
        <is>
          <t>변압기 등 / 2026.06.30까지</t>
        </is>
      </c>
      <c r="V240" s="21">
        <f>HYPERLINK("https://dart.fss.or.kr/dsaf001/main.do?rcpNo=20260813001320", "공시열람")</f>
        <v/>
      </c>
    </row>
    <row r="241">
      <c r="A241" s="5" t="inlineStr">
        <is>
          <t>디지틀조선</t>
        </is>
      </c>
      <c r="B241" s="6" t="inlineStr">
        <is>
          <t>033130</t>
        </is>
      </c>
      <c r="C241" s="6" t="inlineStr">
        <is>
          <t>2026Q2</t>
        </is>
      </c>
      <c r="D241" s="6" t="inlineStr">
        <is>
          <t>20260818</t>
        </is>
      </c>
      <c r="E241" s="16" t="n">
        <v>3825</v>
      </c>
      <c r="F241" s="16" t="n">
        <v>1677</v>
      </c>
      <c r="G241" s="16" t="n">
        <v>2147</v>
      </c>
      <c r="H241" s="6" t="inlineStr">
        <is>
          <t>백만원</t>
        </is>
      </c>
      <c r="I241" s="17" t="n">
        <v>-30.9</v>
      </c>
      <c r="J241" s="18" t="n">
        <v>6613</v>
      </c>
      <c r="K241" s="19" t="n">
        <v>3862</v>
      </c>
      <c r="L241" s="18" t="n">
        <v>2589</v>
      </c>
      <c r="M241" s="19" t="n">
        <v>208</v>
      </c>
      <c r="N241" s="18" t="n">
        <v>4825</v>
      </c>
      <c r="O241" s="19" t="n">
        <v>2556</v>
      </c>
      <c r="P241" s="18" t="n">
        <v>1396</v>
      </c>
      <c r="Q241" s="19" t="n">
        <v>235</v>
      </c>
      <c r="R241" s="18" t="n">
        <v>3105</v>
      </c>
      <c r="S241" s="20" t="n">
        <v>2147</v>
      </c>
      <c r="T241" s="6" t="n">
        <v>4</v>
      </c>
      <c r="U241" s="5" t="inlineStr">
        <is>
          <t>조선방송 웹사이트 운영 및 제작시스템 운영 / 2026 | CTS 소프트웨어 개발/유지보수/운영관리 / 2026. | 콘텐츠관리 업무 위탁 / 2026.01.01 / 202</t>
        </is>
      </c>
      <c r="V241" s="21">
        <f>HYPERLINK("https://dart.fss.or.kr/dsaf001/main.do?rcpNo=20260818000082", "공시열람")</f>
        <v/>
      </c>
    </row>
    <row r="242">
      <c r="A242" s="5" t="inlineStr">
        <is>
          <t>유나이티드</t>
        </is>
      </c>
      <c r="B242" s="6" t="inlineStr">
        <is>
          <t>033270</t>
        </is>
      </c>
      <c r="C242" s="6" t="inlineStr">
        <is>
          <t>2026Q2</t>
        </is>
      </c>
      <c r="D242" s="6" t="inlineStr">
        <is>
          <t>20260814</t>
        </is>
      </c>
      <c r="E242" s="16" t="n">
        <v>11515346</v>
      </c>
      <c r="F242" s="16" t="n">
        <v>11090618</v>
      </c>
      <c r="G242" s="16" t="n">
        <v>25058840</v>
      </c>
      <c r="H242" s="6" t="inlineStr">
        <is>
          <t>USD</t>
        </is>
      </c>
      <c r="I242" s="17" t="n">
        <v>-2.8</v>
      </c>
      <c r="J242" s="18" t="n">
        <v>24372032</v>
      </c>
      <c r="K242" s="19" t="n">
        <v>25369761</v>
      </c>
      <c r="L242" s="18" t="n">
        <v>24766853</v>
      </c>
      <c r="M242" s="19" t="n">
        <v>23669427</v>
      </c>
      <c r="N242" s="18" t="n">
        <v>23805381</v>
      </c>
      <c r="O242" s="19" t="n">
        <v>23632720</v>
      </c>
      <c r="P242" s="18" t="n">
        <v>23781149</v>
      </c>
      <c r="Q242" s="19" t="n">
        <v>24634112</v>
      </c>
      <c r="R242" s="18" t="n">
        <v>25785425</v>
      </c>
      <c r="S242" s="20" t="n">
        <v>25058840</v>
      </c>
      <c r="T242" s="6" t="n">
        <v>1</v>
      </c>
      <c r="U242" s="5" t="inlineStr">
        <is>
          <t>유토랄주 외의약품 수출 / 2026.01~ 2026.0</t>
        </is>
      </c>
      <c r="V242" s="21">
        <f>HYPERLINK("https://dart.fss.or.kr/dsaf001/main.do?rcpNo=20260814004008", "공시열람")</f>
        <v/>
      </c>
    </row>
    <row r="243">
      <c r="A243" s="5" t="inlineStr">
        <is>
          <t>동성화인텍</t>
        </is>
      </c>
      <c r="B243" s="6" t="inlineStr">
        <is>
          <t>033500</t>
        </is>
      </c>
      <c r="C243" s="6" t="inlineStr">
        <is>
          <t>2026Q2</t>
        </is>
      </c>
      <c r="D243" s="6" t="inlineStr">
        <is>
          <t>20260814</t>
        </is>
      </c>
      <c r="E243" s="16" t="n">
        <v>2417695</v>
      </c>
      <c r="F243" s="16" t="n">
        <v>376610</v>
      </c>
      <c r="G243" s="16" t="n">
        <v>2041085</v>
      </c>
      <c r="H243" s="6" t="inlineStr">
        <is>
          <t>백만원</t>
        </is>
      </c>
      <c r="I243" s="17" t="n">
        <v>-1.7</v>
      </c>
      <c r="J243" s="18" t="n">
        <v>2239241</v>
      </c>
      <c r="K243" s="19" t="n">
        <v>2134423</v>
      </c>
      <c r="L243" s="18" t="n">
        <v>1961903</v>
      </c>
      <c r="M243" s="19" t="n">
        <v>2463453</v>
      </c>
      <c r="N243" s="18" t="n">
        <v>2348386</v>
      </c>
      <c r="O243" s="19" t="n">
        <v>2029077</v>
      </c>
      <c r="P243" s="18" t="n">
        <v>2219631</v>
      </c>
      <c r="Q243" s="19" t="n">
        <v>2137675</v>
      </c>
      <c r="R243" s="18" t="n">
        <v>2076400</v>
      </c>
      <c r="S243" s="20" t="n">
        <v>2041085</v>
      </c>
      <c r="T243" s="6" t="n">
        <v>1</v>
      </c>
      <c r="U243" s="5" t="inlineStr">
        <is>
          <t>초저온보냉재 / -</t>
        </is>
      </c>
      <c r="V243" s="21">
        <f>HYPERLINK("https://dart.fss.or.kr/dsaf001/main.do?rcpNo=20260814002437", "공시열람")</f>
        <v/>
      </c>
    </row>
    <row r="244">
      <c r="A244" s="5" t="inlineStr">
        <is>
          <t>파라텍</t>
        </is>
      </c>
      <c r="B244" s="6" t="inlineStr">
        <is>
          <t>033540</t>
        </is>
      </c>
      <c r="C244" s="6" t="inlineStr">
        <is>
          <t>2026Q2</t>
        </is>
      </c>
      <c r="D244" s="6" t="inlineStr">
        <is>
          <t>20260813</t>
        </is>
      </c>
      <c r="E244" s="16" t="n">
        <v>73619</v>
      </c>
      <c r="F244" s="16" t="n">
        <v>51630</v>
      </c>
      <c r="G244" s="16" t="n">
        <v>21989</v>
      </c>
      <c r="H244" s="6" t="inlineStr">
        <is>
          <t>백만원</t>
        </is>
      </c>
      <c r="I244" s="17" t="n">
        <v>288.1</v>
      </c>
      <c r="J244" s="18" t="n">
        <v>165242</v>
      </c>
      <c r="K244" s="19" t="n">
        <v>119764</v>
      </c>
      <c r="L244" s="18" t="n">
        <v>79354</v>
      </c>
      <c r="M244" s="19" t="n">
        <v>71277</v>
      </c>
      <c r="N244" s="18" t="n">
        <v>58949</v>
      </c>
      <c r="O244" s="19" t="n">
        <v>35771</v>
      </c>
      <c r="P244" s="18" t="n">
        <v>24966</v>
      </c>
      <c r="Q244" s="19" t="n">
        <v>12091</v>
      </c>
      <c r="R244" s="18" t="n">
        <v>5666</v>
      </c>
      <c r="S244" s="20" t="n">
        <v>21989</v>
      </c>
      <c r="T244" s="6" t="n">
        <v>4</v>
      </c>
      <c r="U244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4" s="21">
        <f>HYPERLINK("https://dart.fss.or.kr/dsaf001/main.do?rcpNo=20260813001770", "공시열람")</f>
        <v/>
      </c>
    </row>
    <row r="245">
      <c r="A245" s="5" t="inlineStr">
        <is>
          <t>두산에너빌리티</t>
        </is>
      </c>
      <c r="B245" s="6" t="inlineStr">
        <is>
          <t>034020</t>
        </is>
      </c>
      <c r="C245" s="6" t="inlineStr">
        <is>
          <t>2026Q2</t>
        </is>
      </c>
      <c r="D245" s="6" t="inlineStr">
        <is>
          <t>20260814</t>
        </is>
      </c>
      <c r="E245" s="16" t="n">
        <v>54844071</v>
      </c>
      <c r="F245" s="16" t="n">
        <v>39608881</v>
      </c>
      <c r="G245" s="16" t="n">
        <v>15235190</v>
      </c>
      <c r="H245" s="6" t="inlineStr">
        <is>
          <t>백만원,%</t>
        </is>
      </c>
      <c r="I245" s="17" t="n">
        <v>1.7</v>
      </c>
      <c r="J245" s="18" t="n">
        <v>9441016</v>
      </c>
      <c r="K245" s="19" t="n">
        <v>8642713</v>
      </c>
      <c r="L245" s="18" t="n">
        <v>7710701</v>
      </c>
      <c r="M245" s="19" t="n">
        <v>9039478</v>
      </c>
      <c r="N245" s="18" t="n">
        <v>8284349</v>
      </c>
      <c r="O245" s="19" t="n">
        <v>8387387</v>
      </c>
      <c r="P245" s="18" t="n">
        <v>8657464</v>
      </c>
      <c r="Q245" s="19" t="n">
        <v>14766997</v>
      </c>
      <c r="R245" s="18" t="n">
        <v>14978171</v>
      </c>
      <c r="S245" s="20" t="n">
        <v>15235190</v>
      </c>
      <c r="T245" s="6" t="n">
        <v>57</v>
      </c>
      <c r="U245" s="5" t="inlineStr">
        <is>
          <t>체코 Dukovany 5,6호기NSSS / 한국수력원자 | El-Dabaa NPP / 한국수력원자력(주) / 20 | 신한울 3,4호기 원자로설비 / 한국수력원자력(주) /</t>
        </is>
      </c>
      <c r="V245" s="21">
        <f>HYPERLINK("https://dart.fss.or.kr/dsaf001/main.do?rcpNo=20260814003782", "공시열람")</f>
        <v/>
      </c>
    </row>
    <row r="246">
      <c r="A246" s="5" t="inlineStr">
        <is>
          <t>NICE</t>
        </is>
      </c>
      <c r="B246" s="6" t="inlineStr">
        <is>
          <t>034310</t>
        </is>
      </c>
      <c r="C246" s="6" t="inlineStr">
        <is>
          <t>2026Q2</t>
        </is>
      </c>
      <c r="D246" s="6" t="inlineStr">
        <is>
          <t>20260814</t>
        </is>
      </c>
      <c r="E246" s="16" t="n">
        <v>48433</v>
      </c>
      <c r="F246" s="16" t="n">
        <v>24112</v>
      </c>
      <c r="G246" s="16" t="n">
        <v>24321</v>
      </c>
      <c r="H246" s="6" t="inlineStr">
        <is>
          <t>백만원</t>
        </is>
      </c>
      <c r="I246" s="17" t="n">
        <v>28.9</v>
      </c>
      <c r="J246" s="18" t="n">
        <v>11879</v>
      </c>
      <c r="K246" s="19" t="n">
        <v>19303</v>
      </c>
      <c r="L246" s="18" t="n">
        <v>17452</v>
      </c>
      <c r="M246" s="19" t="n">
        <v>16019</v>
      </c>
      <c r="N246" s="18" t="n">
        <v>19397</v>
      </c>
      <c r="O246" s="19" t="n">
        <v>18591</v>
      </c>
      <c r="P246" s="18" t="n">
        <v>28827</v>
      </c>
      <c r="Q246" s="19" t="n">
        <v>23066</v>
      </c>
      <c r="R246" s="18" t="n">
        <v>18868</v>
      </c>
      <c r="S246" s="20" t="n">
        <v>24321</v>
      </c>
      <c r="T246" s="6" t="n">
        <v>2</v>
      </c>
      <c r="U246" s="5" t="inlineStr">
        <is>
          <t>CRMS 모형개발 등 기업 컨설팅 / 2025년~202 | CSS 모형개발 등 솔루션 컨설팅 / 2024년~202</t>
        </is>
      </c>
      <c r="V246" s="21">
        <f>HYPERLINK("https://dart.fss.or.kr/dsaf001/main.do?rcpNo=20260814003772", "공시열람")</f>
        <v/>
      </c>
    </row>
    <row r="247">
      <c r="A247" s="5" t="inlineStr">
        <is>
          <t>SK</t>
        </is>
      </c>
      <c r="B247" s="6" t="inlineStr">
        <is>
          <t>034730</t>
        </is>
      </c>
      <c r="C247" s="6" t="inlineStr">
        <is>
          <t>2026Q2</t>
        </is>
      </c>
      <c r="D247" s="6" t="inlineStr">
        <is>
          <t>20260814</t>
        </is>
      </c>
      <c r="E247" s="16" t="n">
        <v>63270784</v>
      </c>
      <c r="F247" s="16" t="n">
        <v>37822036</v>
      </c>
      <c r="G247" s="16" t="n">
        <v>25448748</v>
      </c>
      <c r="H247" s="6" t="inlineStr">
        <is>
          <t>백만원</t>
        </is>
      </c>
      <c r="I247" s="17" t="n">
        <v>745104.9</v>
      </c>
      <c r="J247" s="18" t="n">
        <v>2317</v>
      </c>
      <c r="K247" s="19" t="n">
        <v>4890</v>
      </c>
      <c r="L247" s="18" t="n">
        <v>7069</v>
      </c>
      <c r="M247" s="19" t="n">
        <v>7853</v>
      </c>
      <c r="N247" s="18" t="n">
        <v>3232</v>
      </c>
      <c r="O247" s="19" t="n">
        <v>7648</v>
      </c>
      <c r="P247" s="18" t="n">
        <v>8853</v>
      </c>
      <c r="Q247" s="19" t="n">
        <v>6249</v>
      </c>
      <c r="R247" s="18" t="n">
        <v>3415</v>
      </c>
      <c r="S247" s="20" t="n">
        <v>25448748</v>
      </c>
      <c r="T247" s="6" t="n">
        <v>42</v>
      </c>
      <c r="U247" s="5" t="inlineStr">
        <is>
          <t xml:space="preserve">민간 / 기타 / - | 민간 / 에스케이하이닉스(주) / 용인 Cluster  | 민간 / 에스케이하이닉스(주) / 용인 Cluster </t>
        </is>
      </c>
      <c r="V247" s="21">
        <f>HYPERLINK("https://dart.fss.or.kr/dsaf001/main.do?rcpNo=20260814002185", "공시열람")</f>
        <v/>
      </c>
    </row>
    <row r="248">
      <c r="A248" s="5" t="inlineStr">
        <is>
          <t>해성산업</t>
        </is>
      </c>
      <c r="B248" s="6" t="inlineStr">
        <is>
          <t>034810</t>
        </is>
      </c>
      <c r="C248" s="6" t="inlineStr">
        <is>
          <t>2026Q2</t>
        </is>
      </c>
      <c r="D248" s="6" t="inlineStr">
        <is>
          <t>20260814</t>
        </is>
      </c>
      <c r="E248" s="16" t="n">
        <v>22530</v>
      </c>
      <c r="F248" s="16" t="n">
        <v>11265</v>
      </c>
      <c r="G248" s="16" t="n">
        <v>11265</v>
      </c>
      <c r="H248" s="6" t="inlineStr">
        <is>
          <t>백만원</t>
        </is>
      </c>
      <c r="I248" s="17" t="n">
        <v>-33.7</v>
      </c>
      <c r="J248" s="18" t="n">
        <v>15990</v>
      </c>
      <c r="K248" s="19" t="n">
        <v>10713</v>
      </c>
      <c r="L248" s="18" t="n">
        <v>5407</v>
      </c>
      <c r="M248" s="19" t="n">
        <v>0</v>
      </c>
      <c r="N248" s="18" t="n">
        <v>16170</v>
      </c>
      <c r="O248" s="19" t="n">
        <v>10757</v>
      </c>
      <c r="P248" s="18" t="n">
        <v>5426</v>
      </c>
      <c r="Q248" s="19" t="n">
        <v>0</v>
      </c>
      <c r="R248" s="18" t="n">
        <v>16998</v>
      </c>
      <c r="S248" s="20" t="n">
        <v>11265</v>
      </c>
      <c r="T248" s="6" t="n">
        <v>1</v>
      </c>
      <c r="U248" s="5" t="inlineStr">
        <is>
          <t>임대/관리계약 / 2026.01.01 / 2026.12</t>
        </is>
      </c>
      <c r="V248" s="21">
        <f>HYPERLINK("https://dart.fss.or.kr/dsaf001/main.do?rcpNo=20260814002037", "공시열람")</f>
        <v/>
      </c>
    </row>
    <row r="249">
      <c r="A249" s="5" t="inlineStr">
        <is>
          <t>백산</t>
        </is>
      </c>
      <c r="B249" s="6" t="inlineStr">
        <is>
          <t>035150</t>
        </is>
      </c>
      <c r="C249" s="6" t="inlineStr">
        <is>
          <t>2026Q2</t>
        </is>
      </c>
      <c r="D249" s="6" t="inlineStr">
        <is>
          <t>20260813</t>
        </is>
      </c>
      <c r="E249" s="16" t="n">
        <v>176587</v>
      </c>
      <c r="F249" s="16" t="n">
        <v>185220</v>
      </c>
      <c r="G249" s="16" t="n">
        <v>30403</v>
      </c>
      <c r="H249" s="6" t="inlineStr">
        <is>
          <t>천m,백만원</t>
        </is>
      </c>
      <c r="I249" s="17" t="n">
        <v>-2.9</v>
      </c>
      <c r="J249" s="18" t="n">
        <v>27965</v>
      </c>
      <c r="K249" s="19" t="n">
        <v>29352</v>
      </c>
      <c r="L249" s="18" t="n">
        <v>29990</v>
      </c>
      <c r="M249" s="19" t="n">
        <v>36000</v>
      </c>
      <c r="N249" s="18" t="n">
        <v>31117</v>
      </c>
      <c r="O249" s="19" t="n">
        <v>30942</v>
      </c>
      <c r="P249" s="18" t="n">
        <v>29278</v>
      </c>
      <c r="Q249" s="19" t="n">
        <v>37057</v>
      </c>
      <c r="R249" s="18" t="n">
        <v>31297</v>
      </c>
      <c r="S249" s="20" t="n">
        <v>30403</v>
      </c>
      <c r="T249" s="6" t="n">
        <v>4</v>
      </c>
      <c r="U249" s="5" t="inlineStr">
        <is>
          <t>합성피혁(제품) / BAIKSAN VIETNAM / 1 | 합성피혁(제품) / P.T.BAIKSANINDONESI | 합성피혁(제품) / (주)백산 / 1월~6월</t>
        </is>
      </c>
      <c r="V249" s="21">
        <f>HYPERLINK("https://dart.fss.or.kr/dsaf001/main.do?rcpNo=20260813001166", "공시열람")</f>
        <v/>
      </c>
    </row>
    <row r="250">
      <c r="A250" s="5" t="inlineStr">
        <is>
          <t>기산텔레콤</t>
        </is>
      </c>
      <c r="B250" s="6" t="inlineStr">
        <is>
          <t>035460</t>
        </is>
      </c>
      <c r="C250" s="6" t="inlineStr">
        <is>
          <t>2026Q2</t>
        </is>
      </c>
      <c r="D250" s="6" t="inlineStr">
        <is>
          <t>20260814</t>
        </is>
      </c>
      <c r="E250" s="16" t="n">
        <v>2894</v>
      </c>
      <c r="F250" s="16" t="n">
        <v>2894</v>
      </c>
      <c r="G250" s="16" t="n">
        <v>0</v>
      </c>
      <c r="H250" s="6" t="inlineStr">
        <is>
          <t>천원</t>
        </is>
      </c>
      <c r="I250" s="17" t="inlineStr"/>
      <c r="J250" s="18" t="n">
        <v>3096</v>
      </c>
      <c r="K250" s="19" t="n">
        <v>0</v>
      </c>
      <c r="L250" s="18" t="n">
        <v>5275</v>
      </c>
      <c r="M250" s="19" t="n">
        <v>48</v>
      </c>
      <c r="N250" s="18" t="n">
        <v>0</v>
      </c>
      <c r="O250" s="19" t="n">
        <v>0</v>
      </c>
      <c r="P250" s="18" t="n">
        <v>0</v>
      </c>
      <c r="Q250" s="19" t="n">
        <v>198</v>
      </c>
      <c r="R250" s="18" t="n">
        <v>0</v>
      </c>
      <c r="S250" s="20" t="n">
        <v>0</v>
      </c>
      <c r="T250" s="6" t="n">
        <v>3</v>
      </c>
      <c r="U250" s="5" t="inlineStr">
        <is>
          <t>중계기 / 2026.03.17 / 2026.06.08 | 중계기 / 2026.03.17 / 2026.06.08 | 중계기 / 2026.05.22 / 2026.08.12</t>
        </is>
      </c>
      <c r="V250" s="21">
        <f>HYPERLINK("https://dart.fss.or.kr/dsaf001/main.do?rcpNo=20260814000396", "공시열람")</f>
        <v/>
      </c>
    </row>
    <row r="251">
      <c r="A251" s="5" t="inlineStr">
        <is>
          <t>신세계I&amp;C</t>
        </is>
      </c>
      <c r="B251" s="6" t="inlineStr">
        <is>
          <t>035510</t>
        </is>
      </c>
      <c r="C251" s="6" t="inlineStr">
        <is>
          <t>2026Q2</t>
        </is>
      </c>
      <c r="D251" s="6" t="inlineStr">
        <is>
          <t>20260814</t>
        </is>
      </c>
      <c r="E251" s="16" t="n">
        <v>202587</v>
      </c>
      <c r="F251" s="16" t="n">
        <v>88934</v>
      </c>
      <c r="G251" s="16" t="n">
        <v>113653</v>
      </c>
      <c r="H251" s="6" t="inlineStr">
        <is>
          <t>백만원</t>
        </is>
      </c>
      <c r="I251" s="17" t="n">
        <v>79.5</v>
      </c>
      <c r="J251" s="18" t="n">
        <v>44186</v>
      </c>
      <c r="K251" s="19" t="n">
        <v>56578</v>
      </c>
      <c r="L251" s="18" t="n">
        <v>50174</v>
      </c>
      <c r="M251" s="19" t="n">
        <v>83111</v>
      </c>
      <c r="N251" s="18" t="n">
        <v>73246</v>
      </c>
      <c r="O251" s="19" t="n">
        <v>48189</v>
      </c>
      <c r="P251" s="18" t="n">
        <v>30911</v>
      </c>
      <c r="Q251" s="19" t="n">
        <v>55386</v>
      </c>
      <c r="R251" s="18" t="n">
        <v>63312</v>
      </c>
      <c r="S251" s="20" t="n">
        <v>113653</v>
      </c>
      <c r="T251" s="6" t="n">
        <v>6</v>
      </c>
      <c r="U251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1" s="21">
        <f>HYPERLINK("https://dart.fss.or.kr/dsaf001/main.do?rcpNo=20260814003752", "공시열람")</f>
        <v/>
      </c>
    </row>
    <row r="252">
      <c r="A252" s="5" t="inlineStr">
        <is>
          <t>서희건설</t>
        </is>
      </c>
      <c r="B252" s="6" t="inlineStr">
        <is>
          <t>035890</t>
        </is>
      </c>
      <c r="C252" s="6" t="inlineStr">
        <is>
          <t>2026Q2</t>
        </is>
      </c>
      <c r="D252" s="6" t="inlineStr">
        <is>
          <t>20260814</t>
        </is>
      </c>
      <c r="E252" s="16" t="n">
        <v>4200398</v>
      </c>
      <c r="F252" s="16" t="n">
        <v>2337746</v>
      </c>
      <c r="G252" s="16" t="n">
        <v>1862652</v>
      </c>
      <c r="H252" s="6" t="inlineStr">
        <is>
          <t>백만원</t>
        </is>
      </c>
      <c r="I252" s="17" t="n">
        <v>9.6</v>
      </c>
      <c r="J252" s="18" t="n">
        <v>2228131</v>
      </c>
      <c r="K252" s="19" t="n">
        <v>2109122</v>
      </c>
      <c r="L252" s="18" t="n">
        <v>1931660</v>
      </c>
      <c r="M252" s="19" t="n">
        <v>1922828</v>
      </c>
      <c r="N252" s="18" t="n">
        <v>1778861</v>
      </c>
      <c r="O252" s="19" t="n">
        <v>1650307</v>
      </c>
      <c r="P252" s="18" t="n">
        <v>1449527</v>
      </c>
      <c r="Q252" s="19" t="n">
        <v>1250255</v>
      </c>
      <c r="R252" s="18" t="n">
        <v>1699001</v>
      </c>
      <c r="S252" s="20" t="n">
        <v>1862652</v>
      </c>
      <c r="T252" s="6" t="n">
        <v>23</v>
      </c>
      <c r="U252" s="5" t="inlineStr">
        <is>
          <t>남양주오남1단지 / 26.06.01 / 30.01.31 | 용인양지2블럭지주택 / 26.05.01 / 30.08. | 화성비봉지역주택조합 / 26.01.15 / 29.09.</t>
        </is>
      </c>
      <c r="V252" s="21">
        <f>HYPERLINK("https://dart.fss.or.kr/dsaf001/main.do?rcpNo=20260814002224", "공시열람")</f>
        <v/>
      </c>
    </row>
    <row r="253">
      <c r="A253" s="5" t="inlineStr">
        <is>
          <t>에이치엠넥스</t>
        </is>
      </c>
      <c r="B253" s="6" t="inlineStr">
        <is>
          <t>036170</t>
        </is>
      </c>
      <c r="C253" s="6" t="inlineStr">
        <is>
          <t>2026Q2</t>
        </is>
      </c>
      <c r="D253" s="6" t="inlineStr">
        <is>
          <t>20260814</t>
        </is>
      </c>
      <c r="E253" s="16" t="n">
        <v>6709</v>
      </c>
      <c r="F253" s="16" t="n">
        <v>6499</v>
      </c>
      <c r="G253" s="16" t="n">
        <v>210</v>
      </c>
      <c r="H253" s="6" t="inlineStr">
        <is>
          <t>백만개,백만원</t>
        </is>
      </c>
      <c r="I253" s="17" t="n">
        <v>-11.4</v>
      </c>
      <c r="J253" s="18" t="n">
        <v>51</v>
      </c>
      <c r="K253" s="19" t="n">
        <v>135</v>
      </c>
      <c r="L253" s="18" t="n">
        <v>99</v>
      </c>
      <c r="M253" s="19" t="n">
        <v>246</v>
      </c>
      <c r="N253" s="18" t="n">
        <v>26</v>
      </c>
      <c r="O253" s="19" t="n">
        <v>126</v>
      </c>
      <c r="P253" s="18" t="n">
        <v>100</v>
      </c>
      <c r="Q253" s="19" t="n">
        <v>10</v>
      </c>
      <c r="R253" s="18" t="n">
        <v>237</v>
      </c>
      <c r="S253" s="20" t="n">
        <v>210</v>
      </c>
      <c r="T253" s="6" t="n">
        <v>1</v>
      </c>
      <c r="U253" s="5" t="inlineStr">
        <is>
          <t>LED 사업부 / LED 패키지 / 2026년 01월~</t>
        </is>
      </c>
      <c r="V253" s="21">
        <f>HYPERLINK("https://dart.fss.or.kr/dsaf001/main.do?rcpNo=20260814002472", "공시열람")</f>
        <v/>
      </c>
    </row>
    <row r="254">
      <c r="A254" s="5" t="inlineStr">
        <is>
          <t>금화피에스시</t>
        </is>
      </c>
      <c r="B254" s="6" t="inlineStr">
        <is>
          <t>036190</t>
        </is>
      </c>
      <c r="C254" s="6" t="inlineStr">
        <is>
          <t>2026Q2</t>
        </is>
      </c>
      <c r="D254" s="6" t="inlineStr">
        <is>
          <t>20260813</t>
        </is>
      </c>
      <c r="E254" s="16" t="n">
        <v>1226779</v>
      </c>
      <c r="F254" s="16" t="n">
        <v>976675</v>
      </c>
      <c r="G254" s="16" t="n">
        <v>250104</v>
      </c>
      <c r="H254" s="6" t="inlineStr">
        <is>
          <t>백만원</t>
        </is>
      </c>
      <c r="I254" s="17" t="n">
        <v>76.40000000000001</v>
      </c>
      <c r="J254" s="18" t="n">
        <v>28817</v>
      </c>
      <c r="K254" s="19" t="n">
        <v>7493</v>
      </c>
      <c r="L254" s="18" t="n">
        <v>62181</v>
      </c>
      <c r="M254" s="19" t="n">
        <v>89352</v>
      </c>
      <c r="N254" s="18" t="n">
        <v>105814</v>
      </c>
      <c r="O254" s="19" t="n">
        <v>95328</v>
      </c>
      <c r="P254" s="18" t="n">
        <v>255440</v>
      </c>
      <c r="Q254" s="19" t="n">
        <v>291472</v>
      </c>
      <c r="R254" s="18" t="n">
        <v>141770</v>
      </c>
      <c r="S254" s="20" t="n">
        <v>250104</v>
      </c>
      <c r="T254" s="6" t="n">
        <v>33</v>
      </c>
      <c r="U254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4" s="21">
        <f>HYPERLINK("https://dart.fss.or.kr/dsaf001/main.do?rcpNo=20260813001555", "공시열람")</f>
        <v/>
      </c>
    </row>
    <row r="255">
      <c r="A255" s="5" t="inlineStr">
        <is>
          <t>유니셈</t>
        </is>
      </c>
      <c r="B255" s="6" t="inlineStr">
        <is>
          <t>036200</t>
        </is>
      </c>
      <c r="C255" s="6" t="inlineStr">
        <is>
          <t>2026Q2</t>
        </is>
      </c>
      <c r="D255" s="6" t="inlineStr">
        <is>
          <t>20260814</t>
        </is>
      </c>
      <c r="E255" s="16" t="n">
        <v>218019649</v>
      </c>
      <c r="F255" s="16" t="n">
        <v>106846423</v>
      </c>
      <c r="G255" s="16" t="n">
        <v>111173226</v>
      </c>
      <c r="H255" s="6" t="inlineStr">
        <is>
          <t>천원,대</t>
        </is>
      </c>
      <c r="I255" s="17" t="n">
        <v>126</v>
      </c>
      <c r="J255" s="18" t="n">
        <v>29496749</v>
      </c>
      <c r="K255" s="19" t="n">
        <v>25267358</v>
      </c>
      <c r="L255" s="18" t="n">
        <v>22714697</v>
      </c>
      <c r="M255" s="19" t="n">
        <v>28369869</v>
      </c>
      <c r="N255" s="18" t="n">
        <v>52040427</v>
      </c>
      <c r="O255" s="19" t="n">
        <v>29467045</v>
      </c>
      <c r="P255" s="18" t="n">
        <v>34349946</v>
      </c>
      <c r="Q255" s="19" t="n">
        <v>34076964</v>
      </c>
      <c r="R255" s="18" t="n">
        <v>49197990</v>
      </c>
      <c r="S255" s="20" t="n">
        <v>111173226</v>
      </c>
      <c r="T255" s="6" t="n">
        <v>2</v>
      </c>
      <c r="U255" s="5" t="inlineStr">
        <is>
          <t>Chiller Unit | Gas Scrubber</t>
        </is>
      </c>
      <c r="V255" s="21">
        <f>HYPERLINK("https://dart.fss.or.kr/dsaf001/main.do?rcpNo=20260814000905", "공시열람")</f>
        <v/>
      </c>
    </row>
    <row r="256">
      <c r="A256" s="5" t="inlineStr">
        <is>
          <t>한국가스공사</t>
        </is>
      </c>
      <c r="B256" s="6" t="inlineStr">
        <is>
          <t>036460</t>
        </is>
      </c>
      <c r="C256" s="6" t="inlineStr">
        <is>
          <t>2026Q2</t>
        </is>
      </c>
      <c r="D256" s="6" t="inlineStr">
        <is>
          <t>20260819</t>
        </is>
      </c>
      <c r="E256" s="16" t="inlineStr"/>
      <c r="F256" s="16" t="inlineStr"/>
      <c r="G256" s="16" t="n">
        <v>897281</v>
      </c>
      <c r="H256" s="6" t="inlineStr">
        <is>
          <t>백만원,VAT별도</t>
        </is>
      </c>
      <c r="I256" s="17" t="n">
        <v>94.2</v>
      </c>
      <c r="J256" s="18" t="n">
        <v>834748</v>
      </c>
      <c r="K256" s="19" t="n">
        <v>838797</v>
      </c>
      <c r="L256" s="18" t="n">
        <v>757563</v>
      </c>
      <c r="M256" s="19" t="n">
        <v>698040</v>
      </c>
      <c r="N256" s="18" t="n">
        <v>693464</v>
      </c>
      <c r="O256" s="19" t="n">
        <v>602600</v>
      </c>
      <c r="P256" s="18" t="n">
        <v>576214</v>
      </c>
      <c r="Q256" s="19" t="n">
        <v>479190</v>
      </c>
      <c r="R256" s="18" t="n">
        <v>461921</v>
      </c>
      <c r="S256" s="20" t="n">
        <v>897281</v>
      </c>
      <c r="T256" s="6" t="n">
        <v>73</v>
      </c>
      <c r="U256" s="5" t="inlineStr">
        <is>
          <t>2026~2027년 경상정비 도급공사 / 2026-04 | 보령시 수소도시 조성 및 인프라 구축사업 / 2024- | 당진 수소도시 조성사업_청정수소 생산기지 / 2025-</t>
        </is>
      </c>
      <c r="V256" s="21">
        <f>HYPERLINK("https://dart.fss.or.kr/dsaf001/main.do?rcpNo=20260819000378", "공시열람")</f>
        <v/>
      </c>
    </row>
    <row r="257">
      <c r="A257" s="5" t="inlineStr">
        <is>
          <t>대성미생물</t>
        </is>
      </c>
      <c r="B257" s="6" t="inlineStr">
        <is>
          <t>036480</t>
        </is>
      </c>
      <c r="C257" s="6" t="inlineStr">
        <is>
          <t>2026Q2</t>
        </is>
      </c>
      <c r="D257" s="6" t="inlineStr">
        <is>
          <t>20260814</t>
        </is>
      </c>
      <c r="E257" s="16" t="n">
        <v>6764</v>
      </c>
      <c r="F257" s="16" t="n">
        <v>2138</v>
      </c>
      <c r="G257" s="16" t="n">
        <v>4626</v>
      </c>
      <c r="H257" s="6" t="inlineStr">
        <is>
          <t>백만원</t>
        </is>
      </c>
      <c r="I257" s="17" t="n">
        <v>-13.1</v>
      </c>
      <c r="J257" s="18" t="n">
        <v>2631</v>
      </c>
      <c r="K257" s="19" t="n">
        <v>3185</v>
      </c>
      <c r="L257" s="18" t="n">
        <v>3478</v>
      </c>
      <c r="M257" s="19" t="n">
        <v>3200</v>
      </c>
      <c r="N257" s="18" t="n">
        <v>2361</v>
      </c>
      <c r="O257" s="19" t="n">
        <v>2731</v>
      </c>
      <c r="P257" s="18" t="n">
        <v>2220</v>
      </c>
      <c r="Q257" s="19" t="n">
        <v>5646</v>
      </c>
      <c r="R257" s="18" t="n">
        <v>5321</v>
      </c>
      <c r="S257" s="20" t="n">
        <v>4626</v>
      </c>
      <c r="T257" s="6" t="n">
        <v>2</v>
      </c>
      <c r="U257" s="5" t="inlineStr">
        <is>
          <t>정부조달물자 공급계약(조달청) / 동물용의약품 구제역백 | 정부조달물자 공급계약(조달청) / 동물용의약품 백신 9</t>
        </is>
      </c>
      <c r="V257" s="21">
        <f>HYPERLINK("https://dart.fss.or.kr/dsaf001/main.do?rcpNo=20260814002920", "공시열람")</f>
        <v/>
      </c>
    </row>
    <row r="258">
      <c r="A258" s="5" t="inlineStr">
        <is>
          <t>SNT홀딩스</t>
        </is>
      </c>
      <c r="B258" s="6" t="inlineStr">
        <is>
          <t>036530</t>
        </is>
      </c>
      <c r="C258" s="6" t="inlineStr">
        <is>
          <t>2026Q2</t>
        </is>
      </c>
      <c r="D258" s="6" t="inlineStr">
        <is>
          <t>20260812</t>
        </is>
      </c>
      <c r="E258" s="16" t="inlineStr"/>
      <c r="F258" s="16" t="inlineStr"/>
      <c r="G258" s="16" t="n">
        <v>518004</v>
      </c>
      <c r="H258" s="6" t="inlineStr">
        <is>
          <t>백만원</t>
        </is>
      </c>
      <c r="I258" s="17" t="n">
        <v>42.8</v>
      </c>
      <c r="J258" s="18" t="n">
        <v>378662</v>
      </c>
      <c r="K258" s="19" t="n">
        <v>510882</v>
      </c>
      <c r="L258" s="18" t="n">
        <v>542414205</v>
      </c>
      <c r="M258" s="19" t="n">
        <v>714054</v>
      </c>
      <c r="N258" s="18" t="n">
        <v>869786</v>
      </c>
      <c r="O258" s="19" t="n">
        <v>713313296</v>
      </c>
      <c r="P258" s="18" t="n">
        <v>626102886</v>
      </c>
      <c r="Q258" s="19" t="n">
        <v>594101</v>
      </c>
      <c r="R258" s="18" t="n">
        <v>362797</v>
      </c>
      <c r="S258" s="20" t="n">
        <v>518004</v>
      </c>
      <c r="T258" s="6" t="n">
        <v>2</v>
      </c>
      <c r="U258" s="5" t="inlineStr">
        <is>
          <t>해외 | 국내</t>
        </is>
      </c>
      <c r="V258" s="21">
        <f>HYPERLINK("https://dart.fss.or.kr/dsaf001/main.do?rcpNo=20260812000295", "공시열람")</f>
        <v/>
      </c>
    </row>
    <row r="259">
      <c r="A259" s="5" t="inlineStr">
        <is>
          <t>KZ정밀</t>
        </is>
      </c>
      <c r="B259" s="6" t="inlineStr">
        <is>
          <t>036560</t>
        </is>
      </c>
      <c r="C259" s="6" t="inlineStr">
        <is>
          <t>2026Q2</t>
        </is>
      </c>
      <c r="D259" s="6" t="inlineStr">
        <is>
          <t>20260814</t>
        </is>
      </c>
      <c r="E259" s="16" t="n">
        <v>42301</v>
      </c>
      <c r="F259" s="16" t="n">
        <v>57239</v>
      </c>
      <c r="G259" s="16" t="n">
        <v>42580</v>
      </c>
      <c r="H259" s="6" t="inlineStr">
        <is>
          <t>백만원</t>
        </is>
      </c>
      <c r="I259" s="17" t="n">
        <v>-20.5</v>
      </c>
      <c r="J259" s="18" t="n">
        <v>52277</v>
      </c>
      <c r="K259" s="19" t="n">
        <v>54896</v>
      </c>
      <c r="L259" s="18" t="n">
        <v>62489</v>
      </c>
      <c r="M259" s="19" t="n">
        <v>58097</v>
      </c>
      <c r="N259" s="18" t="n">
        <v>67651</v>
      </c>
      <c r="O259" s="19" t="n">
        <v>63146</v>
      </c>
      <c r="P259" s="18" t="n">
        <v>63425</v>
      </c>
      <c r="Q259" s="19" t="n">
        <v>55581</v>
      </c>
      <c r="R259" s="18" t="n">
        <v>53570</v>
      </c>
      <c r="S259" s="20" t="n">
        <v>42580</v>
      </c>
      <c r="T259" s="6" t="n">
        <v>1</v>
      </c>
      <c r="U259" s="5" t="inlineStr">
        <is>
          <t>유체기계사업부 / '26.01-'26.06 / -</t>
        </is>
      </c>
      <c r="V259" s="21">
        <f>HYPERLINK("https://dart.fss.or.kr/dsaf001/main.do?rcpNo=20260814001897", "공시열람")</f>
        <v/>
      </c>
    </row>
    <row r="260">
      <c r="A260" s="5" t="inlineStr">
        <is>
          <t>코맥스</t>
        </is>
      </c>
      <c r="B260" s="6" t="inlineStr">
        <is>
          <t>036690</t>
        </is>
      </c>
      <c r="C260" s="6" t="inlineStr">
        <is>
          <t>2026Q2</t>
        </is>
      </c>
      <c r="D260" s="6" t="inlineStr">
        <is>
          <t>20260814</t>
        </is>
      </c>
      <c r="E260" s="16" t="n">
        <v>79679</v>
      </c>
      <c r="F260" s="16" t="n">
        <v>4199</v>
      </c>
      <c r="G260" s="16" t="n">
        <v>77047</v>
      </c>
      <c r="H260" s="6" t="inlineStr">
        <is>
          <t>백만원</t>
        </is>
      </c>
      <c r="I260" s="17" t="n">
        <v>3.6</v>
      </c>
      <c r="J260" s="18" t="n">
        <v>280363</v>
      </c>
      <c r="K260" s="19" t="n">
        <v>268115</v>
      </c>
      <c r="L260" s="18" t="n">
        <v>193374</v>
      </c>
      <c r="M260" s="19" t="n">
        <v>140935</v>
      </c>
      <c r="N260" s="18" t="n">
        <v>127878</v>
      </c>
      <c r="O260" s="19" t="n">
        <v>92314</v>
      </c>
      <c r="P260" s="18" t="n">
        <v>124343</v>
      </c>
      <c r="Q260" s="19" t="n">
        <v>75480</v>
      </c>
      <c r="R260" s="18" t="n">
        <v>74367</v>
      </c>
      <c r="S260" s="20" t="n">
        <v>77047</v>
      </c>
      <c r="T260" s="6" t="n">
        <v>1</v>
      </c>
      <c r="U260" s="5" t="inlineStr">
        <is>
          <t>스마트홈네트워크 / 2026년이전 / 2026년이후</t>
        </is>
      </c>
      <c r="V260" s="21">
        <f>HYPERLINK("https://dart.fss.or.kr/dsaf001/main.do?rcpNo=20260814004293", "공시열람")</f>
        <v/>
      </c>
    </row>
    <row r="261">
      <c r="A261" s="5" t="inlineStr">
        <is>
          <t>심텍홀딩스</t>
        </is>
      </c>
      <c r="B261" s="6" t="inlineStr">
        <is>
          <t>036710</t>
        </is>
      </c>
      <c r="C261" s="6" t="inlineStr">
        <is>
          <t>2026Q2</t>
        </is>
      </c>
      <c r="D261" s="6" t="inlineStr">
        <is>
          <t>20260814</t>
        </is>
      </c>
      <c r="E261" s="16" t="n">
        <v>998848</v>
      </c>
      <c r="F261" s="16" t="n">
        <v>606493</v>
      </c>
      <c r="G261" s="16" t="n">
        <v>392355</v>
      </c>
      <c r="H261" s="6" t="inlineStr">
        <is>
          <t>㎡,천USD</t>
        </is>
      </c>
      <c r="I261" s="17" t="n">
        <v>18.7</v>
      </c>
      <c r="J261" s="18" t="n">
        <v>273020</v>
      </c>
      <c r="K261" s="19" t="n">
        <v>140227</v>
      </c>
      <c r="L261" s="18" t="n">
        <v>127347</v>
      </c>
      <c r="M261" s="19" t="n">
        <v>136721</v>
      </c>
      <c r="N261" s="18" t="n">
        <v>118259</v>
      </c>
      <c r="O261" s="19" t="n">
        <v>191263</v>
      </c>
      <c r="P261" s="18" t="n">
        <v>261706</v>
      </c>
      <c r="Q261" s="19" t="n">
        <v>294564</v>
      </c>
      <c r="R261" s="18" t="n">
        <v>330609</v>
      </c>
      <c r="S261" s="20" t="n">
        <v>392355</v>
      </c>
      <c r="T261" s="6" t="n">
        <v>1</v>
      </c>
      <c r="U261" s="5" t="inlineStr">
        <is>
          <t>인쇄회로기판 / 2026.01. ~ 2026.06. /</t>
        </is>
      </c>
      <c r="V261" s="21">
        <f>HYPERLINK("https://dart.fss.or.kr/dsaf001/main.do?rcpNo=20260814003489", "공시열람")</f>
        <v/>
      </c>
    </row>
    <row r="262">
      <c r="A262" s="5" t="inlineStr">
        <is>
          <t>주성엔지니어링</t>
        </is>
      </c>
      <c r="B262" s="6" t="inlineStr">
        <is>
          <t>036930</t>
        </is>
      </c>
      <c r="C262" s="6" t="inlineStr">
        <is>
          <t>2026Q2</t>
        </is>
      </c>
      <c r="D262" s="6" t="inlineStr">
        <is>
          <t>20260814</t>
        </is>
      </c>
      <c r="E262" s="16" t="n">
        <v>321168</v>
      </c>
      <c r="F262" s="16" t="n">
        <v>87533</v>
      </c>
      <c r="G262" s="16" t="n">
        <v>233635</v>
      </c>
      <c r="H262" s="6" t="inlineStr">
        <is>
          <t>백만원</t>
        </is>
      </c>
      <c r="I262" s="17" t="n">
        <v>212.9</v>
      </c>
      <c r="J262" s="18" t="n">
        <v>252007</v>
      </c>
      <c r="K262" s="19" t="n">
        <v>219644</v>
      </c>
      <c r="L262" s="18" t="n">
        <v>216598</v>
      </c>
      <c r="M262" s="19" t="n">
        <v>231119</v>
      </c>
      <c r="N262" s="18" t="n">
        <v>149604</v>
      </c>
      <c r="O262" s="19" t="n">
        <v>117903</v>
      </c>
      <c r="P262" s="18" t="n">
        <v>110427</v>
      </c>
      <c r="Q262" s="19" t="n">
        <v>97784</v>
      </c>
      <c r="R262" s="18" t="n">
        <v>74658</v>
      </c>
      <c r="S262" s="20" t="n">
        <v>233635</v>
      </c>
      <c r="T262" s="6" t="n">
        <v>2</v>
      </c>
      <c r="U262" s="5" t="inlineStr">
        <is>
          <t>반도체 제조장비 / - | 디스플레이 제조장비 / -</t>
        </is>
      </c>
      <c r="V262" s="21">
        <f>HYPERLINK("https://dart.fss.or.kr/dsaf001/main.do?rcpNo=20260814002613", "공시열람")</f>
        <v/>
      </c>
    </row>
    <row r="263">
      <c r="A263" s="5" t="inlineStr">
        <is>
          <t>성도이엔지</t>
        </is>
      </c>
      <c r="B263" s="6" t="inlineStr">
        <is>
          <t>037350</t>
        </is>
      </c>
      <c r="C263" s="6" t="inlineStr">
        <is>
          <t>2026Q2</t>
        </is>
      </c>
      <c r="D263" s="6" t="inlineStr">
        <is>
          <t>20260814</t>
        </is>
      </c>
      <c r="E263" s="16" t="n">
        <v>1514880</v>
      </c>
      <c r="F263" s="16" t="n">
        <v>1029195</v>
      </c>
      <c r="G263" s="16" t="n">
        <v>485685</v>
      </c>
      <c r="H263" s="6" t="inlineStr">
        <is>
          <t>백만원</t>
        </is>
      </c>
      <c r="I263" s="17" t="n">
        <v>-15</v>
      </c>
      <c r="J263" s="18" t="n">
        <v>912179</v>
      </c>
      <c r="K263" s="19" t="n">
        <v>748159</v>
      </c>
      <c r="L263" s="18" t="n">
        <v>708012</v>
      </c>
      <c r="M263" s="19" t="n">
        <v>547650</v>
      </c>
      <c r="N263" s="18" t="n">
        <v>436850</v>
      </c>
      <c r="O263" s="19" t="n">
        <v>475759</v>
      </c>
      <c r="P263" s="18" t="n">
        <v>517025</v>
      </c>
      <c r="Q263" s="19" t="n">
        <v>533173</v>
      </c>
      <c r="R263" s="18" t="n">
        <v>571515</v>
      </c>
      <c r="S263" s="20" t="n">
        <v>485685</v>
      </c>
      <c r="T263" s="6" t="n">
        <v>5</v>
      </c>
      <c r="U263" s="5" t="inlineStr">
        <is>
          <t>종합건설 사업부문 / - | 하이테크 사업부문 / - | 해외도급 사업부문 / -</t>
        </is>
      </c>
      <c r="V263" s="21">
        <f>HYPERLINK("https://dart.fss.or.kr/dsaf001/main.do?rcpNo=20260814002171", "공시열람")</f>
        <v/>
      </c>
    </row>
    <row r="264">
      <c r="A264" s="5" t="inlineStr">
        <is>
          <t>EG</t>
        </is>
      </c>
      <c r="B264" s="6" t="inlineStr">
        <is>
          <t>037370</t>
        </is>
      </c>
      <c r="C264" s="6" t="inlineStr">
        <is>
          <t>2026Q2</t>
        </is>
      </c>
      <c r="D264" s="6" t="inlineStr">
        <is>
          <t>20260814</t>
        </is>
      </c>
      <c r="E264" s="16" t="n">
        <v>14941981</v>
      </c>
      <c r="F264" s="16" t="n">
        <v>12080739</v>
      </c>
      <c r="G264" s="16" t="n">
        <v>2861242</v>
      </c>
      <c r="H264" s="6" t="inlineStr">
        <is>
          <t>톤,천원</t>
        </is>
      </c>
      <c r="I264" s="17" t="n">
        <v>39.1</v>
      </c>
      <c r="J264" s="18" t="n">
        <v>9725738</v>
      </c>
      <c r="K264" s="19" t="n">
        <v>8228513</v>
      </c>
      <c r="L264" s="18" t="n">
        <v>5788663</v>
      </c>
      <c r="M264" s="19" t="n">
        <v>2935368</v>
      </c>
      <c r="N264" s="18" t="n">
        <v>2426092</v>
      </c>
      <c r="O264" s="19" t="n">
        <v>1717123</v>
      </c>
      <c r="P264" s="18" t="n">
        <v>1785384</v>
      </c>
      <c r="Q264" s="19" t="n">
        <v>1761138</v>
      </c>
      <c r="R264" s="18" t="n">
        <v>2057025</v>
      </c>
      <c r="S264" s="20" t="n">
        <v>2861242</v>
      </c>
      <c r="T264" s="6" t="n">
        <v>2</v>
      </c>
      <c r="U264" s="5" t="inlineStr">
        <is>
          <t>페라이트 / 연간 | 기타 / 연간</t>
        </is>
      </c>
      <c r="V264" s="21">
        <f>HYPERLINK("https://dart.fss.or.kr/dsaf001/main.do?rcpNo=20260814000977", "공시열람")</f>
        <v/>
      </c>
    </row>
    <row r="265">
      <c r="A265" s="5" t="inlineStr">
        <is>
          <t>희림</t>
        </is>
      </c>
      <c r="B265" s="6" t="inlineStr">
        <is>
          <t>037440</t>
        </is>
      </c>
      <c r="C265" s="6" t="inlineStr">
        <is>
          <t>2026Q2</t>
        </is>
      </c>
      <c r="D265" s="6" t="inlineStr">
        <is>
          <t>20260814</t>
        </is>
      </c>
      <c r="E265" s="16" t="n">
        <v>1114339416</v>
      </c>
      <c r="F265" s="16" t="n">
        <v>412894032</v>
      </c>
      <c r="G265" s="16" t="n">
        <v>701445386</v>
      </c>
      <c r="H265" s="6" t="inlineStr">
        <is>
          <t>천원</t>
        </is>
      </c>
      <c r="I265" s="17" t="n">
        <v>3.4</v>
      </c>
      <c r="J265" s="18" t="n">
        <v>608916649</v>
      </c>
      <c r="K265" s="19" t="n">
        <v>649354712</v>
      </c>
      <c r="L265" s="18" t="n">
        <v>678889053</v>
      </c>
      <c r="M265" s="19" t="n">
        <v>675521049</v>
      </c>
      <c r="N265" s="18" t="n">
        <v>663262332</v>
      </c>
      <c r="O265" s="19" t="n">
        <v>654124363</v>
      </c>
      <c r="P265" s="18" t="n">
        <v>634079510</v>
      </c>
      <c r="Q265" s="19" t="n">
        <v>647546508</v>
      </c>
      <c r="R265" s="18" t="n">
        <v>678080630</v>
      </c>
      <c r="S265" s="20" t="n">
        <v>701445386</v>
      </c>
      <c r="T265" s="6" t="n">
        <v>200</v>
      </c>
      <c r="U265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5" s="21">
        <f>HYPERLINK("https://dart.fss.or.kr/dsaf001/main.do?rcpNo=20260814002328", "공시열람")</f>
        <v/>
      </c>
    </row>
    <row r="266">
      <c r="A266" s="5" t="inlineStr">
        <is>
          <t>삼지전자</t>
        </is>
      </c>
      <c r="B266" s="6" t="inlineStr">
        <is>
          <t>037460</t>
        </is>
      </c>
      <c r="C266" s="6" t="inlineStr">
        <is>
          <t>2026Q2</t>
        </is>
      </c>
      <c r="D266" s="6" t="inlineStr">
        <is>
          <t>20260814</t>
        </is>
      </c>
      <c r="E266" s="16" t="n">
        <v>809252</v>
      </c>
      <c r="F266" s="16" t="n">
        <v>409094</v>
      </c>
      <c r="G266" s="16" t="n">
        <v>400158</v>
      </c>
      <c r="H266" s="6" t="inlineStr">
        <is>
          <t>백만원</t>
        </is>
      </c>
      <c r="I266" s="17" t="n">
        <v>11.1</v>
      </c>
      <c r="J266" s="18" t="n">
        <v>402515</v>
      </c>
      <c r="K266" s="19" t="n">
        <v>360478</v>
      </c>
      <c r="L266" s="18" t="n">
        <v>32100</v>
      </c>
      <c r="M266" s="19" t="n">
        <v>76213815</v>
      </c>
      <c r="N266" s="18" t="n">
        <v>402077</v>
      </c>
      <c r="O266" s="19" t="n">
        <v>336865</v>
      </c>
      <c r="P266" s="18" t="n">
        <v>315889</v>
      </c>
      <c r="Q266" s="19" t="n">
        <v>265996</v>
      </c>
      <c r="R266" s="18" t="n">
        <v>360184</v>
      </c>
      <c r="S266" s="20" t="n">
        <v>400158</v>
      </c>
      <c r="T266" s="6" t="n">
        <v>38</v>
      </c>
      <c r="U266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6" s="21">
        <f>HYPERLINK("https://dart.fss.or.kr/dsaf001/main.do?rcpNo=20260814003131", "공시열람")</f>
        <v/>
      </c>
    </row>
    <row r="267">
      <c r="A267" s="5" t="inlineStr">
        <is>
          <t>LG헬로비전</t>
        </is>
      </c>
      <c r="B267" s="6" t="inlineStr">
        <is>
          <t>037560</t>
        </is>
      </c>
      <c r="C267" s="6" t="inlineStr">
        <is>
          <t>2025Q4</t>
        </is>
      </c>
      <c r="D267" s="6" t="inlineStr">
        <is>
          <t>20260316</t>
        </is>
      </c>
      <c r="E267" s="16" t="n">
        <v>70152</v>
      </c>
      <c r="F267" s="16" t="n">
        <v>70152</v>
      </c>
      <c r="G267" s="16" t="n">
        <v>0</v>
      </c>
      <c r="H267" s="6" t="inlineStr">
        <is>
          <t>백만원</t>
        </is>
      </c>
      <c r="I267" s="17" t="inlineStr"/>
      <c r="J267" s="18" t="inlineStr"/>
      <c r="K267" s="19" t="inlineStr"/>
      <c r="L267" s="18" t="inlineStr"/>
      <c r="M267" s="19" t="n">
        <v>70152</v>
      </c>
      <c r="N267" s="18" t="n">
        <v>70152</v>
      </c>
      <c r="O267" s="19" t="n">
        <v>0</v>
      </c>
      <c r="P267" s="18" t="n">
        <v>0</v>
      </c>
      <c r="Q267" s="19" t="n">
        <v>0</v>
      </c>
      <c r="R267" s="18" t="inlineStr"/>
      <c r="S267" s="20" t="inlineStr"/>
      <c r="T267" s="6" t="n">
        <v>1</v>
      </c>
      <c r="U267" s="5" t="inlineStr">
        <is>
          <t>스마트단말기 / '24.12.23 / '25.06.21</t>
        </is>
      </c>
      <c r="V267" s="21">
        <f>HYPERLINK("https://dart.fss.or.kr/dsaf001/main.do?rcpNo=20260316000756", "공시열람")</f>
        <v/>
      </c>
    </row>
    <row r="268">
      <c r="A268" s="5" t="inlineStr">
        <is>
          <t>제일테크노스</t>
        </is>
      </c>
      <c r="B268" s="6" t="inlineStr">
        <is>
          <t>038010</t>
        </is>
      </c>
      <c r="C268" s="6" t="inlineStr">
        <is>
          <t>2026Q2</t>
        </is>
      </c>
      <c r="D268" s="6" t="inlineStr">
        <is>
          <t>20260814</t>
        </is>
      </c>
      <c r="E268" s="16" t="n">
        <v>159357</v>
      </c>
      <c r="F268" s="16" t="n">
        <v>79488</v>
      </c>
      <c r="G268" s="16" t="n">
        <v>79869</v>
      </c>
      <c r="H268" s="6" t="inlineStr">
        <is>
          <t>백만원</t>
        </is>
      </c>
      <c r="I268" s="17" t="n">
        <v>14.6</v>
      </c>
      <c r="J268" s="18" t="n">
        <v>104740</v>
      </c>
      <c r="K268" s="19" t="n">
        <v>96778</v>
      </c>
      <c r="L268" s="18" t="n">
        <v>100175</v>
      </c>
      <c r="M268" s="19" t="n">
        <v>64043</v>
      </c>
      <c r="N268" s="18" t="n">
        <v>55201</v>
      </c>
      <c r="O268" s="19" t="n">
        <v>55980</v>
      </c>
      <c r="P268" s="18" t="n">
        <v>57884</v>
      </c>
      <c r="Q268" s="19" t="n">
        <v>50765</v>
      </c>
      <c r="R268" s="18" t="n">
        <v>69720</v>
      </c>
      <c r="S268" s="20" t="n">
        <v>79869</v>
      </c>
      <c r="T268" s="6" t="n">
        <v>25</v>
      </c>
      <c r="U268" s="5" t="inlineStr">
        <is>
          <t>DECK PLATE / 삼성물산 | DECK PLATE / 대우건설 | DECK PLATE / 현대건설</t>
        </is>
      </c>
      <c r="V268" s="21">
        <f>HYPERLINK("https://dart.fss.or.kr/dsaf001/main.do?rcpNo=20260814000746", "공시열람")</f>
        <v/>
      </c>
    </row>
    <row r="269">
      <c r="A269" s="5" t="inlineStr">
        <is>
          <t>마크로젠</t>
        </is>
      </c>
      <c r="B269" s="6" t="inlineStr">
        <is>
          <t>038290</t>
        </is>
      </c>
      <c r="C269" s="6" t="inlineStr">
        <is>
          <t>2026Q2</t>
        </is>
      </c>
      <c r="D269" s="6" t="inlineStr">
        <is>
          <t>20260814</t>
        </is>
      </c>
      <c r="E269" s="16" t="n">
        <v>25826315</v>
      </c>
      <c r="F269" s="16" t="n">
        <v>10842796</v>
      </c>
      <c r="G269" s="16" t="n">
        <v>14983519</v>
      </c>
      <c r="H269" s="6" t="inlineStr">
        <is>
          <t>천원</t>
        </is>
      </c>
      <c r="I269" s="17" t="n">
        <v>-19.7</v>
      </c>
      <c r="J269" s="18" t="inlineStr"/>
      <c r="K269" s="19" t="inlineStr"/>
      <c r="L269" s="18" t="inlineStr"/>
      <c r="M269" s="19" t="n">
        <v>20846322</v>
      </c>
      <c r="N269" s="18" t="n">
        <v>20643596</v>
      </c>
      <c r="O269" s="19" t="n">
        <v>19421510</v>
      </c>
      <c r="P269" s="18" t="n">
        <v>18928045</v>
      </c>
      <c r="Q269" s="19" t="n">
        <v>19604313</v>
      </c>
      <c r="R269" s="18" t="n">
        <v>18663869</v>
      </c>
      <c r="S269" s="20" t="n">
        <v>14983519</v>
      </c>
      <c r="T269" s="6" t="n">
        <v>3</v>
      </c>
      <c r="U269" s="5" t="inlineStr">
        <is>
          <t>국가 통합 바이오 빅데이터 구축 사업을 위한유전체와 전 | 오믹스체 데이터 연구 / 2025.10.01 / 202 | 유전자 분석서비스(cfDNA WGS) / 2024.11</t>
        </is>
      </c>
      <c r="V269" s="21">
        <f>HYPERLINK("https://dart.fss.or.kr/dsaf001/main.do?rcpNo=20260814003702", "공시열람")</f>
        <v/>
      </c>
    </row>
    <row r="270">
      <c r="A270" s="5" t="inlineStr">
        <is>
          <t>상상인</t>
        </is>
      </c>
      <c r="B270" s="6" t="inlineStr">
        <is>
          <t>038540</t>
        </is>
      </c>
      <c r="C270" s="6" t="inlineStr">
        <is>
          <t>2026Q2</t>
        </is>
      </c>
      <c r="D270" s="6" t="inlineStr">
        <is>
          <t>20260814</t>
        </is>
      </c>
      <c r="E270" s="16" t="n">
        <v>34038</v>
      </c>
      <c r="F270" s="16" t="n">
        <v>6374</v>
      </c>
      <c r="G270" s="16" t="n">
        <v>27664</v>
      </c>
      <c r="H270" s="6" t="inlineStr">
        <is>
          <t>백만원</t>
        </is>
      </c>
      <c r="I270" s="17" t="n">
        <v>87.2</v>
      </c>
      <c r="J270" s="18" t="n">
        <v>1303</v>
      </c>
      <c r="K270" s="19" t="n">
        <v>4780294</v>
      </c>
      <c r="L270" s="18" t="n">
        <v>38584995</v>
      </c>
      <c r="M270" s="19" t="n">
        <v>13151</v>
      </c>
      <c r="N270" s="18" t="n">
        <v>13697</v>
      </c>
      <c r="O270" s="19" t="n">
        <v>13603</v>
      </c>
      <c r="P270" s="18" t="n">
        <v>2171</v>
      </c>
      <c r="Q270" s="19" t="n">
        <v>31715</v>
      </c>
      <c r="R270" s="18" t="n">
        <v>14781</v>
      </c>
      <c r="S270" s="20" t="n">
        <v>27664</v>
      </c>
      <c r="T270" s="6" t="n">
        <v>1</v>
      </c>
      <c r="U270" s="5" t="inlineStr">
        <is>
          <t>앙골라 치안강화 2차사업 / 2024.09.30 / 2</t>
        </is>
      </c>
      <c r="V270" s="21">
        <f>HYPERLINK("https://dart.fss.or.kr/dsaf001/main.do?rcpNo=20260814003913", "공시열람")</f>
        <v/>
      </c>
    </row>
    <row r="271">
      <c r="A271" s="5" t="inlineStr">
        <is>
          <t>에스넷</t>
        </is>
      </c>
      <c r="B271" s="6" t="inlineStr">
        <is>
          <t>038680</t>
        </is>
      </c>
      <c r="C271" s="6" t="inlineStr">
        <is>
          <t>2026Q2</t>
        </is>
      </c>
      <c r="D271" s="6" t="inlineStr">
        <is>
          <t>20260813</t>
        </is>
      </c>
      <c r="E271" s="16" t="n">
        <v>568306</v>
      </c>
      <c r="F271" s="16" t="n">
        <v>166785</v>
      </c>
      <c r="G271" s="16" t="n">
        <v>401521</v>
      </c>
      <c r="H271" s="6" t="inlineStr">
        <is>
          <t>백만원</t>
        </is>
      </c>
      <c r="I271" s="17" t="n">
        <v>30.9</v>
      </c>
      <c r="J271" s="18" t="n">
        <v>2426</v>
      </c>
      <c r="K271" s="19" t="n">
        <v>2457</v>
      </c>
      <c r="L271" s="18" t="n">
        <v>236401</v>
      </c>
      <c r="M271" s="19" t="n">
        <v>148618</v>
      </c>
      <c r="N271" s="18" t="n">
        <v>330577</v>
      </c>
      <c r="O271" s="19" t="n">
        <v>324840</v>
      </c>
      <c r="P271" s="18" t="n">
        <v>294673</v>
      </c>
      <c r="Q271" s="19" t="n">
        <v>147599</v>
      </c>
      <c r="R271" s="18" t="n">
        <v>306732</v>
      </c>
      <c r="S271" s="20" t="n">
        <v>401521</v>
      </c>
      <c r="T271" s="6" t="n">
        <v>11</v>
      </c>
      <c r="U271" s="5" t="inlineStr">
        <is>
          <t>기타 / - | [일반기업] / 26. 07. / 27. 03. | [공공기관] / 26. 07. / 31. 12.</t>
        </is>
      </c>
      <c r="V271" s="21">
        <f>HYPERLINK("https://dart.fss.or.kr/dsaf001/main.do?rcpNo=20260813000532", "공시열람")</f>
        <v/>
      </c>
    </row>
    <row r="272">
      <c r="A272" s="5" t="inlineStr">
        <is>
          <t>에코심플렉스</t>
        </is>
      </c>
      <c r="B272" s="6" t="inlineStr">
        <is>
          <t>038870</t>
        </is>
      </c>
      <c r="C272" s="6" t="inlineStr">
        <is>
          <t>2026Q2</t>
        </is>
      </c>
      <c r="D272" s="6" t="inlineStr">
        <is>
          <t>20261006</t>
        </is>
      </c>
      <c r="E272" s="16" t="n">
        <v>28139</v>
      </c>
      <c r="F272" s="16" t="n">
        <v>23257</v>
      </c>
      <c r="G272" s="16" t="n">
        <v>4882</v>
      </c>
      <c r="H272" s="6" t="inlineStr">
        <is>
          <t>백만원</t>
        </is>
      </c>
      <c r="I272" s="17" t="n">
        <v>-43</v>
      </c>
      <c r="J272" s="18" t="n">
        <v>7776</v>
      </c>
      <c r="K272" s="19" t="n">
        <v>7384</v>
      </c>
      <c r="L272" s="18" t="n">
        <v>28984</v>
      </c>
      <c r="M272" s="19" t="n">
        <v>20855</v>
      </c>
      <c r="N272" s="18" t="n">
        <v>20184</v>
      </c>
      <c r="O272" s="19" t="n">
        <v>16330</v>
      </c>
      <c r="P272" s="18" t="n">
        <v>12200</v>
      </c>
      <c r="Q272" s="19" t="n">
        <v>5064</v>
      </c>
      <c r="R272" s="18" t="n">
        <v>8572</v>
      </c>
      <c r="S272" s="20" t="n">
        <v>4882</v>
      </c>
      <c r="T272" s="6" t="n">
        <v>4</v>
      </c>
      <c r="U272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2" s="21">
        <f>HYPERLINK("https://dart.fss.or.kr/dsaf001/main.do?rcpNo=20261006000425", "공시열람")</f>
        <v/>
      </c>
    </row>
    <row r="273">
      <c r="A273" s="5" t="inlineStr">
        <is>
          <t>현대에이치티</t>
        </is>
      </c>
      <c r="B273" s="6" t="inlineStr">
        <is>
          <t>039010</t>
        </is>
      </c>
      <c r="C273" s="6" t="inlineStr">
        <is>
          <t>2026Q2</t>
        </is>
      </c>
      <c r="D273" s="6" t="inlineStr">
        <is>
          <t>20260814</t>
        </is>
      </c>
      <c r="E273" s="16" t="n">
        <v>261862</v>
      </c>
      <c r="F273" s="16" t="n">
        <v>3086</v>
      </c>
      <c r="G273" s="16" t="n">
        <v>195211</v>
      </c>
      <c r="H273" s="6" t="inlineStr">
        <is>
          <t>백만원</t>
        </is>
      </c>
      <c r="I273" s="17" t="n">
        <v>1.6</v>
      </c>
      <c r="J273" s="18" t="n">
        <v>251341</v>
      </c>
      <c r="K273" s="19" t="n">
        <v>243342</v>
      </c>
      <c r="L273" s="18" t="n">
        <v>242234</v>
      </c>
      <c r="M273" s="19" t="n">
        <v>222801</v>
      </c>
      <c r="N273" s="18" t="n">
        <v>213502</v>
      </c>
      <c r="O273" s="19" t="n">
        <v>207752</v>
      </c>
      <c r="P273" s="18" t="n">
        <v>201774</v>
      </c>
      <c r="Q273" s="19" t="n">
        <v>197137</v>
      </c>
      <c r="R273" s="18" t="n">
        <v>192125</v>
      </c>
      <c r="S273" s="20" t="n">
        <v>195211</v>
      </c>
      <c r="T273" s="6" t="n">
        <v>1</v>
      </c>
      <c r="U273" s="5" t="inlineStr">
        <is>
          <t>Smart Home제품 外 / 2026.06.30 이전</t>
        </is>
      </c>
      <c r="V273" s="21">
        <f>HYPERLINK("https://dart.fss.or.kr/dsaf001/main.do?rcpNo=20260814002638", "공시열람")</f>
        <v/>
      </c>
    </row>
    <row r="274">
      <c r="A274" s="5" t="inlineStr">
        <is>
          <t>이건홀딩스</t>
        </is>
      </c>
      <c r="B274" s="6" t="inlineStr">
        <is>
          <t>039020</t>
        </is>
      </c>
      <c r="C274" s="6" t="inlineStr">
        <is>
          <t>2026Q2</t>
        </is>
      </c>
      <c r="D274" s="6" t="inlineStr">
        <is>
          <t>20260814</t>
        </is>
      </c>
      <c r="E274" s="16" t="n">
        <v>326192</v>
      </c>
      <c r="F274" s="16" t="n">
        <v>204968</v>
      </c>
      <c r="G274" s="16" t="n">
        <v>121224</v>
      </c>
      <c r="H274" s="6" t="inlineStr">
        <is>
          <t>천㎡,백만원</t>
        </is>
      </c>
      <c r="I274" s="17" t="n">
        <v>-26.5</v>
      </c>
      <c r="J274" s="18" t="n">
        <v>117499</v>
      </c>
      <c r="K274" s="19" t="n">
        <v>173682</v>
      </c>
      <c r="L274" s="18" t="n">
        <v>147762</v>
      </c>
      <c r="M274" s="19" t="n">
        <v>140105</v>
      </c>
      <c r="N274" s="18" t="n">
        <v>115287</v>
      </c>
      <c r="O274" s="19" t="n">
        <v>104151</v>
      </c>
      <c r="P274" s="18" t="n">
        <v>95867</v>
      </c>
      <c r="Q274" s="19" t="n">
        <v>179025</v>
      </c>
      <c r="R274" s="18" t="n">
        <v>164824</v>
      </c>
      <c r="S274" s="20" t="n">
        <v>121224</v>
      </c>
      <c r="T274" s="6" t="n">
        <v>2</v>
      </c>
      <c r="U274" s="5" t="inlineStr">
        <is>
          <t>창호 / 2026.06.30 까지 / - | 마루 / 2026.06.30 까지</t>
        </is>
      </c>
      <c r="V274" s="21">
        <f>HYPERLINK("https://dart.fss.or.kr/dsaf001/main.do?rcpNo=20260814002949", "공시열람")</f>
        <v/>
      </c>
    </row>
    <row r="275">
      <c r="A275" s="5" t="inlineStr">
        <is>
          <t>인포뱅크</t>
        </is>
      </c>
      <c r="B275" s="6" t="inlineStr">
        <is>
          <t>039290</t>
        </is>
      </c>
      <c r="C275" s="6" t="inlineStr">
        <is>
          <t>2025Q3</t>
        </is>
      </c>
      <c r="D275" s="6" t="inlineStr">
        <is>
          <t>20251114</t>
        </is>
      </c>
      <c r="E275" s="16" t="n">
        <v>6072</v>
      </c>
      <c r="F275" s="16" t="n">
        <v>5526</v>
      </c>
      <c r="G275" s="16" t="n">
        <v>546</v>
      </c>
      <c r="H275" s="6" t="inlineStr">
        <is>
          <t>백만원</t>
        </is>
      </c>
      <c r="I275" s="17" t="n">
        <v>-59.1</v>
      </c>
      <c r="J275" s="18" t="inlineStr"/>
      <c r="K275" s="19" t="inlineStr"/>
      <c r="L275" s="18" t="inlineStr"/>
      <c r="M275" s="19" t="n">
        <v>3461</v>
      </c>
      <c r="N275" s="18" t="n">
        <v>2247</v>
      </c>
      <c r="O275" s="19" t="n">
        <v>1336</v>
      </c>
      <c r="P275" s="18" t="n">
        <v>546</v>
      </c>
      <c r="Q275" s="19" t="inlineStr"/>
      <c r="R275" s="18" t="inlineStr"/>
      <c r="S275" s="20" t="inlineStr"/>
      <c r="T275" s="6" t="n">
        <v>1</v>
      </c>
      <c r="U275" s="5" t="inlineStr">
        <is>
          <t>솔루션서비스 A / 2024.07.15 / 2025.1</t>
        </is>
      </c>
      <c r="V275" s="21">
        <f>HYPERLINK("https://dart.fss.or.kr/dsaf001/main.do?rcpNo=20251114001447", "공시열람")</f>
        <v/>
      </c>
    </row>
    <row r="276">
      <c r="A276" s="5" t="inlineStr">
        <is>
          <t>세중</t>
        </is>
      </c>
      <c r="B276" s="6" t="inlineStr">
        <is>
          <t>039310</t>
        </is>
      </c>
      <c r="C276" s="6" t="inlineStr">
        <is>
          <t>2026Q2</t>
        </is>
      </c>
      <c r="D276" s="6" t="inlineStr">
        <is>
          <t>20260814</t>
        </is>
      </c>
      <c r="E276" s="16" t="n">
        <v>52884</v>
      </c>
      <c r="F276" s="16" t="n">
        <v>26256</v>
      </c>
      <c r="G276" s="16" t="n">
        <v>29627</v>
      </c>
      <c r="H276" s="6" t="inlineStr">
        <is>
          <t>년,백만원</t>
        </is>
      </c>
      <c r="I276" s="17" t="n">
        <v>0</v>
      </c>
      <c r="J276" s="18" t="n">
        <v>15256</v>
      </c>
      <c r="K276" s="19" t="n">
        <v>15256</v>
      </c>
      <c r="L276" s="18" t="n">
        <v>15256</v>
      </c>
      <c r="M276" s="19" t="n">
        <v>7627</v>
      </c>
      <c r="N276" s="18" t="n">
        <v>7627</v>
      </c>
      <c r="O276" s="19" t="n">
        <v>7627</v>
      </c>
      <c r="P276" s="18" t="n">
        <v>7627</v>
      </c>
      <c r="Q276" s="19" t="n">
        <v>7627</v>
      </c>
      <c r="R276" s="18" t="n">
        <v>29627</v>
      </c>
      <c r="S276" s="20" t="n">
        <v>29627</v>
      </c>
      <c r="T276" s="6" t="n">
        <v>2</v>
      </c>
      <c r="U276" s="5" t="inlineStr">
        <is>
          <t>유지보수 도급 계약(*2) / 2026.02.10 /  | Siemens S/W 라이선스(*1) / 2023.12</t>
        </is>
      </c>
      <c r="V276" s="21">
        <f>HYPERLINK("https://dart.fss.or.kr/dsaf001/main.do?rcpNo=20260814003748", "공시열람")</f>
        <v/>
      </c>
    </row>
    <row r="277">
      <c r="A277" s="5" t="inlineStr">
        <is>
          <t>케이엘넷</t>
        </is>
      </c>
      <c r="B277" s="6" t="inlineStr">
        <is>
          <t>039420</t>
        </is>
      </c>
      <c r="C277" s="6" t="inlineStr">
        <is>
          <t>2026Q2</t>
        </is>
      </c>
      <c r="D277" s="6" t="inlineStr">
        <is>
          <t>20260814</t>
        </is>
      </c>
      <c r="E277" s="16" t="n">
        <v>20310724</v>
      </c>
      <c r="F277" s="16" t="n">
        <v>11077508</v>
      </c>
      <c r="G277" s="16" t="n">
        <v>9233216</v>
      </c>
      <c r="H277" s="6" t="inlineStr">
        <is>
          <t>천원</t>
        </is>
      </c>
      <c r="I277" s="17" t="n">
        <v>2</v>
      </c>
      <c r="J277" s="18" t="n">
        <v>10324860</v>
      </c>
      <c r="K277" s="19" t="n">
        <v>9396812</v>
      </c>
      <c r="L277" s="18" t="n">
        <v>5888058</v>
      </c>
      <c r="M277" s="19" t="n">
        <v>1730726</v>
      </c>
      <c r="N277" s="18" t="n">
        <v>110323955774</v>
      </c>
      <c r="O277" s="19" t="n">
        <v>7018826</v>
      </c>
      <c r="P277" s="18" t="n">
        <v>6203315852</v>
      </c>
      <c r="Q277" s="19" t="n">
        <v>4180832121</v>
      </c>
      <c r="R277" s="18" t="n">
        <v>9049597</v>
      </c>
      <c r="S277" s="20" t="n">
        <v>9233216</v>
      </c>
      <c r="T277" s="6" t="n">
        <v>27</v>
      </c>
      <c r="U277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7" s="21">
        <f>HYPERLINK("https://dart.fss.or.kr/dsaf001/main.do?rcpNo=20260814000872", "공시열람")</f>
        <v/>
      </c>
    </row>
    <row r="278">
      <c r="A278" s="5" t="inlineStr">
        <is>
          <t>에스티아이</t>
        </is>
      </c>
      <c r="B278" s="6" t="inlineStr">
        <is>
          <t>039440</t>
        </is>
      </c>
      <c r="C278" s="6" t="inlineStr">
        <is>
          <t>2026Q2</t>
        </is>
      </c>
      <c r="D278" s="6" t="inlineStr">
        <is>
          <t>20260814</t>
        </is>
      </c>
      <c r="E278" s="16" t="n">
        <v>868159874</v>
      </c>
      <c r="F278" s="16" t="n">
        <v>653809982</v>
      </c>
      <c r="G278" s="16" t="n">
        <v>214349892</v>
      </c>
      <c r="H278" s="6" t="inlineStr">
        <is>
          <t>천원</t>
        </is>
      </c>
      <c r="I278" s="17" t="n">
        <v>-8.4</v>
      </c>
      <c r="J278" s="18" t="n">
        <v>79303884</v>
      </c>
      <c r="K278" s="19" t="n">
        <v>24358209</v>
      </c>
      <c r="L278" s="18" t="n">
        <v>185035507</v>
      </c>
      <c r="M278" s="19" t="n">
        <v>168988142</v>
      </c>
      <c r="N278" s="18" t="n">
        <v>117463962</v>
      </c>
      <c r="O278" s="19" t="n">
        <v>82646540</v>
      </c>
      <c r="P278" s="18" t="n">
        <v>249275739</v>
      </c>
      <c r="Q278" s="19" t="n">
        <v>61414528</v>
      </c>
      <c r="R278" s="18" t="n">
        <v>233963325</v>
      </c>
      <c r="S278" s="20" t="n">
        <v>214349892</v>
      </c>
      <c r="T278" s="6" t="n">
        <v>1</v>
      </c>
      <c r="U278" s="5" t="inlineStr">
        <is>
          <t>LCD, 반도체등 제조장비 / 전기이월~2026.06.</t>
        </is>
      </c>
      <c r="V278" s="21">
        <f>HYPERLINK("https://dart.fss.or.kr/dsaf001/main.do?rcpNo=20260814001073", "공시열람")</f>
        <v/>
      </c>
    </row>
    <row r="279">
      <c r="A279" s="5" t="inlineStr">
        <is>
          <t>HDC랩스</t>
        </is>
      </c>
      <c r="B279" s="6" t="inlineStr">
        <is>
          <t>039570</t>
        </is>
      </c>
      <c r="C279" s="6" t="inlineStr">
        <is>
          <t>2026Q2</t>
        </is>
      </c>
      <c r="D279" s="6" t="inlineStr">
        <is>
          <t>20260814</t>
        </is>
      </c>
      <c r="E279" s="16" t="n">
        <v>1293094</v>
      </c>
      <c r="F279" s="16" t="n">
        <v>797975</v>
      </c>
      <c r="G279" s="16" t="n">
        <v>495119</v>
      </c>
      <c r="H279" s="6" t="inlineStr">
        <is>
          <t>백만원</t>
        </is>
      </c>
      <c r="I279" s="17" t="n">
        <v>-16</v>
      </c>
      <c r="J279" s="18" t="n">
        <v>529568</v>
      </c>
      <c r="K279" s="19" t="n">
        <v>507718</v>
      </c>
      <c r="L279" s="18" t="n">
        <v>441264</v>
      </c>
      <c r="M279" s="19" t="n">
        <v>347857</v>
      </c>
      <c r="N279" s="18" t="n">
        <v>560106</v>
      </c>
      <c r="O279" s="19" t="n">
        <v>499393</v>
      </c>
      <c r="P279" s="18" t="n">
        <v>472493</v>
      </c>
      <c r="Q279" s="19" t="n">
        <v>396270</v>
      </c>
      <c r="R279" s="18" t="n">
        <v>589570</v>
      </c>
      <c r="S279" s="20" t="n">
        <v>495119</v>
      </c>
      <c r="T279" s="6" t="n">
        <v>29</v>
      </c>
      <c r="U279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9" s="21">
        <f>HYPERLINK("https://dart.fss.or.kr/dsaf001/main.do?rcpNo=20260814004044", "공시열람")</f>
        <v/>
      </c>
    </row>
    <row r="280">
      <c r="A280" s="5" t="inlineStr">
        <is>
          <t>화성밸브</t>
        </is>
      </c>
      <c r="B280" s="6" t="inlineStr">
        <is>
          <t>039610</t>
        </is>
      </c>
      <c r="C280" s="6" t="inlineStr">
        <is>
          <t>2024Q4</t>
        </is>
      </c>
      <c r="D280" s="6" t="inlineStr">
        <is>
          <t>20250321</t>
        </is>
      </c>
      <c r="E280" s="16" t="n">
        <v>3870</v>
      </c>
      <c r="F280" s="16" t="n">
        <v>3870</v>
      </c>
      <c r="G280" s="16" t="n">
        <v>0</v>
      </c>
      <c r="H280" s="6" t="inlineStr">
        <is>
          <t>개,백만원</t>
        </is>
      </c>
      <c r="I280" s="17" t="inlineStr"/>
      <c r="J280" s="18" t="n">
        <v>0</v>
      </c>
      <c r="K280" s="19" t="n">
        <v>0</v>
      </c>
      <c r="L280" s="18" t="n">
        <v>0</v>
      </c>
      <c r="M280" s="19" t="n">
        <v>0</v>
      </c>
      <c r="N280" s="18" t="inlineStr"/>
      <c r="O280" s="19" t="inlineStr"/>
      <c r="P280" s="18" t="inlineStr"/>
      <c r="Q280" s="19" t="inlineStr"/>
      <c r="R280" s="18" t="inlineStr"/>
      <c r="S280" s="20" t="inlineStr"/>
      <c r="T280" s="6" t="n">
        <v>1</v>
      </c>
      <c r="U280" s="5" t="inlineStr">
        <is>
          <t>화성밸브(주) / 볼밸브 / 23.01.05</t>
        </is>
      </c>
      <c r="V280" s="21">
        <f>HYPERLINK("https://dart.fss.or.kr/dsaf001/main.do?rcpNo=20250321001566", "공시열람")</f>
        <v/>
      </c>
    </row>
    <row r="281">
      <c r="A281" s="5" t="inlineStr">
        <is>
          <t>폴라리스AI</t>
        </is>
      </c>
      <c r="B281" s="6" t="inlineStr">
        <is>
          <t>039980</t>
        </is>
      </c>
      <c r="C281" s="6" t="inlineStr">
        <is>
          <t>2026Q2</t>
        </is>
      </c>
      <c r="D281" s="6" t="inlineStr">
        <is>
          <t>20260814</t>
        </is>
      </c>
      <c r="E281" s="16" t="n">
        <v>12901188</v>
      </c>
      <c r="F281" s="16" t="n">
        <v>1069030</v>
      </c>
      <c r="G281" s="16" t="n">
        <v>11832158</v>
      </c>
      <c r="H281" s="6" t="inlineStr">
        <is>
          <t>천원</t>
        </is>
      </c>
      <c r="I281" s="17" t="n">
        <v>-3.7</v>
      </c>
      <c r="J281" s="18" t="n">
        <v>10633164</v>
      </c>
      <c r="K281" s="19" t="n">
        <v>8947876</v>
      </c>
      <c r="L281" s="18" t="n">
        <v>12396827</v>
      </c>
      <c r="M281" s="19" t="n">
        <v>4675002</v>
      </c>
      <c r="N281" s="18" t="n">
        <v>3468711</v>
      </c>
      <c r="O281" s="19" t="n">
        <v>6300767</v>
      </c>
      <c r="P281" s="18" t="n">
        <v>11936906</v>
      </c>
      <c r="Q281" s="19" t="n">
        <v>7378027</v>
      </c>
      <c r="R281" s="18" t="n">
        <v>12290941</v>
      </c>
      <c r="S281" s="20" t="n">
        <v>11832158</v>
      </c>
      <c r="T281" s="6" t="n">
        <v>4</v>
      </c>
      <c r="U281" s="5" t="inlineStr">
        <is>
          <t>마곡 16단지 공공주택 정보통신공사 사업 / 2025. | 성남복정1 C1,C2,C3BL 아파트 정보통신공사 /  | 시흥거모 A-7BL 아파트 정보통신공사 5공구 / 20</t>
        </is>
      </c>
      <c r="V281" s="21">
        <f>HYPERLINK("https://dart.fss.or.kr/dsaf001/main.do?rcpNo=20260814003885", "공시열람")</f>
        <v/>
      </c>
    </row>
    <row r="282">
      <c r="A282" s="5" t="inlineStr">
        <is>
          <t>누리플렉스</t>
        </is>
      </c>
      <c r="B282" s="6" t="inlineStr">
        <is>
          <t>040160</t>
        </is>
      </c>
      <c r="C282" s="6" t="inlineStr">
        <is>
          <t>2026Q2</t>
        </is>
      </c>
      <c r="D282" s="6" t="inlineStr">
        <is>
          <t>20260814</t>
        </is>
      </c>
      <c r="E282" s="16" t="n">
        <v>99709</v>
      </c>
      <c r="F282" s="16" t="inlineStr"/>
      <c r="G282" s="16" t="n">
        <v>99709</v>
      </c>
      <c r="H282" s="6" t="inlineStr">
        <is>
          <t>백만원</t>
        </is>
      </c>
      <c r="I282" s="17" t="n">
        <v>0</v>
      </c>
      <c r="J282" s="18" t="n">
        <v>37370746</v>
      </c>
      <c r="K282" s="19" t="n">
        <v>43007111</v>
      </c>
      <c r="L282" s="18" t="n">
        <v>11732411</v>
      </c>
      <c r="M282" s="19" t="n">
        <v>13971490</v>
      </c>
      <c r="N282" s="18" t="inlineStr"/>
      <c r="O282" s="19" t="inlineStr"/>
      <c r="P282" s="18" t="inlineStr"/>
      <c r="Q282" s="19" t="inlineStr"/>
      <c r="R282" s="18" t="n">
        <v>99709</v>
      </c>
      <c r="S282" s="20" t="n">
        <v>99709</v>
      </c>
      <c r="T282" s="6" t="n">
        <v>1</v>
      </c>
      <c r="U282" s="5" t="inlineStr">
        <is>
          <t>AMI / 2026.01.30 / 2032.01.28</t>
        </is>
      </c>
      <c r="V282" s="21">
        <f>HYPERLINK("https://dart.fss.or.kr/dsaf001/main.do?rcpNo=20260814001926", "공시열람")</f>
        <v/>
      </c>
    </row>
    <row r="283">
      <c r="A283" s="5" t="inlineStr">
        <is>
          <t>아이씨디</t>
        </is>
      </c>
      <c r="B283" s="6" t="inlineStr">
        <is>
          <t>040910</t>
        </is>
      </c>
      <c r="C283" s="6" t="inlineStr">
        <is>
          <t>2026Q2</t>
        </is>
      </c>
      <c r="D283" s="6" t="inlineStr">
        <is>
          <t>20260814</t>
        </is>
      </c>
      <c r="E283" s="16" t="n">
        <v>227621</v>
      </c>
      <c r="F283" s="16" t="n">
        <v>33941</v>
      </c>
      <c r="G283" s="16" t="n">
        <v>193680</v>
      </c>
      <c r="H283" s="6" t="inlineStr">
        <is>
          <t>백만원</t>
        </is>
      </c>
      <c r="I283" s="17" t="n">
        <v>7.8</v>
      </c>
      <c r="J283" s="18" t="n">
        <v>171784</v>
      </c>
      <c r="K283" s="19" t="n">
        <v>161629</v>
      </c>
      <c r="L283" s="18" t="n">
        <v>130828</v>
      </c>
      <c r="M283" s="19" t="n">
        <v>158701</v>
      </c>
      <c r="N283" s="18" t="n">
        <v>149315</v>
      </c>
      <c r="O283" s="19" t="n">
        <v>81012</v>
      </c>
      <c r="P283" s="18" t="n">
        <v>105103</v>
      </c>
      <c r="Q283" s="19" t="n">
        <v>168477</v>
      </c>
      <c r="R283" s="18" t="n">
        <v>179625</v>
      </c>
      <c r="S283" s="20" t="n">
        <v>193680</v>
      </c>
      <c r="T283" s="6" t="n">
        <v>1</v>
      </c>
      <c r="U283" s="5" t="inlineStr">
        <is>
          <t>디스플레이 제조 장비 / -</t>
        </is>
      </c>
      <c r="V283" s="21">
        <f>HYPERLINK("https://dart.fss.or.kr/dsaf001/main.do?rcpNo=20260814002631", "공시열람")</f>
        <v/>
      </c>
    </row>
    <row r="284">
      <c r="A284" s="5" t="inlineStr">
        <is>
          <t>폴라리스오피스</t>
        </is>
      </c>
      <c r="B284" s="6" t="inlineStr">
        <is>
          <t>041020</t>
        </is>
      </c>
      <c r="C284" s="6" t="inlineStr">
        <is>
          <t>2025Q2</t>
        </is>
      </c>
      <c r="D284" s="6" t="inlineStr">
        <is>
          <t>20250814</t>
        </is>
      </c>
      <c r="E284" s="16" t="n">
        <v>53300411</v>
      </c>
      <c r="F284" s="16" t="n">
        <v>43616063</v>
      </c>
      <c r="G284" s="16" t="n">
        <v>6300767</v>
      </c>
      <c r="H284" s="6" t="inlineStr">
        <is>
          <t>천원</t>
        </is>
      </c>
      <c r="I284" s="17" t="n">
        <v>81.59999999999999</v>
      </c>
      <c r="J284" s="18" t="n">
        <v>0</v>
      </c>
      <c r="K284" s="19" t="n">
        <v>8947876</v>
      </c>
      <c r="L284" s="18" t="n">
        <v>12396827</v>
      </c>
      <c r="M284" s="19" t="n">
        <v>4675002</v>
      </c>
      <c r="N284" s="18" t="n">
        <v>3468711</v>
      </c>
      <c r="O284" s="19" t="n">
        <v>6300767</v>
      </c>
      <c r="P284" s="18" t="inlineStr"/>
      <c r="Q284" s="19" t="inlineStr"/>
      <c r="R284" s="18" t="inlineStr"/>
      <c r="S284" s="20" t="inlineStr"/>
      <c r="T284" s="6" t="n">
        <v>3</v>
      </c>
      <c r="U284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4" s="21">
        <f>HYPERLINK("https://dart.fss.or.kr/dsaf001/main.do?rcpNo=20250814004123", "공시열람")</f>
        <v/>
      </c>
    </row>
    <row r="285">
      <c r="A285" s="5" t="inlineStr">
        <is>
          <t>현대에버다임</t>
        </is>
      </c>
      <c r="B285" s="6" t="inlineStr">
        <is>
          <t>041440</t>
        </is>
      </c>
      <c r="C285" s="6" t="inlineStr">
        <is>
          <t>2026Q2</t>
        </is>
      </c>
      <c r="D285" s="6" t="inlineStr">
        <is>
          <t>20260814</t>
        </is>
      </c>
      <c r="E285" s="16" t="n">
        <v>135300</v>
      </c>
      <c r="F285" s="16" t="inlineStr"/>
      <c r="G285" s="16" t="n">
        <v>135300</v>
      </c>
      <c r="H285" s="6" t="inlineStr">
        <is>
          <t>대,백만원</t>
        </is>
      </c>
      <c r="I285" s="17" t="n">
        <v>0</v>
      </c>
      <c r="J285" s="18" t="n">
        <v>76260</v>
      </c>
      <c r="K285" s="19" t="n">
        <v>76260</v>
      </c>
      <c r="L285" s="18" t="n">
        <v>76260</v>
      </c>
      <c r="M285" s="19" t="n">
        <v>17820</v>
      </c>
      <c r="N285" s="18" t="n">
        <v>13365</v>
      </c>
      <c r="O285" s="19" t="n">
        <v>0</v>
      </c>
      <c r="P285" s="18" t="n">
        <v>135280</v>
      </c>
      <c r="Q285" s="19" t="n">
        <v>135300</v>
      </c>
      <c r="R285" s="18" t="n">
        <v>135300</v>
      </c>
      <c r="S285" s="20" t="n">
        <v>135300</v>
      </c>
      <c r="T285" s="6" t="n">
        <v>1</v>
      </c>
      <c r="U285" s="5" t="inlineStr">
        <is>
          <t>이라크 내무부소방구조 차량 공급 / 2025.08.27</t>
        </is>
      </c>
      <c r="V285" s="21">
        <f>HYPERLINK("https://dart.fss.or.kr/dsaf001/main.do?rcpNo=20260814001780", "공시열람")</f>
        <v/>
      </c>
    </row>
    <row r="286">
      <c r="A286" s="5" t="inlineStr">
        <is>
          <t>코미팜</t>
        </is>
      </c>
      <c r="B286" s="6" t="inlineStr">
        <is>
          <t>041960</t>
        </is>
      </c>
      <c r="C286" s="6" t="inlineStr">
        <is>
          <t>2026Q2</t>
        </is>
      </c>
      <c r="D286" s="6" t="inlineStr">
        <is>
          <t>20260813</t>
        </is>
      </c>
      <c r="E286" s="16" t="n">
        <v>17771910</v>
      </c>
      <c r="F286" s="16" t="n">
        <v>8252066</v>
      </c>
      <c r="G286" s="16" t="n">
        <v>9519844</v>
      </c>
      <c r="H286" s="6" t="inlineStr">
        <is>
          <t>천원</t>
        </is>
      </c>
      <c r="I286" s="17" t="n">
        <v>-23.7</v>
      </c>
      <c r="J286" s="18" t="n">
        <v>15002415</v>
      </c>
      <c r="K286" s="19" t="n">
        <v>5668202</v>
      </c>
      <c r="L286" s="18" t="n">
        <v>8042868</v>
      </c>
      <c r="M286" s="19" t="n">
        <v>5688688</v>
      </c>
      <c r="N286" s="18" t="n">
        <v>8258933</v>
      </c>
      <c r="O286" s="19" t="n">
        <v>6459237</v>
      </c>
      <c r="P286" s="18" t="n">
        <v>8516348</v>
      </c>
      <c r="Q286" s="19" t="n">
        <v>7899047</v>
      </c>
      <c r="R286" s="18" t="n">
        <v>12480962</v>
      </c>
      <c r="S286" s="20" t="n">
        <v>9519844</v>
      </c>
      <c r="T286" s="6" t="n">
        <v>2</v>
      </c>
      <c r="U286" s="5" t="inlineStr">
        <is>
          <t>동물약품-구제역백신 / 2025-10-14 / 2026 | 동물약품-기초백신 / 2024-01-16 / 2027-</t>
        </is>
      </c>
      <c r="V286" s="21">
        <f>HYPERLINK("https://dart.fss.or.kr/dsaf001/main.do?rcpNo=20260813001159", "공시열람")</f>
        <v/>
      </c>
    </row>
    <row r="287">
      <c r="A287" s="5" t="inlineStr">
        <is>
          <t>케이피엠테크</t>
        </is>
      </c>
      <c r="B287" s="6" t="inlineStr">
        <is>
          <t>042040</t>
        </is>
      </c>
      <c r="C287" s="6" t="inlineStr">
        <is>
          <t>2023Q4</t>
        </is>
      </c>
      <c r="D287" s="6" t="inlineStr">
        <is>
          <t>20240321</t>
        </is>
      </c>
      <c r="E287" s="16" t="n">
        <v>6301782</v>
      </c>
      <c r="F287" s="16" t="n">
        <v>6301782</v>
      </c>
      <c r="G287" s="16" t="n">
        <v>0</v>
      </c>
      <c r="H287" s="6" t="inlineStr">
        <is>
          <t>천원</t>
        </is>
      </c>
      <c r="I287" s="17" t="inlineStr"/>
      <c r="J287" s="18" t="inlineStr"/>
      <c r="K287" s="19" t="inlineStr"/>
      <c r="L287" s="18" t="inlineStr"/>
      <c r="M287" s="19" t="inlineStr"/>
      <c r="N287" s="18" t="inlineStr"/>
      <c r="O287" s="19" t="inlineStr"/>
      <c r="P287" s="18" t="inlineStr"/>
      <c r="Q287" s="19" t="inlineStr"/>
      <c r="R287" s="18" t="inlineStr"/>
      <c r="S287" s="20" t="inlineStr"/>
      <c r="T287" s="6" t="n">
        <v>1</v>
      </c>
      <c r="U287" s="5" t="inlineStr">
        <is>
          <t xml:space="preserve">표면처리 설비 개선 시공 계약 / 2023.02.28 </t>
        </is>
      </c>
      <c r="V287" s="21">
        <f>HYPERLINK("https://dart.fss.or.kr/dsaf001/main.do?rcpNo=20240321001199", "공시열람")</f>
        <v/>
      </c>
    </row>
    <row r="288">
      <c r="A288" s="5" t="inlineStr">
        <is>
          <t>비츠로테크</t>
        </is>
      </c>
      <c r="B288" s="6" t="inlineStr">
        <is>
          <t>042370</t>
        </is>
      </c>
      <c r="C288" s="6" t="inlineStr">
        <is>
          <t>2026Q2</t>
        </is>
      </c>
      <c r="D288" s="6" t="inlineStr">
        <is>
          <t>20260814</t>
        </is>
      </c>
      <c r="E288" s="16" t="n">
        <v>184545</v>
      </c>
      <c r="F288" s="16" t="n">
        <v>102791</v>
      </c>
      <c r="G288" s="16" t="n">
        <v>81754</v>
      </c>
      <c r="H288" s="6" t="inlineStr">
        <is>
          <t>백만원</t>
        </is>
      </c>
      <c r="I288" s="17" t="n">
        <v>18.1</v>
      </c>
      <c r="J288" s="18" t="n">
        <v>125275</v>
      </c>
      <c r="K288" s="19" t="n">
        <v>110193</v>
      </c>
      <c r="L288" s="18" t="n">
        <v>94241</v>
      </c>
      <c r="M288" s="19" t="n">
        <v>71569</v>
      </c>
      <c r="N288" s="18" t="n">
        <v>51888</v>
      </c>
      <c r="O288" s="19" t="n">
        <v>38310</v>
      </c>
      <c r="P288" s="18" t="n">
        <v>24351</v>
      </c>
      <c r="Q288" s="19" t="n">
        <v>72235</v>
      </c>
      <c r="R288" s="18" t="n">
        <v>69234</v>
      </c>
      <c r="S288" s="20" t="n">
        <v>81754</v>
      </c>
      <c r="T288" s="6" t="n">
        <v>1</v>
      </c>
      <c r="U288" s="5" t="inlineStr">
        <is>
          <t>연소기외 / -</t>
        </is>
      </c>
      <c r="V288" s="21">
        <f>HYPERLINK("https://dart.fss.or.kr/dsaf001/main.do?rcpNo=20260814001559", "공시열람")</f>
        <v/>
      </c>
    </row>
    <row r="289">
      <c r="A289" s="5" t="inlineStr">
        <is>
          <t>링네트</t>
        </is>
      </c>
      <c r="B289" s="6" t="inlineStr">
        <is>
          <t>042500</t>
        </is>
      </c>
      <c r="C289" s="6" t="inlineStr">
        <is>
          <t>2026Q2</t>
        </is>
      </c>
      <c r="D289" s="6" t="inlineStr">
        <is>
          <t>20260814</t>
        </is>
      </c>
      <c r="E289" s="16" t="n">
        <v>117184034386</v>
      </c>
      <c r="F289" s="16" t="n">
        <v>41038893952</v>
      </c>
      <c r="G289" s="16" t="n">
        <v>76145140434</v>
      </c>
      <c r="H289" s="6" t="inlineStr">
        <is>
          <t>원</t>
        </is>
      </c>
      <c r="I289" s="17" t="n">
        <v>103</v>
      </c>
      <c r="J289" s="18" t="n">
        <v>29813476576</v>
      </c>
      <c r="K289" s="19" t="n">
        <v>42544586704</v>
      </c>
      <c r="L289" s="18" t="n">
        <v>45382042901</v>
      </c>
      <c r="M289" s="19" t="n">
        <v>53297566998</v>
      </c>
      <c r="N289" s="18" t="n">
        <v>26679773874</v>
      </c>
      <c r="O289" s="19" t="n">
        <v>55122985668</v>
      </c>
      <c r="P289" s="18" t="n">
        <v>60893026041</v>
      </c>
      <c r="Q289" s="19" t="n">
        <v>49632729927</v>
      </c>
      <c r="R289" s="18" t="n">
        <v>37515545538</v>
      </c>
      <c r="S289" s="20" t="n">
        <v>76145140434</v>
      </c>
      <c r="T289" s="6" t="n">
        <v>11</v>
      </c>
      <c r="U289" s="5" t="inlineStr">
        <is>
          <t>기타 | 일반기업A / ~2026.11 | 공공기업A / ~2026.07</t>
        </is>
      </c>
      <c r="V289" s="21">
        <f>HYPERLINK("https://dart.fss.or.kr/dsaf001/main.do?rcpNo=20260814000865", "공시열람")</f>
        <v/>
      </c>
    </row>
    <row r="290">
      <c r="A290" s="5" t="inlineStr">
        <is>
          <t>한화오션</t>
        </is>
      </c>
      <c r="B290" s="6" t="inlineStr">
        <is>
          <t>042660</t>
        </is>
      </c>
      <c r="C290" s="6" t="inlineStr">
        <is>
          <t>2026Q2</t>
        </is>
      </c>
      <c r="D290" s="6" t="inlineStr">
        <is>
          <t>20260812</t>
        </is>
      </c>
      <c r="E290" s="16" t="n">
        <v>41675211</v>
      </c>
      <c r="F290" s="16" t="inlineStr"/>
      <c r="G290" s="16" t="n">
        <v>33008410</v>
      </c>
      <c r="H290" s="6" t="inlineStr">
        <is>
          <t>백만원</t>
        </is>
      </c>
      <c r="I290" s="17" t="n">
        <v>-6.7</v>
      </c>
      <c r="J290" s="18" t="n">
        <v>27346967</v>
      </c>
      <c r="K290" s="19" t="n">
        <v>29334548</v>
      </c>
      <c r="L290" s="18" t="n">
        <v>27288811</v>
      </c>
      <c r="M290" s="19" t="n">
        <v>30431900</v>
      </c>
      <c r="N290" s="18" t="n">
        <v>31040184</v>
      </c>
      <c r="O290" s="19" t="n">
        <v>27489133</v>
      </c>
      <c r="P290" s="18" t="n">
        <v>28904399</v>
      </c>
      <c r="Q290" s="19" t="n">
        <v>34495064</v>
      </c>
      <c r="R290" s="18" t="n">
        <v>35374442</v>
      </c>
      <c r="S290" s="20" t="n">
        <v>33008410</v>
      </c>
      <c r="T290" s="6" t="n">
        <v>3</v>
      </c>
      <c r="U290" s="5" t="inlineStr">
        <is>
          <t>상선 / 2026.06.30일까지 / - | EP 및 특수선 / 2026.06.30일까지 / - | 기타 / 2026.06.30일까지 / -</t>
        </is>
      </c>
      <c r="V290" s="21">
        <f>HYPERLINK("https://dart.fss.or.kr/dsaf001/main.do?rcpNo=20260812000829", "공시열람")</f>
        <v/>
      </c>
    </row>
    <row r="291">
      <c r="A291" s="5" t="inlineStr">
        <is>
          <t>상지건설</t>
        </is>
      </c>
      <c r="B291" s="6" t="inlineStr">
        <is>
          <t>042940</t>
        </is>
      </c>
      <c r="C291" s="6" t="inlineStr">
        <is>
          <t>2026Q2</t>
        </is>
      </c>
      <c r="D291" s="6" t="inlineStr">
        <is>
          <t>20260818</t>
        </is>
      </c>
      <c r="E291" s="16" t="inlineStr"/>
      <c r="F291" s="16" t="inlineStr"/>
      <c r="G291" s="16" t="n">
        <v>163696206</v>
      </c>
      <c r="H291" s="6" t="inlineStr">
        <is>
          <t>천원</t>
        </is>
      </c>
      <c r="I291" s="17" t="n">
        <v>102764.3</v>
      </c>
      <c r="J291" s="18" t="n">
        <v>158978915</v>
      </c>
      <c r="K291" s="19" t="n">
        <v>98745909</v>
      </c>
      <c r="L291" s="18" t="n">
        <v>94891988</v>
      </c>
      <c r="M291" s="19" t="n">
        <v>90781901</v>
      </c>
      <c r="N291" s="18" t="n">
        <v>104105</v>
      </c>
      <c r="O291" s="19" t="n">
        <v>134127938</v>
      </c>
      <c r="P291" s="18" t="n">
        <v>126843253</v>
      </c>
      <c r="Q291" s="19" t="n">
        <v>152678</v>
      </c>
      <c r="R291" s="18" t="n">
        <v>159138</v>
      </c>
      <c r="S291" s="20" t="n">
        <v>163696206</v>
      </c>
      <c r="T291" s="6" t="n">
        <v>1</v>
      </c>
      <c r="U291" s="5" t="inlineStr">
        <is>
          <t xml:space="preserve">㈜씨아이테크 외 / 신촌동 씨아이테크그룹사옥 신축공사 </t>
        </is>
      </c>
      <c r="V291" s="21">
        <f>HYPERLINK("https://dart.fss.or.kr/dsaf001/main.do?rcpNo=20260818000293", "공시열람")</f>
        <v/>
      </c>
    </row>
    <row r="292">
      <c r="A292" s="5" t="inlineStr">
        <is>
          <t>더테크놀로지</t>
        </is>
      </c>
      <c r="B292" s="6" t="inlineStr">
        <is>
          <t>043090</t>
        </is>
      </c>
      <c r="C292" s="6" t="inlineStr">
        <is>
          <t>2022Q4</t>
        </is>
      </c>
      <c r="D292" s="6" t="inlineStr">
        <is>
          <t>20260707</t>
        </is>
      </c>
      <c r="E292" s="16" t="n">
        <v>4092727273</v>
      </c>
      <c r="F292" s="16" t="n">
        <v>1500000000</v>
      </c>
      <c r="G292" s="16" t="n">
        <v>2592727273</v>
      </c>
      <c r="H292" s="6" t="inlineStr">
        <is>
          <t>원</t>
        </is>
      </c>
      <c r="I292" s="17" t="n">
        <v>135.7</v>
      </c>
      <c r="J292" s="18" t="inlineStr"/>
      <c r="K292" s="19" t="inlineStr"/>
      <c r="L292" s="18" t="inlineStr"/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4</v>
      </c>
      <c r="U292" s="5" t="inlineStr">
        <is>
          <t>음식물처리기 / 2022.08.03 / 2022.12. | PM용역 / 2022.03.18 / 2023.06.30 | PM용역 / 2021.11.12 / 2022.12.31</t>
        </is>
      </c>
      <c r="V292" s="21">
        <f>HYPERLINK("https://dart.fss.or.kr/dsaf001/main.do?rcpNo=20260707000068", "공시열람")</f>
        <v/>
      </c>
    </row>
    <row r="293">
      <c r="A293" s="5" t="inlineStr">
        <is>
          <t>파루</t>
        </is>
      </c>
      <c r="B293" s="6" t="inlineStr">
        <is>
          <t>043200</t>
        </is>
      </c>
      <c r="C293" s="6" t="inlineStr">
        <is>
          <t>2026Q2</t>
        </is>
      </c>
      <c r="D293" s="6" t="inlineStr">
        <is>
          <t>20260930</t>
        </is>
      </c>
      <c r="E293" s="16" t="n">
        <v>19724</v>
      </c>
      <c r="F293" s="16" t="n">
        <v>12546</v>
      </c>
      <c r="G293" s="16" t="n">
        <v>7178</v>
      </c>
      <c r="H293" s="6" t="inlineStr">
        <is>
          <t>백만원</t>
        </is>
      </c>
      <c r="I293" s="17" t="n">
        <v>90.90000000000001</v>
      </c>
      <c r="J293" s="18" t="n">
        <v>11497</v>
      </c>
      <c r="K293" s="19" t="n">
        <v>13940</v>
      </c>
      <c r="L293" s="18" t="n">
        <v>10485</v>
      </c>
      <c r="M293" s="19" t="n">
        <v>11471</v>
      </c>
      <c r="N293" s="18" t="n">
        <v>9933</v>
      </c>
      <c r="O293" s="19" t="n">
        <v>9976</v>
      </c>
      <c r="P293" s="18" t="n">
        <v>9789</v>
      </c>
      <c r="Q293" s="19" t="n">
        <v>5817</v>
      </c>
      <c r="R293" s="18" t="n">
        <v>3761</v>
      </c>
      <c r="S293" s="20" t="n">
        <v>7178</v>
      </c>
      <c r="T293" s="6" t="n">
        <v>1</v>
      </c>
      <c r="U293" s="5" t="inlineStr">
        <is>
          <t>태양광 / -</t>
        </is>
      </c>
      <c r="V293" s="21">
        <f>HYPERLINK("https://dart.fss.or.kr/dsaf001/main.do?rcpNo=20260930000393", "공시열람")</f>
        <v/>
      </c>
    </row>
    <row r="294">
      <c r="A294" s="5" t="inlineStr">
        <is>
          <t>성호전자</t>
        </is>
      </c>
      <c r="B294" s="6" t="inlineStr">
        <is>
          <t>043260</t>
        </is>
      </c>
      <c r="C294" s="6" t="inlineStr">
        <is>
          <t>2024Q3</t>
        </is>
      </c>
      <c r="D294" s="6" t="inlineStr">
        <is>
          <t>20241114</t>
        </is>
      </c>
      <c r="E294" s="16" t="n">
        <v>15725042</v>
      </c>
      <c r="F294" s="16" t="n">
        <v>12527406</v>
      </c>
      <c r="G294" s="16" t="n">
        <v>3197636</v>
      </c>
      <c r="H294" s="6" t="inlineStr">
        <is>
          <t>천개또는KG,백만원</t>
        </is>
      </c>
      <c r="I294" s="17" t="n">
        <v>66448.10000000001</v>
      </c>
      <c r="J294" s="18" t="n">
        <v>6961</v>
      </c>
      <c r="K294" s="19" t="n">
        <v>4805</v>
      </c>
      <c r="L294" s="18" t="n">
        <v>3197636</v>
      </c>
      <c r="M294" s="19" t="inlineStr"/>
      <c r="N294" s="18" t="inlineStr"/>
      <c r="O294" s="19" t="inlineStr"/>
      <c r="P294" s="18" t="inlineStr"/>
      <c r="Q294" s="19" t="inlineStr"/>
      <c r="R294" s="18" t="inlineStr"/>
      <c r="S294" s="20" t="inlineStr"/>
      <c r="T294" s="6" t="n">
        <v>2</v>
      </c>
      <c r="U294" s="5" t="inlineStr">
        <is>
          <t>전원공급장치 (천개) / 2024년 8월~2024년 9 | 필름콘덴서 (천개) / 2024년 8월~2024년 9월</t>
        </is>
      </c>
      <c r="V294" s="21">
        <f>HYPERLINK("https://dart.fss.or.kr/dsaf001/main.do?rcpNo=20241114001000", "공시열람")</f>
        <v/>
      </c>
    </row>
    <row r="295">
      <c r="A295" s="5" t="inlineStr">
        <is>
          <t>에쎈테크</t>
        </is>
      </c>
      <c r="B295" s="6" t="inlineStr">
        <is>
          <t>043340</t>
        </is>
      </c>
      <c r="C295" s="6" t="inlineStr">
        <is>
          <t>2025Q2</t>
        </is>
      </c>
      <c r="D295" s="6" t="inlineStr">
        <is>
          <t>20250813</t>
        </is>
      </c>
      <c r="E295" s="16" t="n">
        <v>48135</v>
      </c>
      <c r="F295" s="16" t="n">
        <v>2949</v>
      </c>
      <c r="G295" s="16" t="n">
        <v>45186</v>
      </c>
      <c r="H295" s="6" t="inlineStr">
        <is>
          <t>백만원</t>
        </is>
      </c>
      <c r="I295" s="17" t="n">
        <v>-0.3</v>
      </c>
      <c r="J295" s="18" t="n">
        <v>46019</v>
      </c>
      <c r="K295" s="19" t="n">
        <v>45975</v>
      </c>
      <c r="L295" s="18" t="n">
        <v>45782</v>
      </c>
      <c r="M295" s="19" t="n">
        <v>45715</v>
      </c>
      <c r="N295" s="18" t="n">
        <v>45301</v>
      </c>
      <c r="O295" s="19" t="n">
        <v>45186</v>
      </c>
      <c r="P295" s="18" t="inlineStr"/>
      <c r="Q295" s="19" t="inlineStr"/>
      <c r="R295" s="18" t="inlineStr"/>
      <c r="S295" s="20" t="inlineStr"/>
      <c r="T295" s="6" t="n">
        <v>1</v>
      </c>
      <c r="U295" s="5" t="inlineStr">
        <is>
          <t>냉매용 무용접 연결 피팅 / 2020.07.15 ~ 2</t>
        </is>
      </c>
      <c r="V295" s="21">
        <f>HYPERLINK("https://dart.fss.or.kr/dsaf001/main.do?rcpNo=20250813001601", "공시열람")</f>
        <v/>
      </c>
    </row>
    <row r="296">
      <c r="A296" s="5" t="inlineStr">
        <is>
          <t>웰킵스하이텍</t>
        </is>
      </c>
      <c r="B296" s="6" t="inlineStr">
        <is>
          <t>043590</t>
        </is>
      </c>
      <c r="C296" s="6" t="inlineStr">
        <is>
          <t>2026Q2</t>
        </is>
      </c>
      <c r="D296" s="6" t="inlineStr">
        <is>
          <t>20260814</t>
        </is>
      </c>
      <c r="E296" s="16" t="n">
        <v>4226336</v>
      </c>
      <c r="F296" s="16" t="n">
        <v>1943393</v>
      </c>
      <c r="G296" s="16" t="n">
        <v>2282942</v>
      </c>
      <c r="H296" s="6" t="inlineStr">
        <is>
          <t>천원</t>
        </is>
      </c>
      <c r="I296" s="17" t="n">
        <v>-11.6</v>
      </c>
      <c r="J296" s="18" t="n">
        <v>1380000</v>
      </c>
      <c r="K296" s="19" t="n">
        <v>1959527</v>
      </c>
      <c r="L296" s="18" t="n">
        <v>1959527</v>
      </c>
      <c r="M296" s="19" t="n">
        <v>2773759</v>
      </c>
      <c r="N296" s="18" t="n">
        <v>3601039</v>
      </c>
      <c r="O296" s="19" t="n">
        <v>2384194</v>
      </c>
      <c r="P296" s="18" t="n">
        <v>2520379</v>
      </c>
      <c r="Q296" s="19" t="n">
        <v>1758092</v>
      </c>
      <c r="R296" s="18" t="n">
        <v>2581516</v>
      </c>
      <c r="S296" s="20" t="n">
        <v>2282942</v>
      </c>
      <c r="T296" s="6" t="n">
        <v>1</v>
      </c>
      <c r="U296" s="5" t="inlineStr">
        <is>
          <t>Touch IC / 2026년</t>
        </is>
      </c>
      <c r="V296" s="21">
        <f>HYPERLINK("https://dart.fss.or.kr/dsaf001/main.do?rcpNo=20260814002842", "공시열람")</f>
        <v/>
      </c>
    </row>
    <row r="297">
      <c r="A297" s="5" t="inlineStr">
        <is>
          <t>자연과환경</t>
        </is>
      </c>
      <c r="B297" s="6" t="inlineStr">
        <is>
          <t>043910</t>
        </is>
      </c>
      <c r="C297" s="6" t="inlineStr">
        <is>
          <t>2026Q2</t>
        </is>
      </c>
      <c r="D297" s="6" t="inlineStr">
        <is>
          <t>20260814</t>
        </is>
      </c>
      <c r="E297" s="16" t="n">
        <v>134559207</v>
      </c>
      <c r="F297" s="16" t="n">
        <v>17192420</v>
      </c>
      <c r="G297" s="16" t="n">
        <v>117366787</v>
      </c>
      <c r="H297" s="6" t="inlineStr">
        <is>
          <t>천원</t>
        </is>
      </c>
      <c r="I297" s="17" t="n">
        <v>1.5</v>
      </c>
      <c r="J297" s="18" t="n">
        <v>50230772</v>
      </c>
      <c r="K297" s="19" t="n">
        <v>53457468</v>
      </c>
      <c r="L297" s="18" t="n">
        <v>48155005</v>
      </c>
      <c r="M297" s="19" t="n">
        <v>82372870</v>
      </c>
      <c r="N297" s="18" t="n">
        <v>74236757</v>
      </c>
      <c r="O297" s="19" t="n">
        <v>64042634</v>
      </c>
      <c r="P297" s="18" t="n">
        <v>55294708</v>
      </c>
      <c r="Q297" s="19" t="n">
        <v>103058355</v>
      </c>
      <c r="R297" s="18" t="n">
        <v>115637912</v>
      </c>
      <c r="S297" s="20" t="n">
        <v>117366787</v>
      </c>
      <c r="T297" s="6" t="n">
        <v>4</v>
      </c>
      <c r="U297" s="5" t="inlineStr">
        <is>
          <t>호안블록, 투수블록, PC저류조 등 / - | 토양오염복원 / - | 조경/건축공사, 수질정화 외 / -</t>
        </is>
      </c>
      <c r="V297" s="21">
        <f>HYPERLINK("https://dart.fss.or.kr/dsaf001/main.do?rcpNo=20260814001222", "공시열람")</f>
        <v/>
      </c>
    </row>
    <row r="298">
      <c r="A298" s="5" t="inlineStr">
        <is>
          <t>KD</t>
        </is>
      </c>
      <c r="B298" s="6" t="inlineStr">
        <is>
          <t>044180</t>
        </is>
      </c>
      <c r="C298" s="6" t="inlineStr">
        <is>
          <t>2026Q2</t>
        </is>
      </c>
      <c r="D298" s="6" t="inlineStr">
        <is>
          <t>20261007</t>
        </is>
      </c>
      <c r="E298" s="16" t="n">
        <v>66853208</v>
      </c>
      <c r="F298" s="16" t="n">
        <v>33407348</v>
      </c>
      <c r="G298" s="16" t="n">
        <v>33445860</v>
      </c>
      <c r="H298" s="6" t="inlineStr">
        <is>
          <t>천원</t>
        </is>
      </c>
      <c r="I298" s="17" t="n">
        <v>-5.7</v>
      </c>
      <c r="J298" s="18" t="n">
        <v>83768000</v>
      </c>
      <c r="K298" s="19" t="n">
        <v>31075494</v>
      </c>
      <c r="L298" s="18" t="n">
        <v>32581543</v>
      </c>
      <c r="M298" s="19" t="n">
        <v>43899544</v>
      </c>
      <c r="N298" s="18" t="n">
        <v>43442512</v>
      </c>
      <c r="O298" s="19" t="n">
        <v>46261829</v>
      </c>
      <c r="P298" s="18" t="n">
        <v>42642369</v>
      </c>
      <c r="Q298" s="19" t="n">
        <v>35670781</v>
      </c>
      <c r="R298" s="18" t="n">
        <v>35459698</v>
      </c>
      <c r="S298" s="20" t="n">
        <v>33445860</v>
      </c>
      <c r="T298" s="6" t="n">
        <v>6</v>
      </c>
      <c r="U298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8" s="21">
        <f>HYPERLINK("https://dart.fss.or.kr/dsaf001/main.do?rcpNo=20261007000182", "공시열람")</f>
        <v/>
      </c>
    </row>
    <row r="299">
      <c r="A299" s="5" t="inlineStr">
        <is>
          <t>주연테크</t>
        </is>
      </c>
      <c r="B299" s="6" t="inlineStr">
        <is>
          <t>044380</t>
        </is>
      </c>
      <c r="C299" s="6" t="inlineStr">
        <is>
          <t>2026Q2</t>
        </is>
      </c>
      <c r="D299" s="6" t="inlineStr">
        <is>
          <t>20260813</t>
        </is>
      </c>
      <c r="E299" s="16" t="n">
        <v>2161909090</v>
      </c>
      <c r="F299" s="16" t="n">
        <v>614320000</v>
      </c>
      <c r="G299" s="16" t="n">
        <v>1547589090</v>
      </c>
      <c r="H299" s="6" t="inlineStr">
        <is>
          <t>개,원</t>
        </is>
      </c>
      <c r="I299" s="17" t="inlineStr"/>
      <c r="J299" s="18" t="inlineStr"/>
      <c r="K299" s="19" t="inlineStr"/>
      <c r="L299" s="18" t="inlineStr"/>
      <c r="M299" s="19" t="inlineStr"/>
      <c r="N299" s="18" t="inlineStr"/>
      <c r="O299" s="19" t="inlineStr"/>
      <c r="P299" s="18" t="inlineStr"/>
      <c r="Q299" s="19" t="inlineStr"/>
      <c r="R299" s="18" t="inlineStr"/>
      <c r="S299" s="20" t="n">
        <v>1547589090</v>
      </c>
      <c r="T299" s="6" t="n">
        <v>2</v>
      </c>
      <c r="U299" s="5" t="inlineStr">
        <is>
          <t>데스크탑PC / 2026.06.18 / 2027.05. | 모니터 / 2026.06.18 / 2027.05.31</t>
        </is>
      </c>
      <c r="V299" s="21">
        <f>HYPERLINK("https://dart.fss.or.kr/dsaf001/main.do?rcpNo=20260813000944", "공시열람")</f>
        <v/>
      </c>
    </row>
    <row r="300">
      <c r="A300" s="5" t="inlineStr">
        <is>
          <t>태웅</t>
        </is>
      </c>
      <c r="B300" s="6" t="inlineStr">
        <is>
          <t>044490</t>
        </is>
      </c>
      <c r="C300" s="6" t="inlineStr">
        <is>
          <t>2026Q2</t>
        </is>
      </c>
      <c r="D300" s="6" t="inlineStr">
        <is>
          <t>20260814</t>
        </is>
      </c>
      <c r="E300" s="16" t="n">
        <v>195783</v>
      </c>
      <c r="F300" s="16" t="inlineStr"/>
      <c r="G300" s="16" t="n">
        <v>184956</v>
      </c>
      <c r="H300" s="6" t="inlineStr">
        <is>
          <t>백만원</t>
        </is>
      </c>
      <c r="I300" s="17" t="n">
        <v>0.4</v>
      </c>
      <c r="J300" s="18" t="n">
        <v>133417</v>
      </c>
      <c r="K300" s="19" t="n">
        <v>140581</v>
      </c>
      <c r="L300" s="18" t="n">
        <v>135972</v>
      </c>
      <c r="M300" s="19" t="n">
        <v>140451</v>
      </c>
      <c r="N300" s="18" t="n">
        <v>162389</v>
      </c>
      <c r="O300" s="19" t="n">
        <v>336027</v>
      </c>
      <c r="P300" s="18" t="n">
        <v>171935</v>
      </c>
      <c r="Q300" s="19" t="n">
        <v>173267</v>
      </c>
      <c r="R300" s="18" t="n">
        <v>184145</v>
      </c>
      <c r="S300" s="20" t="n">
        <v>184956</v>
      </c>
      <c r="T300" s="6" t="n">
        <v>2</v>
      </c>
      <c r="U300" s="5" t="inlineStr">
        <is>
          <t>제품 / 2026.04.01~2026.06.30 | 제품 / 2026.01.01~2026.03.31</t>
        </is>
      </c>
      <c r="V300" s="21">
        <f>HYPERLINK("https://dart.fss.or.kr/dsaf001/main.do?rcpNo=20260814002063", "공시열람")</f>
        <v/>
      </c>
    </row>
    <row r="301">
      <c r="A301" s="5" t="inlineStr">
        <is>
          <t>에이치케이</t>
        </is>
      </c>
      <c r="B301" s="6" t="inlineStr">
        <is>
          <t>044780</t>
        </is>
      </c>
      <c r="C301" s="6" t="inlineStr">
        <is>
          <t>2026Q2</t>
        </is>
      </c>
      <c r="D301" s="6" t="inlineStr">
        <is>
          <t>20260929</t>
        </is>
      </c>
      <c r="E301" s="16" t="n">
        <v>48905</v>
      </c>
      <c r="F301" s="16" t="n">
        <v>14297</v>
      </c>
      <c r="G301" s="16" t="n">
        <v>34608</v>
      </c>
      <c r="H301" s="6" t="inlineStr">
        <is>
          <t>대,백만원</t>
        </is>
      </c>
      <c r="I301" s="17" t="n">
        <v>20.7</v>
      </c>
      <c r="J301" s="18" t="n">
        <v>16287</v>
      </c>
      <c r="K301" s="19" t="n">
        <v>14594</v>
      </c>
      <c r="L301" s="18" t="n">
        <v>13429</v>
      </c>
      <c r="M301" s="19" t="n">
        <v>11613</v>
      </c>
      <c r="N301" s="18" t="n">
        <v>11373</v>
      </c>
      <c r="O301" s="19" t="n">
        <v>14353</v>
      </c>
      <c r="P301" s="18" t="n">
        <v>14291</v>
      </c>
      <c r="Q301" s="19" t="n">
        <v>11072</v>
      </c>
      <c r="R301" s="18" t="n">
        <v>28679</v>
      </c>
      <c r="S301" s="20" t="n">
        <v>34608</v>
      </c>
      <c r="T301" s="6" t="n">
        <v>1</v>
      </c>
      <c r="U301" s="5" t="inlineStr">
        <is>
          <t>레이저가공기 / 2026.06.30까지 / 2026.0</t>
        </is>
      </c>
      <c r="V301" s="21">
        <f>HYPERLINK("https://dart.fss.or.kr/dsaf001/main.do?rcpNo=20260929000127", "공시열람")</f>
        <v/>
      </c>
    </row>
    <row r="302">
      <c r="A302" s="5" t="inlineStr">
        <is>
          <t>한양이엔지</t>
        </is>
      </c>
      <c r="B302" s="6" t="inlineStr">
        <is>
          <t>045100</t>
        </is>
      </c>
      <c r="C302" s="6" t="inlineStr">
        <is>
          <t>2026Q2</t>
        </is>
      </c>
      <c r="D302" s="6" t="inlineStr">
        <is>
          <t>20260813</t>
        </is>
      </c>
      <c r="E302" s="16" t="n">
        <v>2928269</v>
      </c>
      <c r="F302" s="16" t="n">
        <v>2115220</v>
      </c>
      <c r="G302" s="16" t="n">
        <v>813049</v>
      </c>
      <c r="H302" s="6" t="inlineStr">
        <is>
          <t>백만원</t>
        </is>
      </c>
      <c r="I302" s="17" t="n">
        <v>18.8</v>
      </c>
      <c r="J302" s="18" t="n">
        <v>559998</v>
      </c>
      <c r="K302" s="19" t="n">
        <v>472825</v>
      </c>
      <c r="L302" s="18" t="n">
        <v>496005</v>
      </c>
      <c r="M302" s="19" t="n">
        <v>507446</v>
      </c>
      <c r="N302" s="18" t="n">
        <v>505583</v>
      </c>
      <c r="O302" s="19" t="n">
        <v>483798</v>
      </c>
      <c r="P302" s="18" t="n">
        <v>676368</v>
      </c>
      <c r="Q302" s="19" t="n">
        <v>595745</v>
      </c>
      <c r="R302" s="18" t="n">
        <v>684444</v>
      </c>
      <c r="S302" s="20" t="n">
        <v>813049</v>
      </c>
      <c r="T302" s="6" t="n">
        <v>5</v>
      </c>
      <c r="U302" s="5" t="inlineStr">
        <is>
          <t>한양이엔지(주) / - | Hanyang ENG USA Inc (미국) / - | Hanyang ENG Vina Co. Ltd (베트남)</t>
        </is>
      </c>
      <c r="V302" s="21">
        <f>HYPERLINK("https://dart.fss.or.kr/dsaf001/main.do?rcpNo=20260813001716", "공시열람")</f>
        <v/>
      </c>
    </row>
    <row r="303">
      <c r="A303" s="5" t="inlineStr">
        <is>
          <t>성우테크론</t>
        </is>
      </c>
      <c r="B303" s="6" t="inlineStr">
        <is>
          <t>045300</t>
        </is>
      </c>
      <c r="C303" s="6" t="inlineStr">
        <is>
          <t>2026Q2</t>
        </is>
      </c>
      <c r="D303" s="6" t="inlineStr">
        <is>
          <t>20260929</t>
        </is>
      </c>
      <c r="E303" s="16" t="n">
        <v>12724</v>
      </c>
      <c r="F303" s="16" t="inlineStr"/>
      <c r="G303" s="16" t="n">
        <v>12724</v>
      </c>
      <c r="H303" s="6" t="inlineStr">
        <is>
          <t>백만원</t>
        </is>
      </c>
      <c r="I303" s="17" t="n">
        <v>-12</v>
      </c>
      <c r="J303" s="18" t="n">
        <v>6996</v>
      </c>
      <c r="K303" s="19" t="n">
        <v>5015</v>
      </c>
      <c r="L303" s="18" t="n">
        <v>7507</v>
      </c>
      <c r="M303" s="19" t="n">
        <v>9150</v>
      </c>
      <c r="N303" s="18" t="n">
        <v>7572</v>
      </c>
      <c r="O303" s="19" t="n">
        <v>5070</v>
      </c>
      <c r="P303" s="18" t="n">
        <v>6224</v>
      </c>
      <c r="Q303" s="19" t="n">
        <v>14880</v>
      </c>
      <c r="R303" s="18" t="n">
        <v>14457</v>
      </c>
      <c r="S303" s="20" t="n">
        <v>12724</v>
      </c>
      <c r="T303" s="6" t="n">
        <v>1</v>
      </c>
      <c r="U303" s="5" t="inlineStr">
        <is>
          <t>반도체검사장비 / -</t>
        </is>
      </c>
      <c r="V303" s="21">
        <f>HYPERLINK("https://dart.fss.or.kr/dsaf001/main.do?rcpNo=20260929000408", "공시열람")</f>
        <v/>
      </c>
    </row>
    <row r="304">
      <c r="A304" s="5" t="inlineStr">
        <is>
          <t>토탈소프트</t>
        </is>
      </c>
      <c r="B304" s="6" t="inlineStr">
        <is>
          <t>045340</t>
        </is>
      </c>
      <c r="C304" s="6" t="inlineStr">
        <is>
          <t>2026Q2</t>
        </is>
      </c>
      <c r="D304" s="6" t="inlineStr">
        <is>
          <t>20260813</t>
        </is>
      </c>
      <c r="E304" s="16" t="n">
        <v>48200745223</v>
      </c>
      <c r="F304" s="16" t="n">
        <v>16970618719</v>
      </c>
      <c r="G304" s="16" t="n">
        <v>31230126504</v>
      </c>
      <c r="H304" s="6" t="inlineStr">
        <is>
          <t>원</t>
        </is>
      </c>
      <c r="I304" s="17" t="n">
        <v>83768.39999999999</v>
      </c>
      <c r="J304" s="18" t="n">
        <v>14374435691</v>
      </c>
      <c r="K304" s="19" t="n">
        <v>16121005986</v>
      </c>
      <c r="L304" s="18" t="n">
        <v>22741710192</v>
      </c>
      <c r="M304" s="19" t="n">
        <v>19445309430</v>
      </c>
      <c r="N304" s="18" t="n">
        <v>38567327562</v>
      </c>
      <c r="O304" s="19" t="n">
        <v>30477829</v>
      </c>
      <c r="P304" s="18" t="n">
        <v>27424456</v>
      </c>
      <c r="Q304" s="19" t="n">
        <v>30470222</v>
      </c>
      <c r="R304" s="18" t="n">
        <v>37237058</v>
      </c>
      <c r="S304" s="20" t="n">
        <v>31230126504</v>
      </c>
      <c r="T304" s="6" t="n">
        <v>8</v>
      </c>
      <c r="U304" s="5" t="inlineStr">
        <is>
          <t>CATOS / 2026.01외 / 2026.12외 | 유지보수 / 2026.01외 / 2026.12외 | Supercargo / 2026.01외 / 2026.1</t>
        </is>
      </c>
      <c r="V304" s="21">
        <f>HYPERLINK("https://dart.fss.or.kr/dsaf001/main.do?rcpNo=20260813001058", "공시열람")</f>
        <v/>
      </c>
    </row>
    <row r="305">
      <c r="A305" s="5" t="inlineStr">
        <is>
          <t>대아티아이</t>
        </is>
      </c>
      <c r="B305" s="6" t="inlineStr">
        <is>
          <t>045390</t>
        </is>
      </c>
      <c r="C305" s="6" t="inlineStr">
        <is>
          <t>2026Q2</t>
        </is>
      </c>
      <c r="D305" s="6" t="inlineStr">
        <is>
          <t>20260814</t>
        </is>
      </c>
      <c r="E305" s="16" t="n">
        <v>872121724698</v>
      </c>
      <c r="F305" s="16" t="n">
        <v>443538779738</v>
      </c>
      <c r="G305" s="16" t="n">
        <v>428578637960</v>
      </c>
      <c r="H305" s="6" t="inlineStr">
        <is>
          <t>원</t>
        </is>
      </c>
      <c r="I305" s="17" t="n">
        <v>115257855.1</v>
      </c>
      <c r="J305" s="18" t="n">
        <v>457515723558</v>
      </c>
      <c r="K305" s="19" t="n">
        <v>483139</v>
      </c>
      <c r="L305" s="18" t="n">
        <v>472253</v>
      </c>
      <c r="M305" s="19" t="n">
        <v>501135978072</v>
      </c>
      <c r="N305" s="18" t="n">
        <v>393625</v>
      </c>
      <c r="O305" s="19" t="n">
        <v>375240</v>
      </c>
      <c r="P305" s="18" t="n">
        <v>358306</v>
      </c>
      <c r="Q305" s="19" t="n">
        <v>386316</v>
      </c>
      <c r="R305" s="18" t="n">
        <v>371843</v>
      </c>
      <c r="S305" s="20" t="n">
        <v>428578637960</v>
      </c>
      <c r="T305" s="6" t="n">
        <v>4</v>
      </c>
      <c r="U305" s="5" t="inlineStr">
        <is>
          <t>SIG | ETC | I&amp;C</t>
        </is>
      </c>
      <c r="V305" s="21">
        <f>HYPERLINK("https://dart.fss.or.kr/dsaf001/main.do?rcpNo=20260814004275", "공시열람")</f>
        <v/>
      </c>
    </row>
    <row r="306">
      <c r="A306" s="5" t="inlineStr">
        <is>
          <t>크린앤사이언스</t>
        </is>
      </c>
      <c r="B306" s="6" t="inlineStr">
        <is>
          <t>045520</t>
        </is>
      </c>
      <c r="C306" s="6" t="inlineStr">
        <is>
          <t>2026Q2</t>
        </is>
      </c>
      <c r="D306" s="6" t="inlineStr">
        <is>
          <t>20260812</t>
        </is>
      </c>
      <c r="E306" s="16" t="n">
        <v>53227</v>
      </c>
      <c r="F306" s="16" t="n">
        <v>46279</v>
      </c>
      <c r="G306" s="16" t="n">
        <v>6948</v>
      </c>
      <c r="H306" s="6" t="inlineStr">
        <is>
          <t>천EA,Ton,백만원</t>
        </is>
      </c>
      <c r="I306" s="17" t="n">
        <v>-10.3</v>
      </c>
      <c r="J306" s="18" t="n">
        <v>7450</v>
      </c>
      <c r="K306" s="19" t="n">
        <v>5588</v>
      </c>
      <c r="L306" s="18" t="n">
        <v>6178</v>
      </c>
      <c r="M306" s="19" t="n">
        <v>7275</v>
      </c>
      <c r="N306" s="18" t="n">
        <v>6988</v>
      </c>
      <c r="O306" s="19" t="n">
        <v>6418</v>
      </c>
      <c r="P306" s="18" t="n">
        <v>6026</v>
      </c>
      <c r="Q306" s="19" t="n">
        <v>8491</v>
      </c>
      <c r="R306" s="18" t="n">
        <v>7745</v>
      </c>
      <c r="S306" s="20" t="n">
        <v>6948</v>
      </c>
      <c r="T306" s="6" t="n">
        <v>10</v>
      </c>
      <c r="U306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6" s="21">
        <f>HYPERLINK("https://dart.fss.or.kr/dsaf001/main.do?rcpNo=20260812000060", "공시열람")</f>
        <v/>
      </c>
    </row>
    <row r="307">
      <c r="A307" s="5" t="inlineStr">
        <is>
          <t>오르비텍</t>
        </is>
      </c>
      <c r="B307" s="6" t="inlineStr">
        <is>
          <t>046120</t>
        </is>
      </c>
      <c r="C307" s="6" t="inlineStr">
        <is>
          <t>2026Q2</t>
        </is>
      </c>
      <c r="D307" s="6" t="inlineStr">
        <is>
          <t>20260814</t>
        </is>
      </c>
      <c r="E307" s="16" t="n">
        <v>49239</v>
      </c>
      <c r="F307" s="16" t="inlineStr"/>
      <c r="G307" s="16" t="n">
        <v>33331</v>
      </c>
      <c r="H307" s="6" t="inlineStr">
        <is>
          <t>백만원</t>
        </is>
      </c>
      <c r="I307" s="17" t="n">
        <v>-7.9</v>
      </c>
      <c r="J307" s="18" t="n">
        <v>7761</v>
      </c>
      <c r="K307" s="19" t="n">
        <v>36127</v>
      </c>
      <c r="L307" s="18" t="n">
        <v>32295</v>
      </c>
      <c r="M307" s="19" t="n">
        <v>21736</v>
      </c>
      <c r="N307" s="18" t="n">
        <v>16499</v>
      </c>
      <c r="O307" s="19" t="n">
        <v>3622</v>
      </c>
      <c r="P307" s="18" t="n">
        <v>6680</v>
      </c>
      <c r="Q307" s="19" t="n">
        <v>4939</v>
      </c>
      <c r="R307" s="18" t="n">
        <v>36205</v>
      </c>
      <c r="S307" s="20" t="n">
        <v>33331</v>
      </c>
      <c r="T307" s="6" t="n">
        <v>8</v>
      </c>
      <c r="U307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7" s="21">
        <f>HYPERLINK("https://dart.fss.or.kr/dsaf001/main.do?rcpNo=20260814002604", "공시열람")</f>
        <v/>
      </c>
    </row>
    <row r="308">
      <c r="A308" s="5" t="inlineStr">
        <is>
          <t>HLB파나진</t>
        </is>
      </c>
      <c r="B308" s="6" t="inlineStr">
        <is>
          <t>046210</t>
        </is>
      </c>
      <c r="C308" s="6" t="inlineStr">
        <is>
          <t>2026Q2</t>
        </is>
      </c>
      <c r="D308" s="6" t="inlineStr">
        <is>
          <t>20260814</t>
        </is>
      </c>
      <c r="E308" s="16" t="n">
        <v>6980</v>
      </c>
      <c r="F308" s="16" t="n">
        <v>6752</v>
      </c>
      <c r="G308" s="16" t="n">
        <v>227</v>
      </c>
      <c r="H308" s="6" t="inlineStr">
        <is>
          <t>백만원,Kit,대</t>
        </is>
      </c>
      <c r="I308" s="17" t="n">
        <v>-40.4</v>
      </c>
      <c r="J308" s="18" t="n">
        <v>90</v>
      </c>
      <c r="K308" s="19" t="n">
        <v>149</v>
      </c>
      <c r="L308" s="18" t="n">
        <v>517</v>
      </c>
      <c r="M308" s="19" t="n">
        <v>310</v>
      </c>
      <c r="N308" s="18" t="n">
        <v>503</v>
      </c>
      <c r="O308" s="19" t="n">
        <v>263</v>
      </c>
      <c r="P308" s="18" t="n">
        <v>191</v>
      </c>
      <c r="Q308" s="19" t="n">
        <v>304</v>
      </c>
      <c r="R308" s="18" t="n">
        <v>381</v>
      </c>
      <c r="S308" s="20" t="n">
        <v>227</v>
      </c>
      <c r="T308" s="6" t="n">
        <v>6</v>
      </c>
      <c r="U308" s="5" t="inlineStr">
        <is>
          <t>유전자진단키트 / 당기 / - | 소재(PNA 등) / 당기 / - | 핵산추출키트 / 당기 / -</t>
        </is>
      </c>
      <c r="V308" s="21">
        <f>HYPERLINK("https://dart.fss.or.kr/dsaf001/main.do?rcpNo=20260814002333", "공시열람")</f>
        <v/>
      </c>
    </row>
    <row r="309">
      <c r="A309" s="5" t="inlineStr">
        <is>
          <t>우원개발</t>
        </is>
      </c>
      <c r="B309" s="6" t="inlineStr">
        <is>
          <t>046940</t>
        </is>
      </c>
      <c r="C309" s="6" t="inlineStr">
        <is>
          <t>2026Q1</t>
        </is>
      </c>
      <c r="D309" s="6" t="inlineStr">
        <is>
          <t>20260515</t>
        </is>
      </c>
      <c r="E309" s="16" t="inlineStr"/>
      <c r="F309" s="16" t="inlineStr"/>
      <c r="G309" s="16" t="n">
        <v>678056575</v>
      </c>
      <c r="H309" s="6" t="inlineStr">
        <is>
          <t>천원</t>
        </is>
      </c>
      <c r="I309" s="17" t="n">
        <v>13.1</v>
      </c>
      <c r="J309" s="18" t="n">
        <v>542953297</v>
      </c>
      <c r="K309" s="19" t="n">
        <v>605685063</v>
      </c>
      <c r="L309" s="18" t="n">
        <v>726312702</v>
      </c>
      <c r="M309" s="19" t="n">
        <v>744989788</v>
      </c>
      <c r="N309" s="18" t="n">
        <v>736204424</v>
      </c>
      <c r="O309" s="19" t="n">
        <v>678808546</v>
      </c>
      <c r="P309" s="18" t="n">
        <v>599546960</v>
      </c>
      <c r="Q309" s="19" t="inlineStr"/>
      <c r="R309" s="18" t="n">
        <v>678056575</v>
      </c>
      <c r="S309" s="20" t="inlineStr"/>
      <c r="T309" s="6" t="n">
        <v>1</v>
      </c>
      <c r="U309" s="5" t="inlineStr">
        <is>
          <t>토목공사</t>
        </is>
      </c>
      <c r="V309" s="21">
        <f>HYPERLINK("https://dart.fss.or.kr/dsaf001/main.do?rcpNo=20260515001894", "공시열람")</f>
        <v/>
      </c>
    </row>
    <row r="310">
      <c r="A310" s="5" t="inlineStr">
        <is>
          <t>대우건설</t>
        </is>
      </c>
      <c r="B310" s="6" t="inlineStr">
        <is>
          <t>047040</t>
        </is>
      </c>
      <c r="C310" s="6" t="inlineStr">
        <is>
          <t>2026Q2</t>
        </is>
      </c>
      <c r="D310" s="6" t="inlineStr">
        <is>
          <t>20260814</t>
        </is>
      </c>
      <c r="E310" s="16" t="n">
        <v>79523731</v>
      </c>
      <c r="F310" s="16" t="n">
        <v>26121843</v>
      </c>
      <c r="G310" s="16" t="n">
        <v>53401887</v>
      </c>
      <c r="H310" s="6" t="inlineStr">
        <is>
          <t>백만원</t>
        </is>
      </c>
      <c r="I310" s="17" t="n">
        <v>2.9</v>
      </c>
      <c r="J310" s="18" t="n">
        <v>45657158</v>
      </c>
      <c r="K310" s="19" t="n">
        <v>44988811</v>
      </c>
      <c r="L310" s="18" t="n">
        <v>44777689</v>
      </c>
      <c r="M310" s="19" t="n">
        <v>44440135</v>
      </c>
      <c r="N310" s="18" t="n">
        <v>45012888</v>
      </c>
      <c r="O310" s="19" t="n">
        <v>44993303</v>
      </c>
      <c r="P310" s="18" t="n">
        <v>48803755</v>
      </c>
      <c r="Q310" s="19" t="n">
        <v>50596818</v>
      </c>
      <c r="R310" s="18" t="n">
        <v>51890207</v>
      </c>
      <c r="S310" s="20" t="n">
        <v>53401887</v>
      </c>
      <c r="T310" s="6" t="n">
        <v>130</v>
      </c>
      <c r="U310" s="5" t="inlineStr">
        <is>
          <t>기타(국내) | 블랑써밋74사업 / 2023년 12월 / 2028년 1 | 서면써밋더뉴사업 / 2025년 7월 / 2031년 3월</t>
        </is>
      </c>
      <c r="V310" s="21">
        <f>HYPERLINK("https://dart.fss.or.kr/dsaf001/main.do?rcpNo=20260814002161", "공시열람")</f>
        <v/>
      </c>
    </row>
    <row r="311">
      <c r="A311" s="5" t="inlineStr">
        <is>
          <t>한국항공우주</t>
        </is>
      </c>
      <c r="B311" s="6" t="inlineStr">
        <is>
          <t>047810</t>
        </is>
      </c>
      <c r="C311" s="6" t="inlineStr">
        <is>
          <t>2026Q2</t>
        </is>
      </c>
      <c r="D311" s="6" t="inlineStr">
        <is>
          <t>20260814</t>
        </is>
      </c>
      <c r="E311" s="16" t="inlineStr"/>
      <c r="F311" s="16" t="inlineStr"/>
      <c r="G311" s="16" t="n">
        <v>257502</v>
      </c>
      <c r="H311" s="6" t="inlineStr">
        <is>
          <t>억원</t>
        </is>
      </c>
      <c r="I311" s="17" t="n">
        <v>-3</v>
      </c>
      <c r="J311" s="18" t="n">
        <v>212718</v>
      </c>
      <c r="K311" s="19" t="n">
        <v>232591</v>
      </c>
      <c r="L311" s="18" t="n">
        <v>224080</v>
      </c>
      <c r="M311" s="19" t="n">
        <v>246994</v>
      </c>
      <c r="N311" s="18" t="n">
        <v>242569</v>
      </c>
      <c r="O311" s="19" t="n">
        <v>266733</v>
      </c>
      <c r="P311" s="18" t="n">
        <v>82149293</v>
      </c>
      <c r="Q311" s="19" t="n">
        <v>273437</v>
      </c>
      <c r="R311" s="18" t="n">
        <v>265532</v>
      </c>
      <c r="S311" s="20" t="n">
        <v>257502</v>
      </c>
      <c r="T311" s="6" t="n">
        <v>4</v>
      </c>
      <c r="U311" s="5" t="inlineStr">
        <is>
          <t>국내방산 / - | 기체부품 / - | 완제기수출 / -</t>
        </is>
      </c>
      <c r="V311" s="21">
        <f>HYPERLINK("https://dart.fss.or.kr/dsaf001/main.do?rcpNo=20260814003309", "공시열람")</f>
        <v/>
      </c>
    </row>
    <row r="312">
      <c r="A312" s="5" t="inlineStr">
        <is>
          <t>초록뱀미디어</t>
        </is>
      </c>
      <c r="B312" s="6" t="inlineStr">
        <is>
          <t>047820</t>
        </is>
      </c>
      <c r="C312" s="6" t="inlineStr">
        <is>
          <t>2024Q4</t>
        </is>
      </c>
      <c r="D312" s="6" t="inlineStr">
        <is>
          <t>20250321</t>
        </is>
      </c>
      <c r="E312" s="16" t="n">
        <v>70695</v>
      </c>
      <c r="F312" s="16" t="n">
        <v>70695</v>
      </c>
      <c r="G312" s="16" t="n">
        <v>0</v>
      </c>
      <c r="H312" s="6" t="inlineStr">
        <is>
          <t>백만원,VAT별도</t>
        </is>
      </c>
      <c r="I312" s="17" t="n">
        <v>-100</v>
      </c>
      <c r="J312" s="18" t="n">
        <v>24000</v>
      </c>
      <c r="K312" s="19" t="n">
        <v>4400</v>
      </c>
      <c r="L312" s="18" t="n">
        <v>2600</v>
      </c>
      <c r="M312" s="19" t="n">
        <v>0</v>
      </c>
      <c r="N312" s="18" t="inlineStr"/>
      <c r="O312" s="19" t="inlineStr"/>
      <c r="P312" s="18" t="inlineStr"/>
      <c r="Q312" s="19" t="inlineStr"/>
      <c r="R312" s="18" t="inlineStr"/>
      <c r="S312" s="20" t="inlineStr"/>
      <c r="T312" s="6" t="n">
        <v>4</v>
      </c>
      <c r="U312" s="5" t="inlineStr">
        <is>
          <t>SBS_7인의탈출 시즌1, 2 / 2023.08.04  | 문화방송_열녀박씨계약결혼뎐 / 2023.08.16 /  | 결혼해YOU / 2024.02.26 / 2024.02~</t>
        </is>
      </c>
      <c r="V312" s="21">
        <f>HYPERLINK("https://dart.fss.or.kr/dsaf001/main.do?rcpNo=20250321001771", "공시열람")</f>
        <v/>
      </c>
    </row>
    <row r="313">
      <c r="A313" s="5" t="inlineStr">
        <is>
          <t>TPC로보틱스</t>
        </is>
      </c>
      <c r="B313" s="6" t="inlineStr">
        <is>
          <t>048770</t>
        </is>
      </c>
      <c r="C313" s="6" t="inlineStr">
        <is>
          <t>2026Q2</t>
        </is>
      </c>
      <c r="D313" s="6" t="inlineStr">
        <is>
          <t>20260814</t>
        </is>
      </c>
      <c r="E313" s="16" t="n">
        <v>45997</v>
      </c>
      <c r="F313" s="16" t="n">
        <v>43398</v>
      </c>
      <c r="G313" s="16" t="n">
        <v>2591</v>
      </c>
      <c r="H313" s="6" t="inlineStr">
        <is>
          <t>EA,백만원</t>
        </is>
      </c>
      <c r="I313" s="17" t="n">
        <v>399.2</v>
      </c>
      <c r="J313" s="18" t="n">
        <v>2401</v>
      </c>
      <c r="K313" s="19" t="n">
        <v>3133</v>
      </c>
      <c r="L313" s="18" t="n">
        <v>3758</v>
      </c>
      <c r="M313" s="19" t="n">
        <v>3512</v>
      </c>
      <c r="N313" s="18" t="n">
        <v>1156</v>
      </c>
      <c r="O313" s="19" t="n">
        <v>3527</v>
      </c>
      <c r="P313" s="18" t="n">
        <v>1770</v>
      </c>
      <c r="Q313" s="19" t="n">
        <v>1269</v>
      </c>
      <c r="R313" s="18" t="n">
        <v>519</v>
      </c>
      <c r="S313" s="20" t="n">
        <v>2591</v>
      </c>
      <c r="T313" s="6" t="n">
        <v>9</v>
      </c>
      <c r="U313" s="5" t="inlineStr">
        <is>
          <t>직교로봇 / 2026.01.01~2026.06.30 / | 리니어 / 2026.01.01~2026.06.30 /  | 액츄에이터류 / 2026.01.01~2026.06.30</t>
        </is>
      </c>
      <c r="V313" s="21">
        <f>HYPERLINK("https://dart.fss.or.kr/dsaf001/main.do?rcpNo=20260814003401", "공시열람")</f>
        <v/>
      </c>
    </row>
    <row r="314">
      <c r="A314" s="5" t="inlineStr">
        <is>
          <t>시너지이노베이션</t>
        </is>
      </c>
      <c r="B314" s="6" t="inlineStr">
        <is>
          <t>048870</t>
        </is>
      </c>
      <c r="C314" s="6" t="inlineStr">
        <is>
          <t>2026Q2</t>
        </is>
      </c>
      <c r="D314" s="6" t="inlineStr">
        <is>
          <t>20260814</t>
        </is>
      </c>
      <c r="E314" s="16" t="n">
        <v>7379157</v>
      </c>
      <c r="F314" s="16" t="n">
        <v>1859965</v>
      </c>
      <c r="G314" s="16" t="n">
        <v>5519192</v>
      </c>
      <c r="H314" s="6" t="inlineStr">
        <is>
          <t>개,천원</t>
        </is>
      </c>
      <c r="I314" s="17" t="n">
        <v>-33</v>
      </c>
      <c r="J314" s="18" t="n">
        <v>4464317</v>
      </c>
      <c r="K314" s="19" t="n">
        <v>6116972</v>
      </c>
      <c r="L314" s="18" t="n">
        <v>6838985</v>
      </c>
      <c r="M314" s="19" t="n">
        <v>9839578</v>
      </c>
      <c r="N314" s="18" t="n">
        <v>6240903</v>
      </c>
      <c r="O314" s="19" t="n">
        <v>4241454</v>
      </c>
      <c r="P314" s="18" t="n">
        <v>6900120</v>
      </c>
      <c r="Q314" s="19" t="n">
        <v>6407008</v>
      </c>
      <c r="R314" s="18" t="n">
        <v>8233844</v>
      </c>
      <c r="S314" s="20" t="n">
        <v>5519192</v>
      </c>
      <c r="T314" s="6" t="n">
        <v>141</v>
      </c>
      <c r="U314" s="5" t="inlineStr">
        <is>
          <t>스텐트 / 2026-06-14 / 2026년 8월 | 스텐트 / 2026-06-08 / 2026년 7월 | 스텐트 / 2026-06-17 / 2026년 9월</t>
        </is>
      </c>
      <c r="V314" s="21">
        <f>HYPERLINK("https://dart.fss.or.kr/dsaf001/main.do?rcpNo=20260814002643", "공시열람")</f>
        <v/>
      </c>
    </row>
    <row r="315">
      <c r="A315" s="5" t="inlineStr">
        <is>
          <t>기가레인</t>
        </is>
      </c>
      <c r="B315" s="6" t="inlineStr">
        <is>
          <t>049080</t>
        </is>
      </c>
      <c r="C315" s="6" t="inlineStr">
        <is>
          <t>2023Q4</t>
        </is>
      </c>
      <c r="D315" s="6" t="inlineStr">
        <is>
          <t>20240321</t>
        </is>
      </c>
      <c r="E315" s="16" t="n">
        <v>153.1</v>
      </c>
      <c r="F315" s="16" t="n">
        <v>153.1</v>
      </c>
      <c r="G315" s="16" t="n">
        <v>21.98</v>
      </c>
      <c r="H315" s="6" t="inlineStr"/>
      <c r="I315" s="17" t="inlineStr"/>
      <c r="J315" s="18" t="inlineStr"/>
      <c r="K315" s="19" t="inlineStr"/>
      <c r="L315" s="18" t="inlineStr"/>
      <c r="M315" s="19" t="inlineStr"/>
      <c r="N315" s="18" t="inlineStr"/>
      <c r="O315" s="19" t="inlineStr"/>
      <c r="P315" s="18" t="inlineStr"/>
      <c r="Q315" s="19" t="inlineStr"/>
      <c r="R315" s="18" t="inlineStr"/>
      <c r="S315" s="20" t="inlineStr"/>
      <c r="T315" s="6" t="n">
        <v>1</v>
      </c>
      <c r="U315" s="5" t="inlineStr">
        <is>
          <t>RF 케이블 외 / 2021-12-28 / 2024-1</t>
        </is>
      </c>
      <c r="V315" s="21">
        <f>HYPERLINK("https://dart.fss.or.kr/dsaf001/main.do?rcpNo=20240321001642", "공시열람")</f>
        <v/>
      </c>
    </row>
    <row r="316">
      <c r="A316" s="5" t="inlineStr">
        <is>
          <t>셀루메드</t>
        </is>
      </c>
      <c r="B316" s="6" t="inlineStr">
        <is>
          <t>049180</t>
        </is>
      </c>
      <c r="C316" s="6" t="inlineStr">
        <is>
          <t>2026Q2</t>
        </is>
      </c>
      <c r="D316" s="6" t="inlineStr">
        <is>
          <t>20261013</t>
        </is>
      </c>
      <c r="E316" s="16" t="n">
        <v>352124</v>
      </c>
      <c r="F316" s="16" t="n">
        <v>224647</v>
      </c>
      <c r="G316" s="16" t="n">
        <v>127478</v>
      </c>
      <c r="H316" s="6" t="inlineStr">
        <is>
          <t>백만원</t>
        </is>
      </c>
      <c r="I316" s="17" t="n">
        <v>5.2</v>
      </c>
      <c r="J316" s="18" t="n">
        <v>195137</v>
      </c>
      <c r="K316" s="19" t="n">
        <v>196792</v>
      </c>
      <c r="L316" s="18" t="n">
        <v>171595</v>
      </c>
      <c r="M316" s="19" t="n">
        <v>170480</v>
      </c>
      <c r="N316" s="18" t="n">
        <v>158826</v>
      </c>
      <c r="O316" s="19" t="n">
        <v>133330</v>
      </c>
      <c r="P316" s="18" t="n">
        <v>139468</v>
      </c>
      <c r="Q316" s="19" t="n">
        <v>121162</v>
      </c>
      <c r="R316" s="18" t="n">
        <v>121168</v>
      </c>
      <c r="S316" s="20" t="n">
        <v>127478</v>
      </c>
      <c r="T316" s="6" t="n">
        <v>75</v>
      </c>
      <c r="U316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6" s="21">
        <f>HYPERLINK("https://dart.fss.or.kr/dsaf001/main.do?rcpNo=20261013000145", "공시열람")</f>
        <v/>
      </c>
    </row>
    <row r="317">
      <c r="A317" s="5" t="inlineStr">
        <is>
          <t>코메론</t>
        </is>
      </c>
      <c r="B317" s="6" t="inlineStr">
        <is>
          <t>049430</t>
        </is>
      </c>
      <c r="C317" s="6" t="inlineStr">
        <is>
          <t>2026Q2</t>
        </is>
      </c>
      <c r="D317" s="6" t="inlineStr">
        <is>
          <t>20260814</t>
        </is>
      </c>
      <c r="E317" s="16" t="n">
        <v>13195124</v>
      </c>
      <c r="F317" s="16" t="inlineStr"/>
      <c r="G317" s="16" t="n">
        <v>13195124</v>
      </c>
      <c r="H317" s="6" t="inlineStr">
        <is>
          <t>천원</t>
        </is>
      </c>
      <c r="I317" s="17" t="n">
        <v>8</v>
      </c>
      <c r="J317" s="18" t="n">
        <v>9086012</v>
      </c>
      <c r="K317" s="19" t="n">
        <v>6275970</v>
      </c>
      <c r="L317" s="18" t="n">
        <v>8449730</v>
      </c>
      <c r="M317" s="19" t="n">
        <v>10962778</v>
      </c>
      <c r="N317" s="18" t="n">
        <v>10084792</v>
      </c>
      <c r="O317" s="19" t="n">
        <v>6670196</v>
      </c>
      <c r="P317" s="18" t="n">
        <v>3977730</v>
      </c>
      <c r="Q317" s="19" t="n">
        <v>12215852</v>
      </c>
      <c r="R317" s="18" t="inlineStr"/>
      <c r="S317" s="20" t="n">
        <v>13195124</v>
      </c>
      <c r="T317" s="6" t="n">
        <v>1</v>
      </c>
      <c r="U317" s="5" t="inlineStr">
        <is>
          <t>줄자 / 2026-03-24 외 / 2026-07-15</t>
        </is>
      </c>
      <c r="V317" s="21">
        <f>HYPERLINK("https://dart.fss.or.kr/dsaf001/main.do?rcpNo=20260814002193", "공시열람")</f>
        <v/>
      </c>
    </row>
    <row r="318">
      <c r="A318" s="5" t="inlineStr">
        <is>
          <t>비트플래닛</t>
        </is>
      </c>
      <c r="B318" s="6" t="inlineStr">
        <is>
          <t>049470</t>
        </is>
      </c>
      <c r="C318" s="6" t="inlineStr">
        <is>
          <t>2026Q2</t>
        </is>
      </c>
      <c r="D318" s="6" t="inlineStr">
        <is>
          <t>20260814</t>
        </is>
      </c>
      <c r="E318" s="16" t="n">
        <v>22024204</v>
      </c>
      <c r="F318" s="16" t="n">
        <v>17319589</v>
      </c>
      <c r="G318" s="16" t="n">
        <v>4704615</v>
      </c>
      <c r="H318" s="6" t="inlineStr">
        <is>
          <t>천원</t>
        </is>
      </c>
      <c r="I318" s="17" t="n">
        <v>-53.9</v>
      </c>
      <c r="J318" s="18" t="n">
        <v>8642445</v>
      </c>
      <c r="K318" s="19" t="n">
        <v>5233996</v>
      </c>
      <c r="L318" s="18" t="n">
        <v>2990855</v>
      </c>
      <c r="M318" s="19" t="n">
        <v>0</v>
      </c>
      <c r="N318" s="18" t="n">
        <v>5297986</v>
      </c>
      <c r="O318" s="19" t="n">
        <v>4687113</v>
      </c>
      <c r="P318" s="18" t="n">
        <v>10898334</v>
      </c>
      <c r="Q318" s="19" t="n">
        <v>11849621</v>
      </c>
      <c r="R318" s="18" t="n">
        <v>10197249</v>
      </c>
      <c r="S318" s="20" t="n">
        <v>4704615</v>
      </c>
      <c r="T318" s="6" t="n">
        <v>8</v>
      </c>
      <c r="U318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8" s="21">
        <f>HYPERLINK("https://dart.fss.or.kr/dsaf001/main.do?rcpNo=20260814003703", "공시열람")</f>
        <v/>
      </c>
    </row>
    <row r="319">
      <c r="A319" s="5" t="inlineStr">
        <is>
          <t>재영솔루텍</t>
        </is>
      </c>
      <c r="B319" s="6" t="inlineStr">
        <is>
          <t>049630</t>
        </is>
      </c>
      <c r="C319" s="6" t="inlineStr">
        <is>
          <t>2024Q3</t>
        </is>
      </c>
      <c r="D319" s="6" t="inlineStr">
        <is>
          <t>20241114</t>
        </is>
      </c>
      <c r="E319" s="16" t="n">
        <v>4962</v>
      </c>
      <c r="F319" s="16" t="n">
        <v>2606</v>
      </c>
      <c r="G319" s="16" t="n">
        <v>2356</v>
      </c>
      <c r="H319" s="6" t="inlineStr">
        <is>
          <t>백만원</t>
        </is>
      </c>
      <c r="I319" s="17" t="n">
        <v>-19.1</v>
      </c>
      <c r="J319" s="18" t="n">
        <v>3120</v>
      </c>
      <c r="K319" s="19" t="n">
        <v>2913</v>
      </c>
      <c r="L319" s="18" t="n">
        <v>2356</v>
      </c>
      <c r="M319" s="19" t="inlineStr"/>
      <c r="N319" s="18" t="inlineStr"/>
      <c r="O319" s="19" t="inlineStr"/>
      <c r="P319" s="18" t="inlineStr"/>
      <c r="Q319" s="19" t="inlineStr"/>
      <c r="R319" s="18" t="inlineStr"/>
      <c r="S319" s="20" t="inlineStr"/>
      <c r="T319" s="6" t="n">
        <v>1</v>
      </c>
      <c r="U319" s="5" t="inlineStr">
        <is>
          <t>재영솔루텍 주식회사 / 한국파렛트풀 외</t>
        </is>
      </c>
      <c r="V319" s="21">
        <f>HYPERLINK("https://dart.fss.or.kr/dsaf001/main.do?rcpNo=20241114001331", "공시열람")</f>
        <v/>
      </c>
    </row>
    <row r="320">
      <c r="A320" s="5" t="inlineStr">
        <is>
          <t>미래컴퍼니</t>
        </is>
      </c>
      <c r="B320" s="6" t="inlineStr">
        <is>
          <t>049950</t>
        </is>
      </c>
      <c r="C320" s="6" t="inlineStr">
        <is>
          <t>2026Q2</t>
        </is>
      </c>
      <c r="D320" s="6" t="inlineStr">
        <is>
          <t>20260813</t>
        </is>
      </c>
      <c r="E320" s="16" t="n">
        <v>56682</v>
      </c>
      <c r="F320" s="16" t="n">
        <v>17855</v>
      </c>
      <c r="G320" s="16" t="n">
        <v>38827</v>
      </c>
      <c r="H320" s="6" t="inlineStr">
        <is>
          <t>백만원</t>
        </is>
      </c>
      <c r="I320" s="17" t="n">
        <v>-11.5</v>
      </c>
      <c r="J320" s="18" t="n">
        <v>33473</v>
      </c>
      <c r="K320" s="19" t="n">
        <v>25753</v>
      </c>
      <c r="L320" s="18" t="n">
        <v>22166</v>
      </c>
      <c r="M320" s="19" t="n">
        <v>16226</v>
      </c>
      <c r="N320" s="18" t="n">
        <v>14069</v>
      </c>
      <c r="O320" s="19" t="n">
        <v>12955</v>
      </c>
      <c r="P320" s="18" t="n">
        <v>13006</v>
      </c>
      <c r="Q320" s="19" t="n">
        <v>59977</v>
      </c>
      <c r="R320" s="18" t="n">
        <v>43859</v>
      </c>
      <c r="S320" s="20" t="n">
        <v>38827</v>
      </c>
      <c r="T320" s="6" t="n">
        <v>1</v>
      </c>
      <c r="U320" s="5" t="inlineStr">
        <is>
          <t>반도체/디스플레이 제조장비 / -</t>
        </is>
      </c>
      <c r="V320" s="21">
        <f>HYPERLINK("https://dart.fss.or.kr/dsaf001/main.do?rcpNo=20260813000068", "공시열람")</f>
        <v/>
      </c>
    </row>
    <row r="321">
      <c r="A321" s="5" t="inlineStr">
        <is>
          <t>ES큐브</t>
        </is>
      </c>
      <c r="B321" s="6" t="inlineStr">
        <is>
          <t>050120</t>
        </is>
      </c>
      <c r="C321" s="6" t="inlineStr">
        <is>
          <t>2026Q2</t>
        </is>
      </c>
      <c r="D321" s="6" t="inlineStr">
        <is>
          <t>20260814</t>
        </is>
      </c>
      <c r="E321" s="16" t="n">
        <v>1486</v>
      </c>
      <c r="F321" s="16" t="n">
        <v>710</v>
      </c>
      <c r="G321" s="16" t="n">
        <v>776</v>
      </c>
      <c r="H321" s="6" t="inlineStr">
        <is>
          <t>USD,만달러</t>
        </is>
      </c>
      <c r="I321" s="17" t="n">
        <v>-8.199999999999999</v>
      </c>
      <c r="J321" s="18" t="n">
        <v>1111.7</v>
      </c>
      <c r="K321" s="19" t="n">
        <v>966.6</v>
      </c>
      <c r="L321" s="18" t="n">
        <v>1014.9</v>
      </c>
      <c r="M321" s="19" t="n">
        <v>1053.7</v>
      </c>
      <c r="N321" s="18" t="n">
        <v>844.2</v>
      </c>
      <c r="O321" s="19" t="n">
        <v>831.7</v>
      </c>
      <c r="P321" s="18" t="n">
        <v>841.3</v>
      </c>
      <c r="Q321" s="19" t="n">
        <v>1179</v>
      </c>
      <c r="R321" s="18" t="n">
        <v>845</v>
      </c>
      <c r="S321" s="20" t="n">
        <v>776</v>
      </c>
      <c r="T321" s="6" t="n">
        <v>1</v>
      </c>
      <c r="U321" s="5" t="inlineStr">
        <is>
          <t>텐트류 / ~2025.12월 / 2026.01 이후</t>
        </is>
      </c>
      <c r="V321" s="21">
        <f>HYPERLINK("https://dart.fss.or.kr/dsaf001/main.do?rcpNo=20260814002915", "공시열람")</f>
        <v/>
      </c>
    </row>
    <row r="322">
      <c r="A322" s="5" t="inlineStr">
        <is>
          <t>지어소프트</t>
        </is>
      </c>
      <c r="B322" s="6" t="inlineStr">
        <is>
          <t>051160</t>
        </is>
      </c>
      <c r="C322" s="6" t="inlineStr">
        <is>
          <t>2026Q2</t>
        </is>
      </c>
      <c r="D322" s="6" t="inlineStr">
        <is>
          <t>20260813</t>
        </is>
      </c>
      <c r="E322" s="16" t="n">
        <v>10851</v>
      </c>
      <c r="F322" s="16" t="n">
        <v>3671</v>
      </c>
      <c r="G322" s="16" t="n">
        <v>7180</v>
      </c>
      <c r="H322" s="6" t="inlineStr">
        <is>
          <t>백만원</t>
        </is>
      </c>
      <c r="I322" s="17" t="n">
        <v>62.2</v>
      </c>
      <c r="J322" s="18" t="n">
        <v>6440</v>
      </c>
      <c r="K322" s="19" t="n">
        <v>5050</v>
      </c>
      <c r="L322" s="18" t="n">
        <v>3433</v>
      </c>
      <c r="M322" s="19" t="n">
        <v>2261</v>
      </c>
      <c r="N322" s="18" t="n">
        <v>4041</v>
      </c>
      <c r="O322" s="19" t="n">
        <v>5190</v>
      </c>
      <c r="P322" s="18" t="n">
        <v>3194</v>
      </c>
      <c r="Q322" s="19" t="n">
        <v>1273</v>
      </c>
      <c r="R322" s="18" t="n">
        <v>4426</v>
      </c>
      <c r="S322" s="20" t="n">
        <v>7180</v>
      </c>
      <c r="T322" s="6" t="n">
        <v>1</v>
      </c>
      <c r="U322" s="5" t="inlineStr">
        <is>
          <t>용역/서비스매출 / -</t>
        </is>
      </c>
      <c r="V322" s="21">
        <f>HYPERLINK("https://dart.fss.or.kr/dsaf001/main.do?rcpNo=20260813000721", "공시열람")</f>
        <v/>
      </c>
    </row>
    <row r="323">
      <c r="A323" s="5" t="inlineStr">
        <is>
          <t>인터플렉스</t>
        </is>
      </c>
      <c r="B323" s="6" t="inlineStr">
        <is>
          <t>051370</t>
        </is>
      </c>
      <c r="C323" s="6" t="inlineStr">
        <is>
          <t>2026Q2</t>
        </is>
      </c>
      <c r="D323" s="6" t="inlineStr">
        <is>
          <t>20260814</t>
        </is>
      </c>
      <c r="E323" s="16" t="n">
        <v>85876</v>
      </c>
      <c r="F323" s="16" t="n">
        <v>75900</v>
      </c>
      <c r="G323" s="16" t="n">
        <v>9976</v>
      </c>
      <c r="H323" s="6" t="inlineStr">
        <is>
          <t>㎡,백만원</t>
        </is>
      </c>
      <c r="I323" s="17" t="n">
        <v>-4.2</v>
      </c>
      <c r="J323" s="18" t="n">
        <v>4221</v>
      </c>
      <c r="K323" s="19" t="n">
        <v>10476</v>
      </c>
      <c r="L323" s="18" t="n">
        <v>8625</v>
      </c>
      <c r="M323" s="19" t="n">
        <v>12874</v>
      </c>
      <c r="N323" s="18" t="n">
        <v>12059</v>
      </c>
      <c r="O323" s="19" t="n">
        <v>9685</v>
      </c>
      <c r="P323" s="18" t="n">
        <v>15618</v>
      </c>
      <c r="Q323" s="19" t="n">
        <v>17237</v>
      </c>
      <c r="R323" s="18" t="n">
        <v>10414</v>
      </c>
      <c r="S323" s="20" t="n">
        <v>9976</v>
      </c>
      <c r="T323" s="6" t="n">
        <v>1</v>
      </c>
      <c r="U323" s="5" t="inlineStr">
        <is>
          <t>FPCB / 26.01.01 ~ 26.06.30</t>
        </is>
      </c>
      <c r="V323" s="21">
        <f>HYPERLINK("https://dart.fss.or.kr/dsaf001/main.do?rcpNo=20260814002519", "공시열람")</f>
        <v/>
      </c>
    </row>
    <row r="324">
      <c r="A324" s="5" t="inlineStr">
        <is>
          <t>한전KPS</t>
        </is>
      </c>
      <c r="B324" s="6" t="inlineStr">
        <is>
          <t>051600</t>
        </is>
      </c>
      <c r="C324" s="6" t="inlineStr">
        <is>
          <t>2026Q2</t>
        </is>
      </c>
      <c r="D324" s="6" t="inlineStr">
        <is>
          <t>20260814</t>
        </is>
      </c>
      <c r="E324" s="16" t="n">
        <v>6485330</v>
      </c>
      <c r="F324" s="16" t="n">
        <v>3902321</v>
      </c>
      <c r="G324" s="16" t="n">
        <v>2635045</v>
      </c>
      <c r="H324" s="6" t="inlineStr">
        <is>
          <t>백만원</t>
        </is>
      </c>
      <c r="I324" s="17" t="n">
        <v>-5.3</v>
      </c>
      <c r="J324" s="18" t="n">
        <v>1998773</v>
      </c>
      <c r="K324" s="19" t="n">
        <v>2337388</v>
      </c>
      <c r="L324" s="18" t="n">
        <v>2384644</v>
      </c>
      <c r="M324" s="19" t="n">
        <v>2095906</v>
      </c>
      <c r="N324" s="18" t="n">
        <v>2106704</v>
      </c>
      <c r="O324" s="19" t="n">
        <v>3165954</v>
      </c>
      <c r="P324" s="18" t="n">
        <v>3150718</v>
      </c>
      <c r="Q324" s="19" t="n">
        <v>2963276</v>
      </c>
      <c r="R324" s="18" t="n">
        <v>2782744</v>
      </c>
      <c r="S324" s="20" t="n">
        <v>2635045</v>
      </c>
      <c r="T324" s="6" t="n">
        <v>5</v>
      </c>
      <c r="U324" s="5" t="inlineStr">
        <is>
          <t>해외 / Amman Asia ElectricPower  | 원자력/양수 / 한국수력원자력(주) / 2025년도 원 | 대외 / 광양그린에너지(주) 등 / 광양바이오매스 발전</t>
        </is>
      </c>
      <c r="V324" s="21">
        <f>HYPERLINK("https://dart.fss.or.kr/dsaf001/main.do?rcpNo=20260814001938", "공시열람")</f>
        <v/>
      </c>
    </row>
    <row r="325">
      <c r="A325" s="5" t="inlineStr">
        <is>
          <t>iMBC</t>
        </is>
      </c>
      <c r="B325" s="6" t="inlineStr">
        <is>
          <t>052220</t>
        </is>
      </c>
      <c r="C325" s="6" t="inlineStr">
        <is>
          <t>2026Q2</t>
        </is>
      </c>
      <c r="D325" s="6" t="inlineStr">
        <is>
          <t>20260814</t>
        </is>
      </c>
      <c r="E325" s="16" t="n">
        <v>5010</v>
      </c>
      <c r="F325" s="16" t="n">
        <v>2505</v>
      </c>
      <c r="G325" s="16" t="n">
        <v>2505</v>
      </c>
      <c r="H325" s="6" t="inlineStr">
        <is>
          <t>백만원</t>
        </is>
      </c>
      <c r="I325" s="17" t="n">
        <v>-33.3</v>
      </c>
      <c r="J325" s="18" t="n">
        <v>3667</v>
      </c>
      <c r="K325" s="19" t="n">
        <v>2445</v>
      </c>
      <c r="L325" s="18" t="n">
        <v>1222</v>
      </c>
      <c r="M325" s="19" t="n">
        <v>0</v>
      </c>
      <c r="N325" s="18" t="n">
        <v>3758</v>
      </c>
      <c r="O325" s="19" t="n">
        <v>2505</v>
      </c>
      <c r="P325" s="18" t="n">
        <v>3758</v>
      </c>
      <c r="Q325" s="19" t="n">
        <v>0</v>
      </c>
      <c r="R325" s="18" t="n">
        <v>3757</v>
      </c>
      <c r="S325" s="20" t="n">
        <v>2505</v>
      </c>
      <c r="T325" s="6" t="n">
        <v>1</v>
      </c>
      <c r="U325" s="5" t="inlineStr">
        <is>
          <t>웹에이전시용역((주)문화방송) / 2026.01.01.</t>
        </is>
      </c>
      <c r="V325" s="21">
        <f>HYPERLINK("https://dart.fss.or.kr/dsaf001/main.do?rcpNo=20260814003296", "공시열람")</f>
        <v/>
      </c>
    </row>
    <row r="326">
      <c r="A326" s="5" t="inlineStr">
        <is>
          <t>오션인더블유</t>
        </is>
      </c>
      <c r="B326" s="6" t="inlineStr">
        <is>
          <t>052300</t>
        </is>
      </c>
      <c r="C326" s="6" t="inlineStr">
        <is>
          <t>2026Q2</t>
        </is>
      </c>
      <c r="D326" s="6" t="inlineStr">
        <is>
          <t>20260814</t>
        </is>
      </c>
      <c r="E326" s="16" t="n">
        <v>2507</v>
      </c>
      <c r="F326" s="16" t="inlineStr"/>
      <c r="G326" s="16" t="n">
        <v>2507</v>
      </c>
      <c r="H326" s="6" t="inlineStr">
        <is>
          <t>개,백만원</t>
        </is>
      </c>
      <c r="I326" s="17" t="n">
        <v>32.9</v>
      </c>
      <c r="J326" s="18" t="inlineStr"/>
      <c r="K326" s="19" t="inlineStr"/>
      <c r="L326" s="18" t="inlineStr"/>
      <c r="M326" s="19" t="inlineStr"/>
      <c r="N326" s="18" t="inlineStr"/>
      <c r="O326" s="19" t="inlineStr"/>
      <c r="P326" s="18" t="inlineStr"/>
      <c r="Q326" s="19" t="inlineStr"/>
      <c r="R326" s="18" t="n">
        <v>1887</v>
      </c>
      <c r="S326" s="20" t="n">
        <v>2507</v>
      </c>
      <c r="T326" s="6" t="n">
        <v>3</v>
      </c>
      <c r="U326" s="5" t="inlineStr">
        <is>
          <t>안전밸브 / 2025.10.17 / 2028.06.15 | 안전밸브 / 2026.05.25 / 2026.12.04 | 스팀트랩 / 2023.12.21 / 2027.12.31</t>
        </is>
      </c>
      <c r="V326" s="21">
        <f>HYPERLINK("https://dart.fss.or.kr/dsaf001/main.do?rcpNo=20260814003068", "공시열람")</f>
        <v/>
      </c>
    </row>
    <row r="327">
      <c r="A327" s="5" t="inlineStr">
        <is>
          <t>아이크래프트</t>
        </is>
      </c>
      <c r="B327" s="6" t="inlineStr">
        <is>
          <t>052460</t>
        </is>
      </c>
      <c r="C327" s="6" t="inlineStr">
        <is>
          <t>2026Q2</t>
        </is>
      </c>
      <c r="D327" s="6" t="inlineStr">
        <is>
          <t>20260814</t>
        </is>
      </c>
      <c r="E327" s="16" t="n">
        <v>80905</v>
      </c>
      <c r="F327" s="16" t="n">
        <v>11072</v>
      </c>
      <c r="G327" s="16" t="n">
        <v>69833</v>
      </c>
      <c r="H327" s="6" t="inlineStr">
        <is>
          <t>백만원</t>
        </is>
      </c>
      <c r="I327" s="17" t="n">
        <v>162.3</v>
      </c>
      <c r="J327" s="18" t="n">
        <v>3387</v>
      </c>
      <c r="K327" s="19" t="n">
        <v>3960</v>
      </c>
      <c r="L327" s="18" t="n">
        <v>3705</v>
      </c>
      <c r="M327" s="19" t="n">
        <v>4926</v>
      </c>
      <c r="N327" s="18" t="n">
        <v>3876</v>
      </c>
      <c r="O327" s="19" t="n">
        <v>3064</v>
      </c>
      <c r="P327" s="18" t="n">
        <v>74170</v>
      </c>
      <c r="Q327" s="19" t="n">
        <v>23739</v>
      </c>
      <c r="R327" s="18" t="n">
        <v>26626</v>
      </c>
      <c r="S327" s="20" t="n">
        <v>69833</v>
      </c>
      <c r="T327" s="6" t="n">
        <v>7</v>
      </c>
      <c r="U327" s="5" t="inlineStr">
        <is>
          <t>네트워크 / `26.06 / `27.03 | 네트워크 / `26.05 / `26.08 | 네트워크 / `26.04 / `26.07</t>
        </is>
      </c>
      <c r="V327" s="21">
        <f>HYPERLINK("https://dart.fss.or.kr/dsaf001/main.do?rcpNo=20260814003356", "공시열람")</f>
        <v/>
      </c>
    </row>
    <row r="328">
      <c r="A328" s="5" t="inlineStr">
        <is>
          <t>한전기술</t>
        </is>
      </c>
      <c r="B328" s="6" t="inlineStr">
        <is>
          <t>052690</t>
        </is>
      </c>
      <c r="C328" s="6" t="inlineStr">
        <is>
          <t>2026Q2</t>
        </is>
      </c>
      <c r="D328" s="6" t="inlineStr">
        <is>
          <t>20260814</t>
        </is>
      </c>
      <c r="E328" s="16" t="n">
        <v>6684108</v>
      </c>
      <c r="F328" s="16" t="inlineStr"/>
      <c r="G328" s="16" t="n">
        <v>3099100</v>
      </c>
      <c r="H328" s="6" t="inlineStr">
        <is>
          <t>백만원</t>
        </is>
      </c>
      <c r="I328" s="17" t="n">
        <v>10.1</v>
      </c>
      <c r="J328" s="18" t="n">
        <v>2175494</v>
      </c>
      <c r="K328" s="19" t="n">
        <v>2163122</v>
      </c>
      <c r="L328" s="18" t="n">
        <v>2071104</v>
      </c>
      <c r="M328" s="19" t="n">
        <v>2020887</v>
      </c>
      <c r="N328" s="18" t="n">
        <v>1911902</v>
      </c>
      <c r="O328" s="19" t="n">
        <v>1912903</v>
      </c>
      <c r="P328" s="18" t="n">
        <v>1887621</v>
      </c>
      <c r="Q328" s="19" t="n">
        <v>3432281</v>
      </c>
      <c r="R328" s="18" t="n">
        <v>2813942</v>
      </c>
      <c r="S328" s="20" t="n">
        <v>3099100</v>
      </c>
      <c r="T328" s="6" t="n">
        <v>10</v>
      </c>
      <c r="U328" s="5" t="inlineStr">
        <is>
          <t>해외 / 원자력 | 국내 / 원자력 | 국내 / 신재생</t>
        </is>
      </c>
      <c r="V328" s="21">
        <f>HYPERLINK("https://dart.fss.or.kr/dsaf001/main.do?rcpNo=20260814001293", "공시열람")</f>
        <v/>
      </c>
    </row>
    <row r="329">
      <c r="A329" s="5" t="inlineStr">
        <is>
          <t>바이넥스</t>
        </is>
      </c>
      <c r="B329" s="6" t="inlineStr">
        <is>
          <t>053030</t>
        </is>
      </c>
      <c r="C329" s="6" t="inlineStr">
        <is>
          <t>2026Q2</t>
        </is>
      </c>
      <c r="D329" s="6" t="inlineStr">
        <is>
          <t>20261014</t>
        </is>
      </c>
      <c r="E329" s="16" t="n">
        <v>82730925</v>
      </c>
      <c r="F329" s="16" t="n">
        <v>31600022</v>
      </c>
      <c r="G329" s="16" t="n">
        <v>51130903</v>
      </c>
      <c r="H329" s="6" t="inlineStr">
        <is>
          <t>천원</t>
        </is>
      </c>
      <c r="I329" s="17" t="n">
        <v>-5.7</v>
      </c>
      <c r="J329" s="18" t="n">
        <v>31242976</v>
      </c>
      <c r="K329" s="19" t="n">
        <v>36236938</v>
      </c>
      <c r="L329" s="18" t="n">
        <v>58044735</v>
      </c>
      <c r="M329" s="19" t="n">
        <v>64322685</v>
      </c>
      <c r="N329" s="18" t="n">
        <v>56600765</v>
      </c>
      <c r="O329" s="19" t="n">
        <v>80255578</v>
      </c>
      <c r="P329" s="18" t="n">
        <v>68684741</v>
      </c>
      <c r="Q329" s="19" t="n">
        <v>66601054</v>
      </c>
      <c r="R329" s="18" t="n">
        <v>54212255</v>
      </c>
      <c r="S329" s="20" t="n">
        <v>51130903</v>
      </c>
      <c r="T329" s="6" t="n">
        <v>1</v>
      </c>
      <c r="U329" s="5" t="inlineStr">
        <is>
          <t>위탁생산 외 / -</t>
        </is>
      </c>
      <c r="V329" s="21">
        <f>HYPERLINK("https://dart.fss.or.kr/dsaf001/main.do?rcpNo=20261014000320", "공시열람")</f>
        <v/>
      </c>
    </row>
    <row r="330">
      <c r="A330" s="5" t="inlineStr">
        <is>
          <t>케이엔솔</t>
        </is>
      </c>
      <c r="B330" s="6" t="inlineStr">
        <is>
          <t>053080</t>
        </is>
      </c>
      <c r="C330" s="6" t="inlineStr">
        <is>
          <t>2026Q2</t>
        </is>
      </c>
      <c r="D330" s="6" t="inlineStr">
        <is>
          <t>20260814</t>
        </is>
      </c>
      <c r="E330" s="16" t="n">
        <v>2522460</v>
      </c>
      <c r="F330" s="16" t="n">
        <v>2149975</v>
      </c>
      <c r="G330" s="16" t="n">
        <v>372485</v>
      </c>
      <c r="H330" s="6" t="inlineStr">
        <is>
          <t>백만원</t>
        </is>
      </c>
      <c r="I330" s="17" t="n">
        <v>-8.4</v>
      </c>
      <c r="J330" s="18" t="n">
        <v>494402</v>
      </c>
      <c r="K330" s="19" t="n">
        <v>592831</v>
      </c>
      <c r="L330" s="18" t="n">
        <v>519227</v>
      </c>
      <c r="M330" s="19" t="n">
        <v>466465</v>
      </c>
      <c r="N330" s="18" t="n">
        <v>398056</v>
      </c>
      <c r="O330" s="19" t="n">
        <v>525837</v>
      </c>
      <c r="P330" s="18" t="n">
        <v>493695</v>
      </c>
      <c r="Q330" s="19" t="n">
        <v>467075</v>
      </c>
      <c r="R330" s="18" t="n">
        <v>406460</v>
      </c>
      <c r="S330" s="20" t="n">
        <v>372485</v>
      </c>
      <c r="T330" s="6" t="n">
        <v>2</v>
      </c>
      <c r="U330" s="5" t="inlineStr">
        <is>
          <t>클린룸 및 공조시스템 제조, 설치공사 외 / - | 교량거더사업 / -</t>
        </is>
      </c>
      <c r="V330" s="21">
        <f>HYPERLINK("https://dart.fss.or.kr/dsaf001/main.do?rcpNo=20260814003241", "공시열람")</f>
        <v/>
      </c>
    </row>
    <row r="331">
      <c r="A331" s="5" t="inlineStr">
        <is>
          <t>한국정보인증</t>
        </is>
      </c>
      <c r="B331" s="6" t="inlineStr">
        <is>
          <t>053300</t>
        </is>
      </c>
      <c r="C331" s="6" t="inlineStr">
        <is>
          <t>2025Q4</t>
        </is>
      </c>
      <c r="D331" s="6" t="inlineStr">
        <is>
          <t>20260318</t>
        </is>
      </c>
      <c r="E331" s="16" t="n">
        <v>7517</v>
      </c>
      <c r="F331" s="16" t="n">
        <v>7517</v>
      </c>
      <c r="G331" s="16" t="n">
        <v>0</v>
      </c>
      <c r="H331" s="6" t="inlineStr">
        <is>
          <t>백만원</t>
        </is>
      </c>
      <c r="I331" s="17" t="inlineStr"/>
      <c r="J331" s="18" t="n">
        <v>7108300663</v>
      </c>
      <c r="K331" s="19" t="n">
        <v>6796</v>
      </c>
      <c r="L331" s="18" t="n">
        <v>5962</v>
      </c>
      <c r="M331" s="19" t="n">
        <v>4206</v>
      </c>
      <c r="N331" s="18" t="n">
        <v>656</v>
      </c>
      <c r="O331" s="19" t="n">
        <v>82</v>
      </c>
      <c r="P331" s="18" t="n">
        <v>0</v>
      </c>
      <c r="Q331" s="19" t="n">
        <v>0</v>
      </c>
      <c r="R331" s="18" t="inlineStr"/>
      <c r="S331" s="20" t="inlineStr"/>
      <c r="T331" s="6" t="n">
        <v>1</v>
      </c>
      <c r="U331" s="5" t="inlineStr">
        <is>
          <t>차세대 자동차관리정보시스템 구축 용역 / 2022.11</t>
        </is>
      </c>
      <c r="V331" s="21">
        <f>HYPERLINK("https://dart.fss.or.kr/dsaf001/main.do?rcpNo=20260318001623", "공시열람")</f>
        <v/>
      </c>
    </row>
    <row r="332">
      <c r="A332" s="5" t="inlineStr">
        <is>
          <t>이니텍</t>
        </is>
      </c>
      <c r="B332" s="6" t="inlineStr">
        <is>
          <t>053350</t>
        </is>
      </c>
      <c r="C332" s="6" t="inlineStr">
        <is>
          <t>2026Q2</t>
        </is>
      </c>
      <c r="D332" s="6" t="inlineStr">
        <is>
          <t>20260814</t>
        </is>
      </c>
      <c r="E332" s="16" t="n">
        <v>7861</v>
      </c>
      <c r="F332" s="16" t="n">
        <v>961</v>
      </c>
      <c r="G332" s="16" t="n">
        <v>6900</v>
      </c>
      <c r="H332" s="6" t="inlineStr">
        <is>
          <t>백만원</t>
        </is>
      </c>
      <c r="I332" s="17" t="n">
        <v>-11.5</v>
      </c>
      <c r="J332" s="18" t="inlineStr"/>
      <c r="K332" s="19" t="inlineStr"/>
      <c r="L332" s="18" t="inlineStr"/>
      <c r="M332" s="19" t="inlineStr"/>
      <c r="N332" s="18" t="inlineStr"/>
      <c r="O332" s="19" t="inlineStr"/>
      <c r="P332" s="18" t="inlineStr"/>
      <c r="Q332" s="19" t="inlineStr"/>
      <c r="R332" s="18" t="n">
        <v>7795</v>
      </c>
      <c r="S332" s="20" t="n">
        <v>6900</v>
      </c>
      <c r="T332" s="6" t="n">
        <v>2</v>
      </c>
      <c r="U332" s="5" t="inlineStr">
        <is>
          <t>수협은행 인터넷 뱅킹 구축 물품 / 2026.03.25 | 수협은행 인터넷 뱅킹 구축 외주비 / 2026.03.1</t>
        </is>
      </c>
      <c r="V332" s="21">
        <f>HYPERLINK("https://dart.fss.or.kr/dsaf001/main.do?rcpNo=20260814003743", "공시열람")</f>
        <v/>
      </c>
    </row>
    <row r="333">
      <c r="A333" s="5" t="inlineStr">
        <is>
          <t>웹케시</t>
        </is>
      </c>
      <c r="B333" s="6" t="inlineStr">
        <is>
          <t>053580</t>
        </is>
      </c>
      <c r="C333" s="6" t="inlineStr">
        <is>
          <t>2026Q2</t>
        </is>
      </c>
      <c r="D333" s="6" t="inlineStr">
        <is>
          <t>20260814</t>
        </is>
      </c>
      <c r="E333" s="16" t="n">
        <v>8247</v>
      </c>
      <c r="F333" s="16" t="n">
        <v>2955</v>
      </c>
      <c r="G333" s="16" t="n">
        <v>5292</v>
      </c>
      <c r="H333" s="6" t="inlineStr">
        <is>
          <t>백만원</t>
        </is>
      </c>
      <c r="I333" s="17" t="n">
        <v>29.1</v>
      </c>
      <c r="J333" s="18" t="n">
        <v>540</v>
      </c>
      <c r="K333" s="19" t="n">
        <v>234</v>
      </c>
      <c r="L333" s="18" t="n">
        <v>3359</v>
      </c>
      <c r="M333" s="19" t="n">
        <v>3143</v>
      </c>
      <c r="N333" s="18" t="n">
        <v>1611</v>
      </c>
      <c r="O333" s="19" t="n">
        <v>1482</v>
      </c>
      <c r="P333" s="18" t="n">
        <v>1089</v>
      </c>
      <c r="Q333" s="19" t="n">
        <v>737</v>
      </c>
      <c r="R333" s="18" t="n">
        <v>4098</v>
      </c>
      <c r="S333" s="20" t="n">
        <v>5292</v>
      </c>
      <c r="T333" s="6" t="n">
        <v>5</v>
      </c>
      <c r="U333" s="5" t="inlineStr">
        <is>
          <t>SI | SI | SI</t>
        </is>
      </c>
      <c r="V333" s="21">
        <f>HYPERLINK("https://dart.fss.or.kr/dsaf001/main.do?rcpNo=20260814002143", "공시열람")</f>
        <v/>
      </c>
    </row>
    <row r="334">
      <c r="A334" s="5" t="inlineStr">
        <is>
          <t>한미글로벌</t>
        </is>
      </c>
      <c r="B334" s="6" t="inlineStr">
        <is>
          <t>053690</t>
        </is>
      </c>
      <c r="C334" s="6" t="inlineStr">
        <is>
          <t>2026Q2</t>
        </is>
      </c>
      <c r="D334" s="6" t="inlineStr">
        <is>
          <t>20260828</t>
        </is>
      </c>
      <c r="E334" s="16" t="n">
        <v>878187651266</v>
      </c>
      <c r="F334" s="16" t="inlineStr"/>
      <c r="G334" s="16" t="n">
        <v>429629408504</v>
      </c>
      <c r="H334" s="6" t="inlineStr">
        <is>
          <t>원</t>
        </is>
      </c>
      <c r="I334" s="17" t="n">
        <v>9.199999999999999</v>
      </c>
      <c r="J334" s="18" t="n">
        <v>280625623140</v>
      </c>
      <c r="K334" s="19" t="n">
        <v>288501127919</v>
      </c>
      <c r="L334" s="18" t="n">
        <v>294635368923</v>
      </c>
      <c r="M334" s="19" t="n">
        <v>6706802</v>
      </c>
      <c r="N334" s="18" t="n">
        <v>320593053852</v>
      </c>
      <c r="O334" s="19" t="n">
        <v>324780781672</v>
      </c>
      <c r="P334" s="18" t="n">
        <v>346685011855</v>
      </c>
      <c r="Q334" s="19" t="n">
        <v>372466652132</v>
      </c>
      <c r="R334" s="18" t="n">
        <v>393550665757</v>
      </c>
      <c r="S334" s="20" t="n">
        <v>429629408504</v>
      </c>
      <c r="T334" s="6" t="n">
        <v>4</v>
      </c>
      <c r="U334" s="5" t="inlineStr">
        <is>
          <t>민간 / 용역형 / 평택 P4L외 214건 | 해외 / 용역형 / (리비아)LibyaHousing&amp;I | 국내 / 책임형 / 안다자산운용 사옥 신축공사외 4건</t>
        </is>
      </c>
      <c r="V334" s="21">
        <f>HYPERLINK("https://dart.fss.or.kr/dsaf001/main.do?rcpNo=20260828001797", "공시열람")</f>
        <v/>
      </c>
    </row>
    <row r="335">
      <c r="A335" s="5" t="inlineStr">
        <is>
          <t>오상자이엘</t>
        </is>
      </c>
      <c r="B335" s="6" t="inlineStr">
        <is>
          <t>053980</t>
        </is>
      </c>
      <c r="C335" s="6" t="inlineStr">
        <is>
          <t>2026Q2</t>
        </is>
      </c>
      <c r="D335" s="6" t="inlineStr">
        <is>
          <t>20260814</t>
        </is>
      </c>
      <c r="E335" s="16" t="n">
        <v>18316305</v>
      </c>
      <c r="F335" s="16" t="n">
        <v>9724030</v>
      </c>
      <c r="G335" s="16" t="n">
        <v>8592277</v>
      </c>
      <c r="H335" s="6" t="inlineStr">
        <is>
          <t>천원</t>
        </is>
      </c>
      <c r="I335" s="17" t="n">
        <v>-30.8</v>
      </c>
      <c r="J335" s="18" t="n">
        <v>13367068</v>
      </c>
      <c r="K335" s="19" t="n">
        <v>11719009</v>
      </c>
      <c r="L335" s="18" t="n">
        <v>8412431</v>
      </c>
      <c r="M335" s="19" t="n">
        <v>5178970</v>
      </c>
      <c r="N335" s="18" t="n">
        <v>14370138</v>
      </c>
      <c r="O335" s="19" t="n">
        <v>10238364</v>
      </c>
      <c r="P335" s="18" t="n">
        <v>8363902</v>
      </c>
      <c r="Q335" s="19" t="n">
        <v>11719627</v>
      </c>
      <c r="R335" s="18" t="n">
        <v>12422023</v>
      </c>
      <c r="S335" s="20" t="n">
        <v>8592277</v>
      </c>
      <c r="T335" s="6" t="n">
        <v>15</v>
      </c>
      <c r="U335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5" s="21">
        <f>HYPERLINK("https://dart.fss.or.kr/dsaf001/main.do?rcpNo=20260814003798", "공시열람")</f>
        <v/>
      </c>
    </row>
    <row r="336">
      <c r="A336" s="5" t="inlineStr">
        <is>
          <t>이랜텍</t>
        </is>
      </c>
      <c r="B336" s="6" t="inlineStr">
        <is>
          <t>054210</t>
        </is>
      </c>
      <c r="C336" s="6" t="inlineStr">
        <is>
          <t>2023Q4</t>
        </is>
      </c>
      <c r="D336" s="6" t="inlineStr">
        <is>
          <t>20240318</t>
        </is>
      </c>
      <c r="E336" s="16" t="n">
        <v>307841</v>
      </c>
      <c r="F336" s="16" t="n">
        <v>307841</v>
      </c>
      <c r="G336" s="16" t="n">
        <v>0</v>
      </c>
      <c r="H336" s="6" t="inlineStr">
        <is>
          <t>천미달러화</t>
        </is>
      </c>
      <c r="I336" s="17" t="inlineStr"/>
      <c r="J336" s="18" t="inlineStr"/>
      <c r="K336" s="19" t="inlineStr"/>
      <c r="L336" s="18" t="inlineStr"/>
      <c r="M336" s="19" t="inlineStr"/>
      <c r="N336" s="18" t="inlineStr"/>
      <c r="O336" s="19" t="inlineStr"/>
      <c r="P336" s="18" t="inlineStr"/>
      <c r="Q336" s="19" t="inlineStr"/>
      <c r="R336" s="18" t="inlineStr"/>
      <c r="S336" s="20" t="inlineStr"/>
      <c r="T336" s="6" t="n">
        <v>1</v>
      </c>
      <c r="U336" s="5" t="inlineStr">
        <is>
          <t>전자담배 디바이스 / 2022.02.14 / 2022.</t>
        </is>
      </c>
      <c r="V336" s="21">
        <f>HYPERLINK("https://dart.fss.or.kr/dsaf001/main.do?rcpNo=20240318000836", "공시열람")</f>
        <v/>
      </c>
    </row>
    <row r="337">
      <c r="A337" s="5" t="inlineStr">
        <is>
          <t>팬스타엔터프라이즈</t>
        </is>
      </c>
      <c r="B337" s="6" t="inlineStr">
        <is>
          <t>054300</t>
        </is>
      </c>
      <c r="C337" s="6" t="inlineStr">
        <is>
          <t>2026Q2</t>
        </is>
      </c>
      <c r="D337" s="6" t="inlineStr">
        <is>
          <t>20260814</t>
        </is>
      </c>
      <c r="E337" s="16" t="n">
        <v>7752000</v>
      </c>
      <c r="F337" s="16" t="n">
        <v>7309029</v>
      </c>
      <c r="G337" s="16" t="n">
        <v>442971</v>
      </c>
      <c r="H337" s="6" t="inlineStr">
        <is>
          <t>달러</t>
        </is>
      </c>
      <c r="I337" s="17" t="n">
        <v>-33.3</v>
      </c>
      <c r="J337" s="18" t="n">
        <v>2106262</v>
      </c>
      <c r="K337" s="19" t="n">
        <v>1702984</v>
      </c>
      <c r="L337" s="18" t="n">
        <v>1299704</v>
      </c>
      <c r="M337" s="19" t="n">
        <v>896426</v>
      </c>
      <c r="N337" s="18" t="n">
        <v>672319</v>
      </c>
      <c r="O337" s="19" t="n">
        <v>448213</v>
      </c>
      <c r="P337" s="18" t="n">
        <v>224107</v>
      </c>
      <c r="Q337" s="19" t="n">
        <v>877585</v>
      </c>
      <c r="R337" s="18" t="n">
        <v>664458</v>
      </c>
      <c r="S337" s="20" t="n">
        <v>442971</v>
      </c>
      <c r="T337" s="6" t="n">
        <v>1</v>
      </c>
      <c r="U337" s="5" t="inlineStr">
        <is>
          <t>선박용선 / 18년03월~26년12월</t>
        </is>
      </c>
      <c r="V337" s="21">
        <f>HYPERLINK("https://dart.fss.or.kr/dsaf001/main.do?rcpNo=20260814002694", "공시열람")</f>
        <v/>
      </c>
    </row>
    <row r="338">
      <c r="A338" s="5" t="inlineStr">
        <is>
          <t>삼영엠텍</t>
        </is>
      </c>
      <c r="B338" s="6" t="inlineStr">
        <is>
          <t>054540</t>
        </is>
      </c>
      <c r="C338" s="6" t="inlineStr">
        <is>
          <t>2026Q2</t>
        </is>
      </c>
      <c r="D338" s="6" t="inlineStr">
        <is>
          <t>20260813</t>
        </is>
      </c>
      <c r="E338" s="16" t="n">
        <v>190653084</v>
      </c>
      <c r="F338" s="16" t="inlineStr"/>
      <c r="G338" s="16" t="n">
        <v>190653084</v>
      </c>
      <c r="H338" s="6" t="inlineStr">
        <is>
          <t>천원</t>
        </is>
      </c>
      <c r="I338" s="17" t="n">
        <v>28.7</v>
      </c>
      <c r="J338" s="18" t="n">
        <v>88383333</v>
      </c>
      <c r="K338" s="19" t="n">
        <v>90016361</v>
      </c>
      <c r="L338" s="18" t="n">
        <v>90965580</v>
      </c>
      <c r="M338" s="19" t="n">
        <v>87617139</v>
      </c>
      <c r="N338" s="18" t="n">
        <v>84536088</v>
      </c>
      <c r="O338" s="19" t="n">
        <v>88879635</v>
      </c>
      <c r="P338" s="18" t="n">
        <v>101364831</v>
      </c>
      <c r="Q338" s="19" t="n">
        <v>106441716</v>
      </c>
      <c r="R338" s="18" t="n">
        <v>148097673</v>
      </c>
      <c r="S338" s="20" t="n">
        <v>190653084</v>
      </c>
      <c r="T338" s="6" t="n">
        <v>3</v>
      </c>
      <c r="U338" s="5" t="inlineStr">
        <is>
          <t>구조물 구조재 / - | 선박엔진 구조재 / - | 플랜트 기자재 / -</t>
        </is>
      </c>
      <c r="V338" s="21">
        <f>HYPERLINK("https://dart.fss.or.kr/dsaf001/main.do?rcpNo=20260813001097", "공시열람")</f>
        <v/>
      </c>
    </row>
    <row r="339">
      <c r="A339" s="5" t="inlineStr">
        <is>
          <t>APS</t>
        </is>
      </c>
      <c r="B339" s="6" t="inlineStr">
        <is>
          <t>054620</t>
        </is>
      </c>
      <c r="C339" s="6" t="inlineStr">
        <is>
          <t>2024Q4</t>
        </is>
      </c>
      <c r="D339" s="6" t="inlineStr">
        <is>
          <t>20250321</t>
        </is>
      </c>
      <c r="E339" s="16" t="n">
        <v>4144</v>
      </c>
      <c r="F339" s="16" t="n">
        <v>3169</v>
      </c>
      <c r="G339" s="16" t="n">
        <v>975</v>
      </c>
      <c r="H339" s="6" t="inlineStr"/>
      <c r="I339" s="17" t="n">
        <v>1.6</v>
      </c>
      <c r="J339" s="18" t="inlineStr"/>
      <c r="K339" s="19" t="inlineStr"/>
      <c r="L339" s="18" t="n">
        <v>960</v>
      </c>
      <c r="M339" s="19" t="n">
        <v>975</v>
      </c>
      <c r="N339" s="18" t="inlineStr"/>
      <c r="O339" s="19" t="inlineStr"/>
      <c r="P339" s="18" t="inlineStr"/>
      <c r="Q339" s="19" t="inlineStr"/>
      <c r="R339" s="18" t="inlineStr"/>
      <c r="S339" s="20" t="inlineStr"/>
      <c r="T339" s="6" t="n">
        <v>1</v>
      </c>
      <c r="U339" s="5" t="inlineStr">
        <is>
          <t>반도체 설비 / Dicing Saw, Chiller 등</t>
        </is>
      </c>
      <c r="V339" s="21">
        <f>HYPERLINK("https://dart.fss.or.kr/dsaf001/main.do?rcpNo=20250321001983", "공시열람")</f>
        <v/>
      </c>
    </row>
    <row r="340">
      <c r="A340" s="5" t="inlineStr">
        <is>
          <t>유신</t>
        </is>
      </c>
      <c r="B340" s="6" t="inlineStr">
        <is>
          <t>054930</t>
        </is>
      </c>
      <c r="C340" s="6" t="inlineStr">
        <is>
          <t>2026Q2</t>
        </is>
      </c>
      <c r="D340" s="6" t="inlineStr">
        <is>
          <t>20260814</t>
        </is>
      </c>
      <c r="E340" s="16" t="n">
        <v>2308874</v>
      </c>
      <c r="F340" s="16" t="n">
        <v>1172947</v>
      </c>
      <c r="G340" s="16" t="n">
        <v>1136154</v>
      </c>
      <c r="H340" s="6" t="inlineStr">
        <is>
          <t>백만원</t>
        </is>
      </c>
      <c r="I340" s="17" t="n">
        <v>2.9</v>
      </c>
      <c r="J340" s="18" t="n">
        <v>679605</v>
      </c>
      <c r="K340" s="19" t="n">
        <v>720279</v>
      </c>
      <c r="L340" s="18" t="n">
        <v>732565</v>
      </c>
      <c r="M340" s="19" t="n">
        <v>898737</v>
      </c>
      <c r="N340" s="18" t="n">
        <v>915221</v>
      </c>
      <c r="O340" s="19" t="n">
        <v>994013</v>
      </c>
      <c r="P340" s="18" t="n">
        <v>980117</v>
      </c>
      <c r="Q340" s="19" t="n">
        <v>1020669</v>
      </c>
      <c r="R340" s="18" t="n">
        <v>1103954</v>
      </c>
      <c r="S340" s="20" t="n">
        <v>1136154</v>
      </c>
      <c r="T340" s="6" t="n">
        <v>6</v>
      </c>
      <c r="U340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40" s="21">
        <f>HYPERLINK("https://dart.fss.or.kr/dsaf001/main.do?rcpNo=20260814003347", "공시열람")</f>
        <v/>
      </c>
    </row>
    <row r="341">
      <c r="A341" s="5" t="inlineStr">
        <is>
          <t>엑사이엔씨</t>
        </is>
      </c>
      <c r="B341" s="6" t="inlineStr">
        <is>
          <t>054940</t>
        </is>
      </c>
      <c r="C341" s="6" t="inlineStr">
        <is>
          <t>2026Q2</t>
        </is>
      </c>
      <c r="D341" s="6" t="inlineStr">
        <is>
          <t>20260813</t>
        </is>
      </c>
      <c r="E341" s="16" t="n">
        <v>224086</v>
      </c>
      <c r="F341" s="16" t="n">
        <v>172120</v>
      </c>
      <c r="G341" s="16" t="n">
        <v>51966</v>
      </c>
      <c r="H341" s="6" t="inlineStr">
        <is>
          <t>백만원</t>
        </is>
      </c>
      <c r="I341" s="17" t="n">
        <v>-37.2</v>
      </c>
      <c r="J341" s="18" t="n">
        <v>44203</v>
      </c>
      <c r="K341" s="19" t="n">
        <v>59145</v>
      </c>
      <c r="L341" s="18" t="n">
        <v>58496</v>
      </c>
      <c r="M341" s="19" t="n">
        <v>62588</v>
      </c>
      <c r="N341" s="18" t="n">
        <v>52905</v>
      </c>
      <c r="O341" s="19" t="n">
        <v>70195</v>
      </c>
      <c r="P341" s="18" t="n">
        <v>127197</v>
      </c>
      <c r="Q341" s="19" t="n">
        <v>111294</v>
      </c>
      <c r="R341" s="18" t="n">
        <v>82748</v>
      </c>
      <c r="S341" s="20" t="n">
        <v>51966</v>
      </c>
      <c r="T341" s="6" t="n">
        <v>2</v>
      </c>
      <c r="U341" s="5" t="inlineStr">
        <is>
          <t>CR/수장/시스템파티션 / 2021.01.01~2026 | 인테리어 / 2021.01.01~2026.06.30 /</t>
        </is>
      </c>
      <c r="V341" s="21">
        <f>HYPERLINK("https://dart.fss.or.kr/dsaf001/main.do?rcpNo=20260812000891", "공시열람")</f>
        <v/>
      </c>
    </row>
    <row r="342">
      <c r="A342" s="5" t="inlineStr">
        <is>
          <t>에스에프에이</t>
        </is>
      </c>
      <c r="B342" s="6" t="inlineStr">
        <is>
          <t>056190</t>
        </is>
      </c>
      <c r="C342" s="6" t="inlineStr">
        <is>
          <t>2026Q2</t>
        </is>
      </c>
      <c r="D342" s="6" t="inlineStr">
        <is>
          <t>20260812</t>
        </is>
      </c>
      <c r="E342" s="16" t="inlineStr"/>
      <c r="F342" s="16" t="inlineStr"/>
      <c r="G342" s="16" t="n">
        <v>1320587</v>
      </c>
      <c r="H342" s="6" t="inlineStr">
        <is>
          <t>백만원</t>
        </is>
      </c>
      <c r="I342" s="17" t="n">
        <v>36.8</v>
      </c>
      <c r="J342" s="18" t="n">
        <v>697917</v>
      </c>
      <c r="K342" s="19" t="n">
        <v>560611</v>
      </c>
      <c r="L342" s="18" t="n">
        <v>474512</v>
      </c>
      <c r="M342" s="19" t="n">
        <v>492646</v>
      </c>
      <c r="N342" s="18" t="n">
        <v>332350</v>
      </c>
      <c r="O342" s="19" t="n">
        <v>361866</v>
      </c>
      <c r="P342" s="18" t="n">
        <v>766542</v>
      </c>
      <c r="Q342" s="19" t="n">
        <v>911850</v>
      </c>
      <c r="R342" s="18" t="n">
        <v>965416</v>
      </c>
      <c r="S342" s="20" t="n">
        <v>1320587</v>
      </c>
      <c r="T342" s="6" t="n">
        <v>12</v>
      </c>
      <c r="U342" s="5" t="inlineStr">
        <is>
          <t>로봇AI물류자동화 | 로봇AI물류자동화 | 로봇AI물류자동화</t>
        </is>
      </c>
      <c r="V342" s="21">
        <f>HYPERLINK("https://dart.fss.or.kr/dsaf001/main.do?rcpNo=20260812000465", "공시열람")</f>
        <v/>
      </c>
    </row>
    <row r="343">
      <c r="A343" s="5" t="inlineStr">
        <is>
          <t>코위버</t>
        </is>
      </c>
      <c r="B343" s="6" t="inlineStr">
        <is>
          <t>056360</t>
        </is>
      </c>
      <c r="C343" s="6" t="inlineStr">
        <is>
          <t>2025Q4</t>
        </is>
      </c>
      <c r="D343" s="6" t="inlineStr">
        <is>
          <t>20260316</t>
        </is>
      </c>
      <c r="E343" s="16" t="n">
        <v>28370</v>
      </c>
      <c r="F343" s="16" t="n">
        <v>28370</v>
      </c>
      <c r="G343" s="16" t="n">
        <v>0</v>
      </c>
      <c r="H343" s="6" t="inlineStr">
        <is>
          <t>백만원</t>
        </is>
      </c>
      <c r="I343" s="17" t="inlineStr"/>
      <c r="J343" s="18" t="n">
        <v>4954</v>
      </c>
      <c r="K343" s="19" t="n">
        <v>4184</v>
      </c>
      <c r="L343" s="18" t="n">
        <v>2778</v>
      </c>
      <c r="M343" s="19" t="n">
        <v>0</v>
      </c>
      <c r="N343" s="18" t="inlineStr"/>
      <c r="O343" s="19" t="inlineStr"/>
      <c r="P343" s="18" t="inlineStr"/>
      <c r="Q343" s="19" t="n">
        <v>0</v>
      </c>
      <c r="R343" s="18" t="inlineStr"/>
      <c r="S343" s="20" t="inlineStr"/>
      <c r="T343" s="6" t="n">
        <v>3</v>
      </c>
      <c r="U343" s="5" t="inlineStr">
        <is>
          <t>관제시스템 구축 외 / 22.12.29 / 23.12. | 광다중화장치 / 23.04.06 / 24.12.31 | Access PTN 장비 / 23.10.26 / 24.</t>
        </is>
      </c>
      <c r="V343" s="21">
        <f>HYPERLINK("https://dart.fss.or.kr/dsaf001/main.do?rcpNo=20260316000323", "공시열람")</f>
        <v/>
      </c>
    </row>
    <row r="344">
      <c r="A344" s="5" t="inlineStr">
        <is>
          <t>CNT85</t>
        </is>
      </c>
      <c r="B344" s="6" t="inlineStr">
        <is>
          <t>056730</t>
        </is>
      </c>
      <c r="C344" s="6" t="inlineStr">
        <is>
          <t>2026Q2</t>
        </is>
      </c>
      <c r="D344" s="6" t="inlineStr">
        <is>
          <t>20260814</t>
        </is>
      </c>
      <c r="E344" s="16" t="n">
        <v>35444</v>
      </c>
      <c r="F344" s="16" t="n">
        <v>24102</v>
      </c>
      <c r="G344" s="16" t="n">
        <v>11342</v>
      </c>
      <c r="H344" s="6" t="inlineStr">
        <is>
          <t>백만원</t>
        </is>
      </c>
      <c r="I344" s="17" t="n">
        <v>4.3</v>
      </c>
      <c r="J344" s="18" t="n">
        <v>42865</v>
      </c>
      <c r="K344" s="19" t="n">
        <v>27952</v>
      </c>
      <c r="L344" s="18" t="n">
        <v>35858</v>
      </c>
      <c r="M344" s="19" t="n">
        <v>26958</v>
      </c>
      <c r="N344" s="18" t="n">
        <v>26958</v>
      </c>
      <c r="O344" s="19" t="n">
        <v>50742</v>
      </c>
      <c r="P344" s="18" t="n">
        <v>39915</v>
      </c>
      <c r="Q344" s="19" t="n">
        <v>23834</v>
      </c>
      <c r="R344" s="18" t="n">
        <v>10878</v>
      </c>
      <c r="S344" s="20" t="n">
        <v>11342</v>
      </c>
      <c r="T344" s="6" t="n">
        <v>3</v>
      </c>
      <c r="U344" s="5" t="inlineStr">
        <is>
          <t>건축 / - | 필터프레스 / - | 플랜트 / -</t>
        </is>
      </c>
      <c r="V344" s="21">
        <f>HYPERLINK("https://dart.fss.or.kr/dsaf001/main.do?rcpNo=20260814003536", "공시열람")</f>
        <v/>
      </c>
    </row>
    <row r="345">
      <c r="A345" s="5" t="inlineStr">
        <is>
          <t>현대홈쇼핑</t>
        </is>
      </c>
      <c r="B345" s="6" t="inlineStr">
        <is>
          <t>057050</t>
        </is>
      </c>
      <c r="C345" s="6" t="inlineStr">
        <is>
          <t>2024Q1</t>
        </is>
      </c>
      <c r="D345" s="6" t="inlineStr">
        <is>
          <t>20240516</t>
        </is>
      </c>
      <c r="E345" s="16" t="n">
        <v>18480</v>
      </c>
      <c r="F345" s="16" t="n">
        <v>18480</v>
      </c>
      <c r="G345" s="16" t="n">
        <v>0</v>
      </c>
      <c r="H345" s="6" t="inlineStr">
        <is>
          <t>백만원/VAT포함</t>
        </is>
      </c>
      <c r="I345" s="17" t="n">
        <v>-100</v>
      </c>
      <c r="J345" s="18" t="n">
        <v>0</v>
      </c>
      <c r="K345" s="19" t="inlineStr"/>
      <c r="L345" s="18" t="inlineStr"/>
      <c r="M345" s="19" t="inlineStr"/>
      <c r="N345" s="18" t="inlineStr"/>
      <c r="O345" s="19" t="inlineStr"/>
      <c r="P345" s="18" t="inlineStr"/>
      <c r="Q345" s="19" t="inlineStr"/>
      <c r="R345" s="18" t="inlineStr"/>
      <c r="S345" s="20" t="inlineStr"/>
      <c r="T345" s="6" t="n">
        <v>1</v>
      </c>
      <c r="U345" s="5" t="inlineStr">
        <is>
          <t>인스파이어 복합리조트 통합 미디어 구축 / (주)한화건</t>
        </is>
      </c>
      <c r="V345" s="21">
        <f>HYPERLINK("https://dart.fss.or.kr/dsaf001/main.do?rcpNo=20240516001969", "공시열람")</f>
        <v/>
      </c>
    </row>
    <row r="346">
      <c r="A346" s="5" t="inlineStr">
        <is>
          <t>세아홀딩스</t>
        </is>
      </c>
      <c r="B346" s="6" t="inlineStr">
        <is>
          <t>058650</t>
        </is>
      </c>
      <c r="C346" s="6" t="inlineStr">
        <is>
          <t>2026Q2</t>
        </is>
      </c>
      <c r="D346" s="6" t="inlineStr">
        <is>
          <t>20260814</t>
        </is>
      </c>
      <c r="E346" s="16" t="n">
        <v>972741</v>
      </c>
      <c r="F346" s="16" t="n">
        <v>615251</v>
      </c>
      <c r="G346" s="16" t="n">
        <v>357490</v>
      </c>
      <c r="H346" s="6" t="inlineStr">
        <is>
          <t>톤,백만원</t>
        </is>
      </c>
      <c r="I346" s="17" t="n">
        <v>179.9</v>
      </c>
      <c r="J346" s="18" t="n">
        <v>39880</v>
      </c>
      <c r="K346" s="19" t="n">
        <v>40055</v>
      </c>
      <c r="L346" s="18" t="n">
        <v>37121</v>
      </c>
      <c r="M346" s="19" t="n">
        <v>36952</v>
      </c>
      <c r="N346" s="18" t="n">
        <v>58158</v>
      </c>
      <c r="O346" s="19" t="n">
        <v>34210</v>
      </c>
      <c r="P346" s="18" t="n">
        <v>44365</v>
      </c>
      <c r="Q346" s="19" t="n">
        <v>93564</v>
      </c>
      <c r="R346" s="18" t="n">
        <v>127725</v>
      </c>
      <c r="S346" s="20" t="n">
        <v>357490</v>
      </c>
      <c r="T346" s="6" t="n">
        <v>1</v>
      </c>
      <c r="U346" s="5" t="inlineStr">
        <is>
          <t>선재, 봉강,강관,반제품 등 / 2026.01.01~2</t>
        </is>
      </c>
      <c r="V346" s="21">
        <f>HYPERLINK("https://dart.fss.or.kr/dsaf001/main.do?rcpNo=20260814003711", "공시열람")</f>
        <v/>
      </c>
    </row>
    <row r="347">
      <c r="A347" s="5" t="inlineStr">
        <is>
          <t>다스코</t>
        </is>
      </c>
      <c r="B347" s="6" t="inlineStr">
        <is>
          <t>058730</t>
        </is>
      </c>
      <c r="C347" s="6" t="inlineStr">
        <is>
          <t>2026Q2</t>
        </is>
      </c>
      <c r="D347" s="6" t="inlineStr">
        <is>
          <t>20260814</t>
        </is>
      </c>
      <c r="E347" s="16" t="n">
        <v>317372172</v>
      </c>
      <c r="F347" s="16" t="n">
        <v>188043443</v>
      </c>
      <c r="G347" s="16" t="n">
        <v>129328729</v>
      </c>
      <c r="H347" s="6" t="inlineStr">
        <is>
          <t>천원</t>
        </is>
      </c>
      <c r="I347" s="17" t="n">
        <v>-8.300000000000001</v>
      </c>
      <c r="J347" s="18" t="inlineStr"/>
      <c r="K347" s="19" t="n">
        <v>74221852</v>
      </c>
      <c r="L347" s="18" t="inlineStr"/>
      <c r="M347" s="19" t="n">
        <v>157089279</v>
      </c>
      <c r="N347" s="18" t="n">
        <v>167785292</v>
      </c>
      <c r="O347" s="19" t="n">
        <v>170440582</v>
      </c>
      <c r="P347" s="18" t="inlineStr"/>
      <c r="Q347" s="19" t="inlineStr"/>
      <c r="R347" s="18" t="n">
        <v>140979577</v>
      </c>
      <c r="S347" s="20" t="n">
        <v>129328729</v>
      </c>
      <c r="T347" s="6" t="n">
        <v>21</v>
      </c>
      <c r="U347" s="5" t="inlineStr">
        <is>
          <t>신재생에너지사업부문 / 해오름에너지관리운영 / 2026 | 신재생에너지사업부문 / 삼척도계 / 2024.12.16 | soc사업부문 / 민락2지구 / 2021.10.08 /</t>
        </is>
      </c>
      <c r="V347" s="21">
        <f>HYPERLINK("https://dart.fss.or.kr/dsaf001/main.do?rcpNo=20260814002706", "공시열람")</f>
        <v/>
      </c>
    </row>
    <row r="348">
      <c r="A348" s="5" t="inlineStr">
        <is>
          <t>KTcs</t>
        </is>
      </c>
      <c r="B348" s="6" t="inlineStr">
        <is>
          <t>058850</t>
        </is>
      </c>
      <c r="C348" s="6" t="inlineStr">
        <is>
          <t>2025Q3</t>
        </is>
      </c>
      <c r="D348" s="6" t="inlineStr">
        <is>
          <t>20251114</t>
        </is>
      </c>
      <c r="E348" s="16" t="n">
        <v>394959</v>
      </c>
      <c r="F348" s="16" t="n">
        <v>184946</v>
      </c>
      <c r="G348" s="16" t="n">
        <v>210013</v>
      </c>
      <c r="H348" s="6" t="inlineStr">
        <is>
          <t>백만원</t>
        </is>
      </c>
      <c r="I348" s="17" t="n">
        <v>-28.9</v>
      </c>
      <c r="J348" s="18" t="n">
        <v>67072</v>
      </c>
      <c r="K348" s="19" t="n">
        <v>150860</v>
      </c>
      <c r="L348" s="18" t="n">
        <v>75745</v>
      </c>
      <c r="M348" s="19" t="n">
        <v>4398</v>
      </c>
      <c r="N348" s="18" t="n">
        <v>142949</v>
      </c>
      <c r="O348" s="19" t="n">
        <v>295172</v>
      </c>
      <c r="P348" s="18" t="n">
        <v>210013</v>
      </c>
      <c r="Q348" s="19" t="inlineStr"/>
      <c r="R348" s="18" t="inlineStr"/>
      <c r="S348" s="20" t="inlineStr"/>
      <c r="T348" s="6" t="n">
        <v>4</v>
      </c>
      <c r="U348" s="5" t="inlineStr">
        <is>
          <t>KT고객센터 외 / 2025.04.01 / 2026.0 | 콜센터 도급 / 2025.01.01 / 2026.12. | 정보화서비스 교육 / 2025.01.01 / 2025.</t>
        </is>
      </c>
      <c r="V348" s="21">
        <f>HYPERLINK("https://dart.fss.or.kr/dsaf001/main.do?rcpNo=20251114001818", "공시열람")</f>
        <v/>
      </c>
    </row>
    <row r="349">
      <c r="A349" s="5" t="inlineStr">
        <is>
          <t>엠로</t>
        </is>
      </c>
      <c r="B349" s="6" t="inlineStr">
        <is>
          <t>058970</t>
        </is>
      </c>
      <c r="C349" s="6" t="inlineStr">
        <is>
          <t>2026Q2</t>
        </is>
      </c>
      <c r="D349" s="6" t="inlineStr">
        <is>
          <t>20260828</t>
        </is>
      </c>
      <c r="E349" s="16" t="n">
        <v>106455962</v>
      </c>
      <c r="F349" s="16" t="n">
        <v>27910921</v>
      </c>
      <c r="G349" s="16" t="n">
        <v>78545041</v>
      </c>
      <c r="H349" s="6" t="inlineStr">
        <is>
          <t>천원</t>
        </is>
      </c>
      <c r="I349" s="17" t="n">
        <v>-0.7</v>
      </c>
      <c r="J349" s="18" t="n">
        <v>70046304</v>
      </c>
      <c r="K349" s="19" t="n">
        <v>94662027</v>
      </c>
      <c r="L349" s="18" t="n">
        <v>96025079</v>
      </c>
      <c r="M349" s="19" t="n">
        <v>104998655</v>
      </c>
      <c r="N349" s="18" t="n">
        <v>103998511</v>
      </c>
      <c r="O349" s="19" t="n">
        <v>101006655</v>
      </c>
      <c r="P349" s="18" t="n">
        <v>91012224</v>
      </c>
      <c r="Q349" s="19" t="n">
        <v>79325281</v>
      </c>
      <c r="R349" s="18" t="n">
        <v>79103451</v>
      </c>
      <c r="S349" s="20" t="n">
        <v>78545041</v>
      </c>
      <c r="T349" s="6" t="n">
        <v>1</v>
      </c>
      <c r="U349" s="5" t="inlineStr">
        <is>
          <t>시스템구축 및 전문용역 등 / -</t>
        </is>
      </c>
      <c r="V349" s="21">
        <f>HYPERLINK("https://dart.fss.or.kr/dsaf001/main.do?rcpNo=20260828001423", "공시열람")</f>
        <v/>
      </c>
    </row>
    <row r="350">
      <c r="A350" s="5" t="inlineStr">
        <is>
          <t>미코</t>
        </is>
      </c>
      <c r="B350" s="6" t="inlineStr">
        <is>
          <t>059090</t>
        </is>
      </c>
      <c r="C350" s="6" t="inlineStr">
        <is>
          <t>2026Q2</t>
        </is>
      </c>
      <c r="D350" s="6" t="inlineStr">
        <is>
          <t>20260814</t>
        </is>
      </c>
      <c r="E350" s="16" t="inlineStr"/>
      <c r="F350" s="16" t="inlineStr"/>
      <c r="G350" s="16" t="n">
        <v>739383</v>
      </c>
      <c r="H350" s="6" t="inlineStr">
        <is>
          <t>백만원</t>
        </is>
      </c>
      <c r="I350" s="17" t="n">
        <v>-3.1</v>
      </c>
      <c r="J350" s="18" t="inlineStr"/>
      <c r="K350" s="19" t="inlineStr"/>
      <c r="L350" s="18" t="inlineStr"/>
      <c r="M350" s="19" t="inlineStr"/>
      <c r="N350" s="18" t="n">
        <v>363824</v>
      </c>
      <c r="O350" s="19" t="n">
        <v>462326</v>
      </c>
      <c r="P350" s="18" t="n">
        <v>462326</v>
      </c>
      <c r="Q350" s="19" t="n">
        <v>698931</v>
      </c>
      <c r="R350" s="18" t="n">
        <v>763419</v>
      </c>
      <c r="S350" s="20" t="n">
        <v>739383</v>
      </c>
      <c r="T350" s="6" t="n">
        <v>1</v>
      </c>
      <c r="U350" s="5" t="inlineStr">
        <is>
          <t>산업용 보일러</t>
        </is>
      </c>
      <c r="V350" s="21">
        <f>HYPERLINK("https://dart.fss.or.kr/dsaf001/main.do?rcpNo=20260814003616", "공시열람")</f>
        <v/>
      </c>
    </row>
    <row r="351">
      <c r="A351" s="5" t="inlineStr">
        <is>
          <t>아이컴포넌트</t>
        </is>
      </c>
      <c r="B351" s="6" t="inlineStr">
        <is>
          <t>059100</t>
        </is>
      </c>
      <c r="C351" s="6" t="inlineStr">
        <is>
          <t>2024Q3</t>
        </is>
      </c>
      <c r="D351" s="6" t="inlineStr">
        <is>
          <t>20241114</t>
        </is>
      </c>
      <c r="E351" s="16" t="n">
        <v>8220</v>
      </c>
      <c r="F351" s="16" t="n">
        <v>1963</v>
      </c>
      <c r="G351" s="16" t="n">
        <v>6257</v>
      </c>
      <c r="H351" s="6" t="inlineStr">
        <is>
          <t>백만원</t>
        </is>
      </c>
      <c r="I351" s="17" t="n">
        <v>-7.3</v>
      </c>
      <c r="J351" s="18" t="n">
        <v>7267</v>
      </c>
      <c r="K351" s="19" t="n">
        <v>6752</v>
      </c>
      <c r="L351" s="18" t="n">
        <v>6257</v>
      </c>
      <c r="M351" s="19" t="inlineStr"/>
      <c r="N351" s="18" t="inlineStr"/>
      <c r="O351" s="19" t="inlineStr"/>
      <c r="P351" s="18" t="inlineStr"/>
      <c r="Q351" s="19" t="inlineStr"/>
      <c r="R351" s="18" t="inlineStr"/>
      <c r="S351" s="20" t="inlineStr"/>
      <c r="T351" s="6" t="n">
        <v>1</v>
      </c>
      <c r="U351" s="5" t="inlineStr">
        <is>
          <t>배리어필름 / 2024.01.08 / 2025.03.3</t>
        </is>
      </c>
      <c r="V351" s="21">
        <f>HYPERLINK("https://dart.fss.or.kr/dsaf001/main.do?rcpNo=20241114000348", "공시열람")</f>
        <v/>
      </c>
    </row>
    <row r="352">
      <c r="A352" s="5" t="inlineStr">
        <is>
          <t>엔더블유시</t>
        </is>
      </c>
      <c r="B352" s="6" t="inlineStr">
        <is>
          <t>059180</t>
        </is>
      </c>
      <c r="C352" s="6" t="inlineStr">
        <is>
          <t>2025Q4</t>
        </is>
      </c>
      <c r="D352" s="6" t="inlineStr">
        <is>
          <t>20260323</t>
        </is>
      </c>
      <c r="E352" s="16" t="n">
        <v>4357833</v>
      </c>
      <c r="F352" s="16" t="n">
        <v>2507755</v>
      </c>
      <c r="G352" s="16" t="n">
        <v>1850078</v>
      </c>
      <c r="H352" s="6" t="inlineStr">
        <is>
          <t>천원</t>
        </is>
      </c>
      <c r="I352" s="17" t="inlineStr"/>
      <c r="J352" s="18" t="inlineStr"/>
      <c r="K352" s="19" t="inlineStr"/>
      <c r="L352" s="18" t="inlineStr"/>
      <c r="M352" s="19" t="inlineStr"/>
      <c r="N352" s="18" t="inlineStr"/>
      <c r="O352" s="19" t="inlineStr"/>
      <c r="P352" s="18" t="inlineStr"/>
      <c r="Q352" s="19" t="n">
        <v>1850078</v>
      </c>
      <c r="R352" s="18" t="inlineStr"/>
      <c r="S352" s="20" t="inlineStr"/>
      <c r="T352" s="6" t="n">
        <v>3</v>
      </c>
      <c r="U352" s="5" t="inlineStr">
        <is>
          <t>광케이블류 | 수출 DropCable | 수출 광접속함체</t>
        </is>
      </c>
      <c r="V352" s="21">
        <f>HYPERLINK("https://dart.fss.or.kr/dsaf001/main.do?rcpNo=20260323001549", "공시열람")</f>
        <v/>
      </c>
    </row>
    <row r="353">
      <c r="A353" s="5" t="inlineStr">
        <is>
          <t>메타바이오메드</t>
        </is>
      </c>
      <c r="B353" s="6" t="inlineStr">
        <is>
          <t>059210</t>
        </is>
      </c>
      <c r="C353" s="6" t="inlineStr">
        <is>
          <t>2025Q3</t>
        </is>
      </c>
      <c r="D353" s="6" t="inlineStr">
        <is>
          <t>20251114</t>
        </is>
      </c>
      <c r="E353" s="16" t="n">
        <v>17479</v>
      </c>
      <c r="F353" s="16" t="n">
        <v>8656</v>
      </c>
      <c r="G353" s="16" t="n">
        <v>8823</v>
      </c>
      <c r="H353" s="6" t="inlineStr">
        <is>
          <t>백만원</t>
        </is>
      </c>
      <c r="I353" s="17" t="n">
        <v>0</v>
      </c>
      <c r="J353" s="18" t="n">
        <v>11043</v>
      </c>
      <c r="K353" s="19" t="n">
        <v>10674</v>
      </c>
      <c r="L353" s="18" t="n">
        <v>9817</v>
      </c>
      <c r="M353" s="19" t="n">
        <v>9647</v>
      </c>
      <c r="N353" s="18" t="n">
        <v>9511</v>
      </c>
      <c r="O353" s="19" t="n">
        <v>8823</v>
      </c>
      <c r="P353" s="18" t="n">
        <v>8823</v>
      </c>
      <c r="Q353" s="19" t="inlineStr"/>
      <c r="R353" s="18" t="inlineStr"/>
      <c r="S353" s="20" t="inlineStr"/>
      <c r="T353" s="6" t="n">
        <v>1</v>
      </c>
      <c r="U353" s="5" t="inlineStr">
        <is>
          <t>치과용재료 및 치과용기기 / 2018.05.08 / 7</t>
        </is>
      </c>
      <c r="V353" s="21">
        <f>HYPERLINK("https://dart.fss.or.kr/dsaf001/main.do?rcpNo=20251114001215", "공시열람")</f>
        <v/>
      </c>
    </row>
    <row r="354">
      <c r="A354" s="5" t="inlineStr">
        <is>
          <t>해성에어로보틱스</t>
        </is>
      </c>
      <c r="B354" s="6" t="inlineStr">
        <is>
          <t>059270</t>
        </is>
      </c>
      <c r="C354" s="6" t="inlineStr">
        <is>
          <t>2026Q2</t>
        </is>
      </c>
      <c r="D354" s="6" t="inlineStr">
        <is>
          <t>20260814</t>
        </is>
      </c>
      <c r="E354" s="16" t="n">
        <v>43521</v>
      </c>
      <c r="F354" s="16" t="n">
        <v>36617</v>
      </c>
      <c r="G354" s="16" t="n">
        <v>6904</v>
      </c>
      <c r="H354" s="6" t="inlineStr">
        <is>
          <t>백만원</t>
        </is>
      </c>
      <c r="I354" s="17" t="n">
        <v>-23.4</v>
      </c>
      <c r="J354" s="18" t="n">
        <v>5127</v>
      </c>
      <c r="K354" s="19" t="n">
        <v>3862</v>
      </c>
      <c r="L354" s="18" t="n">
        <v>4198</v>
      </c>
      <c r="M354" s="19" t="n">
        <v>5260</v>
      </c>
      <c r="N354" s="18" t="n">
        <v>5260</v>
      </c>
      <c r="O354" s="19" t="n">
        <v>4506</v>
      </c>
      <c r="P354" s="18" t="n">
        <v>4563</v>
      </c>
      <c r="Q354" s="19" t="n">
        <v>5779</v>
      </c>
      <c r="R354" s="18" t="n">
        <v>9015</v>
      </c>
      <c r="S354" s="20" t="n">
        <v>6904</v>
      </c>
      <c r="T354" s="6" t="n">
        <v>1</v>
      </c>
      <c r="U354" s="5" t="inlineStr">
        <is>
          <t>감속기 등 / 24.1~26.6 / 25.1~26.12</t>
        </is>
      </c>
      <c r="V354" s="21">
        <f>HYPERLINK("https://dart.fss.or.kr/dsaf001/main.do?rcpNo=20260814002415", "공시열람")</f>
        <v/>
      </c>
    </row>
    <row r="355">
      <c r="A355" s="5" t="inlineStr">
        <is>
          <t>인선이엔티</t>
        </is>
      </c>
      <c r="B355" s="6" t="inlineStr">
        <is>
          <t>060150</t>
        </is>
      </c>
      <c r="C355" s="6" t="inlineStr">
        <is>
          <t>2025Q2</t>
        </is>
      </c>
      <c r="D355" s="6" t="inlineStr">
        <is>
          <t>20250814</t>
        </is>
      </c>
      <c r="E355" s="16" t="inlineStr"/>
      <c r="F355" s="16" t="inlineStr"/>
      <c r="G355" s="16" t="n">
        <v>63806</v>
      </c>
      <c r="H355" s="6" t="inlineStr">
        <is>
          <t>백만원</t>
        </is>
      </c>
      <c r="I355" s="17" t="n">
        <v>-0.2</v>
      </c>
      <c r="J355" s="18" t="n">
        <v>71191</v>
      </c>
      <c r="K355" s="19" t="n">
        <v>69288</v>
      </c>
      <c r="L355" s="18" t="n">
        <v>67974</v>
      </c>
      <c r="M355" s="19" t="n">
        <v>65471</v>
      </c>
      <c r="N355" s="18" t="n">
        <v>63932</v>
      </c>
      <c r="O355" s="19" t="n">
        <v>63806</v>
      </c>
      <c r="P355" s="18" t="inlineStr"/>
      <c r="Q355" s="19" t="inlineStr"/>
      <c r="R355" s="18" t="inlineStr"/>
      <c r="S355" s="20" t="inlineStr"/>
      <c r="T355" s="6" t="n">
        <v>5</v>
      </c>
      <c r="U355" s="5" t="inlineStr">
        <is>
          <t>건설폐기물 / 인선이엔티(주) 본사 | 건설폐기물 / (주)영흥산업환경 | 건설폐기물 / 인선기업(주)</t>
        </is>
      </c>
      <c r="V355" s="21">
        <f>HYPERLINK("https://dart.fss.or.kr/dsaf001/main.do?rcpNo=20250814004038", "공시열람")</f>
        <v/>
      </c>
    </row>
    <row r="356">
      <c r="A356" s="5" t="inlineStr">
        <is>
          <t>스타코링크</t>
        </is>
      </c>
      <c r="B356" s="6" t="inlineStr">
        <is>
          <t>060240</t>
        </is>
      </c>
      <c r="C356" s="6" t="inlineStr">
        <is>
          <t>2026Q1</t>
        </is>
      </c>
      <c r="D356" s="6" t="inlineStr">
        <is>
          <t>20260515</t>
        </is>
      </c>
      <c r="E356" s="16" t="n">
        <v>2895</v>
      </c>
      <c r="F356" s="16" t="n">
        <v>5455</v>
      </c>
      <c r="G356" s="16" t="n">
        <v>20829</v>
      </c>
      <c r="H356" s="6" t="inlineStr">
        <is>
          <t>백만원</t>
        </is>
      </c>
      <c r="I356" s="17" t="n">
        <v>7.7</v>
      </c>
      <c r="J356" s="18" t="inlineStr"/>
      <c r="K356" s="19" t="inlineStr"/>
      <c r="L356" s="18" t="inlineStr"/>
      <c r="M356" s="19" t="n">
        <v>21102</v>
      </c>
      <c r="N356" s="18" t="n">
        <v>23430</v>
      </c>
      <c r="O356" s="19" t="n">
        <v>20649</v>
      </c>
      <c r="P356" s="18" t="n">
        <v>19543</v>
      </c>
      <c r="Q356" s="19" t="n">
        <v>19346</v>
      </c>
      <c r="R356" s="18" t="n">
        <v>20829</v>
      </c>
      <c r="S356" s="20" t="inlineStr"/>
      <c r="T356" s="6" t="n">
        <v>3</v>
      </c>
      <c r="U356" s="5" t="inlineStr">
        <is>
          <t>조선 선실 / WALL &amp; CEILING PANEL / | 조선 선실 / PANEL &amp; DOOR / (주2) | 조선 선실 / UNIT TOILET / (주2)</t>
        </is>
      </c>
      <c r="V356" s="21">
        <f>HYPERLINK("https://dart.fss.or.kr/dsaf001/main.do?rcpNo=20260515000932", "공시열람")</f>
        <v/>
      </c>
    </row>
    <row r="357">
      <c r="A357" s="5" t="inlineStr">
        <is>
          <t>뉴보텍</t>
        </is>
      </c>
      <c r="B357" s="6" t="inlineStr">
        <is>
          <t>060260</t>
        </is>
      </c>
      <c r="C357" s="6" t="inlineStr">
        <is>
          <t>2026Q2</t>
        </is>
      </c>
      <c r="D357" s="6" t="inlineStr">
        <is>
          <t>20260814</t>
        </is>
      </c>
      <c r="E357" s="16" t="n">
        <v>47527361983</v>
      </c>
      <c r="F357" s="16" t="n">
        <v>28798353830</v>
      </c>
      <c r="G357" s="16" t="n">
        <v>18729008153</v>
      </c>
      <c r="H357" s="6" t="inlineStr">
        <is>
          <t>개,원</t>
        </is>
      </c>
      <c r="I357" s="17" t="n">
        <v>-4.9</v>
      </c>
      <c r="J357" s="18" t="n">
        <v>12828147343</v>
      </c>
      <c r="K357" s="19" t="n">
        <v>14228595777</v>
      </c>
      <c r="L357" s="18" t="n">
        <v>13707053314</v>
      </c>
      <c r="M357" s="19" t="n">
        <v>11615905946</v>
      </c>
      <c r="N357" s="18" t="n">
        <v>14533509303</v>
      </c>
      <c r="O357" s="19" t="n">
        <v>15702564807</v>
      </c>
      <c r="P357" s="18" t="n">
        <v>16683079353</v>
      </c>
      <c r="Q357" s="19" t="n">
        <v>17467615589</v>
      </c>
      <c r="R357" s="18" t="n">
        <v>19696921194</v>
      </c>
      <c r="S357" s="20" t="n">
        <v>18729008153</v>
      </c>
      <c r="T357" s="6" t="n">
        <v>7</v>
      </c>
      <c r="U357" s="5" t="inlineStr">
        <is>
          <t>HI-VG 계 / ~26.06.30 / - | 고강성 PVC 이중벽관 계 / ~26.06.30 / - | 기타 상하수도관 부속자재 / ~26.06.30 / -</t>
        </is>
      </c>
      <c r="V357" s="21">
        <f>HYPERLINK("https://dart.fss.or.kr/dsaf001/main.do?rcpNo=20260814001572", "공시열람")</f>
        <v/>
      </c>
    </row>
    <row r="358">
      <c r="A358" s="5" t="inlineStr">
        <is>
          <t>3S</t>
        </is>
      </c>
      <c r="B358" s="6" t="inlineStr">
        <is>
          <t>060310</t>
        </is>
      </c>
      <c r="C358" s="6" t="inlineStr">
        <is>
          <t>2026Q2</t>
        </is>
      </c>
      <c r="D358" s="6" t="inlineStr">
        <is>
          <t>20260812</t>
        </is>
      </c>
      <c r="E358" s="16" t="n">
        <v>3684000</v>
      </c>
      <c r="F358" s="16" t="inlineStr"/>
      <c r="G358" s="16" t="n">
        <v>3684000</v>
      </c>
      <c r="H358" s="6" t="inlineStr">
        <is>
          <t>천원</t>
        </is>
      </c>
      <c r="I358" s="17" t="inlineStr"/>
      <c r="J358" s="18" t="n">
        <v>21820338</v>
      </c>
      <c r="K358" s="19" t="n">
        <v>1543000</v>
      </c>
      <c r="L358" s="18" t="n">
        <v>4216000</v>
      </c>
      <c r="M358" s="19" t="n">
        <v>39492518</v>
      </c>
      <c r="N358" s="18" t="n">
        <v>18910544</v>
      </c>
      <c r="O358" s="19" t="n">
        <v>2994000</v>
      </c>
      <c r="P358" s="18" t="n">
        <v>548000</v>
      </c>
      <c r="Q358" s="19" t="n">
        <v>399000</v>
      </c>
      <c r="R358" s="18" t="n">
        <v>0</v>
      </c>
      <c r="S358" s="20" t="n">
        <v>3684000</v>
      </c>
      <c r="T358" s="6" t="n">
        <v>3</v>
      </c>
      <c r="U358" s="5" t="inlineStr">
        <is>
          <t>- / 2026-04-27 / 2026-11-30 | - / 2026-04-24 / 2026-08-30 | - / 2026-06-16 / 2026-09-30</t>
        </is>
      </c>
      <c r="V358" s="21">
        <f>HYPERLINK("https://dart.fss.or.kr/dsaf001/main.do?rcpNo=20260812000330", "공시열람")</f>
        <v/>
      </c>
    </row>
    <row r="359">
      <c r="A359" s="5" t="inlineStr">
        <is>
          <t>LS마린솔루션</t>
        </is>
      </c>
      <c r="B359" s="6" t="inlineStr">
        <is>
          <t>060370</t>
        </is>
      </c>
      <c r="C359" s="6" t="inlineStr">
        <is>
          <t>2026Q2</t>
        </is>
      </c>
      <c r="D359" s="6" t="inlineStr">
        <is>
          <t>20260814</t>
        </is>
      </c>
      <c r="E359" s="16" t="n">
        <v>10309</v>
      </c>
      <c r="F359" s="16" t="n">
        <v>3663</v>
      </c>
      <c r="G359" s="16" t="n">
        <v>6646</v>
      </c>
      <c r="H359" s="6" t="inlineStr">
        <is>
          <t>억원</t>
        </is>
      </c>
      <c r="I359" s="17" t="n">
        <v>-7.1</v>
      </c>
      <c r="J359" s="18" t="n">
        <v>703</v>
      </c>
      <c r="K359" s="19" t="n">
        <v>661.4</v>
      </c>
      <c r="L359" s="18" t="n">
        <v>299.8</v>
      </c>
      <c r="M359" s="19" t="n">
        <v>5286</v>
      </c>
      <c r="N359" s="18" t="n">
        <v>6143</v>
      </c>
      <c r="O359" s="19" t="n">
        <v>6315</v>
      </c>
      <c r="P359" s="18" t="n">
        <v>6762</v>
      </c>
      <c r="Q359" s="19" t="n">
        <v>8256</v>
      </c>
      <c r="R359" s="18" t="n">
        <v>7153</v>
      </c>
      <c r="S359" s="20" t="n">
        <v>6646</v>
      </c>
      <c r="T359" s="6" t="n">
        <v>2</v>
      </c>
      <c r="U359" s="5" t="inlineStr">
        <is>
          <t>지중케이블 / ~2026년 반기 / - | 해저케이블 / ~2026년 반기 / -</t>
        </is>
      </c>
      <c r="V359" s="21">
        <f>HYPERLINK("https://dart.fss.or.kr/dsaf001/main.do?rcpNo=20260814001451", "공시열람")</f>
        <v/>
      </c>
    </row>
    <row r="360">
      <c r="A360" s="5" t="inlineStr">
        <is>
          <t>HC홈센타</t>
        </is>
      </c>
      <c r="B360" s="6" t="inlineStr">
        <is>
          <t>060560</t>
        </is>
      </c>
      <c r="C360" s="6" t="inlineStr">
        <is>
          <t>2026Q2</t>
        </is>
      </c>
      <c r="D360" s="6" t="inlineStr">
        <is>
          <t>20260929</t>
        </is>
      </c>
      <c r="E360" s="16" t="n">
        <v>3893657</v>
      </c>
      <c r="F360" s="16" t="n">
        <v>982077</v>
      </c>
      <c r="G360" s="16" t="n">
        <v>2911580</v>
      </c>
      <c r="H360" s="6" t="inlineStr">
        <is>
          <t>천원</t>
        </is>
      </c>
      <c r="I360" s="17" t="n">
        <v>39</v>
      </c>
      <c r="J360" s="18" t="n">
        <v>14837946</v>
      </c>
      <c r="K360" s="19" t="n">
        <v>12905836</v>
      </c>
      <c r="L360" s="18" t="n">
        <v>9978608</v>
      </c>
      <c r="M360" s="19" t="n">
        <v>4789441</v>
      </c>
      <c r="N360" s="18" t="n">
        <v>4828992</v>
      </c>
      <c r="O360" s="19" t="n">
        <v>4793724</v>
      </c>
      <c r="P360" s="18" t="n">
        <v>4468332</v>
      </c>
      <c r="Q360" s="19" t="n">
        <v>3986721</v>
      </c>
      <c r="R360" s="18" t="n">
        <v>2094756</v>
      </c>
      <c r="S360" s="20" t="n">
        <v>2911580</v>
      </c>
      <c r="T360" s="6" t="n">
        <v>18</v>
      </c>
      <c r="U360" s="5" t="inlineStr">
        <is>
          <t>타일 / 2022.06.03 / 2025.03.31 | 위생금구 / 2024.02.08 / 2028.03.31 | 위생금구 / 2026.04.22 / 2028.10.30</t>
        </is>
      </c>
      <c r="V360" s="21">
        <f>HYPERLINK("https://dart.fss.or.kr/dsaf001/main.do?rcpNo=20260929000450", "공시열람")</f>
        <v/>
      </c>
    </row>
    <row r="361">
      <c r="A361" s="5" t="inlineStr">
        <is>
          <t>영림원소프트랩</t>
        </is>
      </c>
      <c r="B361" s="6" t="inlineStr">
        <is>
          <t>060850</t>
        </is>
      </c>
      <c r="C361" s="6" t="inlineStr">
        <is>
          <t>2026Q2</t>
        </is>
      </c>
      <c r="D361" s="6" t="inlineStr">
        <is>
          <t>20260814</t>
        </is>
      </c>
      <c r="E361" s="16" t="n">
        <v>56345576</v>
      </c>
      <c r="F361" s="16" t="n">
        <v>38485703</v>
      </c>
      <c r="G361" s="16" t="n">
        <v>17859873</v>
      </c>
      <c r="H361" s="6" t="inlineStr">
        <is>
          <t>천원</t>
        </is>
      </c>
      <c r="I361" s="17" t="n">
        <v>32.3</v>
      </c>
      <c r="J361" s="18" t="n">
        <v>11220043</v>
      </c>
      <c r="K361" s="19" t="n">
        <v>12524369</v>
      </c>
      <c r="L361" s="18" t="n">
        <v>12460750</v>
      </c>
      <c r="M361" s="19" t="n">
        <v>9711392</v>
      </c>
      <c r="N361" s="18" t="n">
        <v>22956184</v>
      </c>
      <c r="O361" s="19" t="n">
        <v>20353335</v>
      </c>
      <c r="P361" s="18" t="n">
        <v>23815238</v>
      </c>
      <c r="Q361" s="19" t="n">
        <v>19492688</v>
      </c>
      <c r="R361" s="18" t="n">
        <v>13501423</v>
      </c>
      <c r="S361" s="20" t="n">
        <v>17859873</v>
      </c>
      <c r="T361" s="6" t="n">
        <v>1</v>
      </c>
      <c r="U361" s="5" t="inlineStr">
        <is>
          <t>K.System 공급 및 구축 / -</t>
        </is>
      </c>
      <c r="V361" s="21">
        <f>HYPERLINK("https://dart.fss.or.kr/dsaf001/main.do?rcpNo=20260814001196", "공시열람")</f>
        <v/>
      </c>
    </row>
    <row r="362">
      <c r="A362" s="5" t="inlineStr">
        <is>
          <t>에이전트AI</t>
        </is>
      </c>
      <c r="B362" s="6" t="inlineStr">
        <is>
          <t>060900</t>
        </is>
      </c>
      <c r="C362" s="6" t="inlineStr">
        <is>
          <t>2026Q2</t>
        </is>
      </c>
      <c r="D362" s="6" t="inlineStr">
        <is>
          <t>20261012</t>
        </is>
      </c>
      <c r="E362" s="16" t="n">
        <v>35013252</v>
      </c>
      <c r="F362" s="16" t="n">
        <v>22392543</v>
      </c>
      <c r="G362" s="16" t="n">
        <v>12620709</v>
      </c>
      <c r="H362" s="6" t="inlineStr">
        <is>
          <t>천원</t>
        </is>
      </c>
      <c r="I362" s="17" t="n">
        <v>7.1</v>
      </c>
      <c r="J362" s="18" t="n">
        <v>27875494</v>
      </c>
      <c r="K362" s="19" t="n">
        <v>27177650</v>
      </c>
      <c r="L362" s="18" t="n">
        <v>25011744</v>
      </c>
      <c r="M362" s="19" t="n">
        <v>21878231</v>
      </c>
      <c r="N362" s="18" t="n">
        <v>8992346</v>
      </c>
      <c r="O362" s="19" t="n">
        <v>7893149</v>
      </c>
      <c r="P362" s="18" t="n">
        <v>6905668</v>
      </c>
      <c r="Q362" s="19" t="n">
        <v>6030279</v>
      </c>
      <c r="R362" s="18" t="n">
        <v>11778774</v>
      </c>
      <c r="S362" s="20" t="n">
        <v>12620709</v>
      </c>
      <c r="T362" s="6" t="n">
        <v>24</v>
      </c>
      <c r="U362" s="5" t="inlineStr">
        <is>
          <t>풍력발전설비 MSA / 2019-01-14 / 2029 | 태양광 공사 / 2026-06-29 / 2027-06- | 기자재 공급 / 2026-03-20 / 2026-06-</t>
        </is>
      </c>
      <c r="V362" s="21">
        <f>HYPERLINK("https://dart.fss.or.kr/dsaf001/main.do?rcpNo=20261012000291", "공시열람")</f>
        <v/>
      </c>
    </row>
    <row r="363">
      <c r="A363" s="5" t="inlineStr">
        <is>
          <t>HL홀딩스</t>
        </is>
      </c>
      <c r="B363" s="6" t="inlineStr">
        <is>
          <t>060980</t>
        </is>
      </c>
      <c r="C363" s="6" t="inlineStr">
        <is>
          <t>2026Q2</t>
        </is>
      </c>
      <c r="D363" s="6" t="inlineStr">
        <is>
          <t>20260814</t>
        </is>
      </c>
      <c r="E363" s="16" t="n">
        <v>8865787</v>
      </c>
      <c r="F363" s="16" t="n">
        <v>3003906</v>
      </c>
      <c r="G363" s="16" t="n">
        <v>5861881</v>
      </c>
      <c r="H363" s="6" t="inlineStr">
        <is>
          <t>백만원</t>
        </is>
      </c>
      <c r="I363" s="17" t="n">
        <v>-2.6</v>
      </c>
      <c r="J363" s="18" t="n">
        <v>3949505</v>
      </c>
      <c r="K363" s="19" t="n">
        <v>3987276</v>
      </c>
      <c r="L363" s="18" t="n">
        <v>3836832</v>
      </c>
      <c r="M363" s="19" t="n">
        <v>5279265</v>
      </c>
      <c r="N363" s="18" t="n">
        <v>5238212</v>
      </c>
      <c r="O363" s="19" t="n">
        <v>5733589</v>
      </c>
      <c r="P363" s="18" t="n">
        <v>5451660</v>
      </c>
      <c r="Q363" s="19" t="n">
        <v>6264816</v>
      </c>
      <c r="R363" s="18" t="n">
        <v>6019653</v>
      </c>
      <c r="S363" s="20" t="n">
        <v>5861881</v>
      </c>
      <c r="T363" s="6" t="n">
        <v>35</v>
      </c>
      <c r="U363" s="5" t="inlineStr">
        <is>
          <t>민간 / 기타 | 관급 / 기타 | 자체 / 에이치엘디앤아이한라㈜ / 이천아미1지구도시개발</t>
        </is>
      </c>
      <c r="V363" s="21">
        <f>HYPERLINK("https://dart.fss.or.kr/dsaf001/main.do?rcpNo=20260814003923", "공시열람")</f>
        <v/>
      </c>
    </row>
    <row r="364">
      <c r="A364" s="5" t="inlineStr">
        <is>
          <t>산일전기</t>
        </is>
      </c>
      <c r="B364" s="6" t="inlineStr">
        <is>
          <t>062040</t>
        </is>
      </c>
      <c r="C364" s="6" t="inlineStr">
        <is>
          <t>2026Q2</t>
        </is>
      </c>
      <c r="D364" s="6" t="inlineStr">
        <is>
          <t>20260814</t>
        </is>
      </c>
      <c r="E364" s="16" t="n">
        <v>422483</v>
      </c>
      <c r="F364" s="16" t="n">
        <v>314502</v>
      </c>
      <c r="G364" s="16" t="n">
        <v>556788</v>
      </c>
      <c r="H364" s="6" t="inlineStr">
        <is>
          <t>백만원</t>
        </is>
      </c>
      <c r="I364" s="17" t="n">
        <v>16.6</v>
      </c>
      <c r="J364" s="18" t="inlineStr"/>
      <c r="K364" s="19" t="inlineStr"/>
      <c r="L364" s="18" t="n">
        <v>341314</v>
      </c>
      <c r="M364" s="19" t="n">
        <v>389190</v>
      </c>
      <c r="N364" s="18" t="n">
        <v>459702</v>
      </c>
      <c r="O364" s="19" t="n">
        <v>419477</v>
      </c>
      <c r="P364" s="18" t="n">
        <v>414275</v>
      </c>
      <c r="Q364" s="19" t="n">
        <v>448807</v>
      </c>
      <c r="R364" s="18" t="n">
        <v>477440</v>
      </c>
      <c r="S364" s="20" t="n">
        <v>556788</v>
      </c>
      <c r="T364" s="6" t="n">
        <v>1</v>
      </c>
      <c r="U364" s="5" t="inlineStr">
        <is>
          <t xml:space="preserve">변압기, 리액터, 소프트스타터 등 / 2026년 1월 </t>
        </is>
      </c>
      <c r="V364" s="21">
        <f>HYPERLINK("https://dart.fss.or.kr/dsaf001/main.do?rcpNo=20260814003544", "공시열람")</f>
        <v/>
      </c>
    </row>
    <row r="365">
      <c r="A365" s="5" t="inlineStr">
        <is>
          <t>한국첨단소재</t>
        </is>
      </c>
      <c r="B365" s="6" t="inlineStr">
        <is>
          <t>062970</t>
        </is>
      </c>
      <c r="C365" s="6" t="inlineStr">
        <is>
          <t>2026Q2</t>
        </is>
      </c>
      <c r="D365" s="6" t="inlineStr">
        <is>
          <t>20260814</t>
        </is>
      </c>
      <c r="E365" s="16" t="n">
        <v>2489160</v>
      </c>
      <c r="F365" s="16" t="n">
        <v>2245759</v>
      </c>
      <c r="G365" s="16" t="n">
        <v>243401</v>
      </c>
      <c r="H365" s="6" t="inlineStr">
        <is>
          <t>천원</t>
        </is>
      </c>
      <c r="I365" s="17" t="n">
        <v>-33.8</v>
      </c>
      <c r="J365" s="18" t="n">
        <v>606326</v>
      </c>
      <c r="K365" s="19" t="n">
        <v>482756</v>
      </c>
      <c r="L365" s="18" t="n">
        <v>1458368</v>
      </c>
      <c r="M365" s="19" t="n">
        <v>488210</v>
      </c>
      <c r="N365" s="18" t="n">
        <v>461368</v>
      </c>
      <c r="O365" s="19" t="n">
        <v>332312</v>
      </c>
      <c r="P365" s="18" t="n">
        <v>193194</v>
      </c>
      <c r="Q365" s="19" t="n">
        <v>720627</v>
      </c>
      <c r="R365" s="18" t="n">
        <v>367633</v>
      </c>
      <c r="S365" s="20" t="n">
        <v>243401</v>
      </c>
      <c r="T365" s="6" t="n">
        <v>5</v>
      </c>
      <c r="U365" s="5" t="inlineStr">
        <is>
          <t>AWG | 기타 | OSP (광선로 모듈)</t>
        </is>
      </c>
      <c r="V365" s="21">
        <f>HYPERLINK("https://dart.fss.or.kr/dsaf001/main.do?rcpNo=20260814003725", "공시열람")</f>
        <v/>
      </c>
    </row>
    <row r="366">
      <c r="A366" s="5" t="inlineStr">
        <is>
          <t>이엘피</t>
        </is>
      </c>
      <c r="B366" s="6" t="inlineStr">
        <is>
          <t>063760</t>
        </is>
      </c>
      <c r="C366" s="6" t="inlineStr">
        <is>
          <t>2026Q2</t>
        </is>
      </c>
      <c r="D366" s="6" t="inlineStr">
        <is>
          <t>20260814</t>
        </is>
      </c>
      <c r="E366" s="16" t="n">
        <v>370</v>
      </c>
      <c r="F366" s="16" t="n">
        <v>159</v>
      </c>
      <c r="G366" s="16" t="n">
        <v>211</v>
      </c>
      <c r="H366" s="6" t="inlineStr">
        <is>
          <t>억원</t>
        </is>
      </c>
      <c r="I366" s="17" t="n">
        <v>73</v>
      </c>
      <c r="J366" s="18" t="n">
        <v>166</v>
      </c>
      <c r="K366" s="19" t="n">
        <v>195</v>
      </c>
      <c r="L366" s="18" t="n">
        <v>173</v>
      </c>
      <c r="M366" s="19" t="n">
        <v>186</v>
      </c>
      <c r="N366" s="18" t="n">
        <v>213</v>
      </c>
      <c r="O366" s="19" t="n">
        <v>256</v>
      </c>
      <c r="P366" s="18" t="n">
        <v>206</v>
      </c>
      <c r="Q366" s="19" t="n">
        <v>152</v>
      </c>
      <c r="R366" s="18" t="n">
        <v>122</v>
      </c>
      <c r="S366" s="20" t="n">
        <v>211</v>
      </c>
      <c r="T366" s="6" t="n">
        <v>1</v>
      </c>
      <c r="U366" s="5" t="inlineStr">
        <is>
          <t>OLED검사기외 / -</t>
        </is>
      </c>
      <c r="V366" s="21">
        <f>HYPERLINK("https://dart.fss.or.kr/dsaf001/main.do?rcpNo=20260814003758", "공시열람")</f>
        <v/>
      </c>
    </row>
    <row r="367">
      <c r="A367" s="5" t="inlineStr">
        <is>
          <t>홈캐스트</t>
        </is>
      </c>
      <c r="B367" s="6" t="inlineStr">
        <is>
          <t>064240</t>
        </is>
      </c>
      <c r="C367" s="6" t="inlineStr">
        <is>
          <t>2023Q4</t>
        </is>
      </c>
      <c r="D367" s="6" t="inlineStr">
        <is>
          <t>20240320</t>
        </is>
      </c>
      <c r="E367" s="16" t="n">
        <v>3617362859</v>
      </c>
      <c r="F367" s="16" t="n">
        <v>1107136775</v>
      </c>
      <c r="G367" s="16" t="n">
        <v>2490637284</v>
      </c>
      <c r="H367" s="6" t="inlineStr"/>
      <c r="I367" s="17" t="inlineStr"/>
      <c r="J367" s="18" t="inlineStr"/>
      <c r="K367" s="19" t="inlineStr"/>
      <c r="L367" s="18" t="inlineStr"/>
      <c r="M367" s="19" t="inlineStr"/>
      <c r="N367" s="18" t="inlineStr"/>
      <c r="O367" s="19" t="inlineStr"/>
      <c r="P367" s="18" t="inlineStr"/>
      <c r="Q367" s="19" t="inlineStr"/>
      <c r="R367" s="18" t="inlineStr"/>
      <c r="S367" s="20" t="inlineStr"/>
      <c r="T367" s="6" t="n">
        <v>28</v>
      </c>
      <c r="U367" s="5" t="inlineStr">
        <is>
          <t>라(환) / 22-10-17 / 23-10-16 | 상하 / 22-10-01 / 23-05-30 | 상하 / 23-02-10 / 24-12-31</t>
        </is>
      </c>
      <c r="V367" s="21">
        <f>HYPERLINK("https://dart.fss.or.kr/dsaf001/main.do?rcpNo=20240320001462", "공시열람")</f>
        <v/>
      </c>
    </row>
    <row r="368">
      <c r="A368" s="5" t="inlineStr">
        <is>
          <t>인텍플러스</t>
        </is>
      </c>
      <c r="B368" s="6" t="inlineStr">
        <is>
          <t>064290</t>
        </is>
      </c>
      <c r="C368" s="6" t="inlineStr">
        <is>
          <t>2026Q2</t>
        </is>
      </c>
      <c r="D368" s="6" t="inlineStr">
        <is>
          <t>20260814</t>
        </is>
      </c>
      <c r="E368" s="16" t="n">
        <v>147935</v>
      </c>
      <c r="F368" s="16" t="n">
        <v>21766</v>
      </c>
      <c r="G368" s="16" t="n">
        <v>126169</v>
      </c>
      <c r="H368" s="6" t="inlineStr">
        <is>
          <t>백만원</t>
        </is>
      </c>
      <c r="I368" s="17" t="n">
        <v>107</v>
      </c>
      <c r="J368" s="18" t="n">
        <v>75667</v>
      </c>
      <c r="K368" s="19" t="n">
        <v>81032</v>
      </c>
      <c r="L368" s="18" t="n">
        <v>81588</v>
      </c>
      <c r="M368" s="19" t="n">
        <v>74383</v>
      </c>
      <c r="N368" s="18" t="n">
        <v>71700</v>
      </c>
      <c r="O368" s="19" t="n">
        <v>70421</v>
      </c>
      <c r="P368" s="18" t="n">
        <v>81504</v>
      </c>
      <c r="Q368" s="19" t="n">
        <v>50751</v>
      </c>
      <c r="R368" s="18" t="n">
        <v>60964</v>
      </c>
      <c r="S368" s="20" t="n">
        <v>126169</v>
      </c>
      <c r="T368" s="6" t="n">
        <v>2</v>
      </c>
      <c r="U368" s="5" t="inlineStr">
        <is>
          <t>반도체외관검사분야 / 2024년~2026년 / 2025 | 디스플레이,2차전지외관 검사분야 / 2024년~2026</t>
        </is>
      </c>
      <c r="V368" s="21">
        <f>HYPERLINK("https://dart.fss.or.kr/dsaf001/main.do?rcpNo=20260814002497", "공시열람")</f>
        <v/>
      </c>
    </row>
    <row r="369">
      <c r="A369" s="5" t="inlineStr">
        <is>
          <t>현대로템</t>
        </is>
      </c>
      <c r="B369" s="6" t="inlineStr">
        <is>
          <t>064350</t>
        </is>
      </c>
      <c r="C369" s="6" t="inlineStr">
        <is>
          <t>2026Q2</t>
        </is>
      </c>
      <c r="D369" s="6" t="inlineStr">
        <is>
          <t>20260814</t>
        </is>
      </c>
      <c r="E369" s="16" t="n">
        <v>23634165</v>
      </c>
      <c r="F369" s="16" t="n">
        <v>10862975</v>
      </c>
      <c r="G369" s="16" t="n">
        <v>12771190</v>
      </c>
      <c r="H369" s="6" t="inlineStr">
        <is>
          <t>백만원</t>
        </is>
      </c>
      <c r="I369" s="17" t="n">
        <v>7.6</v>
      </c>
      <c r="J369" s="18" t="n">
        <v>6909113</v>
      </c>
      <c r="K369" s="19" t="n">
        <v>8042187</v>
      </c>
      <c r="L369" s="18" t="n">
        <v>9031203</v>
      </c>
      <c r="M369" s="19" t="n">
        <v>9128803</v>
      </c>
      <c r="N369" s="18" t="n">
        <v>11292383</v>
      </c>
      <c r="O369" s="19" t="n">
        <v>12185484</v>
      </c>
      <c r="P369" s="18" t="n">
        <v>11922335</v>
      </c>
      <c r="Q369" s="19" t="n">
        <v>11618527</v>
      </c>
      <c r="R369" s="18" t="n">
        <v>11865944</v>
      </c>
      <c r="S369" s="20" t="n">
        <v>12771190</v>
      </c>
      <c r="T369" s="6" t="n">
        <v>45</v>
      </c>
      <c r="U369" s="5" t="inlineStr">
        <is>
          <t>철도BG / 2025-02-25 / 2031-05-29 | 철도AB / 2017-12-02 / *1 | 철도AY / 2023-06-29 / 2031-12-18</t>
        </is>
      </c>
      <c r="V369" s="21">
        <f>HYPERLINK("https://dart.fss.or.kr/dsaf001/main.do?rcpNo=20260814002977", "공시열람")</f>
        <v/>
      </c>
    </row>
    <row r="370">
      <c r="A370" s="5" t="inlineStr">
        <is>
          <t>LG씨엔에스</t>
        </is>
      </c>
      <c r="B370" s="6" t="inlineStr">
        <is>
          <t>064400</t>
        </is>
      </c>
      <c r="C370" s="6" t="inlineStr">
        <is>
          <t>2026Q2</t>
        </is>
      </c>
      <c r="D370" s="6" t="inlineStr">
        <is>
          <t>20260814</t>
        </is>
      </c>
      <c r="E370" s="16" t="n">
        <v>2711885</v>
      </c>
      <c r="F370" s="16" t="n">
        <v>1318716</v>
      </c>
      <c r="G370" s="16" t="n">
        <v>5347295</v>
      </c>
      <c r="H370" s="6" t="inlineStr">
        <is>
          <t>백만원</t>
        </is>
      </c>
      <c r="I370" s="17" t="n">
        <v>31.5</v>
      </c>
      <c r="J370" s="18" t="inlineStr"/>
      <c r="K370" s="19" t="inlineStr"/>
      <c r="L370" s="18" t="inlineStr"/>
      <c r="M370" s="19" t="n">
        <v>3452105</v>
      </c>
      <c r="N370" s="18" t="n">
        <v>3537813</v>
      </c>
      <c r="O370" s="19" t="n">
        <v>3989944</v>
      </c>
      <c r="P370" s="18" t="n">
        <v>3758032</v>
      </c>
      <c r="Q370" s="19" t="n">
        <v>3954126</v>
      </c>
      <c r="R370" s="18" t="n">
        <v>4065203</v>
      </c>
      <c r="S370" s="20" t="n">
        <v>5347295</v>
      </c>
      <c r="T370" s="6" t="n">
        <v>1</v>
      </c>
      <c r="U370" s="5" t="inlineStr">
        <is>
          <t>시스템구축 및 운영 / -</t>
        </is>
      </c>
      <c r="V370" s="21">
        <f>HYPERLINK("https://dart.fss.or.kr/dsaf001/main.do?rcpNo=20260814002448", "공시열람")</f>
        <v/>
      </c>
    </row>
    <row r="371">
      <c r="A371" s="5" t="inlineStr">
        <is>
          <t>브리지텍</t>
        </is>
      </c>
      <c r="B371" s="6" t="inlineStr">
        <is>
          <t>064480</t>
        </is>
      </c>
      <c r="C371" s="6" t="inlineStr">
        <is>
          <t>2026Q2</t>
        </is>
      </c>
      <c r="D371" s="6" t="inlineStr">
        <is>
          <t>20260812</t>
        </is>
      </c>
      <c r="E371" s="16" t="n">
        <v>36514883</v>
      </c>
      <c r="F371" s="16" t="n">
        <v>23338580</v>
      </c>
      <c r="G371" s="16" t="n">
        <v>13176303</v>
      </c>
      <c r="H371" s="6" t="inlineStr">
        <is>
          <t>천원</t>
        </is>
      </c>
      <c r="I371" s="17" t="n">
        <v>-18.2</v>
      </c>
      <c r="J371" s="18" t="n">
        <v>15173938</v>
      </c>
      <c r="K371" s="19" t="n">
        <v>19811736</v>
      </c>
      <c r="L371" s="18" t="n">
        <v>13984607</v>
      </c>
      <c r="M371" s="19" t="n">
        <v>15702220</v>
      </c>
      <c r="N371" s="18" t="n">
        <v>12963863</v>
      </c>
      <c r="O371" s="19" t="n">
        <v>24782202</v>
      </c>
      <c r="P371" s="18" t="n">
        <v>24940636</v>
      </c>
      <c r="Q371" s="19" t="n">
        <v>17369878</v>
      </c>
      <c r="R371" s="18" t="n">
        <v>16110814</v>
      </c>
      <c r="S371" s="20" t="n">
        <v>13176303</v>
      </c>
      <c r="T371" s="6" t="n">
        <v>16</v>
      </c>
      <c r="U371" s="5" t="inlineStr">
        <is>
          <t>콜센터 / 2026년 | 콜센터 / 2025년 / 2026년 | 콜센터 / 2025년 / 2028년</t>
        </is>
      </c>
      <c r="V371" s="21">
        <f>HYPERLINK("https://dart.fss.or.kr/dsaf001/main.do?rcpNo=20260812000387", "공시열람")</f>
        <v/>
      </c>
    </row>
    <row r="372">
      <c r="A372" s="5" t="inlineStr">
        <is>
          <t>티씨케이</t>
        </is>
      </c>
      <c r="B372" s="6" t="inlineStr">
        <is>
          <t>064760</t>
        </is>
      </c>
      <c r="C372" s="6" t="inlineStr">
        <is>
          <t>2026Q2</t>
        </is>
      </c>
      <c r="D372" s="6" t="inlineStr">
        <is>
          <t>20260814</t>
        </is>
      </c>
      <c r="E372" s="16" t="inlineStr"/>
      <c r="F372" s="16" t="inlineStr"/>
      <c r="G372" s="16" t="n">
        <v>1993.7</v>
      </c>
      <c r="H372" s="6" t="inlineStr">
        <is>
          <t>억원</t>
        </is>
      </c>
      <c r="I372" s="17" t="n">
        <v>104.7</v>
      </c>
      <c r="J372" s="18" t="n">
        <v>821.1</v>
      </c>
      <c r="K372" s="19" t="n">
        <v>853.2</v>
      </c>
      <c r="L372" s="18" t="n">
        <v>873.5</v>
      </c>
      <c r="M372" s="19" t="n">
        <v>823.8</v>
      </c>
      <c r="N372" s="18" t="n">
        <v>717.1</v>
      </c>
      <c r="O372" s="19" t="n">
        <v>686.6</v>
      </c>
      <c r="P372" s="18" t="n">
        <v>684.3</v>
      </c>
      <c r="Q372" s="19" t="n">
        <v>905</v>
      </c>
      <c r="R372" s="18" t="n">
        <v>973.8</v>
      </c>
      <c r="S372" s="20" t="n">
        <v>1993.7</v>
      </c>
      <c r="T372" s="6" t="n">
        <v>3</v>
      </c>
      <c r="U372" s="5" t="inlineStr">
        <is>
          <t>Solid SiC류 | Graphite류 | Susceptor류</t>
        </is>
      </c>
      <c r="V372" s="21">
        <f>HYPERLINK("https://dart.fss.or.kr/dsaf001/main.do?rcpNo=20260814001689", "공시열람")</f>
        <v/>
      </c>
    </row>
    <row r="373">
      <c r="A373" s="5" t="inlineStr">
        <is>
          <t>포니링크</t>
        </is>
      </c>
      <c r="B373" s="6" t="inlineStr">
        <is>
          <t>064800</t>
        </is>
      </c>
      <c r="C373" s="6" t="inlineStr">
        <is>
          <t>2026Q2</t>
        </is>
      </c>
      <c r="D373" s="6" t="inlineStr">
        <is>
          <t>20260814</t>
        </is>
      </c>
      <c r="E373" s="16" t="n">
        <v>13544771</v>
      </c>
      <c r="F373" s="16" t="n">
        <v>9705337</v>
      </c>
      <c r="G373" s="16" t="n">
        <v>3839434</v>
      </c>
      <c r="H373" s="6" t="inlineStr">
        <is>
          <t>천원</t>
        </is>
      </c>
      <c r="I373" s="17" t="n">
        <v>53.9</v>
      </c>
      <c r="J373" s="18" t="n">
        <v>4583382</v>
      </c>
      <c r="K373" s="19" t="n">
        <v>5300070</v>
      </c>
      <c r="L373" s="18" t="n">
        <v>4850071</v>
      </c>
      <c r="M373" s="19" t="n">
        <v>1897875</v>
      </c>
      <c r="N373" s="18" t="n">
        <v>5329397</v>
      </c>
      <c r="O373" s="19" t="n">
        <v>4360211</v>
      </c>
      <c r="P373" s="18" t="n">
        <v>4037173</v>
      </c>
      <c r="Q373" s="19" t="n">
        <v>2333231</v>
      </c>
      <c r="R373" s="18" t="n">
        <v>2494161</v>
      </c>
      <c r="S373" s="20" t="n">
        <v>3839434</v>
      </c>
      <c r="T373" s="6" t="n">
        <v>5</v>
      </c>
      <c r="U373" s="5" t="inlineStr">
        <is>
          <t>기타무선인터넷솔루션 / - | 유지보수/운영 / - | MMSC / -</t>
        </is>
      </c>
      <c r="V373" s="21">
        <f>HYPERLINK("https://dart.fss.or.kr/dsaf001/main.do?rcpNo=20260814003964", "공시열람")</f>
        <v/>
      </c>
    </row>
    <row r="374">
      <c r="A374" s="5" t="inlineStr">
        <is>
          <t>케이프</t>
        </is>
      </c>
      <c r="B374" s="6" t="inlineStr">
        <is>
          <t>064820</t>
        </is>
      </c>
      <c r="C374" s="6" t="inlineStr">
        <is>
          <t>2026Q2</t>
        </is>
      </c>
      <c r="D374" s="6" t="inlineStr">
        <is>
          <t>20260814</t>
        </is>
      </c>
      <c r="E374" s="16" t="n">
        <v>45376</v>
      </c>
      <c r="F374" s="16" t="inlineStr"/>
      <c r="G374" s="16" t="n">
        <v>45376</v>
      </c>
      <c r="H374" s="6" t="inlineStr">
        <is>
          <t>EA,백만원</t>
        </is>
      </c>
      <c r="I374" s="17" t="n">
        <v>1.8</v>
      </c>
      <c r="J374" s="18" t="n">
        <v>57624</v>
      </c>
      <c r="K374" s="19" t="n">
        <v>51070</v>
      </c>
      <c r="L374" s="18" t="n">
        <v>50641</v>
      </c>
      <c r="M374" s="19" t="n">
        <v>59270</v>
      </c>
      <c r="N374" s="18" t="n">
        <v>36471</v>
      </c>
      <c r="O374" s="19" t="n">
        <v>40975</v>
      </c>
      <c r="P374" s="18" t="n">
        <v>43734</v>
      </c>
      <c r="Q374" s="19" t="n">
        <v>40330</v>
      </c>
      <c r="R374" s="18" t="n">
        <v>44594</v>
      </c>
      <c r="S374" s="20" t="n">
        <v>45376</v>
      </c>
      <c r="T374" s="6" t="n">
        <v>1</v>
      </c>
      <c r="U374" s="5" t="inlineStr">
        <is>
          <t>실린더라이너 / -</t>
        </is>
      </c>
      <c r="V374" s="21">
        <f>HYPERLINK("https://dart.fss.or.kr/dsaf001/main.do?rcpNo=20260814001483", "공시열람")</f>
        <v/>
      </c>
    </row>
    <row r="375">
      <c r="A375" s="5" t="inlineStr">
        <is>
          <t>탑엔지니어링</t>
        </is>
      </c>
      <c r="B375" s="6" t="inlineStr">
        <is>
          <t>065130</t>
        </is>
      </c>
      <c r="C375" s="6" t="inlineStr">
        <is>
          <t>2026Q2</t>
        </is>
      </c>
      <c r="D375" s="6" t="inlineStr">
        <is>
          <t>20260814</t>
        </is>
      </c>
      <c r="E375" s="16" t="n">
        <v>98248</v>
      </c>
      <c r="F375" s="16" t="n">
        <v>53750</v>
      </c>
      <c r="G375" s="16" t="n">
        <v>44498</v>
      </c>
      <c r="H375" s="6" t="inlineStr">
        <is>
          <t>백만원</t>
        </is>
      </c>
      <c r="I375" s="17" t="n">
        <v>39.7</v>
      </c>
      <c r="J375" s="18" t="n">
        <v>45462</v>
      </c>
      <c r="K375" s="19" t="n">
        <v>74567</v>
      </c>
      <c r="L375" s="18" t="n">
        <v>78307</v>
      </c>
      <c r="M375" s="19" t="n">
        <v>64986</v>
      </c>
      <c r="N375" s="18" t="n">
        <v>50120</v>
      </c>
      <c r="O375" s="19" t="n">
        <v>28315</v>
      </c>
      <c r="P375" s="18" t="n">
        <v>27610</v>
      </c>
      <c r="Q375" s="19" t="n">
        <v>40969</v>
      </c>
      <c r="R375" s="18" t="n">
        <v>31847</v>
      </c>
      <c r="S375" s="20" t="n">
        <v>44498</v>
      </c>
      <c r="T375" s="6" t="n">
        <v>1</v>
      </c>
      <c r="U375" s="5" t="inlineStr">
        <is>
          <t>디스플레이장비 등 / -</t>
        </is>
      </c>
      <c r="V375" s="21">
        <f>HYPERLINK("https://dart.fss.or.kr/dsaf001/main.do?rcpNo=20260814000889", "공시열람")</f>
        <v/>
      </c>
    </row>
    <row r="376">
      <c r="A376" s="5" t="inlineStr">
        <is>
          <t>위세아이텍</t>
        </is>
      </c>
      <c r="B376" s="6" t="inlineStr">
        <is>
          <t>065370</t>
        </is>
      </c>
      <c r="C376" s="6" t="inlineStr">
        <is>
          <t>2026Q2</t>
        </is>
      </c>
      <c r="D376" s="6" t="inlineStr">
        <is>
          <t>20260814</t>
        </is>
      </c>
      <c r="E376" s="16" t="inlineStr"/>
      <c r="F376" s="16" t="inlineStr"/>
      <c r="G376" s="16" t="n">
        <v>26539232</v>
      </c>
      <c r="H376" s="6" t="inlineStr">
        <is>
          <t>천원</t>
        </is>
      </c>
      <c r="I376" s="17" t="n">
        <v>50.1</v>
      </c>
      <c r="J376" s="18" t="n">
        <v>16565664</v>
      </c>
      <c r="K376" s="19" t="n">
        <v>16221560</v>
      </c>
      <c r="L376" s="18" t="n">
        <v>16510502</v>
      </c>
      <c r="M376" s="19" t="n">
        <v>8934560</v>
      </c>
      <c r="N376" s="18" t="n">
        <v>12214893</v>
      </c>
      <c r="O376" s="19" t="n">
        <v>16365327</v>
      </c>
      <c r="P376" s="18" t="n">
        <v>22533829</v>
      </c>
      <c r="Q376" s="19" t="n">
        <v>14481118</v>
      </c>
      <c r="R376" s="18" t="n">
        <v>17677603</v>
      </c>
      <c r="S376" s="20" t="n">
        <v>26539232</v>
      </c>
      <c r="T376" s="6" t="n">
        <v>5</v>
      </c>
      <c r="U376" s="5" t="inlineStr">
        <is>
          <t xml:space="preserve">기타 / - | 한국은행 / 한국은행 디지털혁신실 통합 운영용역 / 2 | 한국은행 / 한국은행 2기 IT통합 운영용역 사업 / </t>
        </is>
      </c>
      <c r="V376" s="21">
        <f>HYPERLINK("https://dart.fss.or.kr/dsaf001/main.do?rcpNo=20260814002051", "공시열람")</f>
        <v/>
      </c>
    </row>
    <row r="377">
      <c r="A377" s="5" t="inlineStr">
        <is>
          <t>이루온</t>
        </is>
      </c>
      <c r="B377" s="6" t="inlineStr">
        <is>
          <t>065440</t>
        </is>
      </c>
      <c r="C377" s="6" t="inlineStr">
        <is>
          <t>2026Q2</t>
        </is>
      </c>
      <c r="D377" s="6" t="inlineStr">
        <is>
          <t>20260814</t>
        </is>
      </c>
      <c r="E377" s="16" t="n">
        <v>20205</v>
      </c>
      <c r="F377" s="16" t="n">
        <v>6403</v>
      </c>
      <c r="G377" s="16" t="n">
        <v>13802</v>
      </c>
      <c r="H377" s="6" t="inlineStr">
        <is>
          <t>백만원</t>
        </is>
      </c>
      <c r="I377" s="17" t="n">
        <v>42.2</v>
      </c>
      <c r="J377" s="18" t="n">
        <v>19314</v>
      </c>
      <c r="K377" s="19" t="n">
        <v>20632</v>
      </c>
      <c r="L377" s="18" t="n">
        <v>15792</v>
      </c>
      <c r="M377" s="19" t="n">
        <v>15504</v>
      </c>
      <c r="N377" s="18" t="n">
        <v>13367</v>
      </c>
      <c r="O377" s="19" t="n">
        <v>12734</v>
      </c>
      <c r="P377" s="18" t="n">
        <v>9987</v>
      </c>
      <c r="Q377" s="19" t="n">
        <v>7844</v>
      </c>
      <c r="R377" s="18" t="n">
        <v>9704</v>
      </c>
      <c r="S377" s="20" t="n">
        <v>13802</v>
      </c>
      <c r="T377" s="6" t="n">
        <v>2</v>
      </c>
      <c r="U377" s="5" t="inlineStr">
        <is>
          <t>통신 솔루션 및서비스 / - | 기타 시스템 / -</t>
        </is>
      </c>
      <c r="V377" s="21">
        <f>HYPERLINK("https://dart.fss.or.kr/dsaf001/main.do?rcpNo=20260814003089", "공시열람")</f>
        <v/>
      </c>
    </row>
    <row r="378">
      <c r="A378" s="5" t="inlineStr">
        <is>
          <t>빅텍</t>
        </is>
      </c>
      <c r="B378" s="6" t="inlineStr">
        <is>
          <t>065450</t>
        </is>
      </c>
      <c r="C378" s="6" t="inlineStr">
        <is>
          <t>2026Q2</t>
        </is>
      </c>
      <c r="D378" s="6" t="inlineStr">
        <is>
          <t>20260814</t>
        </is>
      </c>
      <c r="E378" s="16" t="n">
        <v>212379</v>
      </c>
      <c r="F378" s="16" t="n">
        <v>75570</v>
      </c>
      <c r="G378" s="16" t="n">
        <v>136809</v>
      </c>
      <c r="H378" s="6" t="inlineStr">
        <is>
          <t>백만원</t>
        </is>
      </c>
      <c r="I378" s="17" t="n">
        <v>-8</v>
      </c>
      <c r="J378" s="18" t="n">
        <v>123996</v>
      </c>
      <c r="K378" s="19" t="n">
        <v>79048</v>
      </c>
      <c r="L378" s="18" t="n">
        <v>66762</v>
      </c>
      <c r="M378" s="19" t="n">
        <v>126880</v>
      </c>
      <c r="N378" s="18" t="n">
        <v>142614</v>
      </c>
      <c r="O378" s="19" t="n">
        <v>183834</v>
      </c>
      <c r="P378" s="18" t="n">
        <v>172424</v>
      </c>
      <c r="Q378" s="19" t="n">
        <v>157500</v>
      </c>
      <c r="R378" s="18" t="n">
        <v>148711</v>
      </c>
      <c r="S378" s="20" t="n">
        <v>136809</v>
      </c>
      <c r="T378" s="6" t="n">
        <v>6</v>
      </c>
      <c r="U378" s="5" t="inlineStr">
        <is>
          <t>전원공급장치, 기타 방산 / 23년 06월 ~ 28년  | 전자전시스템 방향탐지장치 / 23년 11월 ~ 28년  | 피아식별장비 / 20년 04월 ~ 28년 05월</t>
        </is>
      </c>
      <c r="V378" s="21">
        <f>HYPERLINK("https://dart.fss.or.kr/dsaf001/main.do?rcpNo=20260814001741", "공시열람")</f>
        <v/>
      </c>
    </row>
    <row r="379">
      <c r="A379" s="5" t="inlineStr">
        <is>
          <t>와이어블</t>
        </is>
      </c>
      <c r="B379" s="6" t="inlineStr">
        <is>
          <t>065530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8953867608</v>
      </c>
      <c r="H379" s="6" t="inlineStr">
        <is>
          <t>원</t>
        </is>
      </c>
      <c r="I379" s="17" t="n">
        <v>0</v>
      </c>
      <c r="J379" s="18" t="n">
        <v>19528103847</v>
      </c>
      <c r="K379" s="19" t="n">
        <v>19528103847</v>
      </c>
      <c r="L379" s="18" t="n">
        <v>19528103847</v>
      </c>
      <c r="M379" s="19" t="n">
        <v>19528103847</v>
      </c>
      <c r="N379" s="18" t="n">
        <v>11278645333</v>
      </c>
      <c r="O379" s="19" t="n">
        <v>9646209844</v>
      </c>
      <c r="P379" s="18" t="n">
        <v>11383211807</v>
      </c>
      <c r="Q379" s="19" t="n">
        <v>8953867608</v>
      </c>
      <c r="R379" s="18" t="n">
        <v>8953867608</v>
      </c>
      <c r="S379" s="20" t="n">
        <v>8953867608</v>
      </c>
      <c r="T379" s="6" t="n">
        <v>6</v>
      </c>
      <c r="U379" s="5" t="inlineStr">
        <is>
          <t xml:space="preserve">일반철도 남부권역 전송설비(IP-MPLS) 구매설치 / | 기 타 | 중앙선 청량리~서원주 개량 철도통합무선망(LTE-R) </t>
        </is>
      </c>
      <c r="V379" s="21">
        <f>HYPERLINK("https://dart.fss.or.kr/dsaf001/main.do?rcpNo=20260814002475", "공시열람")</f>
        <v/>
      </c>
    </row>
    <row r="380">
      <c r="A380" s="5" t="inlineStr">
        <is>
          <t>삼영이엔씨</t>
        </is>
      </c>
      <c r="B380" s="6" t="inlineStr">
        <is>
          <t>065570</t>
        </is>
      </c>
      <c r="C380" s="6" t="inlineStr">
        <is>
          <t>2026Q2</t>
        </is>
      </c>
      <c r="D380" s="6" t="inlineStr">
        <is>
          <t>20260814</t>
        </is>
      </c>
      <c r="E380" s="16" t="n">
        <v>32080</v>
      </c>
      <c r="F380" s="16" t="n">
        <v>19226</v>
      </c>
      <c r="G380" s="16" t="n">
        <v>12854</v>
      </c>
      <c r="H380" s="6" t="inlineStr">
        <is>
          <t>백만원</t>
        </is>
      </c>
      <c r="I380" s="17" t="n">
        <v>-5.6</v>
      </c>
      <c r="J380" s="18" t="n">
        <v>17858</v>
      </c>
      <c r="K380" s="19" t="n">
        <v>14605</v>
      </c>
      <c r="L380" s="18" t="n">
        <v>14417</v>
      </c>
      <c r="M380" s="19" t="n">
        <v>25682</v>
      </c>
      <c r="N380" s="18" t="n">
        <v>25682</v>
      </c>
      <c r="O380" s="19" t="n">
        <v>22960</v>
      </c>
      <c r="P380" s="18" t="n">
        <v>20888</v>
      </c>
      <c r="Q380" s="19" t="n">
        <v>14912</v>
      </c>
      <c r="R380" s="18" t="n">
        <v>13618</v>
      </c>
      <c r="S380" s="20" t="n">
        <v>12854</v>
      </c>
      <c r="T380" s="6" t="n">
        <v>14</v>
      </c>
      <c r="U380" s="5" t="inlineStr">
        <is>
          <t>단파통신체계 / 2024.12.20 / 2024.12. | Link-22관련 통신기 / 2023.09.04 / 2 | HF송수신기 / 2025.03.21 / 2025.03.</t>
        </is>
      </c>
      <c r="V380" s="21">
        <f>HYPERLINK("https://dart.fss.or.kr/dsaf001/main.do?rcpNo=20260814004129", "공시열람")</f>
        <v/>
      </c>
    </row>
    <row r="381">
      <c r="A381" s="5" t="inlineStr">
        <is>
          <t>서호전기</t>
        </is>
      </c>
      <c r="B381" s="6" t="inlineStr">
        <is>
          <t>065710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158489273</v>
      </c>
      <c r="H381" s="6" t="inlineStr">
        <is>
          <t>천원</t>
        </is>
      </c>
      <c r="I381" s="17" t="n">
        <v>126</v>
      </c>
      <c r="J381" s="18" t="n">
        <v>13065529</v>
      </c>
      <c r="K381" s="19" t="n">
        <v>55931788</v>
      </c>
      <c r="L381" s="18" t="n">
        <v>147859646</v>
      </c>
      <c r="M381" s="19" t="n">
        <v>137726348</v>
      </c>
      <c r="N381" s="18" t="n">
        <v>127834589</v>
      </c>
      <c r="O381" s="19" t="n">
        <v>99908386</v>
      </c>
      <c r="P381" s="18" t="n">
        <v>95204328</v>
      </c>
      <c r="Q381" s="19" t="n">
        <v>80188287</v>
      </c>
      <c r="R381" s="18" t="n">
        <v>70130938</v>
      </c>
      <c r="S381" s="20" t="n">
        <v>158489273</v>
      </c>
      <c r="T381" s="6" t="n">
        <v>1</v>
      </c>
      <c r="U381" s="5" t="inlineStr">
        <is>
          <t>구동제어시스템</t>
        </is>
      </c>
      <c r="V381" s="21">
        <f>HYPERLINK("https://dart.fss.or.kr/dsaf001/main.do?rcpNo=20260814000574", "공시열람")</f>
        <v/>
      </c>
    </row>
    <row r="382">
      <c r="A382" s="5" t="inlineStr">
        <is>
          <t>CS</t>
        </is>
      </c>
      <c r="B382" s="6" t="inlineStr">
        <is>
          <t>065770</t>
        </is>
      </c>
      <c r="C382" s="6" t="inlineStr">
        <is>
          <t>2026Q2</t>
        </is>
      </c>
      <c r="D382" s="6" t="inlineStr">
        <is>
          <t>20260814</t>
        </is>
      </c>
      <c r="E382" s="16" t="n">
        <v>205746000</v>
      </c>
      <c r="F382" s="16" t="n">
        <v>165678000</v>
      </c>
      <c r="G382" s="16" t="n">
        <v>40068000</v>
      </c>
      <c r="H382" s="6" t="inlineStr">
        <is>
          <t>￥,원</t>
        </is>
      </c>
      <c r="I382" s="17" t="n">
        <v>-99</v>
      </c>
      <c r="J382" s="18" t="n">
        <v>1597210000</v>
      </c>
      <c r="K382" s="19" t="n">
        <v>9070000</v>
      </c>
      <c r="L382" s="18" t="n">
        <v>209055000</v>
      </c>
      <c r="M382" s="19" t="inlineStr"/>
      <c r="N382" s="18" t="n">
        <v>613120500</v>
      </c>
      <c r="O382" s="19" t="n">
        <v>2094262000</v>
      </c>
      <c r="P382" s="18" t="n">
        <v>4200042000</v>
      </c>
      <c r="Q382" s="19" t="inlineStr"/>
      <c r="R382" s="18" t="inlineStr"/>
      <c r="S382" s="20" t="n">
        <v>40068000</v>
      </c>
      <c r="T382" s="6" t="n">
        <v>2</v>
      </c>
      <c r="U382" s="5" t="inlineStr">
        <is>
          <t>국내향중계기 / 2026-06-15 / 2026-10- | 국내향중계기 / 2026-06-15 / 2026-10-</t>
        </is>
      </c>
      <c r="V382" s="21">
        <f>HYPERLINK("https://dart.fss.or.kr/dsaf001/main.do?rcpNo=20260814002989", "공시열람")</f>
        <v/>
      </c>
    </row>
    <row r="383">
      <c r="A383" s="5" t="inlineStr">
        <is>
          <t>웰크론</t>
        </is>
      </c>
      <c r="B383" s="6" t="inlineStr">
        <is>
          <t>065950</t>
        </is>
      </c>
      <c r="C383" s="6" t="inlineStr">
        <is>
          <t>2026Q2</t>
        </is>
      </c>
      <c r="D383" s="6" t="inlineStr">
        <is>
          <t>20261002</t>
        </is>
      </c>
      <c r="E383" s="16" t="inlineStr"/>
      <c r="F383" s="16" t="inlineStr"/>
      <c r="G383" s="16" t="n">
        <v>165438641</v>
      </c>
      <c r="H383" s="6" t="inlineStr">
        <is>
          <t>천원</t>
        </is>
      </c>
      <c r="I383" s="17" t="n">
        <v>91932.60000000001</v>
      </c>
      <c r="J383" s="18" t="n">
        <v>218242</v>
      </c>
      <c r="K383" s="19" t="n">
        <v>187216</v>
      </c>
      <c r="L383" s="18" t="n">
        <v>176831</v>
      </c>
      <c r="M383" s="19" t="n">
        <v>184520</v>
      </c>
      <c r="N383" s="18" t="n">
        <v>156742</v>
      </c>
      <c r="O383" s="19" t="n">
        <v>173192</v>
      </c>
      <c r="P383" s="18" t="n">
        <v>211574</v>
      </c>
      <c r="Q383" s="19" t="n">
        <v>198257</v>
      </c>
      <c r="R383" s="18" t="n">
        <v>179761</v>
      </c>
      <c r="S383" s="20" t="n">
        <v>165438641</v>
      </c>
      <c r="T383" s="6" t="n">
        <v>1</v>
      </c>
      <c r="U383" s="5" t="inlineStr">
        <is>
          <t>(9,772,395)</t>
        </is>
      </c>
      <c r="V383" s="21">
        <f>HYPERLINK("https://dart.fss.or.kr/dsaf001/main.do?rcpNo=20261002000301", "공시열람")</f>
        <v/>
      </c>
    </row>
    <row r="384">
      <c r="A384" s="5" t="inlineStr">
        <is>
          <t>하츠</t>
        </is>
      </c>
      <c r="B384" s="6" t="inlineStr">
        <is>
          <t>066130</t>
        </is>
      </c>
      <c r="C384" s="6" t="inlineStr">
        <is>
          <t>2026Q2</t>
        </is>
      </c>
      <c r="D384" s="6" t="inlineStr">
        <is>
          <t>20260814</t>
        </is>
      </c>
      <c r="E384" s="16" t="n">
        <v>135621</v>
      </c>
      <c r="F384" s="16" t="n">
        <v>6081</v>
      </c>
      <c r="G384" s="16" t="n">
        <v>129540</v>
      </c>
      <c r="H384" s="6" t="inlineStr">
        <is>
          <t>백만원</t>
        </is>
      </c>
      <c r="I384" s="17" t="n">
        <v>4</v>
      </c>
      <c r="J384" s="18" t="n">
        <v>145837</v>
      </c>
      <c r="K384" s="19" t="n">
        <v>140361</v>
      </c>
      <c r="L384" s="18" t="n">
        <v>124217</v>
      </c>
      <c r="M384" s="19" t="n">
        <v>124969</v>
      </c>
      <c r="N384" s="18" t="n">
        <v>117663</v>
      </c>
      <c r="O384" s="19" t="n">
        <v>123953</v>
      </c>
      <c r="P384" s="18" t="n">
        <v>114102</v>
      </c>
      <c r="Q384" s="19" t="n">
        <v>121616</v>
      </c>
      <c r="R384" s="18" t="n">
        <v>124604</v>
      </c>
      <c r="S384" s="20" t="n">
        <v>129540</v>
      </c>
      <c r="T384" s="6" t="n">
        <v>2</v>
      </c>
      <c r="U384" s="5" t="inlineStr">
        <is>
          <t>레인지후드 외 (주1,2) / 26.07.01 이전 / | 환기시스템공사 (주3) / - / 26.07.01~29</t>
        </is>
      </c>
      <c r="V384" s="21">
        <f>HYPERLINK("https://dart.fss.or.kr/dsaf001/main.do?rcpNo=20260814001155", "공시열람")</f>
        <v/>
      </c>
    </row>
    <row r="385">
      <c r="A385" s="5" t="inlineStr">
        <is>
          <t>테라젠이텍스</t>
        </is>
      </c>
      <c r="B385" s="6" t="inlineStr">
        <is>
          <t>066700</t>
        </is>
      </c>
      <c r="C385" s="6" t="inlineStr">
        <is>
          <t>2026Q2</t>
        </is>
      </c>
      <c r="D385" s="6" t="inlineStr">
        <is>
          <t>20260814</t>
        </is>
      </c>
      <c r="E385" s="16" t="n">
        <v>5080</v>
      </c>
      <c r="F385" s="16" t="n">
        <v>3708</v>
      </c>
      <c r="G385" s="16" t="n">
        <v>1372</v>
      </c>
      <c r="H385" s="6" t="inlineStr">
        <is>
          <t>백만원</t>
        </is>
      </c>
      <c r="I385" s="17" t="n">
        <v>23.3</v>
      </c>
      <c r="J385" s="18" t="n">
        <v>1539</v>
      </c>
      <c r="K385" s="19" t="n">
        <v>5770</v>
      </c>
      <c r="L385" s="18" t="n">
        <v>3150</v>
      </c>
      <c r="M385" s="19" t="n">
        <v>2333</v>
      </c>
      <c r="N385" s="18" t="n">
        <v>1654</v>
      </c>
      <c r="O385" s="19" t="n">
        <v>3334</v>
      </c>
      <c r="P385" s="18" t="n">
        <v>3477</v>
      </c>
      <c r="Q385" s="19" t="n">
        <v>2862</v>
      </c>
      <c r="R385" s="18" t="n">
        <v>1113</v>
      </c>
      <c r="S385" s="20" t="n">
        <v>1372</v>
      </c>
      <c r="T385" s="6" t="n">
        <v>1</v>
      </c>
      <c r="U385" s="5" t="inlineStr">
        <is>
          <t>유전체 서열분석 / 2026.01 ~ 2026.06 /</t>
        </is>
      </c>
      <c r="V385" s="21">
        <f>HYPERLINK("https://dart.fss.or.kr/dsaf001/main.do?rcpNo=20260814002914", "공시열람")</f>
        <v/>
      </c>
    </row>
    <row r="386">
      <c r="A386" s="5" t="inlineStr">
        <is>
          <t>디에이피</t>
        </is>
      </c>
      <c r="B386" s="6" t="inlineStr">
        <is>
          <t>066900</t>
        </is>
      </c>
      <c r="C386" s="6" t="inlineStr">
        <is>
          <t>2026Q2</t>
        </is>
      </c>
      <c r="D386" s="6" t="inlineStr">
        <is>
          <t>20260814</t>
        </is>
      </c>
      <c r="E386" s="16" t="n">
        <v>149675</v>
      </c>
      <c r="F386" s="16" t="n">
        <v>133487</v>
      </c>
      <c r="G386" s="16" t="n">
        <v>16189</v>
      </c>
      <c r="H386" s="6" t="inlineStr">
        <is>
          <t>백만원</t>
        </is>
      </c>
      <c r="I386" s="17" t="n">
        <v>-40.9</v>
      </c>
      <c r="J386" s="18" t="n">
        <v>18905</v>
      </c>
      <c r="K386" s="19" t="n">
        <v>16157</v>
      </c>
      <c r="L386" s="18" t="n">
        <v>3159</v>
      </c>
      <c r="M386" s="19" t="n">
        <v>765</v>
      </c>
      <c r="N386" s="18" t="n">
        <v>7058</v>
      </c>
      <c r="O386" s="19" t="n">
        <v>6935</v>
      </c>
      <c r="P386" s="18" t="n">
        <v>6318</v>
      </c>
      <c r="Q386" s="19" t="n">
        <v>21040</v>
      </c>
      <c r="R386" s="18" t="n">
        <v>27402</v>
      </c>
      <c r="S386" s="20" t="n">
        <v>16189</v>
      </c>
      <c r="T386" s="6" t="n">
        <v>1</v>
      </c>
      <c r="U386" s="5" t="inlineStr">
        <is>
          <t>PCB / 2026.01.01~2026.06.30</t>
        </is>
      </c>
      <c r="V386" s="21">
        <f>HYPERLINK("https://dart.fss.or.kr/dsaf001/main.do?rcpNo=20260814003897", "공시열람")</f>
        <v/>
      </c>
    </row>
    <row r="387">
      <c r="A387" s="5" t="inlineStr">
        <is>
          <t>엘앤에프</t>
        </is>
      </c>
      <c r="B387" s="6" t="inlineStr">
        <is>
          <t>066970</t>
        </is>
      </c>
      <c r="C387" s="6" t="inlineStr">
        <is>
          <t>2026Q2</t>
        </is>
      </c>
      <c r="D387" s="6" t="inlineStr">
        <is>
          <t>20260814</t>
        </is>
      </c>
      <c r="E387" s="16" t="n">
        <v>24036031518097</v>
      </c>
      <c r="F387" s="16" t="n">
        <v>681376624175</v>
      </c>
      <c r="G387" s="16" t="n">
        <v>23354654893922</v>
      </c>
      <c r="H387" s="6" t="inlineStr">
        <is>
          <t>원</t>
        </is>
      </c>
      <c r="I387" s="17" t="n">
        <v>-0.4</v>
      </c>
      <c r="J387" s="18" t="n">
        <v>16970503743081</v>
      </c>
      <c r="K387" s="19" t="n">
        <v>16869081828081</v>
      </c>
      <c r="L387" s="18" t="n">
        <v>16848967293801</v>
      </c>
      <c r="M387" s="19" t="n">
        <v>16791455233131</v>
      </c>
      <c r="N387" s="18" t="n">
        <v>25984526490902</v>
      </c>
      <c r="O387" s="19" t="n">
        <v>25984526490902</v>
      </c>
      <c r="P387" s="18" t="n">
        <v>25855961490455</v>
      </c>
      <c r="Q387" s="19" t="n">
        <v>21933662820253</v>
      </c>
      <c r="R387" s="18" t="n">
        <v>23457270747764</v>
      </c>
      <c r="S387" s="20" t="n">
        <v>23354654893922</v>
      </c>
      <c r="T387" s="6" t="n">
        <v>3</v>
      </c>
      <c r="U387" s="5" t="inlineStr">
        <is>
          <t xml:space="preserve">하이니켈 양극재 / 2024.03.22 / 2024.0 | 하이니켈 양극재 / 2024.04.09 / 2025.0 | 리튬인산철(LFP) 양극재 / 2026.03.23 / </t>
        </is>
      </c>
      <c r="V387" s="21">
        <f>HYPERLINK("https://dart.fss.or.kr/dsaf001/main.do?rcpNo=20260814000995", "공시열람")</f>
        <v/>
      </c>
    </row>
    <row r="388">
      <c r="A388" s="5" t="inlineStr">
        <is>
          <t>이씨에스</t>
        </is>
      </c>
      <c r="B388" s="6" t="inlineStr">
        <is>
          <t>067010</t>
        </is>
      </c>
      <c r="C388" s="6" t="inlineStr">
        <is>
          <t>2026Q2</t>
        </is>
      </c>
      <c r="D388" s="6" t="inlineStr">
        <is>
          <t>20260811</t>
        </is>
      </c>
      <c r="E388" s="16" t="n">
        <v>87737</v>
      </c>
      <c r="F388" s="16" t="n">
        <v>52897</v>
      </c>
      <c r="G388" s="16" t="n">
        <v>34840</v>
      </c>
      <c r="H388" s="6" t="inlineStr">
        <is>
          <t>백만원</t>
        </is>
      </c>
      <c r="I388" s="17" t="n">
        <v>-3.1</v>
      </c>
      <c r="J388" s="18" t="inlineStr"/>
      <c r="K388" s="19" t="inlineStr"/>
      <c r="L388" s="18" t="inlineStr"/>
      <c r="M388" s="19" t="inlineStr"/>
      <c r="N388" s="18" t="n">
        <v>46987</v>
      </c>
      <c r="O388" s="19" t="n">
        <v>47199</v>
      </c>
      <c r="P388" s="18" t="n">
        <v>39700</v>
      </c>
      <c r="Q388" s="19" t="n">
        <v>39390</v>
      </c>
      <c r="R388" s="18" t="n">
        <v>35967</v>
      </c>
      <c r="S388" s="20" t="n">
        <v>34840</v>
      </c>
      <c r="T388" s="6" t="n">
        <v>3</v>
      </c>
      <c r="U388" s="5" t="inlineStr">
        <is>
          <t>ETaaS 사업부문 | 고객성공(CC) 사업부문 | Digital Workplace(UC) 사업부문</t>
        </is>
      </c>
      <c r="V388" s="21">
        <f>HYPERLINK("https://dart.fss.or.kr/dsaf001/main.do?rcpNo=20260811000105", "공시열람")</f>
        <v/>
      </c>
    </row>
    <row r="389">
      <c r="A389" s="5" t="inlineStr">
        <is>
          <t>오텍</t>
        </is>
      </c>
      <c r="B389" s="6" t="inlineStr">
        <is>
          <t>067170</t>
        </is>
      </c>
      <c r="C389" s="6" t="inlineStr">
        <is>
          <t>2026Q2</t>
        </is>
      </c>
      <c r="D389" s="6" t="inlineStr">
        <is>
          <t>20260814</t>
        </is>
      </c>
      <c r="E389" s="16" t="n">
        <v>77883</v>
      </c>
      <c r="F389" s="16" t="n">
        <v>14451</v>
      </c>
      <c r="G389" s="16" t="n">
        <v>63431</v>
      </c>
      <c r="H389" s="6" t="inlineStr">
        <is>
          <t>백만원</t>
        </is>
      </c>
      <c r="I389" s="17" t="n">
        <v>-7.6</v>
      </c>
      <c r="J389" s="18" t="n">
        <v>31778</v>
      </c>
      <c r="K389" s="19" t="n">
        <v>17542</v>
      </c>
      <c r="L389" s="18" t="n">
        <v>15461</v>
      </c>
      <c r="M389" s="19" t="n">
        <v>45076</v>
      </c>
      <c r="N389" s="18" t="n">
        <v>37067</v>
      </c>
      <c r="O389" s="19" t="n">
        <v>19843</v>
      </c>
      <c r="P389" s="18" t="n">
        <v>19973</v>
      </c>
      <c r="Q389" s="19" t="n">
        <v>20107</v>
      </c>
      <c r="R389" s="18" t="n">
        <v>68665</v>
      </c>
      <c r="S389" s="20" t="n">
        <v>63431</v>
      </c>
      <c r="T389" s="6" t="n">
        <v>57</v>
      </c>
      <c r="U389" s="5" t="inlineStr">
        <is>
          <t>철도용 냉동공조기기 / 2025-08-01 / 2027 | 철도용 냉동공조기기 / 2025-10-01 / 2027 | 철도용 냉동공조기기 / 2026-02-20 / 2026</t>
        </is>
      </c>
      <c r="V389" s="21">
        <f>HYPERLINK("https://dart.fss.or.kr/dsaf001/main.do?rcpNo=20260814002739", "공시열람")</f>
        <v/>
      </c>
    </row>
    <row r="390">
      <c r="A390" s="5" t="inlineStr">
        <is>
          <t>멀티캠퍼스</t>
        </is>
      </c>
      <c r="B390" s="6" t="inlineStr">
        <is>
          <t>067280</t>
        </is>
      </c>
      <c r="C390" s="6" t="inlineStr">
        <is>
          <t>2026Q2</t>
        </is>
      </c>
      <c r="D390" s="6" t="inlineStr">
        <is>
          <t>20260814</t>
        </is>
      </c>
      <c r="E390" s="16" t="n">
        <v>68992</v>
      </c>
      <c r="F390" s="16" t="n">
        <v>42273</v>
      </c>
      <c r="G390" s="16" t="n">
        <v>26719</v>
      </c>
      <c r="H390" s="6" t="inlineStr">
        <is>
          <t>백만원</t>
        </is>
      </c>
      <c r="I390" s="17" t="n">
        <v>-40</v>
      </c>
      <c r="J390" s="18" t="n">
        <v>50273</v>
      </c>
      <c r="K390" s="19" t="n">
        <v>32556</v>
      </c>
      <c r="L390" s="18" t="n">
        <v>15372</v>
      </c>
      <c r="M390" s="19" t="n">
        <v>0</v>
      </c>
      <c r="N390" s="18" t="n">
        <v>28636</v>
      </c>
      <c r="O390" s="19" t="n">
        <v>14687</v>
      </c>
      <c r="P390" s="18" t="n">
        <v>8871</v>
      </c>
      <c r="Q390" s="19" t="n">
        <v>0</v>
      </c>
      <c r="R390" s="18" t="n">
        <v>44556</v>
      </c>
      <c r="S390" s="20" t="n">
        <v>26719</v>
      </c>
      <c r="T390" s="6" t="n">
        <v>3</v>
      </c>
      <c r="U390" s="5" t="inlineStr">
        <is>
          <t xml:space="preserve">삼성청년S/W 아카데미 / 2026-01-01 / 20 | K-Digital Training(KDT)프로그램 /  | 인력개발원 CIC 4.0 개발 / 2025-08-08 </t>
        </is>
      </c>
      <c r="V390" s="21">
        <f>HYPERLINK("https://dart.fss.or.kr/dsaf001/main.do?rcpNo=20260814003903", "공시열람")</f>
        <v/>
      </c>
    </row>
    <row r="391">
      <c r="A391" s="5" t="inlineStr">
        <is>
          <t>아스트</t>
        </is>
      </c>
      <c r="B391" s="6" t="inlineStr">
        <is>
          <t>067390</t>
        </is>
      </c>
      <c r="C391" s="6" t="inlineStr">
        <is>
          <t>2026Q2</t>
        </is>
      </c>
      <c r="D391" s="6" t="inlineStr">
        <is>
          <t>20260813</t>
        </is>
      </c>
      <c r="E391" s="16" t="n">
        <v>3782766294.35</v>
      </c>
      <c r="F391" s="16" t="n">
        <v>1170813078.49</v>
      </c>
      <c r="G391" s="16" t="n">
        <v>2611953215.86</v>
      </c>
      <c r="H391" s="6" t="inlineStr">
        <is>
          <t>USD</t>
        </is>
      </c>
      <c r="I391" s="17" t="n">
        <v>-1.3</v>
      </c>
      <c r="J391" s="18" t="n">
        <v>2072575462.6</v>
      </c>
      <c r="K391" s="19" t="n">
        <v>2915804316.65</v>
      </c>
      <c r="L391" s="18" t="n">
        <v>2884309868.53</v>
      </c>
      <c r="M391" s="19" t="n">
        <v>2848253505.16</v>
      </c>
      <c r="N391" s="18" t="n">
        <v>2806977304.92</v>
      </c>
      <c r="O391" s="19" t="n">
        <v>2769299241.81</v>
      </c>
      <c r="P391" s="18" t="n">
        <v>2731673387.26</v>
      </c>
      <c r="Q391" s="19" t="n">
        <v>2688832423.74</v>
      </c>
      <c r="R391" s="18" t="n">
        <v>2646468874.14</v>
      </c>
      <c r="S391" s="20" t="n">
        <v>2611953215.86</v>
      </c>
      <c r="T391" s="6" t="n">
        <v>7</v>
      </c>
      <c r="U391" s="5" t="inlineStr">
        <is>
          <t>EMBRAER | SPIRIT | STEA / 400대</t>
        </is>
      </c>
      <c r="V391" s="21">
        <f>HYPERLINK("https://dart.fss.or.kr/dsaf001/main.do?rcpNo=20260813001368", "공시열람")</f>
        <v/>
      </c>
    </row>
    <row r="392">
      <c r="A392" s="5" t="inlineStr">
        <is>
          <t>엔브이에이치코리아</t>
        </is>
      </c>
      <c r="B392" s="6" t="inlineStr">
        <is>
          <t>067570</t>
        </is>
      </c>
      <c r="C392" s="6" t="inlineStr">
        <is>
          <t>2026Q2</t>
        </is>
      </c>
      <c r="D392" s="6" t="inlineStr">
        <is>
          <t>20260814</t>
        </is>
      </c>
      <c r="E392" s="16" t="n">
        <v>2522460</v>
      </c>
      <c r="F392" s="16" t="n">
        <v>2149975</v>
      </c>
      <c r="G392" s="16" t="n">
        <v>372485</v>
      </c>
      <c r="H392" s="6" t="inlineStr">
        <is>
          <t>백만원</t>
        </is>
      </c>
      <c r="I392" s="17" t="n">
        <v>-8.4</v>
      </c>
      <c r="J392" s="18" t="n">
        <v>494402</v>
      </c>
      <c r="K392" s="19" t="n">
        <v>592831</v>
      </c>
      <c r="L392" s="18" t="n">
        <v>519228</v>
      </c>
      <c r="M392" s="19" t="n">
        <v>466465</v>
      </c>
      <c r="N392" s="18" t="n">
        <v>398056</v>
      </c>
      <c r="O392" s="19" t="n">
        <v>525837</v>
      </c>
      <c r="P392" s="18" t="n">
        <v>493695</v>
      </c>
      <c r="Q392" s="19" t="n">
        <v>476074</v>
      </c>
      <c r="R392" s="18" t="n">
        <v>406460</v>
      </c>
      <c r="S392" s="20" t="n">
        <v>372485</v>
      </c>
      <c r="T392" s="6" t="n">
        <v>2</v>
      </c>
      <c r="U392" s="5" t="inlineStr">
        <is>
          <t>클린룸 및 공조시스템 제조, 설치공사 외 / - | 교량거더사업 / -</t>
        </is>
      </c>
      <c r="V392" s="21">
        <f>HYPERLINK("https://dart.fss.or.kr/dsaf001/main.do?rcpNo=20260814003774", "공시열람")</f>
        <v/>
      </c>
    </row>
    <row r="393">
      <c r="A393" s="5" t="inlineStr">
        <is>
          <t>HLB생명과학</t>
        </is>
      </c>
      <c r="B393" s="6" t="inlineStr">
        <is>
          <t>067630</t>
        </is>
      </c>
      <c r="C393" s="6" t="inlineStr">
        <is>
          <t>2024Q4</t>
        </is>
      </c>
      <c r="D393" s="6" t="inlineStr">
        <is>
          <t>20250320</t>
        </is>
      </c>
      <c r="E393" s="16" t="inlineStr"/>
      <c r="F393" s="16" t="inlineStr"/>
      <c r="G393" s="16" t="n">
        <v>9321773</v>
      </c>
      <c r="H393" s="6" t="inlineStr">
        <is>
          <t>천원</t>
        </is>
      </c>
      <c r="I393" s="17" t="n">
        <v>-10.3</v>
      </c>
      <c r="J393" s="18" t="inlineStr"/>
      <c r="K393" s="19" t="inlineStr"/>
      <c r="L393" s="18" t="inlineStr"/>
      <c r="M393" s="19" t="n">
        <v>9321773</v>
      </c>
      <c r="N393" s="18" t="inlineStr"/>
      <c r="O393" s="19" t="inlineStr"/>
      <c r="P393" s="18" t="inlineStr"/>
      <c r="Q393" s="19" t="inlineStr"/>
      <c r="R393" s="18" t="inlineStr"/>
      <c r="S393" s="20" t="inlineStr"/>
      <c r="T393" s="6" t="n">
        <v>1</v>
      </c>
      <c r="U393" s="5" t="inlineStr">
        <is>
          <t>건설부문</t>
        </is>
      </c>
      <c r="V393" s="21">
        <f>HYPERLINK("https://dart.fss.or.kr/dsaf001/main.do?rcpNo=20250320001719", "공시열람")</f>
        <v/>
      </c>
    </row>
    <row r="394">
      <c r="A394" s="5" t="inlineStr">
        <is>
          <t>이글루</t>
        </is>
      </c>
      <c r="B394" s="6" t="inlineStr">
        <is>
          <t>067920</t>
        </is>
      </c>
      <c r="C394" s="6" t="inlineStr">
        <is>
          <t>2026Q2</t>
        </is>
      </c>
      <c r="D394" s="6" t="inlineStr">
        <is>
          <t>20260814</t>
        </is>
      </c>
      <c r="E394" s="16" t="n">
        <v>114540</v>
      </c>
      <c r="F394" s="16" t="n">
        <v>66838</v>
      </c>
      <c r="G394" s="16" t="n">
        <v>47702</v>
      </c>
      <c r="H394" s="6" t="inlineStr">
        <is>
          <t>천원</t>
        </is>
      </c>
      <c r="I394" s="17" t="n">
        <v>-32.7</v>
      </c>
      <c r="J394" s="18" t="n">
        <v>59120</v>
      </c>
      <c r="K394" s="19" t="n">
        <v>40889</v>
      </c>
      <c r="L394" s="18" t="n">
        <v>20469</v>
      </c>
      <c r="M394" s="19" t="n">
        <v>3859</v>
      </c>
      <c r="N394" s="18" t="n">
        <v>87317</v>
      </c>
      <c r="O394" s="19" t="n">
        <v>66764</v>
      </c>
      <c r="P394" s="18" t="n">
        <v>44266</v>
      </c>
      <c r="Q394" s="19" t="n">
        <v>34637</v>
      </c>
      <c r="R394" s="18" t="n">
        <v>70855</v>
      </c>
      <c r="S394" s="20" t="n">
        <v>47702</v>
      </c>
      <c r="T394" s="6" t="n">
        <v>5</v>
      </c>
      <c r="U394" s="5" t="inlineStr">
        <is>
          <t>보안서비스(외교부 外) / - | 보안서비스(국가정보자원관리원) | 보안서비스(한국지역정보개발원)</t>
        </is>
      </c>
      <c r="V394" s="21">
        <f>HYPERLINK("https://dart.fss.or.kr/dsaf001/main.do?rcpNo=20260814001978", "공시열람")</f>
        <v/>
      </c>
    </row>
    <row r="395">
      <c r="A395" s="5" t="inlineStr">
        <is>
          <t>케이웨더</t>
        </is>
      </c>
      <c r="B395" s="6" t="inlineStr">
        <is>
          <t>068100</t>
        </is>
      </c>
      <c r="C395" s="6" t="inlineStr">
        <is>
          <t>2026Q2</t>
        </is>
      </c>
      <c r="D395" s="6" t="inlineStr">
        <is>
          <t>20260814</t>
        </is>
      </c>
      <c r="E395" s="16" t="n">
        <v>14517881</v>
      </c>
      <c r="F395" s="16" t="inlineStr"/>
      <c r="G395" s="16" t="n">
        <v>6407269</v>
      </c>
      <c r="H395" s="6" t="inlineStr">
        <is>
          <t>천원</t>
        </is>
      </c>
      <c r="I395" s="17" t="n">
        <v>9.300000000000001</v>
      </c>
      <c r="J395" s="18" t="n">
        <v>16783700</v>
      </c>
      <c r="K395" s="19" t="n">
        <v>16476692</v>
      </c>
      <c r="L395" s="18" t="n">
        <v>13073055</v>
      </c>
      <c r="M395" s="19" t="n">
        <v>8669512</v>
      </c>
      <c r="N395" s="18" t="n">
        <v>8669512</v>
      </c>
      <c r="O395" s="19" t="n">
        <v>7790000</v>
      </c>
      <c r="P395" s="18" t="n">
        <v>6444962</v>
      </c>
      <c r="Q395" s="19" t="n">
        <v>9749662</v>
      </c>
      <c r="R395" s="18" t="n">
        <v>5862084</v>
      </c>
      <c r="S395" s="20" t="n">
        <v>6407269</v>
      </c>
      <c r="T395" s="6" t="n">
        <v>3</v>
      </c>
      <c r="U395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5" s="21">
        <f>HYPERLINK("https://dart.fss.or.kr/dsaf001/main.do?rcpNo=20260814000343", "공시열람")</f>
        <v/>
      </c>
    </row>
    <row r="396">
      <c r="A396" s="5" t="inlineStr">
        <is>
          <t>다원시스</t>
        </is>
      </c>
      <c r="B396" s="6" t="inlineStr">
        <is>
          <t>068240</t>
        </is>
      </c>
      <c r="C396" s="6" t="inlineStr">
        <is>
          <t>2026Q2</t>
        </is>
      </c>
      <c r="D396" s="6" t="inlineStr">
        <is>
          <t>20260814</t>
        </is>
      </c>
      <c r="E396" s="16" t="inlineStr"/>
      <c r="F396" s="16" t="inlineStr"/>
      <c r="G396" s="16" t="n">
        <v>1192585</v>
      </c>
      <c r="H396" s="6" t="inlineStr">
        <is>
          <t>백만원</t>
        </is>
      </c>
      <c r="I396" s="17" t="n">
        <v>-0.8</v>
      </c>
      <c r="J396" s="18" t="n">
        <v>1019027</v>
      </c>
      <c r="K396" s="19" t="n">
        <v>1021985</v>
      </c>
      <c r="L396" s="18" t="n">
        <v>941238</v>
      </c>
      <c r="M396" s="19" t="n">
        <v>931936</v>
      </c>
      <c r="N396" s="18" t="n">
        <v>928778</v>
      </c>
      <c r="O396" s="19" t="n">
        <v>904152</v>
      </c>
      <c r="P396" s="18" t="n">
        <v>888646</v>
      </c>
      <c r="Q396" s="19" t="n">
        <v>1200198</v>
      </c>
      <c r="R396" s="18" t="n">
        <v>1202587</v>
      </c>
      <c r="S396" s="20" t="n">
        <v>1192585</v>
      </c>
      <c r="T396" s="6" t="n">
        <v>0</v>
      </c>
      <c r="U396" s="5" t="inlineStr"/>
      <c r="V396" s="21">
        <f>HYPERLINK("https://dart.fss.or.kr/dsaf001/main.do?rcpNo=20260814004290", "공시열람")</f>
        <v/>
      </c>
    </row>
    <row r="397">
      <c r="A397" s="5" t="inlineStr">
        <is>
          <t>일신바이오</t>
        </is>
      </c>
      <c r="B397" s="6" t="inlineStr">
        <is>
          <t>068330</t>
        </is>
      </c>
      <c r="C397" s="6" t="inlineStr">
        <is>
          <t>2026Q2</t>
        </is>
      </c>
      <c r="D397" s="6" t="inlineStr">
        <is>
          <t>20261008</t>
        </is>
      </c>
      <c r="E397" s="16" t="n">
        <v>12722</v>
      </c>
      <c r="F397" s="16" t="inlineStr"/>
      <c r="G397" s="16" t="n">
        <v>12722</v>
      </c>
      <c r="H397" s="6" t="inlineStr">
        <is>
          <t>백만원</t>
        </is>
      </c>
      <c r="I397" s="17" t="n">
        <v>0</v>
      </c>
      <c r="J397" s="18" t="n">
        <v>3631</v>
      </c>
      <c r="K397" s="19" t="n">
        <v>3779</v>
      </c>
      <c r="L397" s="18" t="n">
        <v>4618</v>
      </c>
      <c r="M397" s="19" t="n">
        <v>3638</v>
      </c>
      <c r="N397" s="18" t="n">
        <v>4981</v>
      </c>
      <c r="O397" s="19" t="n">
        <v>6882</v>
      </c>
      <c r="P397" s="18" t="n">
        <v>4140</v>
      </c>
      <c r="Q397" s="19" t="n">
        <v>4301</v>
      </c>
      <c r="R397" s="18" t="n">
        <v>12722</v>
      </c>
      <c r="S397" s="20" t="n">
        <v>12722</v>
      </c>
      <c r="T397" s="6" t="n">
        <v>32</v>
      </c>
      <c r="U397" s="5" t="inlineStr">
        <is>
          <t>LP | LP | LP</t>
        </is>
      </c>
      <c r="V397" s="21">
        <f>HYPERLINK("https://dart.fss.or.kr/dsaf001/main.do?rcpNo=20261008000328", "공시열람")</f>
        <v/>
      </c>
    </row>
    <row r="398">
      <c r="A398" s="5" t="inlineStr">
        <is>
          <t>DMS</t>
        </is>
      </c>
      <c r="B398" s="6" t="inlineStr">
        <is>
          <t>068790</t>
        </is>
      </c>
      <c r="C398" s="6" t="inlineStr">
        <is>
          <t>2025Q3</t>
        </is>
      </c>
      <c r="D398" s="6" t="inlineStr">
        <is>
          <t>20251114</t>
        </is>
      </c>
      <c r="E398" s="16" t="inlineStr"/>
      <c r="F398" s="16" t="inlineStr"/>
      <c r="G398" s="16" t="n">
        <v>160520812</v>
      </c>
      <c r="H398" s="6" t="inlineStr">
        <is>
          <t>천원</t>
        </is>
      </c>
      <c r="I398" s="17" t="n">
        <v>21.9</v>
      </c>
      <c r="J398" s="18" t="n">
        <v>124090439</v>
      </c>
      <c r="K398" s="19" t="n">
        <v>152446236</v>
      </c>
      <c r="L398" s="18" t="n">
        <v>713</v>
      </c>
      <c r="M398" s="19" t="n">
        <v>177859215</v>
      </c>
      <c r="N398" s="18" t="n">
        <v>90296639</v>
      </c>
      <c r="O398" s="19" t="n">
        <v>131726930</v>
      </c>
      <c r="P398" s="18" t="n">
        <v>160520812</v>
      </c>
      <c r="Q398" s="19" t="inlineStr"/>
      <c r="R398" s="18" t="inlineStr"/>
      <c r="S398" s="20" t="inlineStr"/>
      <c r="T398" s="6" t="n">
        <v>2</v>
      </c>
      <c r="U398" s="5" t="inlineStr">
        <is>
          <t>전기 | 당분기</t>
        </is>
      </c>
      <c r="V398" s="21">
        <f>HYPERLINK("https://dart.fss.or.kr/dsaf001/main.do?rcpNo=20251114003131", "공시열람")</f>
        <v/>
      </c>
    </row>
    <row r="399">
      <c r="A399" s="5" t="inlineStr">
        <is>
          <t>누리플랜</t>
        </is>
      </c>
      <c r="B399" s="6" t="inlineStr">
        <is>
          <t>069140</t>
        </is>
      </c>
      <c r="C399" s="6" t="inlineStr">
        <is>
          <t>2026Q2</t>
        </is>
      </c>
      <c r="D399" s="6" t="inlineStr">
        <is>
          <t>20260811</t>
        </is>
      </c>
      <c r="E399" s="16" t="inlineStr"/>
      <c r="F399" s="16" t="inlineStr"/>
      <c r="G399" s="16" t="n">
        <v>151147</v>
      </c>
      <c r="H399" s="6" t="inlineStr">
        <is>
          <t>백만원</t>
        </is>
      </c>
      <c r="I399" s="17" t="n">
        <v>26.4</v>
      </c>
      <c r="J399" s="18" t="n">
        <v>99759</v>
      </c>
      <c r="K399" s="19" t="n">
        <v>99379</v>
      </c>
      <c r="L399" s="18" t="n">
        <v>103482</v>
      </c>
      <c r="M399" s="19" t="n">
        <v>117200</v>
      </c>
      <c r="N399" s="18" t="n">
        <v>120876</v>
      </c>
      <c r="O399" s="19" t="n">
        <v>129134</v>
      </c>
      <c r="P399" s="18" t="n">
        <v>115294</v>
      </c>
      <c r="Q399" s="19" t="n">
        <v>119597</v>
      </c>
      <c r="R399" s="18" t="n">
        <v>119597</v>
      </c>
      <c r="S399" s="20" t="n">
        <v>151147</v>
      </c>
      <c r="T399" s="6" t="n">
        <v>4</v>
      </c>
      <c r="U399" s="5" t="inlineStr">
        <is>
          <t>유니슨HKR㈜ / 플랜트 | ㈜누리온 / 스마트사업 | 유니슨HKR㈜ / 건설</t>
        </is>
      </c>
      <c r="V399" s="21">
        <f>HYPERLINK("https://dart.fss.or.kr/dsaf001/main.do?rcpNo=20260811000245", "공시열람")</f>
        <v/>
      </c>
    </row>
    <row r="400">
      <c r="A400" s="5" t="inlineStr">
        <is>
          <t>엔텔스</t>
        </is>
      </c>
      <c r="B400" s="6" t="inlineStr">
        <is>
          <t>069410</t>
        </is>
      </c>
      <c r="C400" s="6" t="inlineStr">
        <is>
          <t>2026Q2</t>
        </is>
      </c>
      <c r="D400" s="6" t="inlineStr">
        <is>
          <t>20260814</t>
        </is>
      </c>
      <c r="E400" s="16" t="n">
        <v>75301941</v>
      </c>
      <c r="F400" s="16" t="n">
        <v>37636780</v>
      </c>
      <c r="G400" s="16" t="n">
        <v>37665161</v>
      </c>
      <c r="H400" s="6" t="inlineStr">
        <is>
          <t>천원</t>
        </is>
      </c>
      <c r="I400" s="17" t="n">
        <v>31.6</v>
      </c>
      <c r="J400" s="18" t="n">
        <v>7319456</v>
      </c>
      <c r="K400" s="19" t="n">
        <v>20060807</v>
      </c>
      <c r="L400" s="18" t="n">
        <v>23531380</v>
      </c>
      <c r="M400" s="19" t="n">
        <v>30067643</v>
      </c>
      <c r="N400" s="18" t="n">
        <v>33894936</v>
      </c>
      <c r="O400" s="19" t="n">
        <v>34748938</v>
      </c>
      <c r="P400" s="18" t="n">
        <v>37757517</v>
      </c>
      <c r="Q400" s="19" t="n">
        <v>23140619</v>
      </c>
      <c r="R400" s="18" t="n">
        <v>28611112</v>
      </c>
      <c r="S400" s="20" t="n">
        <v>37665161</v>
      </c>
      <c r="T400" s="6" t="n">
        <v>15</v>
      </c>
      <c r="U400" s="5" t="inlineStr">
        <is>
          <t>OSS / 2026년 | BSS / 2024년 | SI / 2026년</t>
        </is>
      </c>
      <c r="V400" s="21">
        <f>HYPERLINK("https://dart.fss.or.kr/dsaf001/main.do?rcpNo=20260814002291", "공시열람")</f>
        <v/>
      </c>
    </row>
    <row r="401">
      <c r="A401" s="5" t="inlineStr">
        <is>
          <t>대호에이엘</t>
        </is>
      </c>
      <c r="B401" s="6" t="inlineStr">
        <is>
          <t>069460</t>
        </is>
      </c>
      <c r="C401" s="6" t="inlineStr">
        <is>
          <t>2026Q2</t>
        </is>
      </c>
      <c r="D401" s="6" t="inlineStr">
        <is>
          <t>20260814</t>
        </is>
      </c>
      <c r="E401" s="16" t="n">
        <v>28112</v>
      </c>
      <c r="F401" s="16" t="inlineStr"/>
      <c r="G401" s="16" t="n">
        <v>28112</v>
      </c>
      <c r="H401" s="6" t="inlineStr">
        <is>
          <t>톤,백만원</t>
        </is>
      </c>
      <c r="I401" s="17" t="n">
        <v>110.4</v>
      </c>
      <c r="J401" s="18" t="n">
        <v>11976</v>
      </c>
      <c r="K401" s="19" t="n">
        <v>11620</v>
      </c>
      <c r="L401" s="18" t="n">
        <v>10523</v>
      </c>
      <c r="M401" s="19" t="n">
        <v>10803</v>
      </c>
      <c r="N401" s="18" t="n">
        <v>11432</v>
      </c>
      <c r="O401" s="19" t="n">
        <v>11671</v>
      </c>
      <c r="P401" s="18" t="n">
        <v>11028</v>
      </c>
      <c r="Q401" s="19" t="n">
        <v>11069</v>
      </c>
      <c r="R401" s="18" t="n">
        <v>13359</v>
      </c>
      <c r="S401" s="20" t="n">
        <v>28112</v>
      </c>
      <c r="T401" s="6" t="n">
        <v>2</v>
      </c>
      <c r="U401" s="5" t="inlineStr">
        <is>
          <t>AL COIL / 26년4월~6월 / 26.7. 이후 | ALCIRCLE / 26년4월~6월 / 26.7. 이후</t>
        </is>
      </c>
      <c r="V401" s="21">
        <f>HYPERLINK("https://dart.fss.or.kr/dsaf001/main.do?rcpNo=20260814004046", "공시열람")</f>
        <v/>
      </c>
    </row>
    <row r="402">
      <c r="A402" s="5" t="inlineStr">
        <is>
          <t>에스텍</t>
        </is>
      </c>
      <c r="B402" s="6" t="inlineStr">
        <is>
          <t>069510</t>
        </is>
      </c>
      <c r="C402" s="6" t="inlineStr">
        <is>
          <t>2026Q2</t>
        </is>
      </c>
      <c r="D402" s="6" t="inlineStr">
        <is>
          <t>20260814</t>
        </is>
      </c>
      <c r="E402" s="16" t="n">
        <v>349438</v>
      </c>
      <c r="F402" s="16" t="n">
        <v>232294</v>
      </c>
      <c r="G402" s="16" t="n">
        <v>117144</v>
      </c>
      <c r="H402" s="6" t="inlineStr">
        <is>
          <t>천개,백만원</t>
        </is>
      </c>
      <c r="I402" s="17" t="n">
        <v>5.7</v>
      </c>
      <c r="J402" s="18" t="n">
        <v>143529</v>
      </c>
      <c r="K402" s="19" t="n">
        <v>157926</v>
      </c>
      <c r="L402" s="18" t="n">
        <v>130092</v>
      </c>
      <c r="M402" s="19" t="n">
        <v>114483</v>
      </c>
      <c r="N402" s="18" t="n">
        <v>131583</v>
      </c>
      <c r="O402" s="19" t="n">
        <v>126194</v>
      </c>
      <c r="P402" s="18" t="n">
        <v>100244</v>
      </c>
      <c r="Q402" s="19" t="n">
        <v>100810</v>
      </c>
      <c r="R402" s="18" t="n">
        <v>110834</v>
      </c>
      <c r="S402" s="20" t="n">
        <v>117144</v>
      </c>
      <c r="T402" s="6" t="n">
        <v>3</v>
      </c>
      <c r="U402" s="5" t="inlineStr">
        <is>
          <t>CAR용 | TV용 / " | 기타 / "</t>
        </is>
      </c>
      <c r="V402" s="21">
        <f>HYPERLINK("https://dart.fss.or.kr/dsaf001/main.do?rcpNo=20260814004263", "공시열람")</f>
        <v/>
      </c>
    </row>
    <row r="403">
      <c r="A403" s="5" t="inlineStr">
        <is>
          <t>빛과전자</t>
        </is>
      </c>
      <c r="B403" s="6" t="inlineStr">
        <is>
          <t>069540</t>
        </is>
      </c>
      <c r="C403" s="6" t="inlineStr">
        <is>
          <t>2026Q2</t>
        </is>
      </c>
      <c r="D403" s="6" t="inlineStr">
        <is>
          <t>20260814</t>
        </is>
      </c>
      <c r="E403" s="16" t="n">
        <v>8099</v>
      </c>
      <c r="F403" s="16" t="n">
        <v>4542</v>
      </c>
      <c r="G403" s="16" t="n">
        <v>3557</v>
      </c>
      <c r="H403" s="6" t="inlineStr">
        <is>
          <t>백만원</t>
        </is>
      </c>
      <c r="I403" s="17" t="n">
        <v>15</v>
      </c>
      <c r="J403" s="18" t="n">
        <v>4257</v>
      </c>
      <c r="K403" s="19" t="n">
        <v>3084</v>
      </c>
      <c r="L403" s="18" t="n">
        <v>4426</v>
      </c>
      <c r="M403" s="19" t="n">
        <v>5209</v>
      </c>
      <c r="N403" s="18" t="n">
        <v>7357</v>
      </c>
      <c r="O403" s="19" t="n">
        <v>6912</v>
      </c>
      <c r="P403" s="18" t="n">
        <v>6778</v>
      </c>
      <c r="Q403" s="19" t="n">
        <v>6200</v>
      </c>
      <c r="R403" s="18" t="n">
        <v>3094</v>
      </c>
      <c r="S403" s="20" t="n">
        <v>3557</v>
      </c>
      <c r="T403" s="6" t="n">
        <v>1</v>
      </c>
      <c r="U403" s="5" t="inlineStr">
        <is>
          <t>광모듈 / -</t>
        </is>
      </c>
      <c r="V403" s="21">
        <f>HYPERLINK("https://dart.fss.or.kr/dsaf001/main.do?rcpNo=20260814002282", "공시열람")</f>
        <v/>
      </c>
    </row>
    <row r="404">
      <c r="A404" s="5" t="inlineStr">
        <is>
          <t>엑시온그룹</t>
        </is>
      </c>
      <c r="B404" s="6" t="inlineStr">
        <is>
          <t>069920</t>
        </is>
      </c>
      <c r="C404" s="6" t="inlineStr">
        <is>
          <t>2026Q2</t>
        </is>
      </c>
      <c r="D404" s="6" t="inlineStr">
        <is>
          <t>20261001</t>
        </is>
      </c>
      <c r="E404" s="16" t="inlineStr"/>
      <c r="F404" s="16" t="inlineStr"/>
      <c r="G404" s="16" t="n">
        <v>19715069036</v>
      </c>
      <c r="H404" s="6" t="inlineStr">
        <is>
          <t>원</t>
        </is>
      </c>
      <c r="I404" s="17" t="n">
        <v>45950.4</v>
      </c>
      <c r="J404" s="18" t="inlineStr"/>
      <c r="K404" s="19" t="inlineStr"/>
      <c r="L404" s="18" t="inlineStr"/>
      <c r="M404" s="19" t="inlineStr"/>
      <c r="N404" s="18" t="inlineStr"/>
      <c r="O404" s="19" t="n">
        <v>61353280000</v>
      </c>
      <c r="P404" s="18" t="n">
        <v>44213810</v>
      </c>
      <c r="Q404" s="19" t="n">
        <v>31359971</v>
      </c>
      <c r="R404" s="18" t="n">
        <v>42811939</v>
      </c>
      <c r="S404" s="20" t="n">
        <v>19715069036</v>
      </c>
      <c r="T404" s="6" t="n">
        <v>2</v>
      </c>
      <c r="U404" s="5" t="inlineStr">
        <is>
          <t>하이테크 | 로봇자동화</t>
        </is>
      </c>
      <c r="V404" s="21">
        <f>HYPERLINK("https://dart.fss.or.kr/dsaf001/main.do?rcpNo=20261001000463", "공시열람")</f>
        <v/>
      </c>
    </row>
    <row r="405">
      <c r="A405" s="5" t="inlineStr">
        <is>
          <t>인티큐브</t>
        </is>
      </c>
      <c r="B405" s="6" t="inlineStr">
        <is>
          <t>070590</t>
        </is>
      </c>
      <c r="C405" s="6" t="inlineStr">
        <is>
          <t>2026Q2</t>
        </is>
      </c>
      <c r="D405" s="6" t="inlineStr">
        <is>
          <t>20260813</t>
        </is>
      </c>
      <c r="E405" s="16" t="n">
        <v>102625</v>
      </c>
      <c r="F405" s="16" t="n">
        <v>70542</v>
      </c>
      <c r="G405" s="16" t="n">
        <v>32083</v>
      </c>
      <c r="H405" s="6" t="inlineStr">
        <is>
          <t>백만원</t>
        </is>
      </c>
      <c r="I405" s="17" t="n">
        <v>11.6</v>
      </c>
      <c r="J405" s="18" t="n">
        <v>35442</v>
      </c>
      <c r="K405" s="19" t="n">
        <v>40807</v>
      </c>
      <c r="L405" s="18" t="n">
        <v>40047</v>
      </c>
      <c r="M405" s="19" t="n">
        <v>43231</v>
      </c>
      <c r="N405" s="18" t="n">
        <v>41153</v>
      </c>
      <c r="O405" s="19" t="n">
        <v>36874</v>
      </c>
      <c r="P405" s="18" t="n">
        <v>33897</v>
      </c>
      <c r="Q405" s="19" t="n">
        <v>30279</v>
      </c>
      <c r="R405" s="18" t="n">
        <v>28761</v>
      </c>
      <c r="S405" s="20" t="n">
        <v>32083</v>
      </c>
      <c r="T405" s="6" t="n">
        <v>1</v>
      </c>
      <c r="U405" s="5" t="inlineStr">
        <is>
          <t>컨택센터/메세징 外 / '26년6월 30일까지 / -</t>
        </is>
      </c>
      <c r="V405" s="21">
        <f>HYPERLINK("https://dart.fss.or.kr/dsaf001/main.do?rcpNo=20260813001725", "공시열람")</f>
        <v/>
      </c>
    </row>
    <row r="406">
      <c r="A406" s="5" t="inlineStr">
        <is>
          <t>모나용평</t>
        </is>
      </c>
      <c r="B406" s="6" t="inlineStr">
        <is>
          <t>070960</t>
        </is>
      </c>
      <c r="C406" s="6" t="inlineStr">
        <is>
          <t>2026Q2</t>
        </is>
      </c>
      <c r="D406" s="6" t="inlineStr">
        <is>
          <t>20260814</t>
        </is>
      </c>
      <c r="E406" s="16" t="n">
        <v>414126</v>
      </c>
      <c r="F406" s="16" t="n">
        <v>294693</v>
      </c>
      <c r="G406" s="16" t="n">
        <v>119433</v>
      </c>
      <c r="H406" s="6" t="inlineStr">
        <is>
          <t>백만원</t>
        </is>
      </c>
      <c r="I406" s="17" t="n">
        <v>-4.6</v>
      </c>
      <c r="J406" s="18" t="n">
        <v>167590</v>
      </c>
      <c r="K406" s="19" t="n">
        <v>167590</v>
      </c>
      <c r="L406" s="18" t="n">
        <v>155797</v>
      </c>
      <c r="M406" s="19" t="n">
        <v>155797</v>
      </c>
      <c r="N406" s="18" t="n">
        <v>155264</v>
      </c>
      <c r="O406" s="19" t="n">
        <v>141494</v>
      </c>
      <c r="P406" s="18" t="n">
        <v>131872</v>
      </c>
      <c r="Q406" s="19" t="n">
        <v>125178</v>
      </c>
      <c r="R406" s="18" t="n">
        <v>125178</v>
      </c>
      <c r="S406" s="20" t="n">
        <v>119433</v>
      </c>
      <c r="T406" s="6" t="n">
        <v>1</v>
      </c>
      <c r="U406" s="5" t="inlineStr">
        <is>
          <t>루송채 콘도 분양</t>
        </is>
      </c>
      <c r="V406" s="21">
        <f>HYPERLINK("https://dart.fss.or.kr/dsaf001/main.do?rcpNo=20260814000970", "공시열람")</f>
        <v/>
      </c>
    </row>
    <row r="407">
      <c r="A407" s="5" t="inlineStr">
        <is>
          <t>하이스틸</t>
        </is>
      </c>
      <c r="B407" s="6" t="inlineStr">
        <is>
          <t>071090</t>
        </is>
      </c>
      <c r="C407" s="6" t="inlineStr">
        <is>
          <t>2026Q2</t>
        </is>
      </c>
      <c r="D407" s="6" t="inlineStr">
        <is>
          <t>20261001</t>
        </is>
      </c>
      <c r="E407" s="16" t="n">
        <v>37591651278</v>
      </c>
      <c r="F407" s="16" t="inlineStr"/>
      <c r="G407" s="16" t="n">
        <v>37591651278</v>
      </c>
      <c r="H407" s="6" t="inlineStr">
        <is>
          <t>원</t>
        </is>
      </c>
      <c r="I407" s="17" t="inlineStr"/>
      <c r="J407" s="18" t="inlineStr"/>
      <c r="K407" s="19" t="inlineStr"/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n">
        <v>37591651278</v>
      </c>
      <c r="T407" s="6" t="n">
        <v>1</v>
      </c>
      <c r="U407" s="5" t="inlineStr">
        <is>
          <t xml:space="preserve">강관 / 2026년 5월 20일 / 2026년 12월 </t>
        </is>
      </c>
      <c r="V407" s="21">
        <f>HYPERLINK("https://dart.fss.or.kr/dsaf001/main.do?rcpNo=20261001000570", "공시열람")</f>
        <v/>
      </c>
    </row>
    <row r="408">
      <c r="A408" s="5" t="inlineStr">
        <is>
          <t>로체시스템즈</t>
        </is>
      </c>
      <c r="B408" s="6" t="inlineStr">
        <is>
          <t>071280</t>
        </is>
      </c>
      <c r="C408" s="6" t="inlineStr">
        <is>
          <t>2026Q2</t>
        </is>
      </c>
      <c r="D408" s="6" t="inlineStr">
        <is>
          <t>20260814</t>
        </is>
      </c>
      <c r="E408" s="16" t="n">
        <v>156765216</v>
      </c>
      <c r="F408" s="16" t="n">
        <v>77897169</v>
      </c>
      <c r="G408" s="16" t="n">
        <v>78868047</v>
      </c>
      <c r="H408" s="6" t="inlineStr">
        <is>
          <t>천원</t>
        </is>
      </c>
      <c r="I408" s="17" t="n">
        <v>41.9</v>
      </c>
      <c r="J408" s="18" t="n">
        <v>79325577</v>
      </c>
      <c r="K408" s="19" t="n">
        <v>55189406</v>
      </c>
      <c r="L408" s="18" t="n">
        <v>89335943</v>
      </c>
      <c r="M408" s="19" t="n">
        <v>68422681</v>
      </c>
      <c r="N408" s="18" t="n">
        <v>49559280</v>
      </c>
      <c r="O408" s="19" t="n">
        <v>27075973</v>
      </c>
      <c r="P408" s="18" t="n">
        <v>42448243</v>
      </c>
      <c r="Q408" s="19" t="n">
        <v>42927494</v>
      </c>
      <c r="R408" s="18" t="n">
        <v>55562188</v>
      </c>
      <c r="S408" s="20" t="n">
        <v>78868047</v>
      </c>
      <c r="T408" s="6" t="n">
        <v>2</v>
      </c>
      <c r="U408" s="5" t="inlineStr">
        <is>
          <t>반도체 / - | 디스플레이 / -</t>
        </is>
      </c>
      <c r="V408" s="21">
        <f>HYPERLINK("https://dart.fss.or.kr/dsaf001/main.do?rcpNo=20260814002190", "공시열람")</f>
        <v/>
      </c>
    </row>
    <row r="409">
      <c r="A409" s="5" t="inlineStr">
        <is>
          <t>지역난방공사</t>
        </is>
      </c>
      <c r="B409" s="6" t="inlineStr">
        <is>
          <t>071320</t>
        </is>
      </c>
      <c r="C409" s="6" t="inlineStr">
        <is>
          <t>2024Q2</t>
        </is>
      </c>
      <c r="D409" s="6" t="inlineStr">
        <is>
          <t>20240814</t>
        </is>
      </c>
      <c r="E409" s="16" t="n">
        <v>18496</v>
      </c>
      <c r="F409" s="16" t="n">
        <v>15050</v>
      </c>
      <c r="G409" s="16" t="n">
        <v>3446</v>
      </c>
      <c r="H409" s="6" t="inlineStr">
        <is>
          <t>백만원</t>
        </is>
      </c>
      <c r="I409" s="17" t="n">
        <v>-59.9</v>
      </c>
      <c r="J409" s="18" t="n">
        <v>8603</v>
      </c>
      <c r="K409" s="19" t="n">
        <v>3446</v>
      </c>
      <c r="L409" s="18" t="inlineStr"/>
      <c r="M409" s="19" t="inlineStr"/>
      <c r="N409" s="18" t="inlineStr"/>
      <c r="O409" s="19" t="inlineStr"/>
      <c r="P409" s="18" t="inlineStr"/>
      <c r="Q409" s="19" t="inlineStr"/>
      <c r="R409" s="18" t="inlineStr"/>
      <c r="S409" s="20" t="inlineStr"/>
      <c r="T409" s="6" t="n">
        <v>3</v>
      </c>
      <c r="U409" s="5" t="inlineStr">
        <is>
          <t>2023년 일반/특수 경비 및 안내원 용역 / 2023 | 2023년 한국지역난방공사 환경관리 용역 / 2023- | 2023년 한국지역난방공사 사옥관리 용역 / 2023-</t>
        </is>
      </c>
      <c r="V409" s="21">
        <f>HYPERLINK("https://dart.fss.or.kr/dsaf001/main.do?rcpNo=20240814002085", "공시열람")</f>
        <v/>
      </c>
    </row>
    <row r="410">
      <c r="A410" s="5" t="inlineStr">
        <is>
          <t>HD현대마린엔진</t>
        </is>
      </c>
      <c r="B410" s="6" t="inlineStr">
        <is>
          <t>071970</t>
        </is>
      </c>
      <c r="C410" s="6" t="inlineStr">
        <is>
          <t>2026Q2</t>
        </is>
      </c>
      <c r="D410" s="6" t="inlineStr">
        <is>
          <t>20260814</t>
        </is>
      </c>
      <c r="E410" s="16" t="inlineStr"/>
      <c r="F410" s="16" t="n">
        <v>-224708</v>
      </c>
      <c r="G410" s="16" t="n">
        <v>1670590</v>
      </c>
      <c r="H410" s="6" t="inlineStr">
        <is>
          <t>백만원</t>
        </is>
      </c>
      <c r="I410" s="17" t="n">
        <v>24.8</v>
      </c>
      <c r="J410" s="18" t="n">
        <v>0</v>
      </c>
      <c r="K410" s="19" t="n">
        <v>0</v>
      </c>
      <c r="L410" s="18" t="n">
        <v>664639</v>
      </c>
      <c r="M410" s="19" t="n">
        <v>738986</v>
      </c>
      <c r="N410" s="18" t="n">
        <v>832541</v>
      </c>
      <c r="O410" s="19" t="n">
        <v>1045472</v>
      </c>
      <c r="P410" s="18" t="n">
        <v>1000608</v>
      </c>
      <c r="Q410" s="19" t="n">
        <v>1088898</v>
      </c>
      <c r="R410" s="18" t="n">
        <v>1339020</v>
      </c>
      <c r="S410" s="20" t="n">
        <v>1670590</v>
      </c>
      <c r="T410" s="6" t="n">
        <v>2</v>
      </c>
      <c r="U410" s="5" t="inlineStr">
        <is>
          <t>선박엔진 / '26.06.30까지 / - | 엔진부품 / '26.06.30까지 / -</t>
        </is>
      </c>
      <c r="V410" s="21">
        <f>HYPERLINK("https://dart.fss.or.kr/dsaf001/main.do?rcpNo=20260814002726", "공시열람")</f>
        <v/>
      </c>
    </row>
    <row r="411">
      <c r="A411" s="5" t="inlineStr">
        <is>
          <t>유엔젤</t>
        </is>
      </c>
      <c r="B411" s="6" t="inlineStr">
        <is>
          <t>072130</t>
        </is>
      </c>
      <c r="C411" s="6" t="inlineStr">
        <is>
          <t>2026Q2</t>
        </is>
      </c>
      <c r="D411" s="6" t="inlineStr">
        <is>
          <t>20260814</t>
        </is>
      </c>
      <c r="E411" s="16" t="n">
        <v>32184</v>
      </c>
      <c r="F411" s="16" t="n">
        <v>15077</v>
      </c>
      <c r="G411" s="16" t="n">
        <v>17107</v>
      </c>
      <c r="H411" s="6" t="inlineStr">
        <is>
          <t>백만원</t>
        </is>
      </c>
      <c r="I411" s="17" t="n">
        <v>0.3</v>
      </c>
      <c r="J411" s="18" t="n">
        <v>16400</v>
      </c>
      <c r="K411" s="19" t="n">
        <v>17232</v>
      </c>
      <c r="L411" s="18" t="n">
        <v>17784</v>
      </c>
      <c r="M411" s="19" t="n">
        <v>16513</v>
      </c>
      <c r="N411" s="18" t="n">
        <v>16479</v>
      </c>
      <c r="O411" s="19" t="n">
        <v>16296</v>
      </c>
      <c r="P411" s="18" t="n">
        <v>15236</v>
      </c>
      <c r="Q411" s="19" t="n">
        <v>14150</v>
      </c>
      <c r="R411" s="18" t="n">
        <v>17054</v>
      </c>
      <c r="S411" s="20" t="n">
        <v>17107</v>
      </c>
      <c r="T411" s="6" t="n">
        <v>4</v>
      </c>
      <c r="U411" s="5" t="inlineStr">
        <is>
          <t xml:space="preserve">지능망, 메세징 등 / - | ASP (Application Provider), Io | B2B, B2C Service, Application </t>
        </is>
      </c>
      <c r="V411" s="21">
        <f>HYPERLINK("https://dart.fss.or.kr/dsaf001/main.do?rcpNo=20260814001354", "공시열람")</f>
        <v/>
      </c>
    </row>
    <row r="412">
      <c r="A412" s="5" t="inlineStr">
        <is>
          <t>농심홀딩스</t>
        </is>
      </c>
      <c r="B412" s="6" t="inlineStr">
        <is>
          <t>072710</t>
        </is>
      </c>
      <c r="C412" s="6" t="inlineStr">
        <is>
          <t>2026Q2</t>
        </is>
      </c>
      <c r="D412" s="6" t="inlineStr">
        <is>
          <t>20260814</t>
        </is>
      </c>
      <c r="E412" s="16" t="n">
        <v>348168</v>
      </c>
      <c r="F412" s="16" t="n">
        <v>138133</v>
      </c>
      <c r="G412" s="16" t="n">
        <v>210035</v>
      </c>
      <c r="H412" s="6" t="inlineStr">
        <is>
          <t>백만원</t>
        </is>
      </c>
      <c r="I412" s="17" t="n">
        <v>-1.2</v>
      </c>
      <c r="J412" s="18" t="n">
        <v>105553</v>
      </c>
      <c r="K412" s="19" t="n">
        <v>81231</v>
      </c>
      <c r="L412" s="18" t="n">
        <v>48536</v>
      </c>
      <c r="M412" s="19" t="n">
        <v>43818</v>
      </c>
      <c r="N412" s="18" t="n">
        <v>45546</v>
      </c>
      <c r="O412" s="19" t="n">
        <v>316934</v>
      </c>
      <c r="P412" s="18" t="n">
        <v>289526</v>
      </c>
      <c r="Q412" s="19" t="n">
        <v>259444</v>
      </c>
      <c r="R412" s="18" t="n">
        <v>212670</v>
      </c>
      <c r="S412" s="20" t="n">
        <v>210035</v>
      </c>
      <c r="T412" s="6" t="n">
        <v>7</v>
      </c>
      <c r="U412" s="5" t="inlineStr">
        <is>
          <t>안성 장계리 물류센터 신축공사 / 2025-06-19  | 포천 정교리 물류센터 신축공사 / 2025-05-30  | 삼척루지 조성사업 복합시설 신축공사 / 2026-04-</t>
        </is>
      </c>
      <c r="V412" s="21">
        <f>HYPERLINK("https://dart.fss.or.kr/dsaf001/main.do?rcpNo=20260814003032", "공시열람")</f>
        <v/>
      </c>
    </row>
    <row r="413">
      <c r="A413" s="5" t="inlineStr">
        <is>
          <t>멤레이비티</t>
        </is>
      </c>
      <c r="B413" s="6" t="inlineStr">
        <is>
          <t>072770</t>
        </is>
      </c>
      <c r="C413" s="6" t="inlineStr">
        <is>
          <t>2026Q1</t>
        </is>
      </c>
      <c r="D413" s="6" t="inlineStr">
        <is>
          <t>20260515</t>
        </is>
      </c>
      <c r="E413" s="16" t="n">
        <v>10673011</v>
      </c>
      <c r="F413" s="16" t="n">
        <v>1429525</v>
      </c>
      <c r="G413" s="16" t="n">
        <v>9243486</v>
      </c>
      <c r="H413" s="6" t="inlineStr">
        <is>
          <t>천원</t>
        </is>
      </c>
      <c r="I413" s="17" t="n">
        <v>40</v>
      </c>
      <c r="J413" s="18" t="n">
        <v>13782730</v>
      </c>
      <c r="K413" s="19" t="n">
        <v>16207664</v>
      </c>
      <c r="L413" s="18" t="n">
        <v>60007820</v>
      </c>
      <c r="M413" s="19" t="n">
        <v>12468332</v>
      </c>
      <c r="N413" s="18" t="n">
        <v>12314824</v>
      </c>
      <c r="O413" s="19" t="n">
        <v>10767256</v>
      </c>
      <c r="P413" s="18" t="n">
        <v>11304441</v>
      </c>
      <c r="Q413" s="19" t="n">
        <v>6603794</v>
      </c>
      <c r="R413" s="18" t="n">
        <v>9243486</v>
      </c>
      <c r="S413" s="20" t="inlineStr"/>
      <c r="T413" s="6" t="n">
        <v>1</v>
      </c>
      <c r="U413" s="5" t="inlineStr">
        <is>
          <t>DELL 솔루션과 Software / -</t>
        </is>
      </c>
      <c r="V413" s="21">
        <f>HYPERLINK("https://dart.fss.or.kr/dsaf001/main.do?rcpNo=20260515001065", "공시열람")</f>
        <v/>
      </c>
    </row>
    <row r="414">
      <c r="A414" s="5" t="inlineStr">
        <is>
          <t>케이에스피</t>
        </is>
      </c>
      <c r="B414" s="6" t="inlineStr">
        <is>
          <t>073010</t>
        </is>
      </c>
      <c r="C414" s="6" t="inlineStr">
        <is>
          <t>2026Q2</t>
        </is>
      </c>
      <c r="D414" s="6" t="inlineStr">
        <is>
          <t>20260812</t>
        </is>
      </c>
      <c r="E414" s="16" t="inlineStr"/>
      <c r="F414" s="16" t="n">
        <v>50672</v>
      </c>
      <c r="G414" s="16" t="n">
        <v>115933</v>
      </c>
      <c r="H414" s="6" t="inlineStr">
        <is>
          <t>EA,백만원</t>
        </is>
      </c>
      <c r="I414" s="17" t="n">
        <v>25.6</v>
      </c>
      <c r="J414" s="18" t="n">
        <v>56434</v>
      </c>
      <c r="K414" s="19" t="n">
        <v>56928</v>
      </c>
      <c r="L414" s="18" t="n">
        <v>62701</v>
      </c>
      <c r="M414" s="19" t="n">
        <v>61496</v>
      </c>
      <c r="N414" s="18" t="n">
        <v>77255</v>
      </c>
      <c r="O414" s="19" t="n">
        <v>81712</v>
      </c>
      <c r="P414" s="18" t="n">
        <v>79559</v>
      </c>
      <c r="Q414" s="19" t="n">
        <v>80946</v>
      </c>
      <c r="R414" s="18" t="n">
        <v>92309</v>
      </c>
      <c r="S414" s="20" t="n">
        <v>115933</v>
      </c>
      <c r="T414" s="6" t="n">
        <v>5</v>
      </c>
      <c r="U414" s="5" t="inlineStr">
        <is>
          <t>엔진부품 / 대형엔진부품 | 형단조품 / 선박부품 | 형단조품 / 방산부품</t>
        </is>
      </c>
      <c r="V414" s="21">
        <f>HYPERLINK("https://dart.fss.or.kr/dsaf001/main.do?rcpNo=20260812000573", "공시열람")</f>
        <v/>
      </c>
    </row>
    <row r="415">
      <c r="A415" s="5" t="inlineStr">
        <is>
          <t>금호타이어</t>
        </is>
      </c>
      <c r="B415" s="6" t="inlineStr">
        <is>
          <t>073240</t>
        </is>
      </c>
      <c r="C415" s="6" t="inlineStr">
        <is>
          <t>2024Q3</t>
        </is>
      </c>
      <c r="D415" s="6" t="inlineStr">
        <is>
          <t>20241113</t>
        </is>
      </c>
      <c r="E415" s="16" t="n">
        <v>1753560</v>
      </c>
      <c r="F415" s="16" t="n">
        <v>1387848</v>
      </c>
      <c r="G415" s="16" t="n">
        <v>365712</v>
      </c>
      <c r="H415" s="6" t="inlineStr">
        <is>
          <t>천본,천USD</t>
        </is>
      </c>
      <c r="I415" s="17" t="n">
        <v>-20</v>
      </c>
      <c r="J415" s="18" t="n">
        <v>337409</v>
      </c>
      <c r="K415" s="19" t="n">
        <v>457344</v>
      </c>
      <c r="L415" s="18" t="n">
        <v>365712</v>
      </c>
      <c r="M415" s="19" t="inlineStr"/>
      <c r="N415" s="18" t="inlineStr"/>
      <c r="O415" s="19" t="inlineStr"/>
      <c r="P415" s="18" t="inlineStr"/>
      <c r="Q415" s="19" t="inlineStr"/>
      <c r="R415" s="18" t="inlineStr"/>
      <c r="S415" s="20" t="inlineStr"/>
      <c r="T415" s="6" t="n">
        <v>1</v>
      </c>
      <c r="U415" s="5" t="inlineStr">
        <is>
          <t xml:space="preserve">타이어 / 2024.01.01 ~ 2024.09.30 </t>
        </is>
      </c>
      <c r="V415" s="21">
        <f>HYPERLINK("https://dart.fss.or.kr/dsaf001/main.do?rcpNo=20241113000742", "공시열람")</f>
        <v/>
      </c>
    </row>
    <row r="416">
      <c r="A416" s="5" t="inlineStr">
        <is>
          <t>테라사이언스</t>
        </is>
      </c>
      <c r="B416" s="6" t="inlineStr">
        <is>
          <t>073640</t>
        </is>
      </c>
      <c r="C416" s="6" t="inlineStr">
        <is>
          <t>2026Q2</t>
        </is>
      </c>
      <c r="D416" s="6" t="inlineStr">
        <is>
          <t>20260814</t>
        </is>
      </c>
      <c r="E416" s="16" t="n">
        <v>8761770</v>
      </c>
      <c r="F416" s="16" t="n">
        <v>7671691</v>
      </c>
      <c r="G416" s="16" t="n">
        <v>1090079</v>
      </c>
      <c r="H416" s="6" t="inlineStr">
        <is>
          <t>천개,천원</t>
        </is>
      </c>
      <c r="I416" s="17" t="n">
        <v>1622.9</v>
      </c>
      <c r="J416" s="18" t="n">
        <v>779453</v>
      </c>
      <c r="K416" s="19" t="n">
        <v>505877</v>
      </c>
      <c r="L416" s="18" t="n">
        <v>161961</v>
      </c>
      <c r="M416" s="19" t="n">
        <v>53650</v>
      </c>
      <c r="N416" s="18" t="n">
        <v>555170</v>
      </c>
      <c r="O416" s="19" t="n">
        <v>423043</v>
      </c>
      <c r="P416" s="18" t="n">
        <v>499473</v>
      </c>
      <c r="Q416" s="19" t="n">
        <v>1760744</v>
      </c>
      <c r="R416" s="18" t="n">
        <v>63271</v>
      </c>
      <c r="S416" s="20" t="n">
        <v>1090079</v>
      </c>
      <c r="T416" s="6" t="n">
        <v>1</v>
      </c>
      <c r="U416" s="5" t="inlineStr">
        <is>
          <t>Fitting/유압 / 2026.01.01~ 2026.</t>
        </is>
      </c>
      <c r="V416" s="21">
        <f>HYPERLINK("https://dart.fss.or.kr/dsaf001/main.do?rcpNo=20260814002361", "공시열람")</f>
        <v/>
      </c>
    </row>
    <row r="417">
      <c r="A417" s="5" t="inlineStr">
        <is>
          <t>이엔플러스</t>
        </is>
      </c>
      <c r="B417" s="6" t="inlineStr">
        <is>
          <t>074610</t>
        </is>
      </c>
      <c r="C417" s="6" t="inlineStr">
        <is>
          <t>2025Q4</t>
        </is>
      </c>
      <c r="D417" s="6" t="inlineStr">
        <is>
          <t>20260331</t>
        </is>
      </c>
      <c r="E417" s="16" t="n">
        <v>7914813900</v>
      </c>
      <c r="F417" s="16" t="inlineStr"/>
      <c r="G417" s="16" t="n">
        <v>7914813900</v>
      </c>
      <c r="H417" s="6" t="inlineStr">
        <is>
          <t>대,원</t>
        </is>
      </c>
      <c r="I417" s="17" t="n">
        <v>0</v>
      </c>
      <c r="J417" s="18" t="n">
        <v>22163856000</v>
      </c>
      <c r="K417" s="19" t="n">
        <v>22163856000</v>
      </c>
      <c r="L417" s="18" t="n">
        <v>29034105000</v>
      </c>
      <c r="M417" s="19" t="n">
        <v>43024538100</v>
      </c>
      <c r="N417" s="18" t="n">
        <v>38451089100</v>
      </c>
      <c r="O417" s="19" t="n">
        <v>38451089100</v>
      </c>
      <c r="P417" s="18" t="n">
        <v>7914813900</v>
      </c>
      <c r="Q417" s="19" t="n">
        <v>7914813900</v>
      </c>
      <c r="R417" s="18" t="inlineStr"/>
      <c r="S417" s="20" t="inlineStr"/>
      <c r="T417" s="6" t="n">
        <v>1</v>
      </c>
      <c r="U417" s="5" t="inlineStr">
        <is>
          <t>소방펌프차 / 2024-11-13 / 2026-03-3</t>
        </is>
      </c>
      <c r="V417" s="21">
        <f>HYPERLINK("https://dart.fss.or.kr/dsaf001/main.do?rcpNo=20260331000004", "공시열람")</f>
        <v/>
      </c>
    </row>
    <row r="418">
      <c r="A418" s="5" t="inlineStr">
        <is>
          <t>세진중공업</t>
        </is>
      </c>
      <c r="B418" s="6" t="inlineStr">
        <is>
          <t>075580</t>
        </is>
      </c>
      <c r="C418" s="6" t="inlineStr">
        <is>
          <t>2026Q2</t>
        </is>
      </c>
      <c r="D418" s="6" t="inlineStr">
        <is>
          <t>20260813</t>
        </is>
      </c>
      <c r="E418" s="16" t="n">
        <v>384443</v>
      </c>
      <c r="F418" s="16" t="n">
        <v>190065</v>
      </c>
      <c r="G418" s="16" t="n">
        <v>194378</v>
      </c>
      <c r="H418" s="6" t="inlineStr">
        <is>
          <t>백만원</t>
        </is>
      </c>
      <c r="I418" s="17" t="n">
        <v>-31.6</v>
      </c>
      <c r="J418" s="18" t="n">
        <v>298206</v>
      </c>
      <c r="K418" s="19" t="n">
        <v>225510</v>
      </c>
      <c r="L418" s="18" t="n">
        <v>163564</v>
      </c>
      <c r="M418" s="19" t="n">
        <v>360527</v>
      </c>
      <c r="N418" s="18" t="n">
        <v>265316</v>
      </c>
      <c r="O418" s="19" t="n">
        <v>183071</v>
      </c>
      <c r="P418" s="18" t="n">
        <v>109101</v>
      </c>
      <c r="Q418" s="19" t="n">
        <v>369336</v>
      </c>
      <c r="R418" s="18" t="n">
        <v>284158</v>
      </c>
      <c r="S418" s="20" t="n">
        <v>194378</v>
      </c>
      <c r="T418" s="6" t="n">
        <v>1</v>
      </c>
      <c r="U418" s="5" t="inlineStr">
        <is>
          <t>조선 / 26.06.30 까지 / -</t>
        </is>
      </c>
      <c r="V418" s="21">
        <f>HYPERLINK("https://dart.fss.or.kr/dsaf001/main.do?rcpNo=20260813001500", "공시열람")</f>
        <v/>
      </c>
    </row>
    <row r="419">
      <c r="A419" s="5" t="inlineStr">
        <is>
          <t>웰크론한텍</t>
        </is>
      </c>
      <c r="B419" s="6" t="inlineStr">
        <is>
          <t>076080</t>
        </is>
      </c>
      <c r="C419" s="6" t="inlineStr">
        <is>
          <t>2026Q2</t>
        </is>
      </c>
      <c r="D419" s="6" t="inlineStr">
        <is>
          <t>20260814</t>
        </is>
      </c>
      <c r="E419" s="16" t="inlineStr"/>
      <c r="F419" s="16" t="inlineStr"/>
      <c r="G419" s="16" t="n">
        <v>175891740</v>
      </c>
      <c r="H419" s="6" t="inlineStr">
        <is>
          <t>천원</t>
        </is>
      </c>
      <c r="I419" s="17" t="n">
        <v>97747.60000000001</v>
      </c>
      <c r="J419" s="18" t="n">
        <v>218242</v>
      </c>
      <c r="K419" s="19" t="n">
        <v>187216</v>
      </c>
      <c r="L419" s="18" t="n">
        <v>176831</v>
      </c>
      <c r="M419" s="19" t="n">
        <v>184520</v>
      </c>
      <c r="N419" s="18" t="n">
        <v>156742</v>
      </c>
      <c r="O419" s="19" t="n">
        <v>173192</v>
      </c>
      <c r="P419" s="18" t="n">
        <v>211574</v>
      </c>
      <c r="Q419" s="19" t="n">
        <v>198257</v>
      </c>
      <c r="R419" s="18" t="n">
        <v>179761</v>
      </c>
      <c r="S419" s="20" t="n">
        <v>175891740</v>
      </c>
      <c r="T419" s="6" t="n">
        <v>1</v>
      </c>
      <c r="U419" s="5" t="inlineStr">
        <is>
          <t>(3,824,823)</t>
        </is>
      </c>
      <c r="V419" s="21">
        <f>HYPERLINK("https://dart.fss.or.kr/dsaf001/main.do?rcpNo=20260814000612", "공시열람")</f>
        <v/>
      </c>
    </row>
    <row r="420">
      <c r="A420" s="5" t="inlineStr">
        <is>
          <t>지에이이노더스</t>
        </is>
      </c>
      <c r="B420" s="6" t="inlineStr">
        <is>
          <t>076340</t>
        </is>
      </c>
      <c r="C420" s="6" t="inlineStr">
        <is>
          <t>2025Q4</t>
        </is>
      </c>
      <c r="D420" s="6" t="inlineStr">
        <is>
          <t>20260319</t>
        </is>
      </c>
      <c r="E420" s="16" t="inlineStr"/>
      <c r="F420" s="16" t="inlineStr"/>
      <c r="G420" s="16" t="n">
        <v>714539208</v>
      </c>
      <c r="H420" s="6" t="inlineStr">
        <is>
          <t>천원</t>
        </is>
      </c>
      <c r="I420" s="17" t="n">
        <v>61</v>
      </c>
      <c r="J420" s="18" t="inlineStr"/>
      <c r="K420" s="19" t="inlineStr"/>
      <c r="L420" s="18" t="inlineStr"/>
      <c r="M420" s="19" t="n">
        <v>443814815</v>
      </c>
      <c r="N420" s="18" t="inlineStr"/>
      <c r="O420" s="19" t="inlineStr"/>
      <c r="P420" s="18" t="inlineStr"/>
      <c r="Q420" s="19" t="n">
        <v>714539208</v>
      </c>
      <c r="R420" s="18" t="inlineStr"/>
      <c r="S420" s="20" t="inlineStr"/>
      <c r="T420" s="6" t="n">
        <v>45</v>
      </c>
      <c r="U420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20" s="21">
        <f>HYPERLINK("https://dart.fss.or.kr/dsaf001/main.do?rcpNo=20260319000105", "공시열람")</f>
        <v/>
      </c>
    </row>
    <row r="421">
      <c r="A421" s="5" t="inlineStr">
        <is>
          <t>덕산하이메탈</t>
        </is>
      </c>
      <c r="B421" s="6" t="inlineStr">
        <is>
          <t>077360</t>
        </is>
      </c>
      <c r="C421" s="6" t="inlineStr">
        <is>
          <t>2026Q2</t>
        </is>
      </c>
      <c r="D421" s="6" t="inlineStr">
        <is>
          <t>20260813</t>
        </is>
      </c>
      <c r="E421" s="16" t="n">
        <v>794</v>
      </c>
      <c r="F421" s="16" t="n">
        <v>237</v>
      </c>
      <c r="G421" s="16" t="n">
        <v>557</v>
      </c>
      <c r="H421" s="6" t="inlineStr">
        <is>
          <t>억원</t>
        </is>
      </c>
      <c r="I421" s="17" t="n">
        <v>-2.1</v>
      </c>
      <c r="J421" s="18" t="n">
        <v>746</v>
      </c>
      <c r="K421" s="19" t="n">
        <v>682</v>
      </c>
      <c r="L421" s="18" t="n">
        <v>661</v>
      </c>
      <c r="M421" s="19" t="n">
        <v>664</v>
      </c>
      <c r="N421" s="18" t="n">
        <v>627</v>
      </c>
      <c r="O421" s="19" t="n">
        <v>662</v>
      </c>
      <c r="P421" s="18" t="n">
        <v>654</v>
      </c>
      <c r="Q421" s="19" t="n">
        <v>649</v>
      </c>
      <c r="R421" s="18" t="n">
        <v>569</v>
      </c>
      <c r="S421" s="20" t="n">
        <v>557</v>
      </c>
      <c r="T421" s="6" t="n">
        <v>1</v>
      </c>
      <c r="U421" s="5" t="inlineStr">
        <is>
          <t>-</t>
        </is>
      </c>
      <c r="V421" s="21">
        <f>HYPERLINK("https://dart.fss.or.kr/dsaf001/main.do?rcpNo=20260813001579", "공시열람")</f>
        <v/>
      </c>
    </row>
    <row r="422">
      <c r="A422" s="5" t="inlineStr">
        <is>
          <t>유니퀘스트</t>
        </is>
      </c>
      <c r="B422" s="6" t="inlineStr">
        <is>
          <t>077500</t>
        </is>
      </c>
      <c r="C422" s="6" t="inlineStr">
        <is>
          <t>2026Q2</t>
        </is>
      </c>
      <c r="D422" s="6" t="inlineStr">
        <is>
          <t>20260814</t>
        </is>
      </c>
      <c r="E422" s="16" t="n">
        <v>128768</v>
      </c>
      <c r="F422" s="16" t="inlineStr"/>
      <c r="G422" s="16" t="n">
        <v>128768</v>
      </c>
      <c r="H422" s="6" t="inlineStr">
        <is>
          <t>백만원</t>
        </is>
      </c>
      <c r="I422" s="17" t="n">
        <v>0</v>
      </c>
      <c r="J422" s="18" t="inlineStr"/>
      <c r="K422" s="19" t="inlineStr"/>
      <c r="L422" s="18" t="inlineStr"/>
      <c r="M422" s="19" t="inlineStr"/>
      <c r="N422" s="18" t="inlineStr"/>
      <c r="O422" s="19" t="inlineStr"/>
      <c r="P422" s="18" t="inlineStr"/>
      <c r="Q422" s="19" t="inlineStr"/>
      <c r="R422" s="18" t="n">
        <v>128768</v>
      </c>
      <c r="S422" s="20" t="n">
        <v>128768</v>
      </c>
      <c r="T422" s="6" t="n">
        <v>1</v>
      </c>
      <c r="U422" s="5" t="inlineStr">
        <is>
          <t>HPC 서버 / 26.04.30. / 26.07.15.</t>
        </is>
      </c>
      <c r="V422" s="21">
        <f>HYPERLINK("https://dart.fss.or.kr/dsaf001/main.do?rcpNo=20260814001621", "공시열람")</f>
        <v/>
      </c>
    </row>
    <row r="423">
      <c r="A423" s="5" t="inlineStr">
        <is>
          <t>STX엔진</t>
        </is>
      </c>
      <c r="B423" s="6" t="inlineStr">
        <is>
          <t>077970</t>
        </is>
      </c>
      <c r="C423" s="6" t="inlineStr">
        <is>
          <t>2026Q2</t>
        </is>
      </c>
      <c r="D423" s="6" t="inlineStr">
        <is>
          <t>20260814</t>
        </is>
      </c>
      <c r="E423" s="16" t="n">
        <v>6001</v>
      </c>
      <c r="F423" s="16" t="n">
        <v>3956</v>
      </c>
      <c r="G423" s="16" t="n">
        <v>19269</v>
      </c>
      <c r="H423" s="6" t="inlineStr">
        <is>
          <t>억원</t>
        </is>
      </c>
      <c r="I423" s="17" t="n">
        <v>-4.1</v>
      </c>
      <c r="J423" s="18" t="n">
        <v>12535</v>
      </c>
      <c r="K423" s="19" t="n">
        <v>12031</v>
      </c>
      <c r="L423" s="18" t="n">
        <v>11227</v>
      </c>
      <c r="M423" s="19" t="n">
        <v>12451</v>
      </c>
      <c r="N423" s="18" t="n">
        <v>14105</v>
      </c>
      <c r="O423" s="19" t="n">
        <v>15125</v>
      </c>
      <c r="P423" s="18" t="n">
        <v>14828</v>
      </c>
      <c r="Q423" s="19" t="n">
        <v>16711</v>
      </c>
      <c r="R423" s="18" t="n">
        <v>20102</v>
      </c>
      <c r="S423" s="20" t="n">
        <v>19269</v>
      </c>
      <c r="T423" s="6" t="n">
        <v>3</v>
      </c>
      <c r="U423" s="5" t="inlineStr">
        <is>
          <t>특수사업 / - | 민수사업 / - | 전자통신 / -</t>
        </is>
      </c>
      <c r="V423" s="21">
        <f>HYPERLINK("https://dart.fss.or.kr/dsaf001/main.do?rcpNo=20260814001988", "공시열람")</f>
        <v/>
      </c>
    </row>
    <row r="424">
      <c r="A424" s="5" t="inlineStr">
        <is>
          <t>텔코웨어</t>
        </is>
      </c>
      <c r="B424" s="6" t="inlineStr">
        <is>
          <t>078000</t>
        </is>
      </c>
      <c r="C424" s="6" t="inlineStr">
        <is>
          <t>2026Q2</t>
        </is>
      </c>
      <c r="D424" s="6" t="inlineStr">
        <is>
          <t>20260814</t>
        </is>
      </c>
      <c r="E424" s="16" t="n">
        <v>57226021</v>
      </c>
      <c r="F424" s="16" t="n">
        <v>17126767</v>
      </c>
      <c r="G424" s="16" t="n">
        <v>40099254</v>
      </c>
      <c r="H424" s="6" t="inlineStr">
        <is>
          <t>천원</t>
        </is>
      </c>
      <c r="I424" s="17" t="n">
        <v>11.3</v>
      </c>
      <c r="J424" s="18" t="n">
        <v>21479929</v>
      </c>
      <c r="K424" s="19" t="n">
        <v>20208913</v>
      </c>
      <c r="L424" s="18" t="n">
        <v>22939197</v>
      </c>
      <c r="M424" s="19" t="n">
        <v>6324182</v>
      </c>
      <c r="N424" s="18" t="n">
        <v>16268003</v>
      </c>
      <c r="O424" s="19" t="n">
        <v>28700230</v>
      </c>
      <c r="P424" s="18" t="n">
        <v>31388658</v>
      </c>
      <c r="Q424" s="19" t="n">
        <v>22852676</v>
      </c>
      <c r="R424" s="18" t="n">
        <v>36012730</v>
      </c>
      <c r="S424" s="20" t="n">
        <v>40099254</v>
      </c>
      <c r="T424" s="6" t="n">
        <v>3</v>
      </c>
      <c r="U424" s="5" t="inlineStr">
        <is>
          <t>무선데이터 솔루션 / - | 음성핵심망 솔루션 / - | 기타 / -</t>
        </is>
      </c>
      <c r="V424" s="21">
        <f>HYPERLINK("https://dart.fss.or.kr/dsaf001/main.do?rcpNo=20260814001922", "공시열람")</f>
        <v/>
      </c>
    </row>
    <row r="425">
      <c r="A425" s="5" t="inlineStr">
        <is>
          <t>유비쿼스홀딩스</t>
        </is>
      </c>
      <c r="B425" s="6" t="inlineStr">
        <is>
          <t>078070</t>
        </is>
      </c>
      <c r="C425" s="6" t="inlineStr">
        <is>
          <t>2026Q2</t>
        </is>
      </c>
      <c r="D425" s="6" t="inlineStr">
        <is>
          <t>20260814</t>
        </is>
      </c>
      <c r="E425" s="16" t="n">
        <v>179424</v>
      </c>
      <c r="F425" s="16" t="n">
        <v>91937</v>
      </c>
      <c r="G425" s="16" t="n">
        <v>87487</v>
      </c>
      <c r="H425" s="6" t="inlineStr">
        <is>
          <t>백만원</t>
        </is>
      </c>
      <c r="I425" s="17" t="n">
        <v>-15.1</v>
      </c>
      <c r="J425" s="18" t="n">
        <v>171554</v>
      </c>
      <c r="K425" s="19" t="n">
        <v>167430</v>
      </c>
      <c r="L425" s="18" t="n">
        <v>161375</v>
      </c>
      <c r="M425" s="19" t="n">
        <v>147635</v>
      </c>
      <c r="N425" s="18" t="n">
        <v>141886</v>
      </c>
      <c r="O425" s="19" t="n">
        <v>136578</v>
      </c>
      <c r="P425" s="18" t="n">
        <v>124743</v>
      </c>
      <c r="Q425" s="19" t="n">
        <v>112050</v>
      </c>
      <c r="R425" s="18" t="n">
        <v>103021</v>
      </c>
      <c r="S425" s="20" t="n">
        <v>87487</v>
      </c>
      <c r="T425" s="6" t="n">
        <v>1</v>
      </c>
      <c r="U425" s="5" t="inlineStr">
        <is>
          <t>LGU+ 가입자망용 EPON/스위치 단가계약</t>
        </is>
      </c>
      <c r="V425" s="21">
        <f>HYPERLINK("https://dart.fss.or.kr/dsaf001/main.do?rcpNo=20260814001086", "공시열람")</f>
        <v/>
      </c>
    </row>
    <row r="426">
      <c r="A426" s="5" t="inlineStr">
        <is>
          <t>HB테크놀러지</t>
        </is>
      </c>
      <c r="B426" s="6" t="inlineStr">
        <is>
          <t>078150</t>
        </is>
      </c>
      <c r="C426" s="6" t="inlineStr">
        <is>
          <t>2026Q2</t>
        </is>
      </c>
      <c r="D426" s="6" t="inlineStr">
        <is>
          <t>20260814</t>
        </is>
      </c>
      <c r="E426" s="16" t="n">
        <v>83289</v>
      </c>
      <c r="F426" s="16" t="n">
        <v>37891</v>
      </c>
      <c r="G426" s="16" t="n">
        <v>45398</v>
      </c>
      <c r="H426" s="6" t="inlineStr">
        <is>
          <t>백만원</t>
        </is>
      </c>
      <c r="I426" s="17" t="n">
        <v>13.8</v>
      </c>
      <c r="J426" s="18" t="n">
        <v>92602215</v>
      </c>
      <c r="K426" s="19" t="n">
        <v>76458331</v>
      </c>
      <c r="L426" s="18" t="n">
        <v>65819050</v>
      </c>
      <c r="M426" s="19" t="n">
        <v>88651626</v>
      </c>
      <c r="N426" s="18" t="n">
        <v>69785</v>
      </c>
      <c r="O426" s="19" t="n">
        <v>50593</v>
      </c>
      <c r="P426" s="18" t="n">
        <v>64984</v>
      </c>
      <c r="Q426" s="19" t="n">
        <v>41179</v>
      </c>
      <c r="R426" s="18" t="n">
        <v>39876</v>
      </c>
      <c r="S426" s="20" t="n">
        <v>45398</v>
      </c>
      <c r="T426" s="6" t="n">
        <v>2</v>
      </c>
      <c r="U426" s="5" t="inlineStr">
        <is>
          <t>디스플레이 등 검사장비 / - | 2차전지 검사장비 등 / -</t>
        </is>
      </c>
      <c r="V426" s="21">
        <f>HYPERLINK("https://dart.fss.or.kr/dsaf001/main.do?rcpNo=20260814001870", "공시열람")</f>
        <v/>
      </c>
    </row>
    <row r="427">
      <c r="A427" s="5" t="inlineStr">
        <is>
          <t>휴림에이텍</t>
        </is>
      </c>
      <c r="B427" s="6" t="inlineStr">
        <is>
          <t>078590</t>
        </is>
      </c>
      <c r="C427" s="6" t="inlineStr">
        <is>
          <t>2026Q2</t>
        </is>
      </c>
      <c r="D427" s="6" t="inlineStr">
        <is>
          <t>20260814</t>
        </is>
      </c>
      <c r="E427" s="16" t="n">
        <v>668724</v>
      </c>
      <c r="F427" s="16" t="n">
        <v>383469</v>
      </c>
      <c r="G427" s="16" t="n">
        <v>295327</v>
      </c>
      <c r="H427" s="6" t="inlineStr">
        <is>
          <t>수량-대,금액-백만원</t>
        </is>
      </c>
      <c r="I427" s="17" t="n">
        <v>-1.9</v>
      </c>
      <c r="J427" s="18" t="n">
        <v>160884</v>
      </c>
      <c r="K427" s="19" t="n">
        <v>146304</v>
      </c>
      <c r="L427" s="18" t="n">
        <v>126602</v>
      </c>
      <c r="M427" s="19" t="n">
        <v>111795</v>
      </c>
      <c r="N427" s="18" t="n">
        <v>350589</v>
      </c>
      <c r="O427" s="19" t="n">
        <v>336070</v>
      </c>
      <c r="P427" s="18" t="n">
        <v>323393</v>
      </c>
      <c r="Q427" s="19" t="n">
        <v>310852</v>
      </c>
      <c r="R427" s="18" t="n">
        <v>301152</v>
      </c>
      <c r="S427" s="20" t="n">
        <v>295327</v>
      </c>
      <c r="T427" s="6" t="n">
        <v>4</v>
      </c>
      <c r="U427" s="5" t="inlineStr">
        <is>
          <t>카페트 | 언더커버 | 트렁크</t>
        </is>
      </c>
      <c r="V427" s="21">
        <f>HYPERLINK("https://dart.fss.or.kr/dsaf001/main.do?rcpNo=20260814003841", "공시열람")</f>
        <v/>
      </c>
    </row>
    <row r="428">
      <c r="A428" s="5" t="inlineStr">
        <is>
          <t>GS</t>
        </is>
      </c>
      <c r="B428" s="6" t="inlineStr">
        <is>
          <t>078930</t>
        </is>
      </c>
      <c r="C428" s="6" t="inlineStr">
        <is>
          <t>2026Q2</t>
        </is>
      </c>
      <c r="D428" s="6" t="inlineStr">
        <is>
          <t>20260814</t>
        </is>
      </c>
      <c r="E428" s="16" t="n">
        <v>1591355</v>
      </c>
      <c r="F428" s="16" t="n">
        <v>1586384</v>
      </c>
      <c r="G428" s="16" t="n">
        <v>4972</v>
      </c>
      <c r="H428" s="6" t="inlineStr">
        <is>
          <t>천배럴,백만원</t>
        </is>
      </c>
      <c r="I428" s="17" t="n">
        <v>-36.1</v>
      </c>
      <c r="J428" s="18" t="n">
        <v>266020</v>
      </c>
      <c r="K428" s="19" t="n">
        <v>205116</v>
      </c>
      <c r="L428" s="18" t="n">
        <v>142771</v>
      </c>
      <c r="M428" s="19" t="n">
        <v>81643</v>
      </c>
      <c r="N428" s="18" t="n">
        <v>46641</v>
      </c>
      <c r="O428" s="19" t="n">
        <v>22342</v>
      </c>
      <c r="P428" s="18" t="n">
        <v>14578</v>
      </c>
      <c r="Q428" s="19" t="n">
        <v>11091</v>
      </c>
      <c r="R428" s="18" t="n">
        <v>7779</v>
      </c>
      <c r="S428" s="20" t="n">
        <v>4972</v>
      </c>
      <c r="T428" s="6" t="n">
        <v>2</v>
      </c>
      <c r="U428" s="5" t="inlineStr">
        <is>
          <t>정유제품(해상유) / 매분기 | 정유제품(항공유) / 수시 / 주문시</t>
        </is>
      </c>
      <c r="V428" s="21">
        <f>HYPERLINK("https://dart.fss.or.kr/dsaf001/main.do?rcpNo=20260814003779", "공시열람")</f>
        <v/>
      </c>
    </row>
    <row r="429">
      <c r="A429" s="5" t="inlineStr">
        <is>
          <t>CJ CGV</t>
        </is>
      </c>
      <c r="B429" s="6" t="inlineStr">
        <is>
          <t>079160</t>
        </is>
      </c>
      <c r="C429" s="6" t="inlineStr">
        <is>
          <t>2026Q2</t>
        </is>
      </c>
      <c r="D429" s="6" t="inlineStr">
        <is>
          <t>20260814</t>
        </is>
      </c>
      <c r="E429" s="16" t="n">
        <v>463318</v>
      </c>
      <c r="F429" s="16" t="n">
        <v>152856</v>
      </c>
      <c r="G429" s="16" t="n">
        <v>310462</v>
      </c>
      <c r="H429" s="6" t="inlineStr">
        <is>
          <t>백만원</t>
        </is>
      </c>
      <c r="I429" s="17" t="n">
        <v>30</v>
      </c>
      <c r="J429" s="18" t="n">
        <v>180000000</v>
      </c>
      <c r="K429" s="19" t="n">
        <v>180000000</v>
      </c>
      <c r="L429" s="18" t="inlineStr"/>
      <c r="M429" s="19" t="n">
        <v>238347</v>
      </c>
      <c r="N429" s="18" t="n">
        <v>254827</v>
      </c>
      <c r="O429" s="19" t="n">
        <v>270808</v>
      </c>
      <c r="P429" s="18" t="n">
        <v>267100</v>
      </c>
      <c r="Q429" s="19" t="n">
        <v>253404</v>
      </c>
      <c r="R429" s="18" t="n">
        <v>238739</v>
      </c>
      <c r="S429" s="20" t="n">
        <v>310462</v>
      </c>
      <c r="T429" s="6" t="n">
        <v>1</v>
      </c>
      <c r="U429" s="5" t="inlineStr">
        <is>
          <t>시스템구축 등 / -</t>
        </is>
      </c>
      <c r="V429" s="21">
        <f>HYPERLINK("https://dart.fss.or.kr/dsaf001/main.do?rcpNo=20260814003075", "공시열람")</f>
        <v/>
      </c>
    </row>
    <row r="430">
      <c r="A430" s="5" t="inlineStr">
        <is>
          <t>제우스</t>
        </is>
      </c>
      <c r="B430" s="6" t="inlineStr">
        <is>
          <t>079370</t>
        </is>
      </c>
      <c r="C430" s="6" t="inlineStr">
        <is>
          <t>2026Q2</t>
        </is>
      </c>
      <c r="D430" s="6" t="inlineStr">
        <is>
          <t>20260814</t>
        </is>
      </c>
      <c r="E430" s="16" t="n">
        <v>513616</v>
      </c>
      <c r="F430" s="16" t="n">
        <v>137282</v>
      </c>
      <c r="G430" s="16" t="n">
        <v>376334</v>
      </c>
      <c r="H430" s="6" t="inlineStr">
        <is>
          <t>백만원</t>
        </is>
      </c>
      <c r="I430" s="17" t="n">
        <v>9.6</v>
      </c>
      <c r="J430" s="18" t="n">
        <v>438330</v>
      </c>
      <c r="K430" s="19" t="n">
        <v>407204</v>
      </c>
      <c r="L430" s="18" t="n">
        <v>374556</v>
      </c>
      <c r="M430" s="19" t="n">
        <v>311598</v>
      </c>
      <c r="N430" s="18" t="n">
        <v>298660</v>
      </c>
      <c r="O430" s="19" t="n">
        <v>247066</v>
      </c>
      <c r="P430" s="18" t="n">
        <v>217072</v>
      </c>
      <c r="Q430" s="19" t="n">
        <v>235780</v>
      </c>
      <c r="R430" s="18" t="n">
        <v>343476</v>
      </c>
      <c r="S430" s="20" t="n">
        <v>376334</v>
      </c>
      <c r="T430" s="6" t="n">
        <v>3</v>
      </c>
      <c r="U430" s="5" t="inlineStr">
        <is>
          <t>특수목적용 제조장비(장비 부문) / 2026.01.01 | 기타(상품 등) / 2026.01.01~2027.12. | 플러그밸브(플러그밸브 부문) / 2026.01.01~2</t>
        </is>
      </c>
      <c r="V430" s="21">
        <f>HYPERLINK("https://dart.fss.or.kr/dsaf001/main.do?rcpNo=20260814003337", "공시열람")</f>
        <v/>
      </c>
    </row>
    <row r="431">
      <c r="A431" s="5" t="inlineStr">
        <is>
          <t>APS이노베이션</t>
        </is>
      </c>
      <c r="B431" s="6" t="inlineStr">
        <is>
          <t>079810</t>
        </is>
      </c>
      <c r="C431" s="6" t="inlineStr">
        <is>
          <t>2026Q2</t>
        </is>
      </c>
      <c r="D431" s="6" t="inlineStr">
        <is>
          <t>20260813</t>
        </is>
      </c>
      <c r="E431" s="16" t="n">
        <v>174455</v>
      </c>
      <c r="F431" s="16" t="n">
        <v>137580</v>
      </c>
      <c r="G431" s="16" t="n">
        <v>36875</v>
      </c>
      <c r="H431" s="6" t="inlineStr">
        <is>
          <t>백만원</t>
        </is>
      </c>
      <c r="I431" s="17" t="n">
        <v>-1.4</v>
      </c>
      <c r="J431" s="18" t="n">
        <v>80247</v>
      </c>
      <c r="K431" s="19" t="n">
        <v>155667</v>
      </c>
      <c r="L431" s="18" t="n">
        <v>134447</v>
      </c>
      <c r="M431" s="19" t="n">
        <v>106279</v>
      </c>
      <c r="N431" s="18" t="n">
        <v>99764</v>
      </c>
      <c r="O431" s="19" t="n">
        <v>83379</v>
      </c>
      <c r="P431" s="18" t="n">
        <v>85385</v>
      </c>
      <c r="Q431" s="19" t="n">
        <v>59060</v>
      </c>
      <c r="R431" s="18" t="n">
        <v>37392</v>
      </c>
      <c r="S431" s="20" t="n">
        <v>36875</v>
      </c>
      <c r="T431" s="6" t="n">
        <v>2</v>
      </c>
      <c r="U431" s="5" t="inlineStr">
        <is>
          <t>이차전지장비 / - | 검사장비 / -</t>
        </is>
      </c>
      <c r="V431" s="21">
        <f>HYPERLINK("https://dart.fss.or.kr/dsaf001/main.do?rcpNo=20260813000768", "공시열람")</f>
        <v/>
      </c>
    </row>
    <row r="432">
      <c r="A432" s="5" t="inlineStr">
        <is>
          <t>인베니아</t>
        </is>
      </c>
      <c r="B432" s="6" t="inlineStr">
        <is>
          <t>079950</t>
        </is>
      </c>
      <c r="C432" s="6" t="inlineStr">
        <is>
          <t>2026Q2</t>
        </is>
      </c>
      <c r="D432" s="6" t="inlineStr">
        <is>
          <t>20260814</t>
        </is>
      </c>
      <c r="E432" s="16" t="n">
        <v>93569</v>
      </c>
      <c r="F432" s="16" t="n">
        <v>62438</v>
      </c>
      <c r="G432" s="16" t="n">
        <v>31131</v>
      </c>
      <c r="H432" s="6" t="inlineStr">
        <is>
          <t>백만원</t>
        </is>
      </c>
      <c r="I432" s="17" t="n">
        <v>33.1</v>
      </c>
      <c r="J432" s="18" t="n">
        <v>69289</v>
      </c>
      <c r="K432" s="19" t="n">
        <v>64893</v>
      </c>
      <c r="L432" s="18" t="n">
        <v>59419</v>
      </c>
      <c r="M432" s="19" t="n">
        <v>55578</v>
      </c>
      <c r="N432" s="18" t="n">
        <v>54384</v>
      </c>
      <c r="O432" s="19" t="n">
        <v>53093</v>
      </c>
      <c r="P432" s="18" t="n">
        <v>45758</v>
      </c>
      <c r="Q432" s="19" t="n">
        <v>36438</v>
      </c>
      <c r="R432" s="18" t="n">
        <v>23392</v>
      </c>
      <c r="S432" s="20" t="n">
        <v>31131</v>
      </c>
      <c r="T432" s="6" t="n">
        <v>1</v>
      </c>
      <c r="U432" s="5" t="inlineStr">
        <is>
          <t>디스플레이제조장비 / -</t>
        </is>
      </c>
      <c r="V432" s="21">
        <f>HYPERLINK("https://dart.fss.or.kr/dsaf001/main.do?rcpNo=20260814002964", "공시열람")</f>
        <v/>
      </c>
    </row>
    <row r="433">
      <c r="A433" s="5" t="inlineStr">
        <is>
          <t>제주반도체</t>
        </is>
      </c>
      <c r="B433" s="6" t="inlineStr">
        <is>
          <t>080220</t>
        </is>
      </c>
      <c r="C433" s="6" t="inlineStr">
        <is>
          <t>2026Q2</t>
        </is>
      </c>
      <c r="D433" s="6" t="inlineStr">
        <is>
          <t>20260813</t>
        </is>
      </c>
      <c r="E433" s="16" t="n">
        <v>762507</v>
      </c>
      <c r="F433" s="16" t="n">
        <v>434022</v>
      </c>
      <c r="G433" s="16" t="n">
        <v>328485</v>
      </c>
      <c r="H433" s="6" t="inlineStr">
        <is>
          <t>US$1,000</t>
        </is>
      </c>
      <c r="I433" s="17" t="n">
        <v>-10</v>
      </c>
      <c r="J433" s="18" t="n">
        <v>23363</v>
      </c>
      <c r="K433" s="19" t="n">
        <v>69384</v>
      </c>
      <c r="L433" s="18" t="n">
        <v>15880</v>
      </c>
      <c r="M433" s="19" t="n">
        <v>31325</v>
      </c>
      <c r="N433" s="18" t="n">
        <v>39200</v>
      </c>
      <c r="O433" s="19" t="n">
        <v>81964</v>
      </c>
      <c r="P433" s="18" t="n">
        <v>113111</v>
      </c>
      <c r="Q433" s="19" t="n">
        <v>248867</v>
      </c>
      <c r="R433" s="18" t="n">
        <v>364814</v>
      </c>
      <c r="S433" s="20" t="n">
        <v>328485</v>
      </c>
      <c r="T433" s="6" t="n">
        <v>10</v>
      </c>
      <c r="U433" s="5" t="inlineStr">
        <is>
          <t>NAND MCP / 건별 수시 / PO별 | DRAM(LPDRAM) / 건별 수시 / PO별 | eMMC / 건별 수시 / PO별</t>
        </is>
      </c>
      <c r="V433" s="21">
        <f>HYPERLINK("https://dart.fss.or.kr/dsaf001/main.do?rcpNo=20260813001713", "공시열람")</f>
        <v/>
      </c>
    </row>
    <row r="434">
      <c r="A434" s="5" t="inlineStr">
        <is>
          <t>쎄크</t>
        </is>
      </c>
      <c r="B434" s="6" t="inlineStr">
        <is>
          <t>081180</t>
        </is>
      </c>
      <c r="C434" s="6" t="inlineStr">
        <is>
          <t>2026Q2</t>
        </is>
      </c>
      <c r="D434" s="6" t="inlineStr">
        <is>
          <t>20260814</t>
        </is>
      </c>
      <c r="E434" s="16" t="n">
        <v>35864</v>
      </c>
      <c r="F434" s="16" t="n">
        <v>14563</v>
      </c>
      <c r="G434" s="16" t="n">
        <v>52071</v>
      </c>
      <c r="H434" s="6" t="inlineStr">
        <is>
          <t>백만원</t>
        </is>
      </c>
      <c r="I434" s="17" t="n">
        <v>22.5</v>
      </c>
      <c r="J434" s="18" t="inlineStr"/>
      <c r="K434" s="19" t="inlineStr"/>
      <c r="L434" s="18" t="inlineStr"/>
      <c r="M434" s="19" t="inlineStr"/>
      <c r="N434" s="18" t="n">
        <v>58524</v>
      </c>
      <c r="O434" s="19" t="n">
        <v>52941</v>
      </c>
      <c r="P434" s="18" t="n">
        <v>50878</v>
      </c>
      <c r="Q434" s="19" t="n">
        <v>38542</v>
      </c>
      <c r="R434" s="18" t="n">
        <v>42523</v>
      </c>
      <c r="S434" s="20" t="n">
        <v>52071</v>
      </c>
      <c r="T434" s="6" t="n">
        <v>4</v>
      </c>
      <c r="U434" s="5" t="inlineStr">
        <is>
          <t>LINAC System | 배터리용 X-ray System | 반도체용 X-ray System</t>
        </is>
      </c>
      <c r="V434" s="21">
        <f>HYPERLINK("https://dart.fss.or.kr/dsaf001/main.do?rcpNo=20260814002581", "공시열람")</f>
        <v/>
      </c>
    </row>
    <row r="435">
      <c r="A435" s="5" t="inlineStr">
        <is>
          <t>한화엔진</t>
        </is>
      </c>
      <c r="B435" s="6" t="inlineStr">
        <is>
          <t>082740</t>
        </is>
      </c>
      <c r="C435" s="6" t="inlineStr">
        <is>
          <t>2026Q2</t>
        </is>
      </c>
      <c r="D435" s="6" t="inlineStr">
        <is>
          <t>20260814</t>
        </is>
      </c>
      <c r="E435" s="16" t="inlineStr"/>
      <c r="F435" s="16" t="inlineStr"/>
      <c r="G435" s="16" t="n">
        <v>59789</v>
      </c>
      <c r="H435" s="6" t="inlineStr">
        <is>
          <t>억원</t>
        </is>
      </c>
      <c r="I435" s="17" t="n">
        <v>14</v>
      </c>
      <c r="J435" s="18" t="n">
        <v>25854</v>
      </c>
      <c r="K435" s="19" t="n">
        <v>28063</v>
      </c>
      <c r="L435" s="18" t="n">
        <v>32428</v>
      </c>
      <c r="M435" s="19" t="n">
        <v>33842</v>
      </c>
      <c r="N435" s="18" t="n">
        <v>41138</v>
      </c>
      <c r="O435" s="19" t="n">
        <v>40139</v>
      </c>
      <c r="P435" s="18" t="n">
        <v>39881</v>
      </c>
      <c r="Q435" s="19" t="n">
        <v>41427</v>
      </c>
      <c r="R435" s="18" t="n">
        <v>52430</v>
      </c>
      <c r="S435" s="20" t="n">
        <v>59789</v>
      </c>
      <c r="T435" s="6" t="n">
        <v>2</v>
      </c>
      <c r="U435" s="5" t="inlineStr">
        <is>
          <t>선박엔진 등 / - | 디젤발전사업 / -</t>
        </is>
      </c>
      <c r="V435" s="21">
        <f>HYPERLINK("https://dart.fss.or.kr/dsaf001/main.do?rcpNo=20260814002747", "공시열람")</f>
        <v/>
      </c>
    </row>
    <row r="436">
      <c r="A436" s="5" t="inlineStr">
        <is>
          <t>비츠로셀</t>
        </is>
      </c>
      <c r="B436" s="6" t="inlineStr">
        <is>
          <t>082920</t>
        </is>
      </c>
      <c r="C436" s="6" t="inlineStr">
        <is>
          <t>2026Q2</t>
        </is>
      </c>
      <c r="D436" s="6" t="inlineStr">
        <is>
          <t>20260812</t>
        </is>
      </c>
      <c r="E436" s="16" t="n">
        <v>20472</v>
      </c>
      <c r="F436" s="16" t="inlineStr"/>
      <c r="G436" s="16" t="n">
        <v>20472</v>
      </c>
      <c r="H436" s="6" t="inlineStr">
        <is>
          <t>백만원</t>
        </is>
      </c>
      <c r="I436" s="17" t="n">
        <v>-15.9</v>
      </c>
      <c r="J436" s="18" t="n">
        <v>125275</v>
      </c>
      <c r="K436" s="19" t="n">
        <v>110193</v>
      </c>
      <c r="L436" s="18" t="n">
        <v>94241</v>
      </c>
      <c r="M436" s="19" t="n">
        <v>71569</v>
      </c>
      <c r="N436" s="18" t="n">
        <v>51888</v>
      </c>
      <c r="O436" s="19" t="n">
        <v>38310</v>
      </c>
      <c r="P436" s="18" t="n">
        <v>24351</v>
      </c>
      <c r="Q436" s="19" t="inlineStr"/>
      <c r="R436" s="18" t="inlineStr"/>
      <c r="S436" s="20" t="n">
        <v>20472</v>
      </c>
      <c r="T436" s="6" t="n">
        <v>1</v>
      </c>
      <c r="U436" s="5" t="inlineStr">
        <is>
          <t>- / 2026-05-23 / 2027-10-29</t>
        </is>
      </c>
      <c r="V436" s="21">
        <f>HYPERLINK("https://dart.fss.or.kr/dsaf001/main.do?rcpNo=20260812000200", "공시열람")</f>
        <v/>
      </c>
    </row>
    <row r="437">
      <c r="A437" s="5" t="inlineStr">
        <is>
          <t>엘오티베큠</t>
        </is>
      </c>
      <c r="B437" s="6" t="inlineStr">
        <is>
          <t>083310</t>
        </is>
      </c>
      <c r="C437" s="6" t="inlineStr">
        <is>
          <t>2026Q2</t>
        </is>
      </c>
      <c r="D437" s="6" t="inlineStr">
        <is>
          <t>20260814</t>
        </is>
      </c>
      <c r="E437" s="16" t="n">
        <v>127404</v>
      </c>
      <c r="F437" s="16" t="n">
        <v>71735</v>
      </c>
      <c r="G437" s="16" t="n">
        <v>55669</v>
      </c>
      <c r="H437" s="6" t="inlineStr">
        <is>
          <t>백만원</t>
        </is>
      </c>
      <c r="I437" s="17" t="n">
        <v>46</v>
      </c>
      <c r="J437" s="18" t="n">
        <v>59845</v>
      </c>
      <c r="K437" s="19" t="n">
        <v>43586</v>
      </c>
      <c r="L437" s="18" t="n">
        <v>46151</v>
      </c>
      <c r="M437" s="19" t="n">
        <v>52175</v>
      </c>
      <c r="N437" s="18" t="n">
        <v>51820</v>
      </c>
      <c r="O437" s="19" t="n">
        <v>41882</v>
      </c>
      <c r="P437" s="18" t="n">
        <v>35941</v>
      </c>
      <c r="Q437" s="19" t="n">
        <v>97060</v>
      </c>
      <c r="R437" s="18" t="n">
        <v>38131</v>
      </c>
      <c r="S437" s="20" t="n">
        <v>55669</v>
      </c>
      <c r="T437" s="6" t="n">
        <v>2</v>
      </c>
      <c r="U437" s="5" t="inlineStr">
        <is>
          <t>진공펌프외 / 국내 / - | 진공펌프외 / 해외 / -</t>
        </is>
      </c>
      <c r="V437" s="21">
        <f>HYPERLINK("https://dart.fss.or.kr/dsaf001/main.do?rcpNo=20260814003425", "공시열람")</f>
        <v/>
      </c>
    </row>
    <row r="438">
      <c r="A438" s="5" t="inlineStr">
        <is>
          <t>GST</t>
        </is>
      </c>
      <c r="B438" s="6" t="inlineStr">
        <is>
          <t>083450</t>
        </is>
      </c>
      <c r="C438" s="6" t="inlineStr">
        <is>
          <t>2026Q2</t>
        </is>
      </c>
      <c r="D438" s="6" t="inlineStr">
        <is>
          <t>20260814</t>
        </is>
      </c>
      <c r="E438" s="16" t="n">
        <v>2708</v>
      </c>
      <c r="F438" s="16" t="n">
        <v>1740</v>
      </c>
      <c r="G438" s="16" t="n">
        <v>968</v>
      </c>
      <c r="H438" s="6" t="inlineStr">
        <is>
          <t>억원</t>
        </is>
      </c>
      <c r="I438" s="17" t="n">
        <v>-16.8</v>
      </c>
      <c r="J438" s="18" t="n">
        <v>578</v>
      </c>
      <c r="K438" s="19" t="n">
        <v>523</v>
      </c>
      <c r="L438" s="18" t="n">
        <v>633</v>
      </c>
      <c r="M438" s="19" t="n">
        <v>491</v>
      </c>
      <c r="N438" s="18" t="n">
        <v>619</v>
      </c>
      <c r="O438" s="19" t="n">
        <v>458</v>
      </c>
      <c r="P438" s="18" t="n">
        <v>750</v>
      </c>
      <c r="Q438" s="19" t="n">
        <v>712</v>
      </c>
      <c r="R438" s="18" t="n">
        <v>1163</v>
      </c>
      <c r="S438" s="20" t="n">
        <v>968</v>
      </c>
      <c r="T438" s="6" t="n">
        <v>2</v>
      </c>
      <c r="U438" s="5" t="inlineStr">
        <is>
          <t>SCRUBBER / - | CHILLER / -</t>
        </is>
      </c>
      <c r="V438" s="21">
        <f>HYPERLINK("https://dart.fss.or.kr/dsaf001/main.do?rcpNo=20260814001221", "공시열람")</f>
        <v/>
      </c>
    </row>
    <row r="439">
      <c r="A439" s="5" t="inlineStr">
        <is>
          <t>에프엔에스테크</t>
        </is>
      </c>
      <c r="B439" s="6" t="inlineStr">
        <is>
          <t>083500</t>
        </is>
      </c>
      <c r="C439" s="6" t="inlineStr">
        <is>
          <t>2026Q2</t>
        </is>
      </c>
      <c r="D439" s="6" t="inlineStr">
        <is>
          <t>20260812</t>
        </is>
      </c>
      <c r="E439" s="16" t="n">
        <v>56914346</v>
      </c>
      <c r="F439" s="16" t="n">
        <v>26989540</v>
      </c>
      <c r="G439" s="16" t="n">
        <v>29924806</v>
      </c>
      <c r="H439" s="6" t="inlineStr">
        <is>
          <t>천원</t>
        </is>
      </c>
      <c r="I439" s="17" t="n">
        <v>76.09999999999999</v>
      </c>
      <c r="J439" s="18" t="n">
        <v>79187146</v>
      </c>
      <c r="K439" s="19" t="n">
        <v>77577443</v>
      </c>
      <c r="L439" s="18" t="n">
        <v>60655237</v>
      </c>
      <c r="M439" s="19" t="n">
        <v>35597627</v>
      </c>
      <c r="N439" s="18" t="n">
        <v>30381465</v>
      </c>
      <c r="O439" s="19" t="n">
        <v>13033663</v>
      </c>
      <c r="P439" s="18" t="n">
        <v>10275562</v>
      </c>
      <c r="Q439" s="19" t="n">
        <v>9211288</v>
      </c>
      <c r="R439" s="18" t="n">
        <v>16991905</v>
      </c>
      <c r="S439" s="20" t="n">
        <v>29924806</v>
      </c>
      <c r="T439" s="6" t="n">
        <v>2</v>
      </c>
      <c r="U439" s="5" t="inlineStr">
        <is>
          <t>부품소재 / - | 장비제조 / -</t>
        </is>
      </c>
      <c r="V439" s="21">
        <f>HYPERLINK("https://dart.fss.or.kr/dsaf001/main.do?rcpNo=20260812000237", "공시열람")</f>
        <v/>
      </c>
    </row>
    <row r="440">
      <c r="A440" s="5" t="inlineStr">
        <is>
          <t>비에이치아이</t>
        </is>
      </c>
      <c r="B440" s="6" t="inlineStr">
        <is>
          <t>083650</t>
        </is>
      </c>
      <c r="C440" s="6" t="inlineStr">
        <is>
          <t>2026Q2</t>
        </is>
      </c>
      <c r="D440" s="6" t="inlineStr">
        <is>
          <t>20260814</t>
        </is>
      </c>
      <c r="E440" s="16" t="n">
        <v>3812597</v>
      </c>
      <c r="F440" s="16" t="n">
        <v>1355711</v>
      </c>
      <c r="G440" s="16" t="n">
        <v>2456886</v>
      </c>
      <c r="H440" s="6" t="inlineStr">
        <is>
          <t>건,백만원</t>
        </is>
      </c>
      <c r="I440" s="17" t="n">
        <v>2.4</v>
      </c>
      <c r="J440" s="18" t="n">
        <v>920291</v>
      </c>
      <c r="K440" s="19" t="n">
        <v>830917</v>
      </c>
      <c r="L440" s="18" t="n">
        <v>1104404</v>
      </c>
      <c r="M440" s="19" t="n">
        <v>1396167</v>
      </c>
      <c r="N440" s="18" t="n">
        <v>1862298</v>
      </c>
      <c r="O440" s="19" t="n">
        <v>2333694</v>
      </c>
      <c r="P440" s="18" t="n">
        <v>2200920</v>
      </c>
      <c r="Q440" s="19" t="n">
        <v>2387516</v>
      </c>
      <c r="R440" s="18" t="n">
        <v>2400044</v>
      </c>
      <c r="S440" s="20" t="n">
        <v>2456886</v>
      </c>
      <c r="T440" s="6" t="n">
        <v>2</v>
      </c>
      <c r="U440" s="5" t="inlineStr">
        <is>
          <t>해외 | 국내</t>
        </is>
      </c>
      <c r="V440" s="21">
        <f>HYPERLINK("https://dart.fss.or.kr/dsaf001/main.do?rcpNo=20260814000764", "공시열람")</f>
        <v/>
      </c>
    </row>
    <row r="441">
      <c r="A441" s="5" t="inlineStr">
        <is>
          <t>CSA 코스믹</t>
        </is>
      </c>
      <c r="B441" s="6" t="inlineStr">
        <is>
          <t>083660</t>
        </is>
      </c>
      <c r="C441" s="6" t="inlineStr">
        <is>
          <t>2025Q2</t>
        </is>
      </c>
      <c r="D441" s="6" t="inlineStr">
        <is>
          <t>20250814</t>
        </is>
      </c>
      <c r="E441" s="16" t="n">
        <v>3189267932</v>
      </c>
      <c r="F441" s="16" t="n">
        <v>910149928</v>
      </c>
      <c r="G441" s="16" t="n">
        <v>2279118004</v>
      </c>
      <c r="H441" s="6" t="inlineStr">
        <is>
          <t>원,m2</t>
        </is>
      </c>
      <c r="I441" s="17" t="n">
        <v>16.1</v>
      </c>
      <c r="J441" s="18" t="n">
        <v>2821590463</v>
      </c>
      <c r="K441" s="19" t="n">
        <v>2930994180</v>
      </c>
      <c r="L441" s="18" t="n">
        <v>2207933660</v>
      </c>
      <c r="M441" s="19" t="n">
        <v>1790443255</v>
      </c>
      <c r="N441" s="18" t="n">
        <v>1962451875</v>
      </c>
      <c r="O441" s="19" t="n">
        <v>2279118004</v>
      </c>
      <c r="P441" s="18" t="inlineStr"/>
      <c r="Q441" s="19" t="inlineStr"/>
      <c r="R441" s="18" t="inlineStr"/>
      <c r="S441" s="20" t="inlineStr"/>
      <c r="T441" s="6" t="n">
        <v>22</v>
      </c>
      <c r="U441" s="5" t="inlineStr">
        <is>
          <t>상하 / 25-04-01 / 26-03-15 | 물 / 25-03-18 / 26-10-31 | 물 / 25-02-05 / 날짜없음</t>
        </is>
      </c>
      <c r="V441" s="21">
        <f>HYPERLINK("https://dart.fss.or.kr/dsaf001/main.do?rcpNo=20250814004385", "공시열람")</f>
        <v/>
      </c>
    </row>
    <row r="442">
      <c r="A442" s="5" t="inlineStr">
        <is>
          <t>CG인바이츠</t>
        </is>
      </c>
      <c r="B442" s="6" t="inlineStr">
        <is>
          <t>083790</t>
        </is>
      </c>
      <c r="C442" s="6" t="inlineStr">
        <is>
          <t>2026Q2</t>
        </is>
      </c>
      <c r="D442" s="6" t="inlineStr">
        <is>
          <t>20260814</t>
        </is>
      </c>
      <c r="E442" s="16" t="n">
        <v>9417</v>
      </c>
      <c r="F442" s="16" t="inlineStr"/>
      <c r="G442" s="16" t="n">
        <v>3807</v>
      </c>
      <c r="H442" s="6" t="inlineStr">
        <is>
          <t>백만원</t>
        </is>
      </c>
      <c r="I442" s="17" t="n">
        <v>-4</v>
      </c>
      <c r="J442" s="18" t="inlineStr"/>
      <c r="K442" s="19" t="inlineStr"/>
      <c r="L442" s="18" t="inlineStr"/>
      <c r="M442" s="19" t="n">
        <v>2992670</v>
      </c>
      <c r="N442" s="18" t="n">
        <v>2992670</v>
      </c>
      <c r="O442" s="19" t="n">
        <v>1097</v>
      </c>
      <c r="P442" s="18" t="n">
        <v>9608</v>
      </c>
      <c r="Q442" s="19" t="n">
        <v>10687</v>
      </c>
      <c r="R442" s="18" t="n">
        <v>3964</v>
      </c>
      <c r="S442" s="20" t="n">
        <v>3807</v>
      </c>
      <c r="T442" s="6" t="n">
        <v>2</v>
      </c>
      <c r="U442" s="5" t="inlineStr">
        <is>
          <t>유전체/의약품개발 / K-DNA 프로젝트(*1) / 2 | AI헬스케어솔루션 / -</t>
        </is>
      </c>
      <c r="V442" s="21">
        <f>HYPERLINK("https://dart.fss.or.kr/dsaf001/main.do?rcpNo=20260814001319", "공시열람")</f>
        <v/>
      </c>
    </row>
    <row r="443">
      <c r="A443" s="5" t="inlineStr">
        <is>
          <t>아바코</t>
        </is>
      </c>
      <c r="B443" s="6" t="inlineStr">
        <is>
          <t>083930</t>
        </is>
      </c>
      <c r="C443" s="6" t="inlineStr">
        <is>
          <t>2026Q2</t>
        </is>
      </c>
      <c r="D443" s="6" t="inlineStr">
        <is>
          <t>20260814</t>
        </is>
      </c>
      <c r="E443" s="16" t="n">
        <v>619723</v>
      </c>
      <c r="F443" s="16" t="n">
        <v>24762</v>
      </c>
      <c r="G443" s="16" t="n">
        <v>594961</v>
      </c>
      <c r="H443" s="6" t="inlineStr">
        <is>
          <t>백만원</t>
        </is>
      </c>
      <c r="I443" s="17" t="n">
        <v>17.9</v>
      </c>
      <c r="J443" s="18" t="n">
        <v>337802</v>
      </c>
      <c r="K443" s="19" t="n">
        <v>588669</v>
      </c>
      <c r="L443" s="18" t="n">
        <v>480974</v>
      </c>
      <c r="M443" s="19" t="n">
        <v>452394</v>
      </c>
      <c r="N443" s="18" t="n">
        <v>454097</v>
      </c>
      <c r="O443" s="19" t="n">
        <v>288892</v>
      </c>
      <c r="P443" s="18" t="n">
        <v>264769</v>
      </c>
      <c r="Q443" s="19" t="n">
        <v>154055</v>
      </c>
      <c r="R443" s="18" t="n">
        <v>504638</v>
      </c>
      <c r="S443" s="20" t="n">
        <v>594961</v>
      </c>
      <c r="T443" s="6" t="n">
        <v>2</v>
      </c>
      <c r="U443" s="5" t="inlineStr">
        <is>
          <t>디스플레이 등 제조장비 / - | 이차전지용 제조장비 / -</t>
        </is>
      </c>
      <c r="V443" s="21">
        <f>HYPERLINK("https://dart.fss.or.kr/dsaf001/main.do?rcpNo=20260814002389", "공시열람")</f>
        <v/>
      </c>
    </row>
    <row r="444">
      <c r="A444" s="5" t="inlineStr">
        <is>
          <t>대한제강</t>
        </is>
      </c>
      <c r="B444" s="6" t="inlineStr">
        <is>
          <t>084010</t>
        </is>
      </c>
      <c r="C444" s="6" t="inlineStr">
        <is>
          <t>2025Q2</t>
        </is>
      </c>
      <c r="D444" s="6" t="inlineStr">
        <is>
          <t>20250820</t>
        </is>
      </c>
      <c r="E444" s="16" t="n">
        <v>412678</v>
      </c>
      <c r="F444" s="16" t="n">
        <v>358986</v>
      </c>
      <c r="G444" s="16" t="n">
        <v>53692</v>
      </c>
      <c r="H444" s="6" t="inlineStr">
        <is>
          <t>톤,백만원</t>
        </is>
      </c>
      <c r="I444" s="17" t="n">
        <v>-59.4</v>
      </c>
      <c r="J444" s="18" t="n">
        <v>46501235540</v>
      </c>
      <c r="K444" s="19" t="n">
        <v>360124431160</v>
      </c>
      <c r="L444" s="18" t="n">
        <v>271770013080</v>
      </c>
      <c r="M444" s="19" t="n">
        <v>150180</v>
      </c>
      <c r="N444" s="18" t="n">
        <v>132130</v>
      </c>
      <c r="O444" s="19" t="n">
        <v>53692</v>
      </c>
      <c r="P444" s="18" t="inlineStr"/>
      <c r="Q444" s="19" t="inlineStr"/>
      <c r="R444" s="18" t="inlineStr"/>
      <c r="S444" s="20" t="inlineStr"/>
      <c r="T444" s="6" t="n">
        <v>1</v>
      </c>
      <c r="U444" s="5" t="inlineStr">
        <is>
          <t>이형철근 / 조달청 / 2025.09.30</t>
        </is>
      </c>
      <c r="V444" s="21">
        <f>HYPERLINK("https://dart.fss.or.kr/dsaf001/main.do?rcpNo=20250820000108", "공시열람")</f>
        <v/>
      </c>
    </row>
    <row r="445">
      <c r="A445" s="5" t="inlineStr">
        <is>
          <t>수성웹툰</t>
        </is>
      </c>
      <c r="B445" s="6" t="inlineStr">
        <is>
          <t>084180</t>
        </is>
      </c>
      <c r="C445" s="6" t="inlineStr">
        <is>
          <t>2025Q3</t>
        </is>
      </c>
      <c r="D445" s="6" t="inlineStr">
        <is>
          <t>20251114</t>
        </is>
      </c>
      <c r="E445" s="16" t="inlineStr"/>
      <c r="F445" s="16" t="inlineStr"/>
      <c r="G445" s="16" t="n">
        <v>3244969</v>
      </c>
      <c r="H445" s="6" t="inlineStr">
        <is>
          <t>천원</t>
        </is>
      </c>
      <c r="I445" s="17" t="n">
        <v>-59.1</v>
      </c>
      <c r="J445" s="18" t="inlineStr"/>
      <c r="K445" s="19" t="inlineStr"/>
      <c r="L445" s="18" t="inlineStr"/>
      <c r="M445" s="19" t="n">
        <v>9670207</v>
      </c>
      <c r="N445" s="18" t="n">
        <v>10527686</v>
      </c>
      <c r="O445" s="19" t="n">
        <v>7927720</v>
      </c>
      <c r="P445" s="18" t="n">
        <v>3244969</v>
      </c>
      <c r="Q445" s="19" t="inlineStr"/>
      <c r="R445" s="18" t="inlineStr"/>
      <c r="S445" s="20" t="inlineStr"/>
      <c r="T445" s="6" t="n">
        <v>6</v>
      </c>
      <c r="U445" s="5" t="inlineStr">
        <is>
          <t>PMT / PCB | Soulbrain / IP | TSE / IP</t>
        </is>
      </c>
      <c r="V445" s="21">
        <f>HYPERLINK("https://dart.fss.or.kr/dsaf001/main.do?rcpNo=20251114000646", "공시열람")</f>
        <v/>
      </c>
    </row>
    <row r="446">
      <c r="A446" s="5" t="inlineStr">
        <is>
          <t>유진테크</t>
        </is>
      </c>
      <c r="B446" s="6" t="inlineStr">
        <is>
          <t>084370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153311617</v>
      </c>
      <c r="H446" s="6" t="inlineStr">
        <is>
          <t>천원</t>
        </is>
      </c>
      <c r="I446" s="17" t="n">
        <v>21.1</v>
      </c>
      <c r="J446" s="18" t="n">
        <v>73007174</v>
      </c>
      <c r="K446" s="19" t="n">
        <v>73007174</v>
      </c>
      <c r="L446" s="18" t="n">
        <v>89751712</v>
      </c>
      <c r="M446" s="19" t="n">
        <v>84406992</v>
      </c>
      <c r="N446" s="18" t="n">
        <v>85328557</v>
      </c>
      <c r="O446" s="19" t="n">
        <v>84406992</v>
      </c>
      <c r="P446" s="18" t="n">
        <v>84406992</v>
      </c>
      <c r="Q446" s="19" t="n">
        <v>95645534</v>
      </c>
      <c r="R446" s="18" t="n">
        <v>126637633</v>
      </c>
      <c r="S446" s="20" t="n">
        <v>153311617</v>
      </c>
      <c r="T446" s="6" t="n">
        <v>1</v>
      </c>
      <c r="U446" s="5" t="inlineStr">
        <is>
          <t>반도체 전공정장비</t>
        </is>
      </c>
      <c r="V446" s="21">
        <f>HYPERLINK("https://dart.fss.or.kr/dsaf001/main.do?rcpNo=20260814003622", "공시열람")</f>
        <v/>
      </c>
    </row>
    <row r="447">
      <c r="A447" s="5" t="inlineStr">
        <is>
          <t>유비온</t>
        </is>
      </c>
      <c r="B447" s="6" t="inlineStr">
        <is>
          <t>084440</t>
        </is>
      </c>
      <c r="C447" s="6" t="inlineStr">
        <is>
          <t>2026Q2</t>
        </is>
      </c>
      <c r="D447" s="6" t="inlineStr">
        <is>
          <t>20260814</t>
        </is>
      </c>
      <c r="E447" s="16" t="n">
        <v>57219</v>
      </c>
      <c r="F447" s="16" t="n">
        <v>40456</v>
      </c>
      <c r="G447" s="16" t="n">
        <v>16763</v>
      </c>
      <c r="H447" s="6" t="inlineStr">
        <is>
          <t>백만원,EA</t>
        </is>
      </c>
      <c r="I447" s="17" t="n">
        <v>11.9</v>
      </c>
      <c r="J447" s="18" t="n">
        <v>14684</v>
      </c>
      <c r="K447" s="19" t="n">
        <v>12448</v>
      </c>
      <c r="L447" s="18" t="n">
        <v>14279</v>
      </c>
      <c r="M447" s="19" t="n">
        <v>15830</v>
      </c>
      <c r="N447" s="18" t="n">
        <v>12711</v>
      </c>
      <c r="O447" s="19" t="n">
        <v>11561</v>
      </c>
      <c r="P447" s="18" t="n">
        <v>19351</v>
      </c>
      <c r="Q447" s="19" t="n">
        <v>17610</v>
      </c>
      <c r="R447" s="18" t="n">
        <v>14980</v>
      </c>
      <c r="S447" s="20" t="n">
        <v>16763</v>
      </c>
      <c r="T447" s="6" t="n">
        <v>8</v>
      </c>
      <c r="U447" s="5" t="inlineStr">
        <is>
          <t>기타 / 2020-12-26 / 2029-09-17 | B국가 ICT 교육훈련센터 건립사업 / 2021-08- | S전자_고도화 개발 / 2026-06-10 / 2026</t>
        </is>
      </c>
      <c r="V447" s="21">
        <f>HYPERLINK("https://dart.fss.or.kr/dsaf001/main.do?rcpNo=20260814002446", "공시열람")</f>
        <v/>
      </c>
    </row>
    <row r="448">
      <c r="A448" s="5" t="inlineStr">
        <is>
          <t>대상홀딩스</t>
        </is>
      </c>
      <c r="B448" s="6" t="inlineStr">
        <is>
          <t>084690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940671</v>
      </c>
      <c r="H448" s="6" t="inlineStr">
        <is>
          <t>백만원</t>
        </is>
      </c>
      <c r="I448" s="17" t="n">
        <v>8.300000000000001</v>
      </c>
      <c r="J448" s="18" t="n">
        <v>499762</v>
      </c>
      <c r="K448" s="19" t="n">
        <v>576924</v>
      </c>
      <c r="L448" s="18" t="n">
        <v>618208</v>
      </c>
      <c r="M448" s="19" t="n">
        <v>625607</v>
      </c>
      <c r="N448" s="18" t="n">
        <v>643654</v>
      </c>
      <c r="O448" s="19" t="n">
        <v>748301</v>
      </c>
      <c r="P448" s="18" t="n">
        <v>741853</v>
      </c>
      <c r="Q448" s="19" t="n">
        <v>800265</v>
      </c>
      <c r="R448" s="18" t="n">
        <v>868679</v>
      </c>
      <c r="S448" s="20" t="n">
        <v>940671</v>
      </c>
      <c r="T448" s="6" t="n">
        <v>58</v>
      </c>
      <c r="U448" s="5" t="inlineStr">
        <is>
          <t>건축 / 건축공사 계 | 토목 / 토목공사 계 | 건축 / 신영부동산신탁 / 김해신문동공동주택</t>
        </is>
      </c>
      <c r="V448" s="21">
        <f>HYPERLINK("https://dart.fss.or.kr/dsaf001/main.do?rcpNo=20260814003602", "공시열람")</f>
        <v/>
      </c>
    </row>
    <row r="449">
      <c r="A449" s="5" t="inlineStr">
        <is>
          <t>팅크웨어</t>
        </is>
      </c>
      <c r="B449" s="6" t="inlineStr">
        <is>
          <t>084730</t>
        </is>
      </c>
      <c r="C449" s="6" t="inlineStr">
        <is>
          <t>2026Q2</t>
        </is>
      </c>
      <c r="D449" s="6" t="inlineStr">
        <is>
          <t>20260814</t>
        </is>
      </c>
      <c r="E449" s="16" t="n">
        <v>43563653134</v>
      </c>
      <c r="F449" s="16" t="n">
        <v>28987344161</v>
      </c>
      <c r="G449" s="16" t="n">
        <v>14576308973</v>
      </c>
      <c r="H449" s="6" t="inlineStr">
        <is>
          <t>원</t>
        </is>
      </c>
      <c r="I449" s="17" t="n">
        <v>-56.5</v>
      </c>
      <c r="J449" s="18" t="inlineStr"/>
      <c r="K449" s="19" t="inlineStr"/>
      <c r="L449" s="18" t="inlineStr"/>
      <c r="M449" s="19" t="inlineStr"/>
      <c r="N449" s="18" t="n">
        <v>33247778619</v>
      </c>
      <c r="O449" s="19" t="n">
        <v>20677341135</v>
      </c>
      <c r="P449" s="18" t="n">
        <v>8353522175</v>
      </c>
      <c r="Q449" s="19" t="n">
        <v>0</v>
      </c>
      <c r="R449" s="18" t="n">
        <v>33497015642</v>
      </c>
      <c r="S449" s="20" t="n">
        <v>14576308973</v>
      </c>
      <c r="T449" s="6" t="n">
        <v>1</v>
      </c>
      <c r="U449" s="5" t="inlineStr">
        <is>
          <t>BMW 글로벌향 블랙박스ACE 3.0 및 3.1 / 2</t>
        </is>
      </c>
      <c r="V449" s="21">
        <f>HYPERLINK("https://dart.fss.or.kr/dsaf001/main.do?rcpNo=20260814003520", "공시열람")</f>
        <v/>
      </c>
    </row>
    <row r="450">
      <c r="A450" s="5" t="inlineStr">
        <is>
          <t>엔케이</t>
        </is>
      </c>
      <c r="B450" s="6" t="inlineStr">
        <is>
          <t>085310</t>
        </is>
      </c>
      <c r="C450" s="6" t="inlineStr">
        <is>
          <t>2026Q2</t>
        </is>
      </c>
      <c r="D450" s="6" t="inlineStr">
        <is>
          <t>20260814</t>
        </is>
      </c>
      <c r="E450" s="16" t="inlineStr"/>
      <c r="F450" s="16" t="inlineStr"/>
      <c r="G450" s="16" t="n">
        <v>95290046</v>
      </c>
      <c r="H450" s="6" t="inlineStr">
        <is>
          <t>천원</t>
        </is>
      </c>
      <c r="I450" s="17" t="n">
        <v>1.8</v>
      </c>
      <c r="J450" s="18" t="n">
        <v>152378049</v>
      </c>
      <c r="K450" s="19" t="n">
        <v>178536700</v>
      </c>
      <c r="L450" s="18" t="n">
        <v>183803612</v>
      </c>
      <c r="M450" s="19" t="n">
        <v>173469512</v>
      </c>
      <c r="N450" s="18" t="n">
        <v>174531027</v>
      </c>
      <c r="O450" s="19" t="n">
        <v>43568954</v>
      </c>
      <c r="P450" s="18" t="n">
        <v>86198925</v>
      </c>
      <c r="Q450" s="19" t="n">
        <v>81897371</v>
      </c>
      <c r="R450" s="18" t="n">
        <v>93569814</v>
      </c>
      <c r="S450" s="20" t="n">
        <v>95290046</v>
      </c>
      <c r="T450" s="6" t="n">
        <v>4</v>
      </c>
      <c r="U450" s="5" t="inlineStr">
        <is>
          <t>소화장치부문 기타 / ~2026.12.31 / - | 기타 / ~2026.12.31 / - | LOOSE FIRE FIGHTING SYSTEM / ~</t>
        </is>
      </c>
      <c r="V450" s="21">
        <f>HYPERLINK("https://dart.fss.or.kr/dsaf001/main.do?rcpNo=20260814003329", "공시열람")</f>
        <v/>
      </c>
    </row>
    <row r="451">
      <c r="A451" s="5" t="inlineStr">
        <is>
          <t>바이오톡스텍</t>
        </is>
      </c>
      <c r="B451" s="6" t="inlineStr">
        <is>
          <t>086040</t>
        </is>
      </c>
      <c r="C451" s="6" t="inlineStr">
        <is>
          <t>2026Q2</t>
        </is>
      </c>
      <c r="D451" s="6" t="inlineStr">
        <is>
          <t>20260814</t>
        </is>
      </c>
      <c r="E451" s="16" t="n">
        <v>86984</v>
      </c>
      <c r="F451" s="16" t="n">
        <v>26329</v>
      </c>
      <c r="G451" s="16" t="n">
        <v>60655</v>
      </c>
      <c r="H451" s="6" t="inlineStr">
        <is>
          <t>백만원</t>
        </is>
      </c>
      <c r="I451" s="17" t="n">
        <v>-5.7</v>
      </c>
      <c r="J451" s="18" t="n">
        <v>32725</v>
      </c>
      <c r="K451" s="19" t="n">
        <v>30989</v>
      </c>
      <c r="L451" s="18" t="n">
        <v>33489</v>
      </c>
      <c r="M451" s="19" t="n">
        <v>39321</v>
      </c>
      <c r="N451" s="18" t="n">
        <v>36922</v>
      </c>
      <c r="O451" s="19" t="n">
        <v>43226</v>
      </c>
      <c r="P451" s="18" t="n">
        <v>44766</v>
      </c>
      <c r="Q451" s="19" t="n">
        <v>51972</v>
      </c>
      <c r="R451" s="18" t="n">
        <v>64336</v>
      </c>
      <c r="S451" s="20" t="n">
        <v>60655</v>
      </c>
      <c r="T451" s="6" t="n">
        <v>1</v>
      </c>
      <c r="U451" s="5" t="inlineStr">
        <is>
          <t>비임상 CRO / 비임상시험</t>
        </is>
      </c>
      <c r="V451" s="21">
        <f>HYPERLINK("https://dart.fss.or.kr/dsaf001/main.do?rcpNo=20260814003645", "공시열람")</f>
        <v/>
      </c>
    </row>
    <row r="452">
      <c r="A452" s="5" t="inlineStr">
        <is>
          <t>유니테스트</t>
        </is>
      </c>
      <c r="B452" s="6" t="inlineStr">
        <is>
          <t>086390</t>
        </is>
      </c>
      <c r="C452" s="6" t="inlineStr">
        <is>
          <t>2026Q2</t>
        </is>
      </c>
      <c r="D452" s="6" t="inlineStr">
        <is>
          <t>20260814</t>
        </is>
      </c>
      <c r="E452" s="16" t="n">
        <v>216030</v>
      </c>
      <c r="F452" s="16" t="n">
        <v>95063</v>
      </c>
      <c r="G452" s="16" t="n">
        <v>120967</v>
      </c>
      <c r="H452" s="6" t="inlineStr">
        <is>
          <t>백만원</t>
        </is>
      </c>
      <c r="I452" s="17" t="n">
        <v>350.2</v>
      </c>
      <c r="J452" s="18" t="n">
        <v>6705</v>
      </c>
      <c r="K452" s="19" t="n">
        <v>0</v>
      </c>
      <c r="L452" s="18" t="n">
        <v>0</v>
      </c>
      <c r="M452" s="19" t="n">
        <v>0</v>
      </c>
      <c r="N452" s="18" t="n">
        <v>0</v>
      </c>
      <c r="O452" s="19" t="n">
        <v>0</v>
      </c>
      <c r="P452" s="18" t="n">
        <v>26867</v>
      </c>
      <c r="Q452" s="19" t="n">
        <v>26867</v>
      </c>
      <c r="R452" s="18" t="n">
        <v>26867</v>
      </c>
      <c r="S452" s="20" t="n">
        <v>120967</v>
      </c>
      <c r="T452" s="6" t="n">
        <v>9</v>
      </c>
      <c r="U452" s="5" t="inlineStr">
        <is>
          <t>태양광발전소 건설공사 / 2026-06-11 / 202 | 태양광발전소 건설공사 / 2025-07-25 / 202 | 반도체 검사장비 / 2026-07-23 / 2026-1</t>
        </is>
      </c>
      <c r="V452" s="21">
        <f>HYPERLINK("https://dart.fss.or.kr/dsaf001/main.do?rcpNo=20260814000772", "공시열람")</f>
        <v/>
      </c>
    </row>
    <row r="453">
      <c r="A453" s="5" t="inlineStr">
        <is>
          <t>에코프로</t>
        </is>
      </c>
      <c r="B453" s="6" t="inlineStr">
        <is>
          <t>086520</t>
        </is>
      </c>
      <c r="C453" s="6" t="inlineStr">
        <is>
          <t>2026Q2</t>
        </is>
      </c>
      <c r="D453" s="6" t="inlineStr">
        <is>
          <t>20260917</t>
        </is>
      </c>
      <c r="E453" s="16" t="n">
        <v>162441</v>
      </c>
      <c r="F453" s="16" t="n">
        <v>79412</v>
      </c>
      <c r="G453" s="16" t="n">
        <v>83030</v>
      </c>
      <c r="H453" s="6" t="inlineStr">
        <is>
          <t>백만원</t>
        </is>
      </c>
      <c r="I453" s="17" t="n">
        <v>-7.5</v>
      </c>
      <c r="J453" s="18" t="n">
        <v>129684</v>
      </c>
      <c r="K453" s="19" t="n">
        <v>105484</v>
      </c>
      <c r="L453" s="18" t="n">
        <v>89347</v>
      </c>
      <c r="M453" s="19" t="n">
        <v>77099</v>
      </c>
      <c r="N453" s="18" t="n">
        <v>72058</v>
      </c>
      <c r="O453" s="19" t="n">
        <v>78334</v>
      </c>
      <c r="P453" s="18" t="n">
        <v>82744</v>
      </c>
      <c r="Q453" s="19" t="n">
        <v>64269</v>
      </c>
      <c r="R453" s="18" t="n">
        <v>89753</v>
      </c>
      <c r="S453" s="20" t="n">
        <v>83030</v>
      </c>
      <c r="T453" s="6" t="n">
        <v>5</v>
      </c>
      <c r="U453" s="5" t="inlineStr">
        <is>
          <t>온실가스 감축솔루션 / ~2026.06.30. / - | 미세먼지 저감솔루션 / ~2026.06.30. / - | 클린룸케미컬 필터 / ~2026.06.30. / -</t>
        </is>
      </c>
      <c r="V453" s="21">
        <f>HYPERLINK("https://dart.fss.or.kr/dsaf001/main.do?rcpNo=20260917000296", "공시열람")</f>
        <v/>
      </c>
    </row>
    <row r="454">
      <c r="A454" s="5" t="inlineStr">
        <is>
          <t>이수앱지스</t>
        </is>
      </c>
      <c r="B454" s="6" t="inlineStr">
        <is>
          <t>086890</t>
        </is>
      </c>
      <c r="C454" s="6" t="inlineStr">
        <is>
          <t>2026Q2</t>
        </is>
      </c>
      <c r="D454" s="6" t="inlineStr">
        <is>
          <t>20260814</t>
        </is>
      </c>
      <c r="E454" s="16" t="n">
        <v>12125</v>
      </c>
      <c r="F454" s="16" t="n">
        <v>275</v>
      </c>
      <c r="G454" s="16" t="n">
        <v>11850</v>
      </c>
      <c r="H454" s="6" t="inlineStr">
        <is>
          <t>백만원</t>
        </is>
      </c>
      <c r="I454" s="17" t="n">
        <v>0</v>
      </c>
      <c r="J454" s="18" t="n">
        <v>22377</v>
      </c>
      <c r="K454" s="19" t="n">
        <v>22377</v>
      </c>
      <c r="L454" s="18" t="n">
        <v>32885</v>
      </c>
      <c r="M454" s="19" t="n">
        <v>11850</v>
      </c>
      <c r="N454" s="18" t="n">
        <v>11850</v>
      </c>
      <c r="O454" s="19" t="n">
        <v>11850</v>
      </c>
      <c r="P454" s="18" t="n">
        <v>11850</v>
      </c>
      <c r="Q454" s="19" t="n">
        <v>11850</v>
      </c>
      <c r="R454" s="18" t="n">
        <v>11850</v>
      </c>
      <c r="S454" s="20" t="n">
        <v>11850</v>
      </c>
      <c r="T454" s="6" t="n">
        <v>3</v>
      </c>
      <c r="U454" s="5" t="inlineStr">
        <is>
          <t>애브서틴 / 2022.06.30 / 2023.09.30 | 파바갈 / 2022.06.30 / 2023.09.30 | 클로티냅 / 2010.06.24 / 2027.06.23</t>
        </is>
      </c>
      <c r="V454" s="21">
        <f>HYPERLINK("https://dart.fss.or.kr/dsaf001/main.do?rcpNo=20260814003946", "공시열람")</f>
        <v/>
      </c>
    </row>
    <row r="455">
      <c r="A455" s="5" t="inlineStr">
        <is>
          <t>MDS테크</t>
        </is>
      </c>
      <c r="B455" s="6" t="inlineStr">
        <is>
          <t>086960</t>
        </is>
      </c>
      <c r="C455" s="6" t="inlineStr">
        <is>
          <t>2026Q2</t>
        </is>
      </c>
      <c r="D455" s="6" t="inlineStr">
        <is>
          <t>20260930</t>
        </is>
      </c>
      <c r="E455" s="16" t="n">
        <v>32096</v>
      </c>
      <c r="F455" s="16" t="n">
        <v>24661</v>
      </c>
      <c r="G455" s="16" t="n">
        <v>7435</v>
      </c>
      <c r="H455" s="6" t="inlineStr">
        <is>
          <t>백만원</t>
        </is>
      </c>
      <c r="I455" s="17" t="n">
        <v>-18</v>
      </c>
      <c r="J455" s="18" t="n">
        <v>17136</v>
      </c>
      <c r="K455" s="19" t="n">
        <v>16653</v>
      </c>
      <c r="L455" s="18" t="n">
        <v>18786</v>
      </c>
      <c r="M455" s="19" t="n">
        <v>16894</v>
      </c>
      <c r="N455" s="18" t="n">
        <v>16172</v>
      </c>
      <c r="O455" s="19" t="n">
        <v>15443</v>
      </c>
      <c r="P455" s="18" t="n">
        <v>14704</v>
      </c>
      <c r="Q455" s="19" t="n">
        <v>9482</v>
      </c>
      <c r="R455" s="18" t="n">
        <v>9063</v>
      </c>
      <c r="S455" s="20" t="n">
        <v>7435</v>
      </c>
      <c r="T455" s="6" t="n">
        <v>2</v>
      </c>
      <c r="U455" s="5" t="inlineStr">
        <is>
          <t>모잠비크 공공안전관리정보시스템(PSMIS) / 2023 | 모잠비크 공공안전관리정보시스템(CCTV) / 2024-</t>
        </is>
      </c>
      <c r="V455" s="21">
        <f>HYPERLINK("https://dart.fss.or.kr/dsaf001/main.do?rcpNo=20260930000513", "공시열람")</f>
        <v/>
      </c>
    </row>
    <row r="456">
      <c r="A456" s="5" t="inlineStr">
        <is>
          <t>모바일어플라이언스</t>
        </is>
      </c>
      <c r="B456" s="6" t="inlineStr">
        <is>
          <t>087260</t>
        </is>
      </c>
      <c r="C456" s="6" t="inlineStr">
        <is>
          <t>2026Q2</t>
        </is>
      </c>
      <c r="D456" s="6" t="inlineStr">
        <is>
          <t>20260814</t>
        </is>
      </c>
      <c r="E456" s="16" t="n">
        <v>18068</v>
      </c>
      <c r="F456" s="16" t="n">
        <v>18068</v>
      </c>
      <c r="G456" s="16" t="n">
        <v>0</v>
      </c>
      <c r="H456" s="6" t="inlineStr">
        <is>
          <t>백만원</t>
        </is>
      </c>
      <c r="I456" s="17" t="inlineStr"/>
      <c r="J456" s="18" t="n">
        <v>0</v>
      </c>
      <c r="K456" s="19" t="n">
        <v>0</v>
      </c>
      <c r="L456" s="18" t="n">
        <v>0</v>
      </c>
      <c r="M456" s="19" t="n">
        <v>0</v>
      </c>
      <c r="N456" s="18" t="n">
        <v>0</v>
      </c>
      <c r="O456" s="19" t="n">
        <v>0</v>
      </c>
      <c r="P456" s="18" t="n">
        <v>0</v>
      </c>
      <c r="Q456" s="19" t="n">
        <v>0</v>
      </c>
      <c r="R456" s="18" t="n">
        <v>0</v>
      </c>
      <c r="S456" s="20" t="n">
        <v>0</v>
      </c>
      <c r="T456" s="6" t="n">
        <v>2</v>
      </c>
      <c r="U456" s="5" t="inlineStr">
        <is>
          <t>독일 'BMW향 레이다 영상기록 장치' 공급 / 202 | 일본 'Benz향 영상기록장치' 공급 건 / 2021.</t>
        </is>
      </c>
      <c r="V456" s="21">
        <f>HYPERLINK("https://dart.fss.or.kr/dsaf001/main.do?rcpNo=20260814004261", "공시열람")</f>
        <v/>
      </c>
    </row>
    <row r="457">
      <c r="A457" s="5" t="inlineStr">
        <is>
          <t>동아엘텍</t>
        </is>
      </c>
      <c r="B457" s="6" t="inlineStr">
        <is>
          <t>088130</t>
        </is>
      </c>
      <c r="C457" s="6" t="inlineStr">
        <is>
          <t>2026Q2</t>
        </is>
      </c>
      <c r="D457" s="6" t="inlineStr">
        <is>
          <t>20260814</t>
        </is>
      </c>
      <c r="E457" s="16" t="n">
        <v>747949</v>
      </c>
      <c r="F457" s="16" t="n">
        <v>90641</v>
      </c>
      <c r="G457" s="16" t="n">
        <v>657308</v>
      </c>
      <c r="H457" s="6" t="inlineStr">
        <is>
          <t>백만원</t>
        </is>
      </c>
      <c r="I457" s="17" t="n">
        <v>7.4</v>
      </c>
      <c r="J457" s="18" t="n">
        <v>122292</v>
      </c>
      <c r="K457" s="19" t="n">
        <v>80925</v>
      </c>
      <c r="L457" s="18" t="n">
        <v>91460</v>
      </c>
      <c r="M457" s="19" t="n">
        <v>535233</v>
      </c>
      <c r="N457" s="18" t="n">
        <v>548338</v>
      </c>
      <c r="O457" s="19" t="n">
        <v>381527</v>
      </c>
      <c r="P457" s="18" t="n">
        <v>314071</v>
      </c>
      <c r="Q457" s="19" t="n">
        <v>121628</v>
      </c>
      <c r="R457" s="18" t="n">
        <v>612106</v>
      </c>
      <c r="S457" s="20" t="n">
        <v>657308</v>
      </c>
      <c r="T457" s="6" t="n">
        <v>6</v>
      </c>
      <c r="U457" s="5" t="inlineStr">
        <is>
          <t>증착장비 / OLED 제조장비 / 2018-03-122 | 디스플레이검사장비 / Phone / 2017-12-21 | 디스플레이검사장비 / IT / 2018-04-11202</t>
        </is>
      </c>
      <c r="V457" s="21">
        <f>HYPERLINK("https://dart.fss.or.kr/dsaf001/main.do?rcpNo=20260814003846", "공시열람")</f>
        <v/>
      </c>
    </row>
    <row r="458">
      <c r="A458" s="5" t="inlineStr">
        <is>
          <t>유라클</t>
        </is>
      </c>
      <c r="B458" s="6" t="inlineStr">
        <is>
          <t>088340</t>
        </is>
      </c>
      <c r="C458" s="6" t="inlineStr">
        <is>
          <t>2026Q2</t>
        </is>
      </c>
      <c r="D458" s="6" t="inlineStr">
        <is>
          <t>20260814</t>
        </is>
      </c>
      <c r="E458" s="16" t="n">
        <v>41693</v>
      </c>
      <c r="F458" s="16" t="n">
        <v>24382</v>
      </c>
      <c r="G458" s="16" t="n">
        <v>17312</v>
      </c>
      <c r="H458" s="6" t="inlineStr">
        <is>
          <t>백만원</t>
        </is>
      </c>
      <c r="I458" s="17" t="n">
        <v>-30.3</v>
      </c>
      <c r="J458" s="18" t="inlineStr"/>
      <c r="K458" s="19" t="inlineStr"/>
      <c r="L458" s="18" t="n">
        <v>8870</v>
      </c>
      <c r="M458" s="19" t="n">
        <v>10994</v>
      </c>
      <c r="N458" s="18" t="n">
        <v>16810</v>
      </c>
      <c r="O458" s="19" t="n">
        <v>11820</v>
      </c>
      <c r="P458" s="18" t="n">
        <v>9727</v>
      </c>
      <c r="Q458" s="19" t="n">
        <v>17424</v>
      </c>
      <c r="R458" s="18" t="n">
        <v>24822</v>
      </c>
      <c r="S458" s="20" t="n">
        <v>17312</v>
      </c>
      <c r="T458" s="6" t="n">
        <v>2</v>
      </c>
      <c r="U458" s="5" t="inlineStr">
        <is>
          <t>AIㆍ모바일 플랫폼 구축 및 운영/유지보수 등 / - | 모바일 기기 유통 / -</t>
        </is>
      </c>
      <c r="V458" s="21">
        <f>HYPERLINK("https://dart.fss.or.kr/dsaf001/main.do?rcpNo=20260814002651", "공시열람")</f>
        <v/>
      </c>
    </row>
    <row r="459">
      <c r="A459" s="5" t="inlineStr">
        <is>
          <t>이녹스</t>
        </is>
      </c>
      <c r="B459" s="6" t="inlineStr">
        <is>
          <t>088390</t>
        </is>
      </c>
      <c r="C459" s="6" t="inlineStr">
        <is>
          <t>2026Q2</t>
        </is>
      </c>
      <c r="D459" s="6" t="inlineStr">
        <is>
          <t>20260814</t>
        </is>
      </c>
      <c r="E459" s="16" t="n">
        <v>13816</v>
      </c>
      <c r="F459" s="16" t="n">
        <v>12522</v>
      </c>
      <c r="G459" s="16" t="n">
        <v>1295</v>
      </c>
      <c r="H459" s="6" t="inlineStr">
        <is>
          <t>대,백만원</t>
        </is>
      </c>
      <c r="I459" s="17" t="n">
        <v>-89.59999999999999</v>
      </c>
      <c r="J459" s="18" t="n">
        <v>3931</v>
      </c>
      <c r="K459" s="19" t="n">
        <v>1298</v>
      </c>
      <c r="L459" s="18" t="n">
        <v>563</v>
      </c>
      <c r="M459" s="19" t="n">
        <v>7303</v>
      </c>
      <c r="N459" s="18" t="n">
        <v>8883</v>
      </c>
      <c r="O459" s="19" t="n">
        <v>1846</v>
      </c>
      <c r="P459" s="18" t="n">
        <v>1735</v>
      </c>
      <c r="Q459" s="19" t="n">
        <v>11930</v>
      </c>
      <c r="R459" s="18" t="n">
        <v>12398</v>
      </c>
      <c r="S459" s="20" t="n">
        <v>1295</v>
      </c>
      <c r="T459" s="6" t="n">
        <v>2</v>
      </c>
      <c r="U459" s="5" t="inlineStr">
        <is>
          <t>보수용 부품 등 / 2026.01.30 / 2026.0 | 전기 자전거 등 / 2026.01.09 / 2026.0</t>
        </is>
      </c>
      <c r="V459" s="21">
        <f>HYPERLINK("https://dart.fss.or.kr/dsaf001/main.do?rcpNo=20260814003436", "공시열람")</f>
        <v/>
      </c>
    </row>
    <row r="460">
      <c r="A460" s="5" t="inlineStr">
        <is>
          <t>테크윙</t>
        </is>
      </c>
      <c r="B460" s="6" t="inlineStr">
        <is>
          <t>089030</t>
        </is>
      </c>
      <c r="C460" s="6" t="inlineStr">
        <is>
          <t>2026Q2</t>
        </is>
      </c>
      <c r="D460" s="6" t="inlineStr">
        <is>
          <t>20260814</t>
        </is>
      </c>
      <c r="E460" s="16" t="inlineStr"/>
      <c r="F460" s="16" t="inlineStr"/>
      <c r="G460" s="16" t="n">
        <v>60268</v>
      </c>
      <c r="H460" s="6" t="inlineStr">
        <is>
          <t>백만원</t>
        </is>
      </c>
      <c r="I460" s="17" t="n">
        <v>24.1</v>
      </c>
      <c r="J460" s="18" t="n">
        <v>28468</v>
      </c>
      <c r="K460" s="19" t="n">
        <v>28449</v>
      </c>
      <c r="L460" s="18" t="n">
        <v>19902</v>
      </c>
      <c r="M460" s="19" t="n">
        <v>26792</v>
      </c>
      <c r="N460" s="18" t="n">
        <v>19417</v>
      </c>
      <c r="O460" s="19" t="n">
        <v>10572</v>
      </c>
      <c r="P460" s="18" t="n">
        <v>9435</v>
      </c>
      <c r="Q460" s="19" t="n">
        <v>35940</v>
      </c>
      <c r="R460" s="18" t="n">
        <v>48576</v>
      </c>
      <c r="S460" s="20" t="n">
        <v>60268</v>
      </c>
      <c r="T460" s="6" t="n">
        <v>2</v>
      </c>
      <c r="U460" s="5" t="inlineStr">
        <is>
          <t>반도체 장비 / Micron, SK hynix 등 | 디스플레이장비 / 삼성디스플레이 등</t>
        </is>
      </c>
      <c r="V460" s="21">
        <f>HYPERLINK("https://dart.fss.or.kr/dsaf001/main.do?rcpNo=20260814001211", "공시열람")</f>
        <v/>
      </c>
    </row>
    <row r="461">
      <c r="A461" s="5" t="inlineStr">
        <is>
          <t>케이씨티</t>
        </is>
      </c>
      <c r="B461" s="6" t="inlineStr">
        <is>
          <t>089150</t>
        </is>
      </c>
      <c r="C461" s="6" t="inlineStr">
        <is>
          <t>2026Q2</t>
        </is>
      </c>
      <c r="D461" s="6" t="inlineStr">
        <is>
          <t>20260814</t>
        </is>
      </c>
      <c r="E461" s="16" t="n">
        <v>12917</v>
      </c>
      <c r="F461" s="16" t="n">
        <v>5388</v>
      </c>
      <c r="G461" s="16" t="n">
        <v>7529</v>
      </c>
      <c r="H461" s="6" t="inlineStr">
        <is>
          <t>백만원</t>
        </is>
      </c>
      <c r="I461" s="17" t="n">
        <v>17.9</v>
      </c>
      <c r="J461" s="18" t="n">
        <v>5207</v>
      </c>
      <c r="K461" s="19" t="n">
        <v>6572</v>
      </c>
      <c r="L461" s="18" t="n">
        <v>3577</v>
      </c>
      <c r="M461" s="19" t="n">
        <v>579</v>
      </c>
      <c r="N461" s="18" t="n">
        <v>11603</v>
      </c>
      <c r="O461" s="19" t="n">
        <v>12238</v>
      </c>
      <c r="P461" s="18" t="n">
        <v>12238</v>
      </c>
      <c r="Q461" s="19" t="n">
        <v>593</v>
      </c>
      <c r="R461" s="18" t="n">
        <v>6387</v>
      </c>
      <c r="S461" s="20" t="n">
        <v>7529</v>
      </c>
      <c r="T461" s="6" t="n">
        <v>1</v>
      </c>
      <c r="U461" s="5" t="inlineStr">
        <is>
          <t>컴퓨터프로그래밍 시스템 통합및 관리업 / ~2026년6</t>
        </is>
      </c>
      <c r="V461" s="21">
        <f>HYPERLINK("https://dart.fss.or.kr/dsaf001/main.do?rcpNo=20260814001662", "공시열람")</f>
        <v/>
      </c>
    </row>
    <row r="462">
      <c r="A462" s="5" t="inlineStr">
        <is>
          <t>제주항공</t>
        </is>
      </c>
      <c r="B462" s="6" t="inlineStr">
        <is>
          <t>089590</t>
        </is>
      </c>
      <c r="C462" s="6" t="inlineStr">
        <is>
          <t>2026Q1</t>
        </is>
      </c>
      <c r="D462" s="6" t="inlineStr">
        <is>
          <t>20260515</t>
        </is>
      </c>
      <c r="E462" s="16" t="inlineStr"/>
      <c r="F462" s="16" t="inlineStr"/>
      <c r="G462" s="16" t="n">
        <v>3281250</v>
      </c>
      <c r="H462" s="6" t="inlineStr"/>
      <c r="I462" s="17" t="n">
        <v>-25</v>
      </c>
      <c r="J462" s="18" t="n">
        <v>12031250</v>
      </c>
      <c r="K462" s="19" t="n">
        <v>10937500</v>
      </c>
      <c r="L462" s="18" t="n">
        <v>9843750</v>
      </c>
      <c r="M462" s="19" t="n">
        <v>8750000</v>
      </c>
      <c r="N462" s="18" t="n">
        <v>7656250</v>
      </c>
      <c r="O462" s="19" t="n">
        <v>6562500</v>
      </c>
      <c r="P462" s="18" t="n">
        <v>5468750</v>
      </c>
      <c r="Q462" s="19" t="n">
        <v>4375000</v>
      </c>
      <c r="R462" s="18" t="n">
        <v>3281250</v>
      </c>
      <c r="S462" s="20" t="inlineStr"/>
      <c r="T462" s="6" t="n">
        <v>1</v>
      </c>
      <c r="U462" s="5" t="inlineStr">
        <is>
          <t>통화스왑계약 / USD</t>
        </is>
      </c>
      <c r="V462" s="21">
        <f>HYPERLINK("https://dart.fss.or.kr/dsaf001/main.do?rcpNo=20260515002947", "공시열람")</f>
        <v/>
      </c>
    </row>
    <row r="463">
      <c r="A463" s="5" t="inlineStr">
        <is>
          <t>제이티</t>
        </is>
      </c>
      <c r="B463" s="6" t="inlineStr">
        <is>
          <t>089790</t>
        </is>
      </c>
      <c r="C463" s="6" t="inlineStr">
        <is>
          <t>2026Q2</t>
        </is>
      </c>
      <c r="D463" s="6" t="inlineStr">
        <is>
          <t>20260819</t>
        </is>
      </c>
      <c r="E463" s="16" t="n">
        <v>67523</v>
      </c>
      <c r="F463" s="16" t="n">
        <v>29147</v>
      </c>
      <c r="G463" s="16" t="n">
        <v>38376</v>
      </c>
      <c r="H463" s="6" t="inlineStr">
        <is>
          <t>백만원</t>
        </is>
      </c>
      <c r="I463" s="17" t="n">
        <v>63.4</v>
      </c>
      <c r="J463" s="18" t="n">
        <v>19404</v>
      </c>
      <c r="K463" s="19" t="n">
        <v>10312</v>
      </c>
      <c r="L463" s="18" t="n">
        <v>9723</v>
      </c>
      <c r="M463" s="19" t="n">
        <v>2647</v>
      </c>
      <c r="N463" s="18" t="n">
        <v>5337</v>
      </c>
      <c r="O463" s="19" t="n">
        <v>11785</v>
      </c>
      <c r="P463" s="18" t="n">
        <v>16835</v>
      </c>
      <c r="Q463" s="19" t="n">
        <v>29299</v>
      </c>
      <c r="R463" s="18" t="n">
        <v>23479</v>
      </c>
      <c r="S463" s="20" t="n">
        <v>38376</v>
      </c>
      <c r="T463" s="6" t="n">
        <v>1</v>
      </c>
      <c r="U463" s="5" t="inlineStr">
        <is>
          <t>기타 / -</t>
        </is>
      </c>
      <c r="V463" s="21">
        <f>HYPERLINK("https://dart.fss.or.kr/dsaf001/main.do?rcpNo=20260819000118", "공시열람")</f>
        <v/>
      </c>
    </row>
    <row r="464">
      <c r="A464" s="5" t="inlineStr">
        <is>
          <t>코세스</t>
        </is>
      </c>
      <c r="B464" s="6" t="inlineStr">
        <is>
          <t>089890</t>
        </is>
      </c>
      <c r="C464" s="6" t="inlineStr">
        <is>
          <t>2026Q2</t>
        </is>
      </c>
      <c r="D464" s="6" t="inlineStr">
        <is>
          <t>20260814</t>
        </is>
      </c>
      <c r="E464" s="16" t="n">
        <v>50130000</v>
      </c>
      <c r="F464" s="16" t="n">
        <v>49345320</v>
      </c>
      <c r="G464" s="16" t="n">
        <v>784680</v>
      </c>
      <c r="H464" s="6" t="inlineStr">
        <is>
          <t>USD</t>
        </is>
      </c>
      <c r="I464" s="17" t="n">
        <v>-31.7</v>
      </c>
      <c r="J464" s="18" t="n">
        <v>3211335</v>
      </c>
      <c r="K464" s="19" t="n">
        <v>1701145</v>
      </c>
      <c r="L464" s="18" t="n">
        <v>1772858</v>
      </c>
      <c r="M464" s="19" t="n">
        <v>2081640</v>
      </c>
      <c r="N464" s="18" t="n">
        <v>1833950</v>
      </c>
      <c r="O464" s="19" t="n">
        <v>1091932</v>
      </c>
      <c r="P464" s="18" t="n">
        <v>295426</v>
      </c>
      <c r="Q464" s="19" t="n">
        <v>1148696</v>
      </c>
      <c r="R464" s="18" t="n">
        <v>1148696</v>
      </c>
      <c r="S464" s="20" t="n">
        <v>784680</v>
      </c>
      <c r="T464" s="6" t="n">
        <v>4</v>
      </c>
      <c r="U464" s="5" t="inlineStr">
        <is>
          <t>2차전지 제조장비 / 2022-11-11 / 2024- | 2차전지 제조장비 / 2023-03-20 / 2025- | 2차전지 제조장비 / 2023-04-02 / 2024-</t>
        </is>
      </c>
      <c r="V464" s="21">
        <f>HYPERLINK("https://dart.fss.or.kr/dsaf001/main.do?rcpNo=20260814002531", "공시열람")</f>
        <v/>
      </c>
    </row>
    <row r="465">
      <c r="A465" s="5" t="inlineStr">
        <is>
          <t>노루페인트</t>
        </is>
      </c>
      <c r="B465" s="6" t="inlineStr">
        <is>
          <t>090350</t>
        </is>
      </c>
      <c r="C465" s="6" t="inlineStr">
        <is>
          <t>2026Q2</t>
        </is>
      </c>
      <c r="D465" s="6" t="inlineStr">
        <is>
          <t>20260814</t>
        </is>
      </c>
      <c r="E465" s="16" t="n">
        <v>81620</v>
      </c>
      <c r="F465" s="16" t="n">
        <v>42985</v>
      </c>
      <c r="G465" s="16" t="n">
        <v>38635</v>
      </c>
      <c r="H465" s="6" t="inlineStr">
        <is>
          <t>백만원,Ton</t>
        </is>
      </c>
      <c r="I465" s="17" t="n">
        <v>-34.5</v>
      </c>
      <c r="J465" s="18" t="n">
        <v>61881</v>
      </c>
      <c r="K465" s="19" t="n">
        <v>40789</v>
      </c>
      <c r="L465" s="18" t="n">
        <v>18406</v>
      </c>
      <c r="M465" s="19" t="inlineStr"/>
      <c r="N465" s="18" t="n">
        <v>65415</v>
      </c>
      <c r="O465" s="19" t="n">
        <v>41911</v>
      </c>
      <c r="P465" s="18" t="n">
        <v>20122</v>
      </c>
      <c r="Q465" s="19" t="inlineStr"/>
      <c r="R465" s="18" t="n">
        <v>59021</v>
      </c>
      <c r="S465" s="20" t="n">
        <v>38635</v>
      </c>
      <c r="T465" s="6" t="n">
        <v>1</v>
      </c>
      <c r="U465" s="5" t="inlineStr">
        <is>
          <t>칼라강판용 도료 및 관련제품(주1) / 2026.05.</t>
        </is>
      </c>
      <c r="V465" s="21">
        <f>HYPERLINK("https://dart.fss.or.kr/dsaf001/main.do?rcpNo=20260814002330", "공시열람")</f>
        <v/>
      </c>
    </row>
    <row r="466">
      <c r="A466" s="5" t="inlineStr">
        <is>
          <t>덕신이피씨</t>
        </is>
      </c>
      <c r="B466" s="6" t="inlineStr">
        <is>
          <t>090410</t>
        </is>
      </c>
      <c r="C466" s="6" t="inlineStr">
        <is>
          <t>2026Q2</t>
        </is>
      </c>
      <c r="D466" s="6" t="inlineStr">
        <is>
          <t>20260929</t>
        </is>
      </c>
      <c r="E466" s="16" t="n">
        <v>216081378888</v>
      </c>
      <c r="F466" s="16" t="n">
        <v>85522819068</v>
      </c>
      <c r="G466" s="16" t="n">
        <v>130558559820</v>
      </c>
      <c r="H466" s="6" t="inlineStr">
        <is>
          <t>원</t>
        </is>
      </c>
      <c r="I466" s="17" t="n">
        <v>22.8</v>
      </c>
      <c r="J466" s="18" t="n">
        <v>62892394244</v>
      </c>
      <c r="K466" s="19" t="n">
        <v>68078959</v>
      </c>
      <c r="L466" s="18" t="n">
        <v>68964570</v>
      </c>
      <c r="M466" s="19" t="n">
        <v>62894873</v>
      </c>
      <c r="N466" s="18" t="n">
        <v>55157989</v>
      </c>
      <c r="O466" s="19" t="n">
        <v>82837254</v>
      </c>
      <c r="P466" s="18" t="n">
        <v>68832208113</v>
      </c>
      <c r="Q466" s="19" t="n">
        <v>71565928602</v>
      </c>
      <c r="R466" s="18" t="n">
        <v>106291169556</v>
      </c>
      <c r="S466" s="20" t="n">
        <v>130558559820</v>
      </c>
      <c r="T466" s="6" t="n">
        <v>14</v>
      </c>
      <c r="U466" s="5" t="inlineStr">
        <is>
          <t>데크플레이트 / 기타 | 데크플레이트 / 삼성물산 | 데크플레이트 / 롯데건설</t>
        </is>
      </c>
      <c r="V466" s="21">
        <f>HYPERLINK("https://dart.fss.or.kr/dsaf001/main.do?rcpNo=20260929000650", "공시열람")</f>
        <v/>
      </c>
    </row>
    <row r="467">
      <c r="A467" s="5" t="inlineStr">
        <is>
          <t>제이스로보틱스</t>
        </is>
      </c>
      <c r="B467" s="6" t="inlineStr">
        <is>
          <t>090470</t>
        </is>
      </c>
      <c r="C467" s="6" t="inlineStr">
        <is>
          <t>2026Q2</t>
        </is>
      </c>
      <c r="D467" s="6" t="inlineStr">
        <is>
          <t>20260814</t>
        </is>
      </c>
      <c r="E467" s="16" t="n">
        <v>137328</v>
      </c>
      <c r="F467" s="16" t="n">
        <v>10458</v>
      </c>
      <c r="G467" s="16" t="n">
        <v>126869</v>
      </c>
      <c r="H467" s="6" t="inlineStr">
        <is>
          <t>백만원</t>
        </is>
      </c>
      <c r="I467" s="17" t="n">
        <v>-1.5</v>
      </c>
      <c r="J467" s="18" t="n">
        <v>38730</v>
      </c>
      <c r="K467" s="19" t="n">
        <v>34750</v>
      </c>
      <c r="L467" s="18" t="n">
        <v>72845</v>
      </c>
      <c r="M467" s="19" t="n">
        <v>84547</v>
      </c>
      <c r="N467" s="18" t="n">
        <v>84447</v>
      </c>
      <c r="O467" s="19" t="n">
        <v>78083</v>
      </c>
      <c r="P467" s="18" t="n">
        <v>81712</v>
      </c>
      <c r="Q467" s="19" t="n">
        <v>122439</v>
      </c>
      <c r="R467" s="18" t="n">
        <v>128796</v>
      </c>
      <c r="S467" s="20" t="n">
        <v>126869</v>
      </c>
      <c r="T467" s="6" t="n">
        <v>2</v>
      </c>
      <c r="U467" s="5" t="inlineStr">
        <is>
          <t>전년도 수주 이월액주1) | 당해년도 수주액</t>
        </is>
      </c>
      <c r="V467" s="21">
        <f>HYPERLINK("https://dart.fss.or.kr/dsaf001/main.do?rcpNo=20260814002750", "공시열람")</f>
        <v/>
      </c>
    </row>
    <row r="468">
      <c r="A468" s="5" t="inlineStr">
        <is>
          <t>한울소재과학</t>
        </is>
      </c>
      <c r="B468" s="6" t="inlineStr">
        <is>
          <t>091440</t>
        </is>
      </c>
      <c r="C468" s="6" t="inlineStr">
        <is>
          <t>2026Q2</t>
        </is>
      </c>
      <c r="D468" s="6" t="inlineStr">
        <is>
          <t>20260814</t>
        </is>
      </c>
      <c r="E468" s="16" t="n">
        <v>2320240</v>
      </c>
      <c r="F468" s="16" t="n">
        <v>1504004</v>
      </c>
      <c r="G468" s="16" t="n">
        <v>816235</v>
      </c>
      <c r="H468" s="6" t="inlineStr">
        <is>
          <t>천원</t>
        </is>
      </c>
      <c r="I468" s="17" t="n">
        <v>216.3</v>
      </c>
      <c r="J468" s="18" t="n">
        <v>3381950</v>
      </c>
      <c r="K468" s="19" t="n">
        <v>4822883</v>
      </c>
      <c r="L468" s="18" t="n">
        <v>3901059</v>
      </c>
      <c r="M468" s="19" t="n">
        <v>1650713</v>
      </c>
      <c r="N468" s="18" t="n">
        <v>4173851</v>
      </c>
      <c r="O468" s="19" t="n">
        <v>4074069</v>
      </c>
      <c r="P468" s="18" t="n">
        <v>4293804</v>
      </c>
      <c r="Q468" s="19" t="n">
        <v>323566</v>
      </c>
      <c r="R468" s="18" t="n">
        <v>258041</v>
      </c>
      <c r="S468" s="20" t="n">
        <v>816235</v>
      </c>
      <c r="T468" s="6" t="n">
        <v>15</v>
      </c>
      <c r="U468" s="5" t="inlineStr">
        <is>
          <t>"2026년 KT기간망 M5480 대개체 사업" - 계 | 2026년 국립전파연구원 기반망 사업 구축공사 / 20 | LGU+ D2000 중앙국사 텔랍스 DCS 대개체 구축</t>
        </is>
      </c>
      <c r="V468" s="21">
        <f>HYPERLINK("https://dart.fss.or.kr/dsaf001/main.do?rcpNo=20260814002428", "공시열람")</f>
        <v/>
      </c>
    </row>
    <row r="469">
      <c r="A469" s="5" t="inlineStr">
        <is>
          <t>남화토건</t>
        </is>
      </c>
      <c r="B469" s="6" t="inlineStr">
        <is>
          <t>091590</t>
        </is>
      </c>
      <c r="C469" s="6" t="inlineStr">
        <is>
          <t>2026Q2</t>
        </is>
      </c>
      <c r="D469" s="6" t="inlineStr">
        <is>
          <t>20260814</t>
        </is>
      </c>
      <c r="E469" s="16" t="n">
        <v>219362</v>
      </c>
      <c r="F469" s="16" t="n">
        <v>136408</v>
      </c>
      <c r="G469" s="16" t="n">
        <v>82954</v>
      </c>
      <c r="H469" s="6" t="inlineStr">
        <is>
          <t>백만원</t>
        </is>
      </c>
      <c r="I469" s="17" t="n">
        <v>-11.2</v>
      </c>
      <c r="J469" s="18" t="n">
        <v>148220</v>
      </c>
      <c r="K469" s="19" t="n">
        <v>138367</v>
      </c>
      <c r="L469" s="18" t="n">
        <v>131754</v>
      </c>
      <c r="M469" s="19" t="n">
        <v>119079</v>
      </c>
      <c r="N469" s="18" t="n">
        <v>108138</v>
      </c>
      <c r="O469" s="19" t="n">
        <v>83997</v>
      </c>
      <c r="P469" s="18" t="n">
        <v>97746</v>
      </c>
      <c r="Q469" s="19" t="n">
        <v>91588</v>
      </c>
      <c r="R469" s="18" t="n">
        <v>93398</v>
      </c>
      <c r="S469" s="20" t="n">
        <v>82954</v>
      </c>
      <c r="T469" s="6" t="n">
        <v>19</v>
      </c>
      <c r="U469" s="5" t="inlineStr">
        <is>
          <t>건축 / 국군재정관리단(세탁소) / 2024.03.27 | 건축 / 케어홈프리미어권선1,2호 / 2025.06.1 | 건축 / 림괄지역주택조합 / 2023.09.25</t>
        </is>
      </c>
      <c r="V469" s="21">
        <f>HYPERLINK("https://dart.fss.or.kr/dsaf001/main.do?rcpNo=20260814003286", "공시열람")</f>
        <v/>
      </c>
    </row>
    <row r="470">
      <c r="A470" s="5" t="inlineStr">
        <is>
          <t>디아이씨</t>
        </is>
      </c>
      <c r="B470" s="6" t="inlineStr">
        <is>
          <t>092200</t>
        </is>
      </c>
      <c r="C470" s="6" t="inlineStr">
        <is>
          <t>2026Q2</t>
        </is>
      </c>
      <c r="D470" s="6" t="inlineStr">
        <is>
          <t>20260813</t>
        </is>
      </c>
      <c r="E470" s="16" t="n">
        <v>361792</v>
      </c>
      <c r="F470" s="16" t="n">
        <v>361792</v>
      </c>
      <c r="G470" s="16" t="n">
        <v>0</v>
      </c>
      <c r="H470" s="6" t="inlineStr">
        <is>
          <t>백만원</t>
        </is>
      </c>
      <c r="I470" s="17" t="inlineStr"/>
      <c r="J470" s="18" t="n">
        <v>0</v>
      </c>
      <c r="K470" s="19" t="n">
        <v>0</v>
      </c>
      <c r="L470" s="18" t="n">
        <v>0</v>
      </c>
      <c r="M470" s="19" t="n">
        <v>0</v>
      </c>
      <c r="N470" s="18" t="n">
        <v>0</v>
      </c>
      <c r="O470" s="19" t="n">
        <v>0</v>
      </c>
      <c r="P470" s="18" t="n">
        <v>0</v>
      </c>
      <c r="Q470" s="19" t="n">
        <v>0</v>
      </c>
      <c r="R470" s="18" t="n">
        <v>0</v>
      </c>
      <c r="S470" s="20" t="n">
        <v>0</v>
      </c>
      <c r="T470" s="6" t="n">
        <v>4</v>
      </c>
      <c r="U470" s="5" t="inlineStr">
        <is>
          <t>자동차부품(국내) / 수시수주 / 수시납품 | 중장비부품(국내) / 수시수주 / 수시납품 | 자동차부품(수출) / 수시수주 / 수시납품</t>
        </is>
      </c>
      <c r="V470" s="21">
        <f>HYPERLINK("https://dart.fss.or.kr/dsaf001/main.do?rcpNo=20260813001541", "공시열람")</f>
        <v/>
      </c>
    </row>
    <row r="471">
      <c r="A471" s="5" t="inlineStr">
        <is>
          <t>현우산업</t>
        </is>
      </c>
      <c r="B471" s="6" t="inlineStr">
        <is>
          <t>092300</t>
        </is>
      </c>
      <c r="C471" s="6" t="inlineStr">
        <is>
          <t>2026Q2</t>
        </is>
      </c>
      <c r="D471" s="6" t="inlineStr">
        <is>
          <t>20260814</t>
        </is>
      </c>
      <c r="E471" s="16" t="n">
        <v>117101</v>
      </c>
      <c r="F471" s="16" t="n">
        <v>79832</v>
      </c>
      <c r="G471" s="16" t="n">
        <v>37278</v>
      </c>
      <c r="H471" s="6" t="inlineStr">
        <is>
          <t>백만원,천㎡</t>
        </is>
      </c>
      <c r="I471" s="17" t="n">
        <v>13.5</v>
      </c>
      <c r="J471" s="18" t="n">
        <v>29236</v>
      </c>
      <c r="K471" s="19" t="n">
        <v>29851</v>
      </c>
      <c r="L471" s="18" t="n">
        <v>25135</v>
      </c>
      <c r="M471" s="19" t="n">
        <v>37066</v>
      </c>
      <c r="N471" s="18" t="n">
        <v>29882</v>
      </c>
      <c r="O471" s="19" t="n">
        <v>32886</v>
      </c>
      <c r="P471" s="18" t="n">
        <v>34010</v>
      </c>
      <c r="Q471" s="19" t="n">
        <v>37341</v>
      </c>
      <c r="R471" s="18" t="n">
        <v>32853</v>
      </c>
      <c r="S471" s="20" t="n">
        <v>37278</v>
      </c>
      <c r="T471" s="6" t="n">
        <v>1</v>
      </c>
      <c r="U471" s="5" t="inlineStr">
        <is>
          <t>PCB / 2026.1.1~2026.06.30 / 20</t>
        </is>
      </c>
      <c r="V471" s="21">
        <f>HYPERLINK("https://dart.fss.or.kr/dsaf001/main.do?rcpNo=20260814001375", "공시열람")</f>
        <v/>
      </c>
    </row>
    <row r="472">
      <c r="A472" s="5" t="inlineStr">
        <is>
          <t>한라IMS</t>
        </is>
      </c>
      <c r="B472" s="6" t="inlineStr">
        <is>
          <t>092460</t>
        </is>
      </c>
      <c r="C472" s="6" t="inlineStr">
        <is>
          <t>2026Q2</t>
        </is>
      </c>
      <c r="D472" s="6" t="inlineStr">
        <is>
          <t>20260814</t>
        </is>
      </c>
      <c r="E472" s="16" t="n">
        <v>147101</v>
      </c>
      <c r="F472" s="16" t="inlineStr"/>
      <c r="G472" s="16" t="n">
        <v>270440</v>
      </c>
      <c r="H472" s="6" t="inlineStr">
        <is>
          <t>백만원</t>
        </is>
      </c>
      <c r="I472" s="17" t="n">
        <v>10.4</v>
      </c>
      <c r="J472" s="18" t="n">
        <v>123320</v>
      </c>
      <c r="K472" s="19" t="n">
        <v>122809</v>
      </c>
      <c r="L472" s="18" t="n">
        <v>149054</v>
      </c>
      <c r="M472" s="19" t="n">
        <v>164350</v>
      </c>
      <c r="N472" s="18" t="n">
        <v>172903</v>
      </c>
      <c r="O472" s="19" t="n">
        <v>168319062603</v>
      </c>
      <c r="P472" s="18" t="n">
        <v>171704</v>
      </c>
      <c r="Q472" s="19" t="n">
        <v>205779</v>
      </c>
      <c r="R472" s="18" t="n">
        <v>244897</v>
      </c>
      <c r="S472" s="20" t="n">
        <v>270440</v>
      </c>
      <c r="T472" s="6" t="n">
        <v>6</v>
      </c>
      <c r="U472" s="5" t="inlineStr">
        <is>
          <t>통합제어 및 모니터링 시스템(Control) / - | 정밀계측 시스템(GAUGING) / - | 고성능기계시스템(Machinery) / -</t>
        </is>
      </c>
      <c r="V472" s="21">
        <f>HYPERLINK("https://dart.fss.or.kr/dsaf001/main.do?rcpNo=20260814001748", "공시열람")</f>
        <v/>
      </c>
    </row>
    <row r="473">
      <c r="A473" s="5" t="inlineStr">
        <is>
          <t>엑시콘</t>
        </is>
      </c>
      <c r="B473" s="6" t="inlineStr">
        <is>
          <t>092870</t>
        </is>
      </c>
      <c r="C473" s="6" t="inlineStr">
        <is>
          <t>2026Q2</t>
        </is>
      </c>
      <c r="D473" s="6" t="inlineStr">
        <is>
          <t>20260814</t>
        </is>
      </c>
      <c r="E473" s="16" t="n">
        <v>101801</v>
      </c>
      <c r="F473" s="16" t="n">
        <v>17203</v>
      </c>
      <c r="G473" s="16" t="n">
        <v>84598</v>
      </c>
      <c r="H473" s="6" t="inlineStr">
        <is>
          <t>백만원</t>
        </is>
      </c>
      <c r="I473" s="17" t="n">
        <v>165.3</v>
      </c>
      <c r="J473" s="18" t="n">
        <v>5870</v>
      </c>
      <c r="K473" s="19" t="n">
        <v>4370</v>
      </c>
      <c r="L473" s="18" t="n">
        <v>0</v>
      </c>
      <c r="M473" s="19" t="n">
        <v>0</v>
      </c>
      <c r="N473" s="18" t="n">
        <v>7778</v>
      </c>
      <c r="O473" s="19" t="n">
        <v>11654</v>
      </c>
      <c r="P473" s="18" t="n">
        <v>29215</v>
      </c>
      <c r="Q473" s="19" t="n">
        <v>4112</v>
      </c>
      <c r="R473" s="18" t="n">
        <v>31886</v>
      </c>
      <c r="S473" s="20" t="n">
        <v>84598</v>
      </c>
      <c r="T473" s="6" t="n">
        <v>4</v>
      </c>
      <c r="U473" s="5" t="inlineStr">
        <is>
          <t>SSD Tester 등 / 2026-07-07 / 20 | CLT 등 / 2026-02-27 / 2026-12-3 | CIB 등 / 2026-05-26 / 2026-12-3</t>
        </is>
      </c>
      <c r="V473" s="21">
        <f>HYPERLINK("https://dart.fss.or.kr/dsaf001/main.do?rcpNo=20260814001521", "공시열람")</f>
        <v/>
      </c>
    </row>
    <row r="474">
      <c r="A474" s="5" t="inlineStr">
        <is>
          <t>형지엘리트</t>
        </is>
      </c>
      <c r="B474" s="6" t="inlineStr">
        <is>
          <t>093240</t>
        </is>
      </c>
      <c r="C474" s="6" t="inlineStr">
        <is>
          <t>2026Q2</t>
        </is>
      </c>
      <c r="D474" s="6" t="inlineStr">
        <is>
          <t>20260921</t>
        </is>
      </c>
      <c r="E474" s="16" t="n">
        <v>105091</v>
      </c>
      <c r="F474" s="16" t="n">
        <v>96765</v>
      </c>
      <c r="G474" s="16" t="n">
        <v>8326</v>
      </c>
      <c r="H474" s="6" t="inlineStr">
        <is>
          <t>개,백만원</t>
        </is>
      </c>
      <c r="I474" s="17" t="n">
        <v>-30.1</v>
      </c>
      <c r="J474" s="18" t="n">
        <v>11330</v>
      </c>
      <c r="K474" s="19" t="n">
        <v>5632</v>
      </c>
      <c r="L474" s="18" t="n">
        <v>11591</v>
      </c>
      <c r="M474" s="19" t="n">
        <v>16604</v>
      </c>
      <c r="N474" s="18" t="n">
        <v>10203</v>
      </c>
      <c r="O474" s="19" t="n">
        <v>5975</v>
      </c>
      <c r="P474" s="18" t="n">
        <v>12728</v>
      </c>
      <c r="Q474" s="19" t="n">
        <v>15454</v>
      </c>
      <c r="R474" s="18" t="n">
        <v>11909</v>
      </c>
      <c r="S474" s="20" t="n">
        <v>8326</v>
      </c>
      <c r="T474" s="6" t="n">
        <v>2</v>
      </c>
      <c r="U474" s="5" t="inlineStr">
        <is>
          <t>한화오션외 / 근무복 / 2019.06.01 | 대리점외 / 학생복 / 2025.02.23</t>
        </is>
      </c>
      <c r="V474" s="21">
        <f>HYPERLINK("https://dart.fss.or.kr/dsaf001/main.do?rcpNo=20260921000083", "공시열람")</f>
        <v/>
      </c>
    </row>
    <row r="475">
      <c r="A475" s="5" t="inlineStr">
        <is>
          <t>후성</t>
        </is>
      </c>
      <c r="B475" s="6" t="inlineStr">
        <is>
          <t>093370</t>
        </is>
      </c>
      <c r="C475" s="6" t="inlineStr">
        <is>
          <t>2025Q2</t>
        </is>
      </c>
      <c r="D475" s="6" t="inlineStr">
        <is>
          <t>20250814</t>
        </is>
      </c>
      <c r="E475" s="16" t="n">
        <v>37634843</v>
      </c>
      <c r="F475" s="16" t="inlineStr"/>
      <c r="G475" s="16" t="n">
        <v>3900669</v>
      </c>
      <c r="H475" s="6" t="inlineStr">
        <is>
          <t>USD</t>
        </is>
      </c>
      <c r="I475" s="17" t="n">
        <v>-70.7</v>
      </c>
      <c r="J475" s="18" t="n">
        <v>28434144</v>
      </c>
      <c r="K475" s="19" t="n">
        <v>23769681</v>
      </c>
      <c r="L475" s="18" t="n">
        <v>20061523</v>
      </c>
      <c r="M475" s="19" t="n">
        <v>15908228</v>
      </c>
      <c r="N475" s="18" t="n">
        <v>13324122</v>
      </c>
      <c r="O475" s="19" t="n">
        <v>3900669</v>
      </c>
      <c r="P475" s="18" t="inlineStr"/>
      <c r="Q475" s="19" t="inlineStr"/>
      <c r="R475" s="18" t="inlineStr"/>
      <c r="S475" s="20" t="inlineStr"/>
      <c r="T475" s="6" t="n">
        <v>1</v>
      </c>
      <c r="U475" s="5" t="inlineStr">
        <is>
          <t>HW23027 / 2023-07-13 / 2025-05</t>
        </is>
      </c>
      <c r="V475" s="21">
        <f>HYPERLINK("https://dart.fss.or.kr/dsaf001/main.do?rcpNo=20250814003972", "공시열람")</f>
        <v/>
      </c>
    </row>
    <row r="476">
      <c r="A476" s="5" t="inlineStr">
        <is>
          <t>일진파워</t>
        </is>
      </c>
      <c r="B476" s="6" t="inlineStr">
        <is>
          <t>094820</t>
        </is>
      </c>
      <c r="C476" s="6" t="inlineStr">
        <is>
          <t>2026Q2</t>
        </is>
      </c>
      <c r="D476" s="6" t="inlineStr">
        <is>
          <t>20260814</t>
        </is>
      </c>
      <c r="E476" s="16" t="n">
        <v>132197</v>
      </c>
      <c r="F476" s="16" t="n">
        <v>103504</v>
      </c>
      <c r="G476" s="16" t="n">
        <v>28693</v>
      </c>
      <c r="H476" s="6" t="inlineStr">
        <is>
          <t>백만원</t>
        </is>
      </c>
      <c r="I476" s="17" t="n">
        <v>22</v>
      </c>
      <c r="J476" s="18" t="n">
        <v>28779</v>
      </c>
      <c r="K476" s="19" t="n">
        <v>20404</v>
      </c>
      <c r="L476" s="18" t="n">
        <v>15226</v>
      </c>
      <c r="M476" s="19" t="n">
        <v>10622</v>
      </c>
      <c r="N476" s="18" t="n">
        <v>11128</v>
      </c>
      <c r="O476" s="19" t="n">
        <v>23894</v>
      </c>
      <c r="P476" s="18" t="n">
        <v>43776</v>
      </c>
      <c r="Q476" s="19" t="n">
        <v>40030</v>
      </c>
      <c r="R476" s="18" t="n">
        <v>23512</v>
      </c>
      <c r="S476" s="20" t="n">
        <v>28693</v>
      </c>
      <c r="T476" s="6" t="n">
        <v>7</v>
      </c>
      <c r="U476" s="5" t="inlineStr">
        <is>
          <t>원자력 / 2025-08-25 / 2027-01-21 | 원자력 / 2025-02-25 / 2027-03-31 | 정비공사 / 2026-03-30 / 2026-08-04</t>
        </is>
      </c>
      <c r="V476" s="21">
        <f>HYPERLINK("https://dart.fss.or.kr/dsaf001/main.do?rcpNo=20260814000473", "공시열람")</f>
        <v/>
      </c>
    </row>
    <row r="477">
      <c r="A477" s="5" t="inlineStr">
        <is>
          <t>푸른로보틱스</t>
        </is>
      </c>
      <c r="B477" s="6" t="inlineStr">
        <is>
          <t>094940</t>
        </is>
      </c>
      <c r="C477" s="6" t="inlineStr">
        <is>
          <t>2026Q2</t>
        </is>
      </c>
      <c r="D477" s="6" t="inlineStr">
        <is>
          <t>20260814</t>
        </is>
      </c>
      <c r="E477" s="16" t="n">
        <v>14595036</v>
      </c>
      <c r="F477" s="16" t="n">
        <v>5483461</v>
      </c>
      <c r="G477" s="16" t="n">
        <v>9111575</v>
      </c>
      <c r="H477" s="6" t="inlineStr">
        <is>
          <t>천원</t>
        </is>
      </c>
      <c r="I477" s="17" t="n">
        <v>-7.2</v>
      </c>
      <c r="J477" s="18" t="n">
        <v>17880756</v>
      </c>
      <c r="K477" s="19" t="n">
        <v>17450361</v>
      </c>
      <c r="L477" s="18" t="n">
        <v>17450361</v>
      </c>
      <c r="M477" s="19" t="n">
        <v>13256845</v>
      </c>
      <c r="N477" s="18" t="n">
        <v>12913812</v>
      </c>
      <c r="O477" s="19" t="n">
        <v>12684123</v>
      </c>
      <c r="P477" s="18" t="n">
        <v>12599046</v>
      </c>
      <c r="Q477" s="19" t="n">
        <v>9820318</v>
      </c>
      <c r="R477" s="18" t="n">
        <v>9820318</v>
      </c>
      <c r="S477" s="20" t="n">
        <v>9111575</v>
      </c>
      <c r="T477" s="6" t="n">
        <v>2</v>
      </c>
      <c r="U477" s="5" t="inlineStr">
        <is>
          <t>무인주차장비 제품 공급 | 인도 콜카타 RVNL 역무자동화 게이트하드웨어 공급</t>
        </is>
      </c>
      <c r="V477" s="21">
        <f>HYPERLINK("https://dart.fss.or.kr/dsaf001/main.do?rcpNo=20260814004195", "공시열람")</f>
        <v/>
      </c>
    </row>
    <row r="478">
      <c r="A478" s="5" t="inlineStr">
        <is>
          <t>미래나노텍</t>
        </is>
      </c>
      <c r="B478" s="6" t="inlineStr">
        <is>
          <t>095500</t>
        </is>
      </c>
      <c r="C478" s="6" t="inlineStr">
        <is>
          <t>2024Q1</t>
        </is>
      </c>
      <c r="D478" s="6" t="inlineStr">
        <is>
          <t>20240510</t>
        </is>
      </c>
      <c r="E478" s="16" t="inlineStr"/>
      <c r="F478" s="16" t="inlineStr"/>
      <c r="G478" s="16" t="n">
        <v>11800000</v>
      </c>
      <c r="H478" s="6" t="inlineStr">
        <is>
          <t>천원</t>
        </is>
      </c>
      <c r="I478" s="17" t="n">
        <v>-58.4</v>
      </c>
      <c r="J478" s="18" t="n">
        <v>11800000</v>
      </c>
      <c r="K478" s="19" t="inlineStr"/>
      <c r="L478" s="18" t="inlineStr"/>
      <c r="M478" s="19" t="inlineStr"/>
      <c r="N478" s="18" t="inlineStr"/>
      <c r="O478" s="19" t="inlineStr"/>
      <c r="P478" s="18" t="inlineStr"/>
      <c r="Q478" s="19" t="inlineStr"/>
      <c r="R478" s="18" t="inlineStr"/>
      <c r="S478" s="20" t="inlineStr"/>
      <c r="T478" s="6" t="n">
        <v>4</v>
      </c>
      <c r="U478" s="5" t="inlineStr">
        <is>
          <t>통화옵션 / 국민은행 / 2022-05-31 | 통화옵션 / 농협은행 / 2022-06-08 | 통화옵션 / 농협은행 / 2022-06-13</t>
        </is>
      </c>
      <c r="V478" s="21">
        <f>HYPERLINK("https://dart.fss.or.kr/dsaf001/main.do?rcpNo=20240510001030", "공시열람")</f>
        <v/>
      </c>
    </row>
    <row r="479">
      <c r="A479" s="5" t="inlineStr">
        <is>
          <t>테스</t>
        </is>
      </c>
      <c r="B479" s="6" t="inlineStr">
        <is>
          <t>095610</t>
        </is>
      </c>
      <c r="C479" s="6" t="inlineStr">
        <is>
          <t>2026Q2</t>
        </is>
      </c>
      <c r="D479" s="6" t="inlineStr">
        <is>
          <t>20260813</t>
        </is>
      </c>
      <c r="E479" s="16" t="n">
        <v>427858</v>
      </c>
      <c r="F479" s="16" t="n">
        <v>220914</v>
      </c>
      <c r="G479" s="16" t="n">
        <v>206944</v>
      </c>
      <c r="H479" s="6" t="inlineStr">
        <is>
          <t>백만원</t>
        </is>
      </c>
      <c r="I479" s="17" t="n">
        <v>42.2</v>
      </c>
      <c r="J479" s="18" t="n">
        <v>22237</v>
      </c>
      <c r="K479" s="19" t="n">
        <v>46000</v>
      </c>
      <c r="L479" s="18" t="n">
        <v>48835</v>
      </c>
      <c r="M479" s="19" t="n">
        <v>24383</v>
      </c>
      <c r="N479" s="18" t="n">
        <v>55167</v>
      </c>
      <c r="O479" s="19" t="n">
        <v>56313</v>
      </c>
      <c r="P479" s="18" t="n">
        <v>78264</v>
      </c>
      <c r="Q479" s="19" t="n">
        <v>41221</v>
      </c>
      <c r="R479" s="18" t="n">
        <v>145538</v>
      </c>
      <c r="S479" s="20" t="n">
        <v>206944</v>
      </c>
      <c r="T479" s="6" t="n">
        <v>1</v>
      </c>
      <c r="U479" s="5" t="inlineStr">
        <is>
          <t>반도체 /디스플레이/UVC LED 장비 등 / -</t>
        </is>
      </c>
      <c r="V479" s="21">
        <f>HYPERLINK("https://dart.fss.or.kr/dsaf001/main.do?rcpNo=20260813000486", "공시열람")</f>
        <v/>
      </c>
    </row>
    <row r="480">
      <c r="A480" s="5" t="inlineStr">
        <is>
          <t>에스에너지</t>
        </is>
      </c>
      <c r="B480" s="6" t="inlineStr">
        <is>
          <t>095910</t>
        </is>
      </c>
      <c r="C480" s="6" t="inlineStr">
        <is>
          <t>2026Q2</t>
        </is>
      </c>
      <c r="D480" s="6" t="inlineStr">
        <is>
          <t>20260814</t>
        </is>
      </c>
      <c r="E480" s="16" t="n">
        <v>46370029</v>
      </c>
      <c r="F480" s="16" t="n">
        <v>30938511</v>
      </c>
      <c r="G480" s="16" t="n">
        <v>15431517</v>
      </c>
      <c r="H480" s="6" t="inlineStr">
        <is>
          <t>EA,천원</t>
        </is>
      </c>
      <c r="I480" s="17" t="n">
        <v>-18.1</v>
      </c>
      <c r="J480" s="18" t="n">
        <v>169150984</v>
      </c>
      <c r="K480" s="19" t="n">
        <v>165127141</v>
      </c>
      <c r="L480" s="18" t="n">
        <v>180372638</v>
      </c>
      <c r="M480" s="19" t="n">
        <v>164914115</v>
      </c>
      <c r="N480" s="18" t="n">
        <v>158516540</v>
      </c>
      <c r="O480" s="19" t="n">
        <v>7035343</v>
      </c>
      <c r="P480" s="18" t="n">
        <v>1437747</v>
      </c>
      <c r="Q480" s="19" t="n">
        <v>5812025</v>
      </c>
      <c r="R480" s="18" t="n">
        <v>18838280</v>
      </c>
      <c r="S480" s="20" t="n">
        <v>15431517</v>
      </c>
      <c r="T480" s="6" t="n">
        <v>7</v>
      </c>
      <c r="U480" s="5" t="inlineStr">
        <is>
          <t>시스템(건설) | 태양광 모듈 납품 | 시스템(건설)</t>
        </is>
      </c>
      <c r="V480" s="21">
        <f>HYPERLINK("https://dart.fss.or.kr/dsaf001/main.do?rcpNo=20260814003270", "공시열람")</f>
        <v/>
      </c>
    </row>
    <row r="481">
      <c r="A481" s="5" t="inlineStr">
        <is>
          <t>대창솔루션</t>
        </is>
      </c>
      <c r="B481" s="6" t="inlineStr">
        <is>
          <t>096350</t>
        </is>
      </c>
      <c r="C481" s="6" t="inlineStr">
        <is>
          <t>2026Q2</t>
        </is>
      </c>
      <c r="D481" s="6" t="inlineStr">
        <is>
          <t>20260814</t>
        </is>
      </c>
      <c r="E481" s="16" t="inlineStr"/>
      <c r="F481" s="16" t="inlineStr"/>
      <c r="G481" s="16" t="n">
        <v>69605</v>
      </c>
      <c r="H481" s="6" t="inlineStr">
        <is>
          <t>백만원</t>
        </is>
      </c>
      <c r="I481" s="17" t="n">
        <v>-1.4</v>
      </c>
      <c r="J481" s="18" t="n">
        <v>59206</v>
      </c>
      <c r="K481" s="19" t="n">
        <v>60522</v>
      </c>
      <c r="L481" s="18" t="n">
        <v>49773</v>
      </c>
      <c r="M481" s="19" t="n">
        <v>59090</v>
      </c>
      <c r="N481" s="18" t="n">
        <v>57304</v>
      </c>
      <c r="O481" s="19" t="n">
        <v>55978</v>
      </c>
      <c r="P481" s="18" t="n">
        <v>56480</v>
      </c>
      <c r="Q481" s="19" t="n">
        <v>67281</v>
      </c>
      <c r="R481" s="18" t="n">
        <v>70580</v>
      </c>
      <c r="S481" s="20" t="n">
        <v>69605</v>
      </c>
      <c r="T481" s="6" t="n">
        <v>1</v>
      </c>
      <c r="U481" s="5" t="inlineStr">
        <is>
          <t>해양솔루션 부문원전폐기물 부문발전설비 부문조선기자재 부</t>
        </is>
      </c>
      <c r="V481" s="21">
        <f>HYPERLINK("https://dart.fss.or.kr/dsaf001/main.do?rcpNo=20260814002756", "공시열람")</f>
        <v/>
      </c>
    </row>
    <row r="482">
      <c r="A482" s="5" t="inlineStr">
        <is>
          <t>에이루트</t>
        </is>
      </c>
      <c r="B482" s="6" t="inlineStr">
        <is>
          <t>096690</t>
        </is>
      </c>
      <c r="C482" s="6" t="inlineStr">
        <is>
          <t>2026Q2</t>
        </is>
      </c>
      <c r="D482" s="6" t="inlineStr">
        <is>
          <t>20260814</t>
        </is>
      </c>
      <c r="E482" s="16" t="n">
        <v>6247</v>
      </c>
      <c r="F482" s="16" t="n">
        <v>2251</v>
      </c>
      <c r="G482" s="16" t="n">
        <v>3996</v>
      </c>
      <c r="H482" s="6" t="inlineStr">
        <is>
          <t>대,백만원</t>
        </is>
      </c>
      <c r="I482" s="17" t="n">
        <v>-5.8</v>
      </c>
      <c r="J482" s="18" t="n">
        <v>5211</v>
      </c>
      <c r="K482" s="19" t="n">
        <v>4992</v>
      </c>
      <c r="L482" s="18" t="n">
        <v>4910</v>
      </c>
      <c r="M482" s="19" t="n">
        <v>4732</v>
      </c>
      <c r="N482" s="18" t="n">
        <v>4493</v>
      </c>
      <c r="O482" s="19" t="n">
        <v>4419</v>
      </c>
      <c r="P482" s="18" t="n">
        <v>4393</v>
      </c>
      <c r="Q482" s="19" t="n">
        <v>4316</v>
      </c>
      <c r="R482" s="18" t="n">
        <v>4244</v>
      </c>
      <c r="S482" s="20" t="n">
        <v>3996</v>
      </c>
      <c r="T482" s="6" t="n">
        <v>1</v>
      </c>
      <c r="U482" s="5" t="inlineStr">
        <is>
          <t>미니프린터 / 2021.07.30 / 2026.12.3</t>
        </is>
      </c>
      <c r="V482" s="21">
        <f>HYPERLINK("https://dart.fss.or.kr/dsaf001/main.do?rcpNo=20260814003407", "공시열람")</f>
        <v/>
      </c>
    </row>
    <row r="483">
      <c r="A483" s="5" t="inlineStr">
        <is>
          <t>SK이노베이션</t>
        </is>
      </c>
      <c r="B483" s="6" t="inlineStr">
        <is>
          <t>096770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3858735</v>
      </c>
      <c r="F483" s="16" t="n">
        <v>3858735</v>
      </c>
      <c r="G483" s="16" t="n">
        <v>0</v>
      </c>
      <c r="H483" s="6" t="inlineStr">
        <is>
          <t>천배럴,백만원</t>
        </is>
      </c>
      <c r="I483" s="17" t="inlineStr"/>
      <c r="J483" s="18" t="n">
        <v>0</v>
      </c>
      <c r="K483" s="19" t="n">
        <v>0</v>
      </c>
      <c r="L483" s="18" t="n">
        <v>0</v>
      </c>
      <c r="M483" s="19" t="n">
        <v>0</v>
      </c>
      <c r="N483" s="18" t="n">
        <v>0</v>
      </c>
      <c r="O483" s="19" t="n">
        <v>0</v>
      </c>
      <c r="P483" s="18" t="n">
        <v>0</v>
      </c>
      <c r="Q483" s="19" t="n">
        <v>0</v>
      </c>
      <c r="R483" s="18" t="n">
        <v>0</v>
      </c>
      <c r="S483" s="20" t="n">
        <v>0</v>
      </c>
      <c r="T483" s="6" t="n">
        <v>8</v>
      </c>
      <c r="U483" s="5" t="inlineStr">
        <is>
          <t>한전 자회사 / 석유제품 / '26-01-01 / '2 | 한국군 / 석유제품 / '26-01-01 / '26-0 | 항공사 / 석유제품 / '26-01-01 / '26-0</t>
        </is>
      </c>
      <c r="V483" s="21">
        <f>HYPERLINK("https://dart.fss.or.kr/dsaf001/main.do?rcpNo=20260814002500", "공시열람")</f>
        <v/>
      </c>
    </row>
    <row r="484">
      <c r="A484" s="5" t="inlineStr">
        <is>
          <t>HJ중공업</t>
        </is>
      </c>
      <c r="B484" s="6" t="inlineStr">
        <is>
          <t>097230</t>
        </is>
      </c>
      <c r="C484" s="6" t="inlineStr">
        <is>
          <t>2026Q2</t>
        </is>
      </c>
      <c r="D484" s="6" t="inlineStr">
        <is>
          <t>20260812</t>
        </is>
      </c>
      <c r="E484" s="16" t="n">
        <v>11121142</v>
      </c>
      <c r="F484" s="16" t="n">
        <v>2790393</v>
      </c>
      <c r="G484" s="16" t="n">
        <v>8330749</v>
      </c>
      <c r="H484" s="6" t="inlineStr">
        <is>
          <t>백만원</t>
        </is>
      </c>
      <c r="I484" s="17" t="n">
        <v>36345.7</v>
      </c>
      <c r="J484" s="18" t="n">
        <v>5488310</v>
      </c>
      <c r="K484" s="19" t="n">
        <v>12651</v>
      </c>
      <c r="L484" s="18" t="n">
        <v>10689</v>
      </c>
      <c r="M484" s="19" t="n">
        <v>7354736</v>
      </c>
      <c r="N484" s="18" t="n">
        <v>19049</v>
      </c>
      <c r="O484" s="19" t="n">
        <v>19467</v>
      </c>
      <c r="P484" s="18" t="n">
        <v>21026</v>
      </c>
      <c r="Q484" s="19" t="n">
        <v>21653</v>
      </c>
      <c r="R484" s="18" t="n">
        <v>22858</v>
      </c>
      <c r="S484" s="20" t="n">
        <v>8330749</v>
      </c>
      <c r="T484" s="6" t="n">
        <v>71</v>
      </c>
      <c r="U484" s="5" t="inlineStr">
        <is>
          <t>기타 | 수도권광역급행철도 B노선 3-2공구 / 국가철도공단 / | 신분당선 광교~호매실 복선전철1공구 건설공사 / 국가철</t>
        </is>
      </c>
      <c r="V484" s="21">
        <f>HYPERLINK("https://dart.fss.or.kr/dsaf001/main.do?rcpNo=20260812000297", "공시열람")</f>
        <v/>
      </c>
    </row>
    <row r="485">
      <c r="A485" s="5" t="inlineStr">
        <is>
          <t>한텍</t>
        </is>
      </c>
      <c r="B485" s="6" t="inlineStr">
        <is>
          <t>098070</t>
        </is>
      </c>
      <c r="C485" s="6" t="inlineStr">
        <is>
          <t>2026Q2</t>
        </is>
      </c>
      <c r="D485" s="6" t="inlineStr">
        <is>
          <t>20260814</t>
        </is>
      </c>
      <c r="E485" s="16" t="n">
        <v>330437</v>
      </c>
      <c r="F485" s="16" t="n">
        <v>153471</v>
      </c>
      <c r="G485" s="16" t="n">
        <v>176966</v>
      </c>
      <c r="H485" s="6" t="inlineStr"/>
      <c r="I485" s="17" t="n">
        <v>-99.7</v>
      </c>
      <c r="J485" s="18" t="inlineStr"/>
      <c r="K485" s="19" t="inlineStr"/>
      <c r="L485" s="18" t="inlineStr"/>
      <c r="M485" s="19" t="n">
        <v>31026697</v>
      </c>
      <c r="N485" s="18" t="n">
        <v>42783377</v>
      </c>
      <c r="O485" s="19" t="n">
        <v>28589406</v>
      </c>
      <c r="P485" s="18" t="n">
        <v>37212014</v>
      </c>
      <c r="Q485" s="19" t="n">
        <v>160413</v>
      </c>
      <c r="R485" s="18" t="n">
        <v>59879252</v>
      </c>
      <c r="S485" s="20" t="n">
        <v>176966</v>
      </c>
      <c r="T485" s="6" t="n">
        <v>1</v>
      </c>
      <c r="U485" s="5" t="inlineStr">
        <is>
          <t>열교환기 외 / -</t>
        </is>
      </c>
      <c r="V485" s="21">
        <f>HYPERLINK("https://dart.fss.or.kr/dsaf001/main.do?rcpNo=20260814002456", "공시열람")</f>
        <v/>
      </c>
    </row>
    <row r="486">
      <c r="A486" s="5" t="inlineStr">
        <is>
          <t>SDN</t>
        </is>
      </c>
      <c r="B486" s="6" t="inlineStr">
        <is>
          <t>099220</t>
        </is>
      </c>
      <c r="C486" s="6" t="inlineStr">
        <is>
          <t>2026Q2</t>
        </is>
      </c>
      <c r="D486" s="6" t="inlineStr">
        <is>
          <t>20260814</t>
        </is>
      </c>
      <c r="E486" s="16" t="n">
        <v>35492</v>
      </c>
      <c r="F486" s="16" t="n">
        <v>8501</v>
      </c>
      <c r="G486" s="16" t="n">
        <v>26991</v>
      </c>
      <c r="H486" s="6" t="inlineStr">
        <is>
          <t>백만원</t>
        </is>
      </c>
      <c r="I486" s="17" t="n">
        <v>-7.8</v>
      </c>
      <c r="J486" s="18" t="n">
        <v>24772</v>
      </c>
      <c r="K486" s="19" t="n">
        <v>24181</v>
      </c>
      <c r="L486" s="18" t="n">
        <v>34901</v>
      </c>
      <c r="M486" s="19" t="n">
        <v>33560</v>
      </c>
      <c r="N486" s="18" t="n">
        <v>33560</v>
      </c>
      <c r="O486" s="19" t="n">
        <v>30441</v>
      </c>
      <c r="P486" s="18" t="n">
        <v>30441</v>
      </c>
      <c r="Q486" s="19" t="n">
        <v>29779</v>
      </c>
      <c r="R486" s="18" t="n">
        <v>29283</v>
      </c>
      <c r="S486" s="20" t="n">
        <v>26991</v>
      </c>
      <c r="T486" s="6" t="n">
        <v>2</v>
      </c>
      <c r="U486" s="5" t="inlineStr">
        <is>
          <t>태양광모듈 외 / 24.03.26 / 28.12.31 | 태양광발전소건설공사 / 24.06.03 / 27.12.</t>
        </is>
      </c>
      <c r="V486" s="21">
        <f>HYPERLINK("https://dart.fss.or.kr/dsaf001/main.do?rcpNo=20260814002380", "공시열람")</f>
        <v/>
      </c>
    </row>
    <row r="487">
      <c r="A487" s="5" t="inlineStr">
        <is>
          <t>쎄트렉아이</t>
        </is>
      </c>
      <c r="B487" s="6" t="inlineStr">
        <is>
          <t>099320</t>
        </is>
      </c>
      <c r="C487" s="6" t="inlineStr">
        <is>
          <t>2026Q2</t>
        </is>
      </c>
      <c r="D487" s="6" t="inlineStr">
        <is>
          <t>20260813</t>
        </is>
      </c>
      <c r="E487" s="16" t="n">
        <v>11477</v>
      </c>
      <c r="F487" s="16" t="n">
        <v>5903</v>
      </c>
      <c r="G487" s="16" t="n">
        <v>5574</v>
      </c>
      <c r="H487" s="6" t="inlineStr">
        <is>
          <t>억원</t>
        </is>
      </c>
      <c r="I487" s="17" t="n">
        <v>-2</v>
      </c>
      <c r="J487" s="18" t="n">
        <v>3377</v>
      </c>
      <c r="K487" s="19" t="n">
        <v>3936</v>
      </c>
      <c r="L487" s="18" t="n">
        <v>5417</v>
      </c>
      <c r="M487" s="19" t="n">
        <v>5110</v>
      </c>
      <c r="N487" s="18" t="n">
        <v>4755</v>
      </c>
      <c r="O487" s="19" t="n">
        <v>4462</v>
      </c>
      <c r="P487" s="18" t="n">
        <v>4088</v>
      </c>
      <c r="Q487" s="19" t="n">
        <v>3458</v>
      </c>
      <c r="R487" s="18" t="n">
        <v>5690</v>
      </c>
      <c r="S487" s="20" t="n">
        <v>5574</v>
      </c>
      <c r="T487" s="6" t="n">
        <v>1</v>
      </c>
      <c r="U487" s="5" t="inlineStr">
        <is>
          <t>위성사업 / -</t>
        </is>
      </c>
      <c r="V487" s="21">
        <f>HYPERLINK("https://dart.fss.or.kr/dsaf001/main.do?rcpNo=20260813001317", "공시열람")</f>
        <v/>
      </c>
    </row>
    <row r="488">
      <c r="A488" s="5" t="inlineStr">
        <is>
          <t>스맥</t>
        </is>
      </c>
      <c r="B488" s="6" t="inlineStr">
        <is>
          <t>099440</t>
        </is>
      </c>
      <c r="C488" s="6" t="inlineStr">
        <is>
          <t>2026Q2</t>
        </is>
      </c>
      <c r="D488" s="6" t="inlineStr">
        <is>
          <t>20260814</t>
        </is>
      </c>
      <c r="E488" s="16" t="n">
        <v>145850</v>
      </c>
      <c r="F488" s="16" t="n">
        <v>71500</v>
      </c>
      <c r="G488" s="16" t="n">
        <v>97050</v>
      </c>
      <c r="H488" s="6" t="inlineStr">
        <is>
          <t>대/백만원</t>
        </is>
      </c>
      <c r="I488" s="17" t="n">
        <v>36.9</v>
      </c>
      <c r="J488" s="18" t="n">
        <v>55259</v>
      </c>
      <c r="K488" s="19" t="n">
        <v>50050</v>
      </c>
      <c r="L488" s="18" t="n">
        <v>43887</v>
      </c>
      <c r="M488" s="19" t="n">
        <v>44440</v>
      </c>
      <c r="N488" s="18" t="n">
        <v>47944</v>
      </c>
      <c r="O488" s="19" t="n">
        <v>41714</v>
      </c>
      <c r="P488" s="18" t="n">
        <v>34254</v>
      </c>
      <c r="Q488" s="19" t="n">
        <v>66798</v>
      </c>
      <c r="R488" s="18" t="n">
        <v>70885</v>
      </c>
      <c r="S488" s="20" t="n">
        <v>97050</v>
      </c>
      <c r="T488" s="6" t="n">
        <v>2</v>
      </c>
      <c r="U488" s="5" t="inlineStr">
        <is>
          <t>MCT / ~ 2026-06-30 / ~ 2027-07 | CNC선반 / ~ 2026-06-30 / ~ 2027-</t>
        </is>
      </c>
      <c r="V488" s="21">
        <f>HYPERLINK("https://dart.fss.or.kr/dsaf001/main.do?rcpNo=20260814002700", "공시열람")</f>
        <v/>
      </c>
    </row>
    <row r="489">
      <c r="A489" s="5" t="inlineStr">
        <is>
          <t>DGI</t>
        </is>
      </c>
      <c r="B489" s="6" t="inlineStr">
        <is>
          <t>099520</t>
        </is>
      </c>
      <c r="C489" s="6" t="inlineStr">
        <is>
          <t>2026Q2</t>
        </is>
      </c>
      <c r="D489" s="6" t="inlineStr">
        <is>
          <t>20261001</t>
        </is>
      </c>
      <c r="E489" s="16" t="n">
        <v>88308</v>
      </c>
      <c r="F489" s="16" t="n">
        <v>18877</v>
      </c>
      <c r="G489" s="16" t="n">
        <v>69431</v>
      </c>
      <c r="H489" s="6" t="inlineStr">
        <is>
          <t>백만원</t>
        </is>
      </c>
      <c r="I489" s="17" t="n">
        <v>405.9</v>
      </c>
      <c r="J489" s="18" t="inlineStr"/>
      <c r="K489" s="19" t="inlineStr"/>
      <c r="L489" s="18" t="inlineStr"/>
      <c r="M489" s="19" t="n">
        <v>7418</v>
      </c>
      <c r="N489" s="18" t="n">
        <v>22168</v>
      </c>
      <c r="O489" s="19" t="n">
        <v>7168</v>
      </c>
      <c r="P489" s="18" t="n">
        <v>17512</v>
      </c>
      <c r="Q489" s="19" t="n">
        <v>17944</v>
      </c>
      <c r="R489" s="18" t="n">
        <v>13723</v>
      </c>
      <c r="S489" s="20" t="n">
        <v>69431</v>
      </c>
      <c r="T489" s="6" t="n">
        <v>7</v>
      </c>
      <c r="U489" s="5" t="inlineStr">
        <is>
          <t>해상풍력 EPC / 2026.04.23 / 2027.0 | 해상풍력 기자재운송 / 2026.04.23 / 2028 | 해상풍력 EPC / 2026.04.23 / 2028.0</t>
        </is>
      </c>
      <c r="V489" s="21">
        <f>HYPERLINK("https://dart.fss.or.kr/dsaf001/main.do?rcpNo=20261001000320", "공시열람")</f>
        <v/>
      </c>
    </row>
    <row r="490">
      <c r="A490" s="5" t="inlineStr">
        <is>
          <t>이지케어텍</t>
        </is>
      </c>
      <c r="B490" s="6" t="inlineStr">
        <is>
          <t>099750</t>
        </is>
      </c>
      <c r="C490" s="6" t="inlineStr">
        <is>
          <t>2026Q2</t>
        </is>
      </c>
      <c r="D490" s="6" t="inlineStr">
        <is>
          <t>20260807</t>
        </is>
      </c>
      <c r="E490" s="16" t="n">
        <v>143772</v>
      </c>
      <c r="F490" s="16" t="n">
        <v>88051</v>
      </c>
      <c r="G490" s="16" t="n">
        <v>55721</v>
      </c>
      <c r="H490" s="6" t="inlineStr">
        <is>
          <t>백만원</t>
        </is>
      </c>
      <c r="I490" s="17" t="n">
        <v>-18.4</v>
      </c>
      <c r="J490" s="18" t="n">
        <v>55194</v>
      </c>
      <c r="K490" s="19" t="n">
        <v>48338</v>
      </c>
      <c r="L490" s="18" t="n">
        <v>42200</v>
      </c>
      <c r="M490" s="19" t="n">
        <v>41625</v>
      </c>
      <c r="N490" s="18" t="n">
        <v>58466</v>
      </c>
      <c r="O490" s="19" t="n">
        <v>63507</v>
      </c>
      <c r="P490" s="18" t="n">
        <v>64624</v>
      </c>
      <c r="Q490" s="19" t="n">
        <v>74850</v>
      </c>
      <c r="R490" s="18" t="n">
        <v>68245</v>
      </c>
      <c r="S490" s="20" t="n">
        <v>55721</v>
      </c>
      <c r="T490" s="6" t="n">
        <v>2</v>
      </c>
      <c r="U490" s="5" t="inlineStr">
        <is>
          <t>의료정보시스템 운영 밎 유지보수 / 2023.11.15 | 의료정보시스템 개발 및 판매 / 2021.10.27 /</t>
        </is>
      </c>
      <c r="V490" s="21">
        <f>HYPERLINK("https://dart.fss.or.kr/dsaf001/main.do?rcpNo=20260807000168", "공시열람")</f>
        <v/>
      </c>
    </row>
    <row r="491">
      <c r="A491" s="5" t="inlineStr">
        <is>
          <t>SK오션플랜트</t>
        </is>
      </c>
      <c r="B491" s="6" t="inlineStr">
        <is>
          <t>100090</t>
        </is>
      </c>
      <c r="C491" s="6" t="inlineStr">
        <is>
          <t>2026Q2</t>
        </is>
      </c>
      <c r="D491" s="6" t="inlineStr">
        <is>
          <t>20260814</t>
        </is>
      </c>
      <c r="E491" s="16" t="inlineStr"/>
      <c r="F491" s="16" t="inlineStr"/>
      <c r="G491" s="16" t="n">
        <v>76190122.92</v>
      </c>
      <c r="H491" s="6" t="inlineStr">
        <is>
          <t>USD</t>
        </is>
      </c>
      <c r="I491" s="17" t="n">
        <v>5.1</v>
      </c>
      <c r="J491" s="18" t="n">
        <v>638515958</v>
      </c>
      <c r="K491" s="19" t="n">
        <v>592446760</v>
      </c>
      <c r="L491" s="18" t="n">
        <v>715643697</v>
      </c>
      <c r="M491" s="19" t="n">
        <v>1196760</v>
      </c>
      <c r="N491" s="18" t="n">
        <v>773150448</v>
      </c>
      <c r="O491" s="19" t="n">
        <v>569760189</v>
      </c>
      <c r="P491" s="18" t="n">
        <v>387739573</v>
      </c>
      <c r="Q491" s="19" t="n">
        <v>256534425</v>
      </c>
      <c r="R491" s="18" t="n">
        <v>72500195</v>
      </c>
      <c r="S491" s="20" t="n">
        <v>76190122.92</v>
      </c>
      <c r="T491" s="6" t="n">
        <v>2</v>
      </c>
      <c r="U491" s="5" t="inlineStr">
        <is>
          <t>통화선도 / 공정가치위험회피 / 2024.05~2024 | 통화선도 / 이자율스왑 / 2023.08.31 / 20</t>
        </is>
      </c>
      <c r="V491" s="21">
        <f>HYPERLINK("https://dart.fss.or.kr/dsaf001/main.do?rcpNo=20260814000534", "공시열람")</f>
        <v/>
      </c>
    </row>
    <row r="492">
      <c r="A492" s="5" t="inlineStr">
        <is>
          <t>동국S&amp;C</t>
        </is>
      </c>
      <c r="B492" s="6" t="inlineStr">
        <is>
          <t>100130</t>
        </is>
      </c>
      <c r="C492" s="6" t="inlineStr">
        <is>
          <t>2026Q2</t>
        </is>
      </c>
      <c r="D492" s="6" t="inlineStr">
        <is>
          <t>20260813</t>
        </is>
      </c>
      <c r="E492" s="16" t="n">
        <v>126840</v>
      </c>
      <c r="F492" s="16" t="n">
        <v>31101</v>
      </c>
      <c r="G492" s="16" t="n">
        <v>95739</v>
      </c>
      <c r="H492" s="6" t="inlineStr">
        <is>
          <t>백만원</t>
        </is>
      </c>
      <c r="I492" s="17" t="n">
        <v>45.6</v>
      </c>
      <c r="J492" s="18" t="n">
        <v>177277134</v>
      </c>
      <c r="K492" s="19" t="n">
        <v>145264</v>
      </c>
      <c r="L492" s="18" t="n">
        <v>150197</v>
      </c>
      <c r="M492" s="19" t="n">
        <v>153382</v>
      </c>
      <c r="N492" s="18" t="n">
        <v>115187</v>
      </c>
      <c r="O492" s="19" t="n">
        <v>87559</v>
      </c>
      <c r="P492" s="18" t="n">
        <v>60373086</v>
      </c>
      <c r="Q492" s="19" t="n">
        <v>64204</v>
      </c>
      <c r="R492" s="18" t="n">
        <v>65738</v>
      </c>
      <c r="S492" s="20" t="n">
        <v>95739</v>
      </c>
      <c r="T492" s="6" t="n">
        <v>2</v>
      </c>
      <c r="U492" s="5" t="inlineStr">
        <is>
          <t>WIND-TOWER / ~ 2026. 6. 30 / 2 | 건설, 에너지 개발사업 / ~ 2026. 6. 30 /</t>
        </is>
      </c>
      <c r="V492" s="21">
        <f>HYPERLINK("https://dart.fss.or.kr/dsaf001/main.do?rcpNo=20260813000877", "공시열람")</f>
        <v/>
      </c>
    </row>
    <row r="493">
      <c r="A493" s="5" t="inlineStr">
        <is>
          <t>SNT에너지</t>
        </is>
      </c>
      <c r="B493" s="6" t="inlineStr">
        <is>
          <t>100840</t>
        </is>
      </c>
      <c r="C493" s="6" t="inlineStr">
        <is>
          <t>2026Q2</t>
        </is>
      </c>
      <c r="D493" s="6" t="inlineStr">
        <is>
          <t>20260812</t>
        </is>
      </c>
      <c r="E493" s="16" t="inlineStr"/>
      <c r="F493" s="16" t="inlineStr"/>
      <c r="G493" s="16" t="n">
        <v>518005391</v>
      </c>
      <c r="H493" s="6" t="inlineStr">
        <is>
          <t>천원</t>
        </is>
      </c>
      <c r="I493" s="17" t="n">
        <v>42.8</v>
      </c>
      <c r="J493" s="18" t="n">
        <v>378660721</v>
      </c>
      <c r="K493" s="19" t="n">
        <v>510880784</v>
      </c>
      <c r="L493" s="18" t="n">
        <v>542414205</v>
      </c>
      <c r="M493" s="19" t="n">
        <v>714054404</v>
      </c>
      <c r="N493" s="18" t="n">
        <v>869785741</v>
      </c>
      <c r="O493" s="19" t="n">
        <v>713313296</v>
      </c>
      <c r="P493" s="18" t="n">
        <v>626102886</v>
      </c>
      <c r="Q493" s="19" t="n">
        <v>594100509</v>
      </c>
      <c r="R493" s="18" t="n">
        <v>362796490</v>
      </c>
      <c r="S493" s="20" t="n">
        <v>518005391</v>
      </c>
      <c r="T493" s="6" t="n">
        <v>2</v>
      </c>
      <c r="U493" s="5" t="inlineStr">
        <is>
          <t>해 외 | 국 내</t>
        </is>
      </c>
      <c r="V493" s="21">
        <f>HYPERLINK("https://dart.fss.or.kr/dsaf001/main.do?rcpNo=20260812000070", "공시열람")</f>
        <v/>
      </c>
    </row>
    <row r="494">
      <c r="A494" s="5" t="inlineStr">
        <is>
          <t>KS인더스트리</t>
        </is>
      </c>
      <c r="B494" s="6" t="inlineStr">
        <is>
          <t>101000</t>
        </is>
      </c>
      <c r="C494" s="6" t="inlineStr">
        <is>
          <t>2026Q2</t>
        </is>
      </c>
      <c r="D494" s="6" t="inlineStr">
        <is>
          <t>20261007</t>
        </is>
      </c>
      <c r="E494" s="16" t="n">
        <v>74717</v>
      </c>
      <c r="F494" s="16" t="n">
        <v>15746</v>
      </c>
      <c r="G494" s="16" t="n">
        <v>58971</v>
      </c>
      <c r="H494" s="6" t="inlineStr">
        <is>
          <t>백만원</t>
        </is>
      </c>
      <c r="I494" s="17" t="n">
        <v>-5.8</v>
      </c>
      <c r="J494" s="18" t="n">
        <v>60280</v>
      </c>
      <c r="K494" s="19" t="n">
        <v>46368</v>
      </c>
      <c r="L494" s="18" t="n">
        <v>45528</v>
      </c>
      <c r="M494" s="19" t="n">
        <v>50431</v>
      </c>
      <c r="N494" s="18" t="n">
        <v>55053</v>
      </c>
      <c r="O494" s="19" t="n">
        <v>55938</v>
      </c>
      <c r="P494" s="18" t="n">
        <v>51504</v>
      </c>
      <c r="Q494" s="19" t="n">
        <v>53494</v>
      </c>
      <c r="R494" s="18" t="n">
        <v>62575</v>
      </c>
      <c r="S494" s="20" t="n">
        <v>58971</v>
      </c>
      <c r="T494" s="6" t="n">
        <v>2</v>
      </c>
      <c r="U494" s="5" t="inlineStr">
        <is>
          <t>선박구성부분품 제조 / - | 기자재 판매 및 수리 / -</t>
        </is>
      </c>
      <c r="V494" s="21">
        <f>HYPERLINK("https://dart.fss.or.kr/dsaf001/main.do?rcpNo=20261007000070", "공시열람")</f>
        <v/>
      </c>
    </row>
    <row r="495">
      <c r="A495" s="5" t="inlineStr">
        <is>
          <t>하이드로리튬</t>
        </is>
      </c>
      <c r="B495" s="6" t="inlineStr">
        <is>
          <t>101670</t>
        </is>
      </c>
      <c r="C495" s="6" t="inlineStr">
        <is>
          <t>2025Q4</t>
        </is>
      </c>
      <c r="D495" s="6" t="inlineStr">
        <is>
          <t>20260724</t>
        </is>
      </c>
      <c r="E495" s="16" t="inlineStr"/>
      <c r="F495" s="16" t="inlineStr"/>
      <c r="G495" s="16" t="n">
        <v>1061277</v>
      </c>
      <c r="H495" s="6" t="inlineStr">
        <is>
          <t>천원</t>
        </is>
      </c>
      <c r="I495" s="17" t="n">
        <v>0</v>
      </c>
      <c r="J495" s="18" t="n">
        <v>10575</v>
      </c>
      <c r="K495" s="19" t="n">
        <v>9381</v>
      </c>
      <c r="L495" s="18" t="n">
        <v>1431</v>
      </c>
      <c r="M495" s="19" t="n">
        <v>3316358</v>
      </c>
      <c r="N495" s="18" t="n">
        <v>1061277</v>
      </c>
      <c r="O495" s="19" t="n">
        <v>1061277</v>
      </c>
      <c r="P495" s="18" t="n">
        <v>1061277</v>
      </c>
      <c r="Q495" s="19" t="n">
        <v>1061277</v>
      </c>
      <c r="R495" s="18" t="inlineStr"/>
      <c r="S495" s="20" t="inlineStr"/>
      <c r="T495" s="6" t="n">
        <v>5</v>
      </c>
      <c r="U495" s="5" t="inlineStr">
        <is>
          <t>상촌-황간 / - | 강진-광주1공구 / - | 강릉교동 / -</t>
        </is>
      </c>
      <c r="V495" s="21">
        <f>HYPERLINK("https://dart.fss.or.kr/dsaf001/main.do?rcpNo=20260724000378", "공시열람")</f>
        <v/>
      </c>
    </row>
    <row r="496">
      <c r="A496" s="5" t="inlineStr">
        <is>
          <t>한국정밀기계</t>
        </is>
      </c>
      <c r="B496" s="6" t="inlineStr">
        <is>
          <t>101680</t>
        </is>
      </c>
      <c r="C496" s="6" t="inlineStr">
        <is>
          <t>2026Q2</t>
        </is>
      </c>
      <c r="D496" s="6" t="inlineStr">
        <is>
          <t>20260814</t>
        </is>
      </c>
      <c r="E496" s="16" t="n">
        <v>1116</v>
      </c>
      <c r="F496" s="16" t="n">
        <v>128</v>
      </c>
      <c r="G496" s="16" t="n">
        <v>988</v>
      </c>
      <c r="H496" s="6" t="inlineStr">
        <is>
          <t>억원</t>
        </is>
      </c>
      <c r="I496" s="17" t="n">
        <v>15.8</v>
      </c>
      <c r="J496" s="18" t="n">
        <v>827</v>
      </c>
      <c r="K496" s="19" t="n">
        <v>744</v>
      </c>
      <c r="L496" s="18" t="n">
        <v>530</v>
      </c>
      <c r="M496" s="19" t="n">
        <v>503</v>
      </c>
      <c r="N496" s="18" t="n">
        <v>514</v>
      </c>
      <c r="O496" s="19" t="n">
        <v>496</v>
      </c>
      <c r="P496" s="18" t="n">
        <v>474</v>
      </c>
      <c r="Q496" s="19" t="n">
        <v>461</v>
      </c>
      <c r="R496" s="18" t="n">
        <v>853</v>
      </c>
      <c r="S496" s="20" t="n">
        <v>988</v>
      </c>
      <c r="T496" s="6" t="n">
        <v>1</v>
      </c>
      <c r="U496" s="5" t="inlineStr">
        <is>
          <t>공작기계 / 2026년 06월 30일 현재</t>
        </is>
      </c>
      <c r="V496" s="21">
        <f>HYPERLINK("https://dart.fss.or.kr/dsaf001/main.do?rcpNo=20260814002131", "공시열람")</f>
        <v/>
      </c>
    </row>
    <row r="497">
      <c r="A497" s="5" t="inlineStr">
        <is>
          <t>인화정공</t>
        </is>
      </c>
      <c r="B497" s="6" t="inlineStr">
        <is>
          <t>101930</t>
        </is>
      </c>
      <c r="C497" s="6" t="inlineStr">
        <is>
          <t>2026Q2</t>
        </is>
      </c>
      <c r="D497" s="6" t="inlineStr">
        <is>
          <t>20260814</t>
        </is>
      </c>
      <c r="E497" s="16" t="n">
        <v>137268</v>
      </c>
      <c r="F497" s="16" t="n">
        <v>58609</v>
      </c>
      <c r="G497" s="16" t="n">
        <v>78659</v>
      </c>
      <c r="H497" s="6" t="inlineStr">
        <is>
          <t>백만원</t>
        </is>
      </c>
      <c r="I497" s="17" t="n">
        <v>-3.7</v>
      </c>
      <c r="J497" s="18" t="n">
        <v>55744</v>
      </c>
      <c r="K497" s="19" t="n">
        <v>43007</v>
      </c>
      <c r="L497" s="18" t="n">
        <v>56304</v>
      </c>
      <c r="M497" s="19" t="n">
        <v>68955</v>
      </c>
      <c r="N497" s="18" t="n">
        <v>67993</v>
      </c>
      <c r="O497" s="19" t="n">
        <v>69869</v>
      </c>
      <c r="P497" s="18" t="n">
        <v>65852</v>
      </c>
      <c r="Q497" s="19" t="n">
        <v>72946</v>
      </c>
      <c r="R497" s="18" t="n">
        <v>81670</v>
      </c>
      <c r="S497" s="20" t="n">
        <v>78659</v>
      </c>
      <c r="T497" s="6" t="n">
        <v>13</v>
      </c>
      <c r="U497" s="5" t="inlineStr">
        <is>
          <t>Cylinder Cover / - | 지식산업센타(분양) / - | Frame Box / -</t>
        </is>
      </c>
      <c r="V497" s="21">
        <f>HYPERLINK("https://dart.fss.or.kr/dsaf001/main.do?rcpNo=20260814002712", "공시열람")</f>
        <v/>
      </c>
    </row>
    <row r="498">
      <c r="A498" s="5" t="inlineStr">
        <is>
          <t>우양에이치씨</t>
        </is>
      </c>
      <c r="B498" s="6" t="inlineStr">
        <is>
          <t>101970</t>
        </is>
      </c>
      <c r="C498" s="6" t="inlineStr">
        <is>
          <t>2026Q2</t>
        </is>
      </c>
      <c r="D498" s="6" t="inlineStr">
        <is>
          <t>20260814</t>
        </is>
      </c>
      <c r="E498" s="16" t="n">
        <v>161085</v>
      </c>
      <c r="F498" s="16" t="n">
        <v>52754</v>
      </c>
      <c r="G498" s="16" t="n">
        <v>108331</v>
      </c>
      <c r="H498" s="6" t="inlineStr">
        <is>
          <t>백만원</t>
        </is>
      </c>
      <c r="I498" s="17" t="n">
        <v>35.5</v>
      </c>
      <c r="J498" s="18" t="n">
        <v>103327</v>
      </c>
      <c r="K498" s="19" t="n">
        <v>107307</v>
      </c>
      <c r="L498" s="18" t="n">
        <v>111117</v>
      </c>
      <c r="M498" s="19" t="n">
        <v>100156</v>
      </c>
      <c r="N498" s="18" t="n">
        <v>74946</v>
      </c>
      <c r="O498" s="19" t="n">
        <v>67017</v>
      </c>
      <c r="P498" s="18" t="n">
        <v>112815</v>
      </c>
      <c r="Q498" s="19" t="n">
        <v>94833</v>
      </c>
      <c r="R498" s="18" t="n">
        <v>79953</v>
      </c>
      <c r="S498" s="20" t="n">
        <v>108331</v>
      </c>
      <c r="T498" s="6" t="n">
        <v>1</v>
      </c>
      <c r="U498" s="5" t="inlineStr">
        <is>
          <t>열교환기 외 / -</t>
        </is>
      </c>
      <c r="V498" s="21">
        <f>HYPERLINK("https://dart.fss.or.kr/dsaf001/main.do?rcpNo=20260814004059", "공시열람")</f>
        <v/>
      </c>
    </row>
    <row r="499">
      <c r="A499" s="5" t="inlineStr">
        <is>
          <t>동성케미컬</t>
        </is>
      </c>
      <c r="B499" s="6" t="inlineStr">
        <is>
          <t>102260</t>
        </is>
      </c>
      <c r="C499" s="6" t="inlineStr">
        <is>
          <t>2026Q2</t>
        </is>
      </c>
      <c r="D499" s="6" t="inlineStr">
        <is>
          <t>20260814</t>
        </is>
      </c>
      <c r="E499" s="16" t="n">
        <v>2417695</v>
      </c>
      <c r="F499" s="16" t="n">
        <v>376610</v>
      </c>
      <c r="G499" s="16" t="n">
        <v>2041085</v>
      </c>
      <c r="H499" s="6" t="inlineStr">
        <is>
          <t>백만원</t>
        </is>
      </c>
      <c r="I499" s="17" t="n">
        <v>-1.7</v>
      </c>
      <c r="J499" s="18" t="n">
        <v>2162743</v>
      </c>
      <c r="K499" s="19" t="n">
        <v>2134423</v>
      </c>
      <c r="L499" s="18" t="n">
        <v>1961903</v>
      </c>
      <c r="M499" s="19" t="n">
        <v>2463453</v>
      </c>
      <c r="N499" s="18" t="n">
        <v>2348386</v>
      </c>
      <c r="O499" s="19" t="n">
        <v>2029077</v>
      </c>
      <c r="P499" s="18" t="n">
        <v>2219631</v>
      </c>
      <c r="Q499" s="19" t="n">
        <v>2137675</v>
      </c>
      <c r="R499" s="18" t="n">
        <v>2076400</v>
      </c>
      <c r="S499" s="20" t="n">
        <v>2041085</v>
      </c>
      <c r="T499" s="6" t="n">
        <v>1</v>
      </c>
      <c r="U499" s="5" t="inlineStr">
        <is>
          <t>초저온보냉재 / -</t>
        </is>
      </c>
      <c r="V499" s="21">
        <f>HYPERLINK("https://dart.fss.or.kr/dsaf001/main.do?rcpNo=20260814003663", "공시열람")</f>
        <v/>
      </c>
    </row>
    <row r="500">
      <c r="A500" s="5" t="inlineStr">
        <is>
          <t>풍산</t>
        </is>
      </c>
      <c r="B500" s="6" t="inlineStr">
        <is>
          <t>103140</t>
        </is>
      </c>
      <c r="C500" s="6" t="inlineStr">
        <is>
          <t>2026Q2</t>
        </is>
      </c>
      <c r="D500" s="6" t="inlineStr">
        <is>
          <t>20260814</t>
        </is>
      </c>
      <c r="E500" s="16" t="n">
        <v>894520</v>
      </c>
      <c r="F500" s="16" t="inlineStr"/>
      <c r="G500" s="16" t="n">
        <v>894520</v>
      </c>
      <c r="H500" s="6" t="inlineStr">
        <is>
          <t>M/T,백만원</t>
        </is>
      </c>
      <c r="I500" s="17" t="n">
        <v>-92.40000000000001</v>
      </c>
      <c r="J500" s="18" t="n">
        <v>1806476</v>
      </c>
      <c r="K500" s="19" t="n">
        <v>2049935</v>
      </c>
      <c r="L500" s="18" t="n">
        <v>1954517</v>
      </c>
      <c r="M500" s="19" t="n">
        <v>2047983</v>
      </c>
      <c r="N500" s="18" t="n">
        <v>644071</v>
      </c>
      <c r="O500" s="19" t="n">
        <v>641296</v>
      </c>
      <c r="P500" s="18" t="n">
        <v>660749</v>
      </c>
      <c r="Q500" s="19" t="n">
        <v>15801794</v>
      </c>
      <c r="R500" s="18" t="n">
        <v>11733706</v>
      </c>
      <c r="S500" s="20" t="n">
        <v>894520</v>
      </c>
      <c r="T500" s="6" t="n">
        <v>8</v>
      </c>
      <c r="U500" s="5" t="inlineStr">
        <is>
          <t>판/대 / '26.7월이후 | 봉/선 / '26.7월이후 | 기타 / '26.7월이후</t>
        </is>
      </c>
      <c r="V500" s="21">
        <f>HYPERLINK("https://dart.fss.or.kr/dsaf001/main.do?rcpNo=20260814004203", "공시열람")</f>
        <v/>
      </c>
    </row>
    <row r="501">
      <c r="A501" s="5" t="inlineStr">
        <is>
          <t>에스앤더블류</t>
        </is>
      </c>
      <c r="B501" s="6" t="inlineStr">
        <is>
          <t>103230</t>
        </is>
      </c>
      <c r="C501" s="6" t="inlineStr">
        <is>
          <t>2026Q2</t>
        </is>
      </c>
      <c r="D501" s="6" t="inlineStr">
        <is>
          <t>20260814</t>
        </is>
      </c>
      <c r="E501" s="16" t="n">
        <v>31970238</v>
      </c>
      <c r="F501" s="16" t="inlineStr"/>
      <c r="G501" s="16" t="n">
        <v>18903460</v>
      </c>
      <c r="H501" s="6" t="inlineStr">
        <is>
          <t>개/천원</t>
        </is>
      </c>
      <c r="I501" s="17" t="n">
        <v>16.1</v>
      </c>
      <c r="J501" s="18" t="n">
        <v>14416190</v>
      </c>
      <c r="K501" s="19" t="n">
        <v>14811252</v>
      </c>
      <c r="L501" s="18" t="n">
        <v>13647213</v>
      </c>
      <c r="M501" s="19" t="inlineStr"/>
      <c r="N501" s="18" t="n">
        <v>16203506</v>
      </c>
      <c r="O501" s="19" t="n">
        <v>14686646</v>
      </c>
      <c r="P501" s="18" t="n">
        <v>17482991</v>
      </c>
      <c r="Q501" s="19" t="n">
        <v>15315763</v>
      </c>
      <c r="R501" s="18" t="n">
        <v>16287016</v>
      </c>
      <c r="S501" s="20" t="n">
        <v>18903460</v>
      </c>
      <c r="T501" s="6" t="n">
        <v>5</v>
      </c>
      <c r="U501" s="5" t="inlineStr">
        <is>
          <t>선박(디젤) 엔진부품 (ST/EA) / 엔진볼트(ST/ | 선박(디젤) 엔진부품 (ST/EA) / 캠/캠축(ST/ | 선박(디젤) 엔진부품 (ST/EA) / 밸브시트링외(S</t>
        </is>
      </c>
      <c r="V501" s="21">
        <f>HYPERLINK("https://dart.fss.or.kr/dsaf001/main.do?rcpNo=20260814000331", "공시열람")</f>
        <v/>
      </c>
    </row>
    <row r="502">
      <c r="A502" s="5" t="inlineStr">
        <is>
          <t>일진전기</t>
        </is>
      </c>
      <c r="B502" s="6" t="inlineStr">
        <is>
          <t>103590</t>
        </is>
      </c>
      <c r="C502" s="6" t="inlineStr">
        <is>
          <t>2026Q2</t>
        </is>
      </c>
      <c r="D502" s="6" t="inlineStr">
        <is>
          <t>20260811</t>
        </is>
      </c>
      <c r="E502" s="16" t="n">
        <v>2396160</v>
      </c>
      <c r="F502" s="16" t="n">
        <v>457069</v>
      </c>
      <c r="G502" s="16" t="n">
        <v>1939091</v>
      </c>
      <c r="H502" s="6" t="inlineStr">
        <is>
          <t>천USD</t>
        </is>
      </c>
      <c r="I502" s="17" t="n">
        <v>10.1</v>
      </c>
      <c r="J502" s="18" t="n">
        <v>1569945</v>
      </c>
      <c r="K502" s="19" t="n">
        <v>1645310</v>
      </c>
      <c r="L502" s="18" t="n">
        <v>1767894</v>
      </c>
      <c r="M502" s="19" t="n">
        <v>1671889</v>
      </c>
      <c r="N502" s="18" t="n">
        <v>1810470</v>
      </c>
      <c r="O502" s="19" t="n">
        <v>1892594</v>
      </c>
      <c r="P502" s="18" t="n">
        <v>1807060</v>
      </c>
      <c r="Q502" s="19" t="n">
        <v>1624785</v>
      </c>
      <c r="R502" s="18" t="n">
        <v>1761584</v>
      </c>
      <c r="S502" s="20" t="n">
        <v>1939091</v>
      </c>
      <c r="T502" s="6" t="n">
        <v>4</v>
      </c>
      <c r="U502" s="5" t="inlineStr">
        <is>
          <t>변압기 등중전기 / 해외 / ~2026년 반기 | 전력선 등 / 해외 / ~2026년 반기 | 변압기 등중전기 / 국내 / ~2026년 반기</t>
        </is>
      </c>
      <c r="V502" s="21">
        <f>HYPERLINK("https://dart.fss.or.kr/dsaf001/main.do?rcpNo=20260811000431", "공시열람")</f>
        <v/>
      </c>
    </row>
    <row r="503">
      <c r="A503" s="5" t="inlineStr">
        <is>
          <t>씨앗</t>
        </is>
      </c>
      <c r="B503" s="6" t="inlineStr">
        <is>
          <t>103660</t>
        </is>
      </c>
      <c r="C503" s="6" t="inlineStr">
        <is>
          <t>2025Q4</t>
        </is>
      </c>
      <c r="D503" s="6" t="inlineStr">
        <is>
          <t>20260331</t>
        </is>
      </c>
      <c r="E503" s="16" t="n">
        <v>18691524</v>
      </c>
      <c r="F503" s="16" t="inlineStr"/>
      <c r="G503" s="16" t="n">
        <v>18691524</v>
      </c>
      <c r="H503" s="6" t="inlineStr">
        <is>
          <t>천원</t>
        </is>
      </c>
      <c r="I503" s="17" t="n">
        <v>37.8</v>
      </c>
      <c r="J503" s="18" t="inlineStr"/>
      <c r="K503" s="19" t="inlineStr"/>
      <c r="L503" s="18" t="inlineStr"/>
      <c r="M503" s="19" t="n">
        <v>13561726</v>
      </c>
      <c r="N503" s="18" t="inlineStr"/>
      <c r="O503" s="19" t="inlineStr"/>
      <c r="P503" s="18" t="inlineStr"/>
      <c r="Q503" s="19" t="n">
        <v>18691524</v>
      </c>
      <c r="R503" s="18" t="inlineStr"/>
      <c r="S503" s="20" t="inlineStr"/>
      <c r="T503" s="6" t="n">
        <v>2</v>
      </c>
      <c r="U503" s="5" t="inlineStr">
        <is>
          <t>PHOTO 미디어 / 2025년 하반기 / 2026년  | Card미디어 / 2025년 하반기 / 2026년 연중</t>
        </is>
      </c>
      <c r="V503" s="21">
        <f>HYPERLINK("https://dart.fss.or.kr/dsaf001/main.do?rcpNo=20260331000297", "공시열람")</f>
        <v/>
      </c>
    </row>
    <row r="504">
      <c r="A504" s="5" t="inlineStr">
        <is>
          <t>디와이피엔에프</t>
        </is>
      </c>
      <c r="B504" s="6" t="inlineStr">
        <is>
          <t>104460</t>
        </is>
      </c>
      <c r="C504" s="6" t="inlineStr">
        <is>
          <t>2026Q2</t>
        </is>
      </c>
      <c r="D504" s="6" t="inlineStr">
        <is>
          <t>20260814</t>
        </is>
      </c>
      <c r="E504" s="16" t="n">
        <v>261005082</v>
      </c>
      <c r="F504" s="16" t="n">
        <v>97497132</v>
      </c>
      <c r="G504" s="16" t="n">
        <v>163507950</v>
      </c>
      <c r="H504" s="6" t="inlineStr">
        <is>
          <t>천원</t>
        </is>
      </c>
      <c r="I504" s="17" t="n">
        <v>-15.2</v>
      </c>
      <c r="J504" s="18" t="n">
        <v>577429640</v>
      </c>
      <c r="K504" s="19" t="n">
        <v>565891586</v>
      </c>
      <c r="L504" s="18" t="n">
        <v>499946272</v>
      </c>
      <c r="M504" s="19" t="n">
        <v>574855125</v>
      </c>
      <c r="N504" s="18" t="n">
        <v>403394246</v>
      </c>
      <c r="O504" s="19" t="n">
        <v>300329960</v>
      </c>
      <c r="P504" s="18" t="n">
        <v>234415692</v>
      </c>
      <c r="Q504" s="19" t="n">
        <v>245548275</v>
      </c>
      <c r="R504" s="18" t="n">
        <v>192922574</v>
      </c>
      <c r="S504" s="20" t="n">
        <v>163507950</v>
      </c>
      <c r="T504" s="6" t="n">
        <v>12</v>
      </c>
      <c r="U504" s="5" t="inlineStr">
        <is>
          <t>E&amp;R(Engineering &amp; Renovation)  | 뉴메틱 컨베잉시스템 / 진행기준 | 뉴메틱 컨베잉시스템 / 단품</t>
        </is>
      </c>
      <c r="V504" s="21">
        <f>HYPERLINK("https://dart.fss.or.kr/dsaf001/main.do?rcpNo=20260814003674", "공시열람")</f>
        <v/>
      </c>
    </row>
    <row r="505">
      <c r="A505" s="5" t="inlineStr">
        <is>
          <t>티케이케미칼</t>
        </is>
      </c>
      <c r="B505" s="6" t="inlineStr">
        <is>
          <t>104480</t>
        </is>
      </c>
      <c r="C505" s="6" t="inlineStr">
        <is>
          <t>2026Q2</t>
        </is>
      </c>
      <c r="D505" s="6" t="inlineStr">
        <is>
          <t>20260813</t>
        </is>
      </c>
      <c r="E505" s="16" t="n">
        <v>459923</v>
      </c>
      <c r="F505" s="16" t="n">
        <v>325765</v>
      </c>
      <c r="G505" s="16" t="n">
        <v>134158</v>
      </c>
      <c r="H505" s="6" t="inlineStr">
        <is>
          <t>백만원</t>
        </is>
      </c>
      <c r="I505" s="17" t="n">
        <v>-2.7</v>
      </c>
      <c r="J505" s="18" t="n">
        <v>3603</v>
      </c>
      <c r="K505" s="19" t="n">
        <v>3590</v>
      </c>
      <c r="L505" s="18" t="n">
        <v>3590</v>
      </c>
      <c r="M505" s="19" t="n">
        <v>212106</v>
      </c>
      <c r="N505" s="18" t="n">
        <v>205891</v>
      </c>
      <c r="O505" s="19" t="n">
        <v>193621</v>
      </c>
      <c r="P505" s="18" t="n">
        <v>178106</v>
      </c>
      <c r="Q505" s="19" t="n">
        <v>153376</v>
      </c>
      <c r="R505" s="18" t="n">
        <v>137835</v>
      </c>
      <c r="S505" s="20" t="n">
        <v>134158</v>
      </c>
      <c r="T505" s="6" t="n">
        <v>3</v>
      </c>
      <c r="U505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5" s="21">
        <f>HYPERLINK("https://dart.fss.or.kr/dsaf001/main.do?rcpNo=20260813001687", "공시열람")</f>
        <v/>
      </c>
    </row>
    <row r="506">
      <c r="A506" s="5" t="inlineStr">
        <is>
          <t>한국철강</t>
        </is>
      </c>
      <c r="B506" s="6" t="inlineStr">
        <is>
          <t>104700</t>
        </is>
      </c>
      <c r="C506" s="6" t="inlineStr">
        <is>
          <t>2024Q1</t>
        </is>
      </c>
      <c r="D506" s="6" t="inlineStr">
        <is>
          <t>20240516</t>
        </is>
      </c>
      <c r="E506" s="16" t="n">
        <v>235354</v>
      </c>
      <c r="F506" s="16" t="n">
        <v>203710</v>
      </c>
      <c r="G506" s="16" t="n">
        <v>31644</v>
      </c>
      <c r="H506" s="6" t="inlineStr">
        <is>
          <t>톤,백만원</t>
        </is>
      </c>
      <c r="I506" s="17" t="n">
        <v>591.4</v>
      </c>
      <c r="J506" s="18" t="n">
        <v>31644</v>
      </c>
      <c r="K506" s="19" t="inlineStr"/>
      <c r="L506" s="18" t="inlineStr"/>
      <c r="M506" s="19" t="inlineStr"/>
      <c r="N506" s="18" t="inlineStr"/>
      <c r="O506" s="19" t="inlineStr"/>
      <c r="P506" s="18" t="inlineStr"/>
      <c r="Q506" s="19" t="inlineStr"/>
      <c r="R506" s="18" t="inlineStr"/>
      <c r="S506" s="20" t="inlineStr"/>
      <c r="T506" s="6" t="n">
        <v>1</v>
      </c>
      <c r="U506" s="5" t="inlineStr">
        <is>
          <t>철근 / 조달청 / 2022.05.09</t>
        </is>
      </c>
      <c r="V506" s="21">
        <f>HYPERLINK("https://dart.fss.or.kr/dsaf001/main.do?rcpNo=20240516000934", "공시열람")</f>
        <v/>
      </c>
    </row>
    <row r="507">
      <c r="A507" s="5" t="inlineStr">
        <is>
          <t>엣지파운드리</t>
        </is>
      </c>
      <c r="B507" s="6" t="inlineStr">
        <is>
          <t>105550</t>
        </is>
      </c>
      <c r="C507" s="6" t="inlineStr">
        <is>
          <t>2026Q2</t>
        </is>
      </c>
      <c r="D507" s="6" t="inlineStr">
        <is>
          <t>20260814</t>
        </is>
      </c>
      <c r="E507" s="16" t="n">
        <v>59597040000</v>
      </c>
      <c r="F507" s="16" t="n">
        <v>2700000000</v>
      </c>
      <c r="G507" s="16" t="n">
        <v>46097040000</v>
      </c>
      <c r="H507" s="6" t="inlineStr">
        <is>
          <t>원</t>
        </is>
      </c>
      <c r="I507" s="17" t="n">
        <v>-19</v>
      </c>
      <c r="J507" s="18" t="inlineStr"/>
      <c r="K507" s="19" t="inlineStr"/>
      <c r="L507" s="18" t="inlineStr"/>
      <c r="M507" s="19" t="n">
        <v>10800000000</v>
      </c>
      <c r="N507" s="18" t="n">
        <v>10800000000</v>
      </c>
      <c r="O507" s="19" t="n">
        <v>10800000000</v>
      </c>
      <c r="P507" s="18" t="n">
        <v>10800000000</v>
      </c>
      <c r="Q507" s="19" t="n">
        <v>56897040000</v>
      </c>
      <c r="R507" s="18" t="n">
        <v>56897040000</v>
      </c>
      <c r="S507" s="20" t="n">
        <v>46097040000</v>
      </c>
      <c r="T507" s="6" t="n">
        <v>2</v>
      </c>
      <c r="U507" s="5" t="inlineStr">
        <is>
          <t>적외선 열영상센서(주2) / 2025.12.10 / 2 | 적외선열영상카메라(퀀텀레드미니)(주1) / 2022.0</t>
        </is>
      </c>
      <c r="V507" s="21">
        <f>HYPERLINK("https://dart.fss.or.kr/dsaf001/main.do?rcpNo=20260814003917", "공시열람")</f>
        <v/>
      </c>
    </row>
    <row r="508">
      <c r="A508" s="5" t="inlineStr">
        <is>
          <t>우진</t>
        </is>
      </c>
      <c r="B508" s="6" t="inlineStr">
        <is>
          <t>105840</t>
        </is>
      </c>
      <c r="C508" s="6" t="inlineStr">
        <is>
          <t>2026Q2</t>
        </is>
      </c>
      <c r="D508" s="6" t="inlineStr">
        <is>
          <t>20260814</t>
        </is>
      </c>
      <c r="E508" s="16" t="n">
        <v>97481880</v>
      </c>
      <c r="F508" s="16" t="n">
        <v>11324368</v>
      </c>
      <c r="G508" s="16" t="n">
        <v>86157512</v>
      </c>
      <c r="H508" s="6" t="inlineStr">
        <is>
          <t>천원</t>
        </is>
      </c>
      <c r="I508" s="17" t="n">
        <v>4</v>
      </c>
      <c r="J508" s="18" t="n">
        <v>5731057</v>
      </c>
      <c r="K508" s="19" t="n">
        <v>5629630</v>
      </c>
      <c r="L508" s="18" t="n">
        <v>5550278</v>
      </c>
      <c r="M508" s="19" t="n">
        <v>5553093</v>
      </c>
      <c r="N508" s="18" t="n">
        <v>28999625</v>
      </c>
      <c r="O508" s="19" t="n">
        <v>23683452</v>
      </c>
      <c r="P508" s="18" t="n">
        <v>49380721</v>
      </c>
      <c r="Q508" s="19" t="n">
        <v>72226240</v>
      </c>
      <c r="R508" s="18" t="n">
        <v>82860463</v>
      </c>
      <c r="S508" s="20" t="n">
        <v>86157512</v>
      </c>
      <c r="T508" s="6" t="n">
        <v>13</v>
      </c>
      <c r="U508" s="5" t="inlineStr">
        <is>
          <t>신한울#3,4 ICI Assembly / 2025-08 | 2027년 표준형 원전 O/H용 노내핵계측기(ICI ) | 2027년 표준형 원전 O/H용 노내핵계측기(ICI )</t>
        </is>
      </c>
      <c r="V508" s="21">
        <f>HYPERLINK("https://dart.fss.or.kr/dsaf001/main.do?rcpNo=20260814001607", "공시열람")</f>
        <v/>
      </c>
    </row>
    <row r="509">
      <c r="A509" s="5" t="inlineStr">
        <is>
          <t>하이텍팜</t>
        </is>
      </c>
      <c r="B509" s="6" t="inlineStr">
        <is>
          <t>106190</t>
        </is>
      </c>
      <c r="C509" s="6" t="inlineStr">
        <is>
          <t>2026Q2</t>
        </is>
      </c>
      <c r="D509" s="6" t="inlineStr">
        <is>
          <t>20260929</t>
        </is>
      </c>
      <c r="E509" s="16" t="inlineStr"/>
      <c r="F509" s="16" t="inlineStr"/>
      <c r="G509" s="16" t="n">
        <v>48544</v>
      </c>
      <c r="H509" s="6" t="inlineStr">
        <is>
          <t>백만원</t>
        </is>
      </c>
      <c r="I509" s="17" t="n">
        <v>81.40000000000001</v>
      </c>
      <c r="J509" s="18" t="n">
        <v>20451</v>
      </c>
      <c r="K509" s="19" t="n">
        <v>15854</v>
      </c>
      <c r="L509" s="18" t="n">
        <v>21167</v>
      </c>
      <c r="M509" s="19" t="n">
        <v>20833</v>
      </c>
      <c r="N509" s="18" t="n">
        <v>24339</v>
      </c>
      <c r="O509" s="19" t="n">
        <v>27006</v>
      </c>
      <c r="P509" s="18" t="n">
        <v>15221</v>
      </c>
      <c r="Q509" s="19" t="n">
        <v>21171</v>
      </c>
      <c r="R509" s="18" t="n">
        <v>26757</v>
      </c>
      <c r="S509" s="20" t="n">
        <v>48544</v>
      </c>
      <c r="T509" s="6" t="n">
        <v>1</v>
      </c>
      <c r="U509" s="5" t="inlineStr">
        <is>
          <t>카바페넴계세팔로스포린계 / 무균이미페넴 외무균세프트리악</t>
        </is>
      </c>
      <c r="V509" s="21">
        <f>HYPERLINK("https://dart.fss.or.kr/dsaf001/main.do?rcpNo=20260929000530", "공시열람")</f>
        <v/>
      </c>
    </row>
    <row r="510">
      <c r="A510" s="5" t="inlineStr">
        <is>
          <t>한중엔시에스</t>
        </is>
      </c>
      <c r="B510" s="6" t="inlineStr">
        <is>
          <t>107640</t>
        </is>
      </c>
      <c r="C510" s="6" t="inlineStr">
        <is>
          <t>2025Q3</t>
        </is>
      </c>
      <c r="D510" s="6" t="inlineStr">
        <is>
          <t>20251114</t>
        </is>
      </c>
      <c r="E510" s="16" t="n">
        <v>58956</v>
      </c>
      <c r="F510" s="16" t="inlineStr"/>
      <c r="G510" s="16" t="n">
        <v>58956</v>
      </c>
      <c r="H510" s="6" t="inlineStr">
        <is>
          <t>백만원</t>
        </is>
      </c>
      <c r="I510" s="17" t="n">
        <v>21.3</v>
      </c>
      <c r="J510" s="18" t="inlineStr"/>
      <c r="K510" s="19" t="n">
        <v>36546</v>
      </c>
      <c r="L510" s="18" t="n">
        <v>48364</v>
      </c>
      <c r="M510" s="19" t="n">
        <v>32367</v>
      </c>
      <c r="N510" s="18" t="n">
        <v>42518</v>
      </c>
      <c r="O510" s="19" t="n">
        <v>48604</v>
      </c>
      <c r="P510" s="18" t="n">
        <v>58956</v>
      </c>
      <c r="Q510" s="19" t="inlineStr"/>
      <c r="R510" s="18" t="inlineStr"/>
      <c r="S510" s="20" t="inlineStr"/>
      <c r="T510" s="6" t="n">
        <v>2</v>
      </c>
      <c r="U510" s="5" t="inlineStr">
        <is>
          <t>ESS(삼성에스디아이 외) / 2025.10.01 /  | EV(한온시스템 외) / 2025.10.01 / 202</t>
        </is>
      </c>
      <c r="V510" s="21">
        <f>HYPERLINK("https://dart.fss.or.kr/dsaf001/main.do?rcpNo=20251114001748", "공시열람")</f>
        <v/>
      </c>
    </row>
    <row r="511">
      <c r="A511" s="5" t="inlineStr">
        <is>
          <t>톱텍</t>
        </is>
      </c>
      <c r="B511" s="6" t="inlineStr">
        <is>
          <t>108230</t>
        </is>
      </c>
      <c r="C511" s="6" t="inlineStr">
        <is>
          <t>2026Q2</t>
        </is>
      </c>
      <c r="D511" s="6" t="inlineStr">
        <is>
          <t>20260814</t>
        </is>
      </c>
      <c r="E511" s="16" t="n">
        <v>231708</v>
      </c>
      <c r="F511" s="16" t="n">
        <v>73463</v>
      </c>
      <c r="G511" s="16" t="n">
        <v>158245</v>
      </c>
      <c r="H511" s="6" t="inlineStr"/>
      <c r="I511" s="17" t="n">
        <v>3.6</v>
      </c>
      <c r="J511" s="18" t="n">
        <v>300211</v>
      </c>
      <c r="K511" s="19" t="n">
        <v>280913</v>
      </c>
      <c r="L511" s="18" t="n">
        <v>227753</v>
      </c>
      <c r="M511" s="19" t="n">
        <v>185187</v>
      </c>
      <c r="N511" s="18" t="n">
        <v>236474</v>
      </c>
      <c r="O511" s="19" t="n">
        <v>234729</v>
      </c>
      <c r="P511" s="18" t="n">
        <v>222548</v>
      </c>
      <c r="Q511" s="19" t="n">
        <v>200532</v>
      </c>
      <c r="R511" s="18" t="n">
        <v>152758</v>
      </c>
      <c r="S511" s="20" t="n">
        <v>158245</v>
      </c>
      <c r="T511" s="6" t="n">
        <v>4</v>
      </c>
      <c r="U511" s="5" t="inlineStr">
        <is>
          <t>FA | 공사 | 제품판매</t>
        </is>
      </c>
      <c r="V511" s="21">
        <f>HYPERLINK("https://dart.fss.or.kr/dsaf001/main.do?rcpNo=20260814003301", "공시열람")</f>
        <v/>
      </c>
    </row>
    <row r="512">
      <c r="A512" s="5" t="inlineStr">
        <is>
          <t>대양전기공업</t>
        </is>
      </c>
      <c r="B512" s="6" t="inlineStr">
        <is>
          <t>108380</t>
        </is>
      </c>
      <c r="C512" s="6" t="inlineStr">
        <is>
          <t>2026Q2</t>
        </is>
      </c>
      <c r="D512" s="6" t="inlineStr">
        <is>
          <t>20260814</t>
        </is>
      </c>
      <c r="E512" s="16" t="inlineStr"/>
      <c r="F512" s="16" t="inlineStr"/>
      <c r="G512" s="16" t="n">
        <v>327611</v>
      </c>
      <c r="H512" s="6" t="inlineStr">
        <is>
          <t>백만원</t>
        </is>
      </c>
      <c r="I512" s="17" t="n">
        <v>-0.3</v>
      </c>
      <c r="J512" s="18" t="n">
        <v>251045</v>
      </c>
      <c r="K512" s="19" t="n">
        <v>256307</v>
      </c>
      <c r="L512" s="18" t="n">
        <v>269650</v>
      </c>
      <c r="M512" s="19" t="n">
        <v>280181</v>
      </c>
      <c r="N512" s="18" t="n">
        <v>25892156</v>
      </c>
      <c r="O512" s="19" t="n">
        <v>281022</v>
      </c>
      <c r="P512" s="18" t="n">
        <v>295821</v>
      </c>
      <c r="Q512" s="19" t="n">
        <v>298775</v>
      </c>
      <c r="R512" s="18" t="n">
        <v>328513</v>
      </c>
      <c r="S512" s="20" t="n">
        <v>327611</v>
      </c>
      <c r="T512" s="6" t="n">
        <v>1</v>
      </c>
      <c r="U512" s="5" t="inlineStr">
        <is>
          <t>기타 / 2021~ / ~2028</t>
        </is>
      </c>
      <c r="V512" s="21">
        <f>HYPERLINK("https://dart.fss.or.kr/dsaf001/main.do?rcpNo=20260814003411", "공시열람")</f>
        <v/>
      </c>
    </row>
    <row r="513">
      <c r="A513" s="5" t="inlineStr">
        <is>
          <t>셀바스AI</t>
        </is>
      </c>
      <c r="B513" s="6" t="inlineStr">
        <is>
          <t>108860</t>
        </is>
      </c>
      <c r="C513" s="6" t="inlineStr">
        <is>
          <t>2026Q2</t>
        </is>
      </c>
      <c r="D513" s="6" t="inlineStr">
        <is>
          <t>20260930</t>
        </is>
      </c>
      <c r="E513" s="16" t="n">
        <v>7828</v>
      </c>
      <c r="F513" s="16" t="inlineStr"/>
      <c r="G513" s="16" t="n">
        <v>3449</v>
      </c>
      <c r="H513" s="6" t="inlineStr">
        <is>
          <t>백만원</t>
        </is>
      </c>
      <c r="I513" s="17" t="n">
        <v>25.9</v>
      </c>
      <c r="J513" s="18" t="n">
        <v>5622612</v>
      </c>
      <c r="K513" s="19" t="n">
        <v>5266122</v>
      </c>
      <c r="L513" s="18" t="n">
        <v>4117692</v>
      </c>
      <c r="M513" s="19" t="n">
        <v>1383</v>
      </c>
      <c r="N513" s="18" t="n">
        <v>3718</v>
      </c>
      <c r="O513" s="19" t="n">
        <v>3462</v>
      </c>
      <c r="P513" s="18" t="n">
        <v>4291</v>
      </c>
      <c r="Q513" s="19" t="n">
        <v>2804</v>
      </c>
      <c r="R513" s="18" t="n">
        <v>2739</v>
      </c>
      <c r="S513" s="20" t="n">
        <v>3449</v>
      </c>
      <c r="T513" s="6" t="n">
        <v>2</v>
      </c>
      <c r="U513" s="5" t="inlineStr">
        <is>
          <t>인공지능 솔루션 개발 및 공급 | 의료진단기기 / -</t>
        </is>
      </c>
      <c r="V513" s="21">
        <f>HYPERLINK("https://dart.fss.or.kr/dsaf001/main.do?rcpNo=20260930000456", "공시열람")</f>
        <v/>
      </c>
    </row>
    <row r="514">
      <c r="A514" s="5" t="inlineStr">
        <is>
          <t>주성코퍼레이션</t>
        </is>
      </c>
      <c r="B514" s="6" t="inlineStr">
        <is>
          <t>109070</t>
        </is>
      </c>
      <c r="C514" s="6" t="inlineStr">
        <is>
          <t>2026Q2</t>
        </is>
      </c>
      <c r="D514" s="6" t="inlineStr">
        <is>
          <t>20260814</t>
        </is>
      </c>
      <c r="E514" s="16" t="n">
        <v>1523852</v>
      </c>
      <c r="F514" s="16" t="n">
        <v>1523852</v>
      </c>
      <c r="G514" s="16" t="n">
        <v>0</v>
      </c>
      <c r="H514" s="6" t="inlineStr">
        <is>
          <t>천원</t>
        </is>
      </c>
      <c r="I514" s="17" t="n">
        <v>-100</v>
      </c>
      <c r="J514" s="18" t="n">
        <v>1885435</v>
      </c>
      <c r="K514" s="19" t="n">
        <v>1348425</v>
      </c>
      <c r="L514" s="18" t="n">
        <v>62988</v>
      </c>
      <c r="M514" s="19" t="n">
        <v>3108206</v>
      </c>
      <c r="N514" s="18" t="n">
        <v>949179</v>
      </c>
      <c r="O514" s="19" t="n">
        <v>671528</v>
      </c>
      <c r="P514" s="18" t="n">
        <v>671528</v>
      </c>
      <c r="Q514" s="19" t="n">
        <v>264737</v>
      </c>
      <c r="R514" s="18" t="n">
        <v>51656</v>
      </c>
      <c r="S514" s="20" t="n">
        <v>0</v>
      </c>
      <c r="T514" s="6" t="n">
        <v>1</v>
      </c>
      <c r="U514" s="5" t="inlineStr">
        <is>
          <t>중계기</t>
        </is>
      </c>
      <c r="V514" s="21">
        <f>HYPERLINK("https://dart.fss.or.kr/dsaf001/main.do?rcpNo=20260814002123", "공시열람")</f>
        <v/>
      </c>
    </row>
    <row r="515">
      <c r="A515" s="5" t="inlineStr">
        <is>
          <t>디에스케이</t>
        </is>
      </c>
      <c r="B515" s="6" t="inlineStr">
        <is>
          <t>109740</t>
        </is>
      </c>
      <c r="C515" s="6" t="inlineStr">
        <is>
          <t>2026Q2</t>
        </is>
      </c>
      <c r="D515" s="6" t="inlineStr">
        <is>
          <t>20260814</t>
        </is>
      </c>
      <c r="E515" s="16" t="n">
        <v>18425509</v>
      </c>
      <c r="F515" s="16" t="n">
        <v>14905589</v>
      </c>
      <c r="G515" s="16" t="n">
        <v>3519920</v>
      </c>
      <c r="H515" s="6" t="inlineStr">
        <is>
          <t>천원</t>
        </is>
      </c>
      <c r="I515" s="17" t="n">
        <v>-34.8</v>
      </c>
      <c r="J515" s="18" t="n">
        <v>8038908</v>
      </c>
      <c r="K515" s="19" t="n">
        <v>34030887</v>
      </c>
      <c r="L515" s="18" t="n">
        <v>35025658</v>
      </c>
      <c r="M515" s="19" t="n">
        <v>34669543</v>
      </c>
      <c r="N515" s="18" t="n">
        <v>33506327</v>
      </c>
      <c r="O515" s="19" t="n">
        <v>4996301</v>
      </c>
      <c r="P515" s="18" t="n">
        <v>8191995</v>
      </c>
      <c r="Q515" s="19" t="n">
        <v>6426279</v>
      </c>
      <c r="R515" s="18" t="n">
        <v>5399195</v>
      </c>
      <c r="S515" s="20" t="n">
        <v>3519920</v>
      </c>
      <c r="T515" s="6" t="n">
        <v>2</v>
      </c>
      <c r="U515" s="5" t="inlineStr">
        <is>
          <t>FPD용 Bonding System 및 In-line  | Linear 및 기타 / -</t>
        </is>
      </c>
      <c r="V515" s="21">
        <f>HYPERLINK("https://dart.fss.or.kr/dsaf001/main.do?rcpNo=20260814003438", "공시열람")</f>
        <v/>
      </c>
    </row>
    <row r="516">
      <c r="A516" s="5" t="inlineStr">
        <is>
          <t>앱토크롬</t>
        </is>
      </c>
      <c r="B516" s="6" t="inlineStr">
        <is>
          <t>109960</t>
        </is>
      </c>
      <c r="C516" s="6" t="inlineStr">
        <is>
          <t>2026Q2</t>
        </is>
      </c>
      <c r="D516" s="6" t="inlineStr">
        <is>
          <t>20260813</t>
        </is>
      </c>
      <c r="E516" s="16" t="n">
        <v>11381</v>
      </c>
      <c r="F516" s="16" t="n">
        <v>11381</v>
      </c>
      <c r="G516" s="16" t="n">
        <v>0</v>
      </c>
      <c r="H516" s="6" t="inlineStr">
        <is>
          <t>백만원</t>
        </is>
      </c>
      <c r="I516" s="17" t="n">
        <v>-100</v>
      </c>
      <c r="J516" s="18" t="n">
        <v>4886</v>
      </c>
      <c r="K516" s="19" t="n">
        <v>3492</v>
      </c>
      <c r="L516" s="18" t="n">
        <v>3056</v>
      </c>
      <c r="M516" s="19" t="n">
        <v>1015</v>
      </c>
      <c r="N516" s="18" t="n">
        <v>198</v>
      </c>
      <c r="O516" s="19" t="n">
        <v>1005132257</v>
      </c>
      <c r="P516" s="18" t="n">
        <v>614438454</v>
      </c>
      <c r="Q516" s="19" t="n">
        <v>364</v>
      </c>
      <c r="R516" s="18" t="n">
        <v>288</v>
      </c>
      <c r="S516" s="20" t="n">
        <v>0</v>
      </c>
      <c r="T516" s="6" t="n">
        <v>1</v>
      </c>
      <c r="U516" s="5" t="inlineStr">
        <is>
          <t>새울 3, 4호기(구. 신고리 원자력 5, 6호기)주설</t>
        </is>
      </c>
      <c r="V516" s="21">
        <f>HYPERLINK("https://dart.fss.or.kr/dsaf001/main.do?rcpNo=20260813001440", "공시열람")</f>
        <v/>
      </c>
    </row>
    <row r="517">
      <c r="A517" s="5" t="inlineStr">
        <is>
          <t>디아이티</t>
        </is>
      </c>
      <c r="B517" s="6" t="inlineStr">
        <is>
          <t>110990</t>
        </is>
      </c>
      <c r="C517" s="6" t="inlineStr">
        <is>
          <t>2026Q2</t>
        </is>
      </c>
      <c r="D517" s="6" t="inlineStr">
        <is>
          <t>20260814</t>
        </is>
      </c>
      <c r="E517" s="16" t="n">
        <v>157711</v>
      </c>
      <c r="F517" s="16" t="n">
        <v>90060</v>
      </c>
      <c r="G517" s="16" t="n">
        <v>67651</v>
      </c>
      <c r="H517" s="6" t="inlineStr">
        <is>
          <t>백만원</t>
        </is>
      </c>
      <c r="I517" s="17" t="n">
        <v>-16.5</v>
      </c>
      <c r="J517" s="18" t="n">
        <v>62164</v>
      </c>
      <c r="K517" s="19" t="n">
        <v>42358</v>
      </c>
      <c r="L517" s="18" t="n">
        <v>59704</v>
      </c>
      <c r="M517" s="19" t="n">
        <v>20944</v>
      </c>
      <c r="N517" s="18" t="n">
        <v>45559</v>
      </c>
      <c r="O517" s="19" t="n">
        <v>37287</v>
      </c>
      <c r="P517" s="18" t="n">
        <v>27000</v>
      </c>
      <c r="Q517" s="19" t="n">
        <v>63804</v>
      </c>
      <c r="R517" s="18" t="n">
        <v>81051</v>
      </c>
      <c r="S517" s="20" t="n">
        <v>67651</v>
      </c>
      <c r="T517" s="6" t="n">
        <v>1</v>
      </c>
      <c r="U517" s="5" t="inlineStr">
        <is>
          <t xml:space="preserve">AOI Solution,LASER Solution 등 </t>
        </is>
      </c>
      <c r="V517" s="21">
        <f>HYPERLINK("https://dart.fss.or.kr/dsaf001/main.do?rcpNo=20260814000902", "공시열람")</f>
        <v/>
      </c>
    </row>
    <row r="518">
      <c r="A518" s="5" t="inlineStr">
        <is>
          <t>동인기연</t>
        </is>
      </c>
      <c r="B518" s="6" t="inlineStr">
        <is>
          <t>111380</t>
        </is>
      </c>
      <c r="C518" s="6" t="inlineStr">
        <is>
          <t>2024Q4</t>
        </is>
      </c>
      <c r="D518" s="6" t="inlineStr">
        <is>
          <t>20250320</t>
        </is>
      </c>
      <c r="E518" s="16" t="inlineStr"/>
      <c r="F518" s="16" t="inlineStr"/>
      <c r="G518" s="16" t="n">
        <v>61026533</v>
      </c>
      <c r="H518" s="6" t="inlineStr">
        <is>
          <t>천원</t>
        </is>
      </c>
      <c r="I518" s="17" t="n">
        <v>83.5</v>
      </c>
      <c r="J518" s="18" t="inlineStr"/>
      <c r="K518" s="19" t="inlineStr"/>
      <c r="L518" s="18" t="inlineStr"/>
      <c r="M518" s="19" t="n">
        <v>61026533</v>
      </c>
      <c r="N518" s="18" t="inlineStr"/>
      <c r="O518" s="19" t="inlineStr"/>
      <c r="P518" s="18" t="inlineStr"/>
      <c r="Q518" s="19" t="inlineStr"/>
      <c r="R518" s="18" t="inlineStr"/>
      <c r="S518" s="20" t="inlineStr"/>
      <c r="T518" s="6" t="n">
        <v>4</v>
      </c>
      <c r="U518" s="5" t="inlineStr">
        <is>
          <t>장기리스부채 / - | 사채 | 장기차입금</t>
        </is>
      </c>
      <c r="V518" s="21">
        <f>HYPERLINK("https://dart.fss.or.kr/dsaf001/main.do?rcpNo=20250320001366", "공시열람")</f>
        <v/>
      </c>
    </row>
    <row r="519">
      <c r="A519" s="5" t="inlineStr">
        <is>
          <t>KC산업</t>
        </is>
      </c>
      <c r="B519" s="6" t="inlineStr">
        <is>
          <t>112190</t>
        </is>
      </c>
      <c r="C519" s="6" t="inlineStr">
        <is>
          <t>2025Q4</t>
        </is>
      </c>
      <c r="D519" s="6" t="inlineStr">
        <is>
          <t>20260619</t>
        </is>
      </c>
      <c r="E519" s="16" t="n">
        <v>288784</v>
      </c>
      <c r="F519" s="16" t="n">
        <v>189428</v>
      </c>
      <c r="G519" s="16" t="n">
        <v>99356</v>
      </c>
      <c r="H519" s="6" t="inlineStr">
        <is>
          <t>백만원</t>
        </is>
      </c>
      <c r="I519" s="17" t="n">
        <v>6.4</v>
      </c>
      <c r="J519" s="18" t="inlineStr"/>
      <c r="K519" s="19" t="inlineStr"/>
      <c r="L519" s="18" t="inlineStr"/>
      <c r="M519" s="19" t="n">
        <v>93419</v>
      </c>
      <c r="N519" s="18" t="inlineStr"/>
      <c r="O519" s="19" t="inlineStr"/>
      <c r="P519" s="18" t="inlineStr"/>
      <c r="Q519" s="19" t="n">
        <v>99356</v>
      </c>
      <c r="R519" s="18" t="inlineStr"/>
      <c r="S519" s="20" t="inlineStr"/>
      <c r="T519" s="6" t="n">
        <v>28</v>
      </c>
      <c r="U519" s="5" t="inlineStr">
        <is>
          <t>기 타 | 평택P5 신축공사 PC 제품류 외 3종 - 거더.빔 / | 대전하수도 PC박스(차집관로 조립식) / (주)한화 /</t>
        </is>
      </c>
      <c r="V519" s="21">
        <f>HYPERLINK("https://dart.fss.or.kr/dsaf001/main.do?rcpNo=20260619000106", "공시열람")</f>
        <v/>
      </c>
    </row>
    <row r="520">
      <c r="A520" s="5" t="inlineStr">
        <is>
          <t>씨에스윈드</t>
        </is>
      </c>
      <c r="B520" s="6" t="inlineStr">
        <is>
          <t>112610</t>
        </is>
      </c>
      <c r="C520" s="6" t="inlineStr">
        <is>
          <t>2026Q2</t>
        </is>
      </c>
      <c r="D520" s="6" t="inlineStr">
        <is>
          <t>20260814</t>
        </is>
      </c>
      <c r="E520" s="16" t="n">
        <v>645</v>
      </c>
      <c r="F520" s="16" t="inlineStr"/>
      <c r="G520" s="16" t="n">
        <v>1114</v>
      </c>
      <c r="H520" s="6" t="inlineStr">
        <is>
          <t>백만USD</t>
        </is>
      </c>
      <c r="I520" s="17" t="n">
        <v>6.1</v>
      </c>
      <c r="J520" s="18" t="n">
        <v>1821</v>
      </c>
      <c r="K520" s="19" t="n">
        <v>1631</v>
      </c>
      <c r="L520" s="18" t="n">
        <v>1417</v>
      </c>
      <c r="M520" s="19" t="n">
        <v>1354</v>
      </c>
      <c r="N520" s="18" t="n">
        <v>984</v>
      </c>
      <c r="O520" s="19" t="n">
        <v>1013</v>
      </c>
      <c r="P520" s="18" t="n">
        <v>909</v>
      </c>
      <c r="Q520" s="19" t="n">
        <v>1178</v>
      </c>
      <c r="R520" s="18" t="n">
        <v>1050</v>
      </c>
      <c r="S520" s="20" t="n">
        <v>1114</v>
      </c>
      <c r="T520" s="6" t="n">
        <v>2</v>
      </c>
      <c r="U520" s="5" t="inlineStr">
        <is>
          <t>풍력타워 제조 | 해상풍력 하부구조물 / -</t>
        </is>
      </c>
      <c r="V520" s="21">
        <f>HYPERLINK("https://dart.fss.or.kr/dsaf001/main.do?rcpNo=20260814001500", "공시열람")</f>
        <v/>
      </c>
    </row>
    <row r="521">
      <c r="A521" s="5" t="inlineStr">
        <is>
          <t>강원에너지</t>
        </is>
      </c>
      <c r="B521" s="6" t="inlineStr">
        <is>
          <t>114190</t>
        </is>
      </c>
      <c r="C521" s="6" t="inlineStr">
        <is>
          <t>2026Q2</t>
        </is>
      </c>
      <c r="D521" s="6" t="inlineStr">
        <is>
          <t>20260814</t>
        </is>
      </c>
      <c r="E521" s="16" t="n">
        <v>343176854</v>
      </c>
      <c r="F521" s="16" t="n">
        <v>308247997</v>
      </c>
      <c r="G521" s="16" t="n">
        <v>34928857</v>
      </c>
      <c r="H521" s="6" t="inlineStr"/>
      <c r="I521" s="17" t="n">
        <v>0</v>
      </c>
      <c r="J521" s="18" t="n">
        <v>91967371</v>
      </c>
      <c r="K521" s="19" t="n">
        <v>91967371</v>
      </c>
      <c r="L521" s="18" t="n">
        <v>91967371</v>
      </c>
      <c r="M521" s="19" t="n">
        <v>91967371</v>
      </c>
      <c r="N521" s="18" t="n">
        <v>78332841</v>
      </c>
      <c r="O521" s="19" t="n">
        <v>46761245</v>
      </c>
      <c r="P521" s="18" t="n">
        <v>36579758</v>
      </c>
      <c r="Q521" s="19" t="n">
        <v>34928857</v>
      </c>
      <c r="R521" s="18" t="n">
        <v>34928855</v>
      </c>
      <c r="S521" s="20" t="n">
        <v>34928857</v>
      </c>
      <c r="T521" s="6" t="n">
        <v>18</v>
      </c>
      <c r="U521" s="5" t="inlineStr">
        <is>
          <t>발전에너지설비 / ALUJAIN NATIONAL IND | 화공설비 / FGS Global AB / 2021-12 | 2차전지 설비 / 포스코퓨처엠 / 2024-02-06</t>
        </is>
      </c>
      <c r="V521" s="21">
        <f>HYPERLINK("https://dart.fss.or.kr/dsaf001/main.do?rcpNo=20260814003142", "공시열람")</f>
        <v/>
      </c>
    </row>
    <row r="522">
      <c r="A522" s="5" t="inlineStr">
        <is>
          <t>폴라리스우노</t>
        </is>
      </c>
      <c r="B522" s="6" t="inlineStr">
        <is>
          <t>114630</t>
        </is>
      </c>
      <c r="C522" s="6" t="inlineStr">
        <is>
          <t>2026Q2</t>
        </is>
      </c>
      <c r="D522" s="6" t="inlineStr">
        <is>
          <t>20260814</t>
        </is>
      </c>
      <c r="E522" s="16" t="n">
        <v>10685710</v>
      </c>
      <c r="F522" s="16" t="n">
        <v>10685710</v>
      </c>
      <c r="G522" s="16" t="n">
        <v>0</v>
      </c>
      <c r="H522" s="6" t="inlineStr">
        <is>
          <t>KG,천원</t>
        </is>
      </c>
      <c r="I522" s="17" t="inlineStr"/>
      <c r="J522" s="18" t="n">
        <v>0</v>
      </c>
      <c r="K522" s="19" t="n">
        <v>0</v>
      </c>
      <c r="L522" s="18" t="n">
        <v>0</v>
      </c>
      <c r="M522" s="19" t="n">
        <v>0</v>
      </c>
      <c r="N522" s="18" t="n">
        <v>0</v>
      </c>
      <c r="O522" s="19" t="n">
        <v>0</v>
      </c>
      <c r="P522" s="18" t="n">
        <v>0</v>
      </c>
      <c r="Q522" s="19" t="n">
        <v>0</v>
      </c>
      <c r="R522" s="18" t="n">
        <v>0</v>
      </c>
      <c r="S522" s="20" t="n">
        <v>0</v>
      </c>
      <c r="T522" s="6" t="n">
        <v>4</v>
      </c>
      <c r="U522" s="5" t="inlineStr">
        <is>
          <t>합성사 / 가발용 원사 / 2026.06.30 | 합성사 / 상품 / 2026.06.30 | 합성사 / 용역 / 2026.06.30</t>
        </is>
      </c>
      <c r="V522" s="21">
        <f>HYPERLINK("https://dart.fss.or.kr/dsaf001/main.do?rcpNo=20260814004079", "공시열람")</f>
        <v/>
      </c>
    </row>
    <row r="523">
      <c r="A523" s="5" t="inlineStr">
        <is>
          <t>대주이엔티</t>
        </is>
      </c>
      <c r="B523" s="6" t="inlineStr">
        <is>
          <t>114920</t>
        </is>
      </c>
      <c r="C523" s="6" t="inlineStr">
        <is>
          <t>2025Q4</t>
        </is>
      </c>
      <c r="D523" s="6" t="inlineStr">
        <is>
          <t>20260331</t>
        </is>
      </c>
      <c r="E523" s="16" t="n">
        <v>13897</v>
      </c>
      <c r="F523" s="16" t="inlineStr"/>
      <c r="G523" s="16" t="n">
        <v>5704</v>
      </c>
      <c r="H523" s="6" t="inlineStr">
        <is>
          <t>백만원</t>
        </is>
      </c>
      <c r="I523" s="17" t="n">
        <v>54.6</v>
      </c>
      <c r="J523" s="18" t="inlineStr"/>
      <c r="K523" s="19" t="inlineStr"/>
      <c r="L523" s="18" t="inlineStr"/>
      <c r="M523" s="19" t="n">
        <v>3690</v>
      </c>
      <c r="N523" s="18" t="inlineStr"/>
      <c r="O523" s="19" t="inlineStr"/>
      <c r="P523" s="18" t="inlineStr"/>
      <c r="Q523" s="19" t="n">
        <v>5704</v>
      </c>
      <c r="R523" s="18" t="inlineStr"/>
      <c r="S523" s="20" t="inlineStr"/>
      <c r="T523" s="6" t="n">
        <v>3</v>
      </c>
      <c r="U523" s="5" t="inlineStr">
        <is>
          <t>인천종합에너지2,3차 열수송 | LHQ+ 인천1권역 | 기타 / -</t>
        </is>
      </c>
      <c r="V523" s="21">
        <f>HYPERLINK("https://dart.fss.or.kr/dsaf001/main.do?rcpNo=20260331003389", "공시열람")</f>
        <v/>
      </c>
    </row>
    <row r="524">
      <c r="A524" s="5" t="inlineStr">
        <is>
          <t>HLB테라퓨틱스</t>
        </is>
      </c>
      <c r="B524" s="6" t="inlineStr">
        <is>
          <t>115450</t>
        </is>
      </c>
      <c r="C524" s="6" t="inlineStr">
        <is>
          <t>2026Q2</t>
        </is>
      </c>
      <c r="D524" s="6" t="inlineStr">
        <is>
          <t>20260813</t>
        </is>
      </c>
      <c r="E524" s="16" t="n">
        <v>4007</v>
      </c>
      <c r="F524" s="16" t="n">
        <v>2666</v>
      </c>
      <c r="G524" s="16" t="n">
        <v>1341</v>
      </c>
      <c r="H524" s="6" t="inlineStr">
        <is>
          <t>백만원</t>
        </is>
      </c>
      <c r="I524" s="17" t="n">
        <v>-65.8</v>
      </c>
      <c r="J524" s="18" t="n">
        <v>15300</v>
      </c>
      <c r="K524" s="19" t="n">
        <v>10237</v>
      </c>
      <c r="L524" s="18" t="n">
        <v>5.118</v>
      </c>
      <c r="M524" s="19" t="n">
        <v>12473</v>
      </c>
      <c r="N524" s="18" t="n">
        <v>6237</v>
      </c>
      <c r="O524" s="19" t="n">
        <v>0</v>
      </c>
      <c r="P524" s="18" t="n">
        <v>0</v>
      </c>
      <c r="Q524" s="19" t="n">
        <v>6100</v>
      </c>
      <c r="R524" s="18" t="n">
        <v>3926</v>
      </c>
      <c r="S524" s="20" t="n">
        <v>1341</v>
      </c>
      <c r="T524" s="6" t="n">
        <v>1</v>
      </c>
      <c r="U524" s="5" t="inlineStr">
        <is>
          <t>수막구균 백신 공급 / 2025년 11월 06일 / -</t>
        </is>
      </c>
      <c r="V524" s="21">
        <f>HYPERLINK("https://dart.fss.or.kr/dsaf001/main.do?rcpNo=20260813001699", "공시열람")</f>
        <v/>
      </c>
    </row>
    <row r="525">
      <c r="A525" s="5" t="inlineStr">
        <is>
          <t>케이씨에스</t>
        </is>
      </c>
      <c r="B525" s="6" t="inlineStr">
        <is>
          <t>115500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9037932</v>
      </c>
      <c r="F525" s="16" t="n">
        <v>83267</v>
      </c>
      <c r="G525" s="16" t="n">
        <v>8954665</v>
      </c>
      <c r="H525" s="6" t="inlineStr">
        <is>
          <t>천원</t>
        </is>
      </c>
      <c r="I525" s="17" t="n">
        <v>620.8</v>
      </c>
      <c r="J525" s="18" t="n">
        <v>2787903</v>
      </c>
      <c r="K525" s="19" t="n">
        <v>3424856</v>
      </c>
      <c r="L525" s="18" t="n">
        <v>1610616</v>
      </c>
      <c r="M525" s="19" t="n">
        <v>790400</v>
      </c>
      <c r="N525" s="18" t="n">
        <v>660000</v>
      </c>
      <c r="O525" s="19" t="n">
        <v>301150</v>
      </c>
      <c r="P525" s="18" t="n">
        <v>236600</v>
      </c>
      <c r="Q525" s="19" t="n">
        <v>1044660</v>
      </c>
      <c r="R525" s="18" t="n">
        <v>1242331</v>
      </c>
      <c r="S525" s="20" t="n">
        <v>8954665</v>
      </c>
      <c r="T525" s="6" t="n">
        <v>4</v>
      </c>
      <c r="U525" s="5" t="inlineStr">
        <is>
          <t>NSK | HSM | HSM</t>
        </is>
      </c>
      <c r="V525" s="21">
        <f>HYPERLINK("https://dart.fss.or.kr/dsaf001/main.do?rcpNo=20260814001104", "공시열람")</f>
        <v/>
      </c>
    </row>
    <row r="526">
      <c r="A526" s="5" t="inlineStr">
        <is>
          <t>씨엔플러스</t>
        </is>
      </c>
      <c r="B526" s="6" t="inlineStr">
        <is>
          <t>115530</t>
        </is>
      </c>
      <c r="C526" s="6" t="inlineStr">
        <is>
          <t>2026Q2</t>
        </is>
      </c>
      <c r="D526" s="6" t="inlineStr">
        <is>
          <t>20260814</t>
        </is>
      </c>
      <c r="E526" s="16" t="n">
        <v>74490182</v>
      </c>
      <c r="F526" s="16" t="n">
        <v>57105283</v>
      </c>
      <c r="G526" s="16" t="n">
        <v>17384899</v>
      </c>
      <c r="H526" s="6" t="inlineStr">
        <is>
          <t>천원</t>
        </is>
      </c>
      <c r="I526" s="17" t="n">
        <v>-61.3</v>
      </c>
      <c r="J526" s="18" t="n">
        <v>2940000</v>
      </c>
      <c r="K526" s="19" t="n">
        <v>5650000</v>
      </c>
      <c r="L526" s="18" t="n">
        <v>5650000</v>
      </c>
      <c r="M526" s="19" t="n">
        <v>23093095</v>
      </c>
      <c r="N526" s="18" t="n">
        <v>20574632</v>
      </c>
      <c r="O526" s="19" t="n">
        <v>16963093</v>
      </c>
      <c r="P526" s="18" t="n">
        <v>16963093</v>
      </c>
      <c r="Q526" s="19" t="n">
        <v>44930816</v>
      </c>
      <c r="R526" s="18" t="n">
        <v>44930816</v>
      </c>
      <c r="S526" s="20" t="n">
        <v>17384899</v>
      </c>
      <c r="T526" s="6" t="n">
        <v>6</v>
      </c>
      <c r="U526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6" s="21">
        <f>HYPERLINK("https://dart.fss.or.kr/dsaf001/main.do?rcpNo=20260814004253", "공시열람")</f>
        <v/>
      </c>
    </row>
    <row r="527">
      <c r="A527" s="5" t="inlineStr">
        <is>
          <t>포메탈</t>
        </is>
      </c>
      <c r="B527" s="6" t="inlineStr">
        <is>
          <t>119500</t>
        </is>
      </c>
      <c r="C527" s="6" t="inlineStr">
        <is>
          <t>2026Q2</t>
        </is>
      </c>
      <c r="D527" s="6" t="inlineStr">
        <is>
          <t>20260814</t>
        </is>
      </c>
      <c r="E527" s="16" t="n">
        <v>32801</v>
      </c>
      <c r="F527" s="16" t="n">
        <v>31603</v>
      </c>
      <c r="G527" s="16" t="n">
        <v>1198</v>
      </c>
      <c r="H527" s="6" t="inlineStr">
        <is>
          <t>EA/백만원</t>
        </is>
      </c>
      <c r="I527" s="17" t="n">
        <v>25.1</v>
      </c>
      <c r="J527" s="18" t="n">
        <v>879</v>
      </c>
      <c r="K527" s="19" t="n">
        <v>1034</v>
      </c>
      <c r="L527" s="18" t="n">
        <v>1091</v>
      </c>
      <c r="M527" s="19" t="n">
        <v>534</v>
      </c>
      <c r="N527" s="18" t="n">
        <v>646</v>
      </c>
      <c r="O527" s="19" t="n">
        <v>1791</v>
      </c>
      <c r="P527" s="18" t="n">
        <v>965</v>
      </c>
      <c r="Q527" s="19" t="n">
        <v>575</v>
      </c>
      <c r="R527" s="18" t="n">
        <v>958</v>
      </c>
      <c r="S527" s="20" t="n">
        <v>1198</v>
      </c>
      <c r="T527" s="6" t="n">
        <v>11</v>
      </c>
      <c r="U527" s="5" t="inlineStr">
        <is>
          <t>CAM SHAFT外 / 2026-05-08 / 2026 | MK KNUCKLE外 / 2026-05-12 / 202 | CONN-ROD外 / 2026-05-06 / 2026-</t>
        </is>
      </c>
      <c r="V527" s="21">
        <f>HYPERLINK("https://dart.fss.or.kr/dsaf001/main.do?rcpNo=20260814002231", "공시열람")</f>
        <v/>
      </c>
    </row>
    <row r="528">
      <c r="A528" s="5" t="inlineStr">
        <is>
          <t>KC코트렐</t>
        </is>
      </c>
      <c r="B528" s="6" t="inlineStr">
        <is>
          <t>119650</t>
        </is>
      </c>
      <c r="C528" s="6" t="inlineStr">
        <is>
          <t>2026Q2</t>
        </is>
      </c>
      <c r="D528" s="6" t="inlineStr">
        <is>
          <t>20260814</t>
        </is>
      </c>
      <c r="E528" s="16" t="inlineStr"/>
      <c r="F528" s="16" t="inlineStr"/>
      <c r="G528" s="16" t="n">
        <v>665505422.5599999</v>
      </c>
      <c r="H528" s="6" t="inlineStr">
        <is>
          <t>천원,USD등</t>
        </is>
      </c>
      <c r="I528" s="17" t="n">
        <v>479.8</v>
      </c>
      <c r="J528" s="18" t="n">
        <v>417865350</v>
      </c>
      <c r="K528" s="19" t="n">
        <v>403931878</v>
      </c>
      <c r="L528" s="18" t="n">
        <v>315499682</v>
      </c>
      <c r="M528" s="19" t="n">
        <v>5773500545.56</v>
      </c>
      <c r="N528" s="18" t="n">
        <v>216711869</v>
      </c>
      <c r="O528" s="19" t="n">
        <v>166982089</v>
      </c>
      <c r="P528" s="18" t="n">
        <v>128428467</v>
      </c>
      <c r="Q528" s="19" t="n">
        <v>119704590</v>
      </c>
      <c r="R528" s="18" t="n">
        <v>114774809</v>
      </c>
      <c r="S528" s="20" t="n">
        <v>665505422.5599999</v>
      </c>
      <c r="T528" s="6" t="n">
        <v>4</v>
      </c>
      <c r="U528" s="5" t="inlineStr">
        <is>
          <t>INR | TWD | USD</t>
        </is>
      </c>
      <c r="V528" s="21">
        <f>HYPERLINK("https://dart.fss.or.kr/dsaf001/main.do?rcpNo=20260814002619", "공시열람")</f>
        <v/>
      </c>
    </row>
    <row r="529">
      <c r="A529" s="5" t="inlineStr">
        <is>
          <t>유니포인트</t>
        </is>
      </c>
      <c r="B529" s="6" t="inlineStr">
        <is>
          <t>121060</t>
        </is>
      </c>
      <c r="C529" s="6" t="inlineStr">
        <is>
          <t>2024Q4</t>
        </is>
      </c>
      <c r="D529" s="6" t="inlineStr">
        <is>
          <t>20250710</t>
        </is>
      </c>
      <c r="E529" s="16" t="n">
        <v>23342</v>
      </c>
      <c r="F529" s="16" t="inlineStr"/>
      <c r="G529" s="16" t="n">
        <v>6992</v>
      </c>
      <c r="H529" s="6" t="inlineStr">
        <is>
          <t>백만원</t>
        </is>
      </c>
      <c r="I529" s="17" t="n">
        <v>345.1</v>
      </c>
      <c r="J529" s="18" t="inlineStr"/>
      <c r="K529" s="19" t="inlineStr"/>
      <c r="L529" s="18" t="inlineStr"/>
      <c r="M529" s="19" t="n">
        <v>6992</v>
      </c>
      <c r="N529" s="18" t="inlineStr"/>
      <c r="O529" s="19" t="inlineStr"/>
      <c r="P529" s="18" t="inlineStr"/>
      <c r="Q529" s="19" t="inlineStr"/>
      <c r="R529" s="18" t="inlineStr"/>
      <c r="S529" s="20" t="inlineStr"/>
      <c r="T529" s="6" t="n">
        <v>3</v>
      </c>
      <c r="U529" s="5" t="inlineStr">
        <is>
          <t>처브라이프생명보험(주) / 상품 | 수협은행 / 유지보수 | 케이씨씨정보통신 / 보안</t>
        </is>
      </c>
      <c r="V529" s="21">
        <f>HYPERLINK("https://dart.fss.or.kr/dsaf001/main.do?rcpNo=20250710000060", "공시열람")</f>
        <v/>
      </c>
    </row>
    <row r="530">
      <c r="A530" s="5" t="inlineStr">
        <is>
          <t>에스디시스템</t>
        </is>
      </c>
      <c r="B530" s="6" t="inlineStr">
        <is>
          <t>121890</t>
        </is>
      </c>
      <c r="C530" s="6" t="inlineStr">
        <is>
          <t>2026Q2</t>
        </is>
      </c>
      <c r="D530" s="6" t="inlineStr">
        <is>
          <t>20260813</t>
        </is>
      </c>
      <c r="E530" s="16" t="n">
        <v>3137675</v>
      </c>
      <c r="F530" s="16" t="n">
        <v>1437889</v>
      </c>
      <c r="G530" s="16" t="n">
        <v>1699782</v>
      </c>
      <c r="H530" s="6" t="inlineStr">
        <is>
          <t>천원</t>
        </is>
      </c>
      <c r="I530" s="17" t="n">
        <v>76.90000000000001</v>
      </c>
      <c r="J530" s="18" t="n">
        <v>2413871</v>
      </c>
      <c r="K530" s="19" t="n">
        <v>5226901</v>
      </c>
      <c r="L530" s="18" t="n">
        <v>3246158</v>
      </c>
      <c r="M530" s="19" t="n">
        <v>9263902</v>
      </c>
      <c r="N530" s="18" t="n">
        <v>6355155</v>
      </c>
      <c r="O530" s="19" t="n">
        <v>5002994</v>
      </c>
      <c r="P530" s="18" t="n">
        <v>3031967</v>
      </c>
      <c r="Q530" s="19" t="n">
        <v>1258732</v>
      </c>
      <c r="R530" s="18" t="n">
        <v>960679</v>
      </c>
      <c r="S530" s="20" t="n">
        <v>1699782</v>
      </c>
      <c r="T530" s="6" t="n">
        <v>8</v>
      </c>
      <c r="U530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30" s="21">
        <f>HYPERLINK("https://dart.fss.or.kr/dsaf001/main.do?rcpNo=20260813001031", "공시열람")</f>
        <v/>
      </c>
    </row>
    <row r="531">
      <c r="A531" s="5" t="inlineStr">
        <is>
          <t>알엔티엑스</t>
        </is>
      </c>
      <c r="B531" s="6" t="inlineStr">
        <is>
          <t>123010</t>
        </is>
      </c>
      <c r="C531" s="6" t="inlineStr">
        <is>
          <t>2025Q2</t>
        </is>
      </c>
      <c r="D531" s="6" t="inlineStr">
        <is>
          <t>20250814</t>
        </is>
      </c>
      <c r="E531" s="16" t="inlineStr"/>
      <c r="F531" s="16" t="inlineStr"/>
      <c r="G531" s="16" t="n">
        <v>109632</v>
      </c>
      <c r="H531" s="6" t="inlineStr">
        <is>
          <t>천원</t>
        </is>
      </c>
      <c r="I531" s="17" t="inlineStr"/>
      <c r="J531" s="18" t="inlineStr"/>
      <c r="K531" s="19" t="inlineStr"/>
      <c r="L531" s="18" t="inlineStr"/>
      <c r="M531" s="19" t="inlineStr"/>
      <c r="N531" s="18" t="inlineStr"/>
      <c r="O531" s="19" t="n">
        <v>109632</v>
      </c>
      <c r="P531" s="18" t="inlineStr"/>
      <c r="Q531" s="19" t="inlineStr"/>
      <c r="R531" s="18" t="inlineStr"/>
      <c r="S531" s="20" t="inlineStr"/>
      <c r="T531" s="6" t="n">
        <v>2</v>
      </c>
      <c r="U531" s="5" t="inlineStr">
        <is>
          <t>TK REAR AXLE 조립라인 조립설비 신규제작 /  | 현대트랜시스 P1, P2 후처리 라인 / - / (22</t>
        </is>
      </c>
      <c r="V531" s="21">
        <f>HYPERLINK("https://dart.fss.or.kr/dsaf001/main.do?rcpNo=20250814003277", "공시열람")</f>
        <v/>
      </c>
    </row>
    <row r="532">
      <c r="A532" s="5" t="inlineStr">
        <is>
          <t>알톤</t>
        </is>
      </c>
      <c r="B532" s="6" t="inlineStr">
        <is>
          <t>123750</t>
        </is>
      </c>
      <c r="C532" s="6" t="inlineStr">
        <is>
          <t>2026Q2</t>
        </is>
      </c>
      <c r="D532" s="6" t="inlineStr">
        <is>
          <t>20260814</t>
        </is>
      </c>
      <c r="E532" s="16" t="n">
        <v>13816</v>
      </c>
      <c r="F532" s="16" t="n">
        <v>12522</v>
      </c>
      <c r="G532" s="16" t="n">
        <v>1295</v>
      </c>
      <c r="H532" s="6" t="inlineStr">
        <is>
          <t>대,백만원</t>
        </is>
      </c>
      <c r="I532" s="17" t="n">
        <v>-89.59999999999999</v>
      </c>
      <c r="J532" s="18" t="n">
        <v>3931</v>
      </c>
      <c r="K532" s="19" t="n">
        <v>1298</v>
      </c>
      <c r="L532" s="18" t="n">
        <v>563</v>
      </c>
      <c r="M532" s="19" t="n">
        <v>7303</v>
      </c>
      <c r="N532" s="18" t="n">
        <v>8883</v>
      </c>
      <c r="O532" s="19" t="n">
        <v>1846</v>
      </c>
      <c r="P532" s="18" t="n">
        <v>1735</v>
      </c>
      <c r="Q532" s="19" t="n">
        <v>11930</v>
      </c>
      <c r="R532" s="18" t="n">
        <v>12398</v>
      </c>
      <c r="S532" s="20" t="n">
        <v>1295</v>
      </c>
      <c r="T532" s="6" t="n">
        <v>2</v>
      </c>
      <c r="U532" s="5" t="inlineStr">
        <is>
          <t>보수용 부품 등 / 2026.01.30 / 2026.0 | 전기 자전거 등 / 2026.01.09 / 2026.0</t>
        </is>
      </c>
      <c r="V532" s="21">
        <f>HYPERLINK("https://dart.fss.or.kr/dsaf001/main.do?rcpNo=20260814001246", "공시열람")</f>
        <v/>
      </c>
    </row>
    <row r="533">
      <c r="A533" s="5" t="inlineStr">
        <is>
          <t>뉴온</t>
        </is>
      </c>
      <c r="B533" s="6" t="inlineStr">
        <is>
          <t>123840</t>
        </is>
      </c>
      <c r="C533" s="6" t="inlineStr">
        <is>
          <t>2024Q4</t>
        </is>
      </c>
      <c r="D533" s="6" t="inlineStr">
        <is>
          <t>20250319</t>
        </is>
      </c>
      <c r="E533" s="16" t="n">
        <v>2067</v>
      </c>
      <c r="F533" s="16" t="inlineStr"/>
      <c r="G533" s="16" t="n">
        <v>2067</v>
      </c>
      <c r="H533" s="6" t="inlineStr"/>
      <c r="I533" s="17" t="n">
        <v>-21</v>
      </c>
      <c r="J533" s="18" t="n">
        <v>2067</v>
      </c>
      <c r="K533" s="19" t="n">
        <v>2067</v>
      </c>
      <c r="L533" s="18" t="n">
        <v>2617</v>
      </c>
      <c r="M533" s="19" t="n">
        <v>2067</v>
      </c>
      <c r="N533" s="18" t="inlineStr"/>
      <c r="O533" s="19" t="inlineStr"/>
      <c r="P533" s="18" t="inlineStr"/>
      <c r="Q533" s="19" t="inlineStr"/>
      <c r="R533" s="18" t="inlineStr"/>
      <c r="S533" s="20" t="inlineStr"/>
      <c r="T533" s="6" t="n">
        <v>1</v>
      </c>
      <c r="U533" s="5" t="inlineStr">
        <is>
          <t>진공코팅장비 공급계약 / 2024.03.15 / 202</t>
        </is>
      </c>
      <c r="V533" s="21">
        <f>HYPERLINK("https://dart.fss.or.kr/dsaf001/main.do?rcpNo=20250319001016", "공시열람")</f>
        <v/>
      </c>
    </row>
    <row r="534">
      <c r="A534" s="5" t="inlineStr">
        <is>
          <t>아이티센글로벌</t>
        </is>
      </c>
      <c r="B534" s="6" t="inlineStr">
        <is>
          <t>124500</t>
        </is>
      </c>
      <c r="C534" s="6" t="inlineStr">
        <is>
          <t>2026Q2</t>
        </is>
      </c>
      <c r="D534" s="6" t="inlineStr">
        <is>
          <t>20260813</t>
        </is>
      </c>
      <c r="E534" s="16" t="n">
        <v>30634</v>
      </c>
      <c r="F534" s="16" t="n">
        <v>17020</v>
      </c>
      <c r="G534" s="16" t="n">
        <v>13614</v>
      </c>
      <c r="H534" s="6" t="inlineStr">
        <is>
          <t>백만원</t>
        </is>
      </c>
      <c r="I534" s="17" t="n">
        <v>-18.3</v>
      </c>
      <c r="J534" s="18" t="n">
        <v>14690</v>
      </c>
      <c r="K534" s="19" t="n">
        <v>10882</v>
      </c>
      <c r="L534" s="18" t="n">
        <v>12392</v>
      </c>
      <c r="M534" s="19" t="n">
        <v>8564</v>
      </c>
      <c r="N534" s="18" t="n">
        <v>29542</v>
      </c>
      <c r="O534" s="19" t="n">
        <v>25185</v>
      </c>
      <c r="P534" s="18" t="n">
        <v>21702</v>
      </c>
      <c r="Q534" s="19" t="n">
        <v>18727</v>
      </c>
      <c r="R534" s="18" t="n">
        <v>16671</v>
      </c>
      <c r="S534" s="20" t="n">
        <v>13614</v>
      </c>
      <c r="T534" s="6" t="n">
        <v>2</v>
      </c>
      <c r="U534" s="5" t="inlineStr">
        <is>
          <t>2025~2027년 K-에듀파인 물적기반 유지관리 /  | 2025년~2026년 K-에듀파인 운영 및 유지보수 /</t>
        </is>
      </c>
      <c r="V534" s="21">
        <f>HYPERLINK("https://dart.fss.or.kr/dsaf001/main.do?rcpNo=20260813001059", "공시열람")</f>
        <v/>
      </c>
    </row>
    <row r="535">
      <c r="A535" s="5" t="inlineStr">
        <is>
          <t>태웅로직스</t>
        </is>
      </c>
      <c r="B535" s="6" t="inlineStr">
        <is>
          <t>124560</t>
        </is>
      </c>
      <c r="C535" s="6" t="inlineStr">
        <is>
          <t>2026Q2</t>
        </is>
      </c>
      <c r="D535" s="6" t="inlineStr">
        <is>
          <t>20260814</t>
        </is>
      </c>
      <c r="E535" s="16" t="n">
        <v>58408623</v>
      </c>
      <c r="F535" s="16" t="n">
        <v>46850000</v>
      </c>
      <c r="G535" s="16" t="n">
        <v>11558623</v>
      </c>
      <c r="H535" s="6" t="inlineStr">
        <is>
          <t>USD</t>
        </is>
      </c>
      <c r="I535" s="17" t="n">
        <v>-32.2</v>
      </c>
      <c r="J535" s="18" t="n">
        <v>2180000</v>
      </c>
      <c r="K535" s="19" t="n">
        <v>900000</v>
      </c>
      <c r="L535" s="18" t="n">
        <v>21223017</v>
      </c>
      <c r="M535" s="19" t="n">
        <v>20123017</v>
      </c>
      <c r="N535" s="18" t="n">
        <v>32623017</v>
      </c>
      <c r="O535" s="19" t="n">
        <v>23023017</v>
      </c>
      <c r="P535" s="18" t="n">
        <v>19543017</v>
      </c>
      <c r="Q535" s="19" t="n">
        <v>12328623</v>
      </c>
      <c r="R535" s="18" t="n">
        <v>17048623</v>
      </c>
      <c r="S535" s="20" t="n">
        <v>11558623</v>
      </c>
      <c r="T535" s="6" t="n">
        <v>6</v>
      </c>
      <c r="U535" s="5" t="inlineStr">
        <is>
          <t>건설자재 | 전동차 | 건설자재</t>
        </is>
      </c>
      <c r="V535" s="21">
        <f>HYPERLINK("https://dart.fss.or.kr/dsaf001/main.do?rcpNo=20260814001028", "공시열람")</f>
        <v/>
      </c>
    </row>
    <row r="536">
      <c r="A536" s="5" t="inlineStr">
        <is>
          <t>현대퓨처넷</t>
        </is>
      </c>
      <c r="B536" s="6" t="inlineStr">
        <is>
          <t>126560</t>
        </is>
      </c>
      <c r="C536" s="6" t="inlineStr">
        <is>
          <t>2024Q3</t>
        </is>
      </c>
      <c r="D536" s="6" t="inlineStr">
        <is>
          <t>20241114</t>
        </is>
      </c>
      <c r="E536" s="16" t="n">
        <v>378</v>
      </c>
      <c r="F536" s="16" t="n">
        <v>246</v>
      </c>
      <c r="G536" s="16" t="n">
        <v>132</v>
      </c>
      <c r="H536" s="6" t="inlineStr">
        <is>
          <t>백만원/VAT포함</t>
        </is>
      </c>
      <c r="I536" s="17" t="n">
        <v>4.8</v>
      </c>
      <c r="J536" s="18" t="n">
        <v>0</v>
      </c>
      <c r="K536" s="19" t="n">
        <v>126</v>
      </c>
      <c r="L536" s="18" t="n">
        <v>132</v>
      </c>
      <c r="M536" s="19" t="inlineStr"/>
      <c r="N536" s="18" t="inlineStr"/>
      <c r="O536" s="19" t="inlineStr"/>
      <c r="P536" s="18" t="inlineStr"/>
      <c r="Q536" s="19" t="inlineStr"/>
      <c r="R536" s="18" t="inlineStr"/>
      <c r="S536" s="20" t="inlineStr"/>
      <c r="T536" s="6" t="n">
        <v>1</v>
      </c>
      <c r="U536" s="5" t="inlineStr">
        <is>
          <t>SI (시스템 개발) / 현대백화점그룹 / -</t>
        </is>
      </c>
      <c r="V536" s="21">
        <f>HYPERLINK("https://dart.fss.or.kr/dsaf001/main.do?rcpNo=20241114002263", "공시열람")</f>
        <v/>
      </c>
    </row>
    <row r="537">
      <c r="A537" s="5" t="inlineStr">
        <is>
          <t>하이비젼시스템</t>
        </is>
      </c>
      <c r="B537" s="6" t="inlineStr">
        <is>
          <t>126700</t>
        </is>
      </c>
      <c r="C537" s="6" t="inlineStr">
        <is>
          <t>2026Q2</t>
        </is>
      </c>
      <c r="D537" s="6" t="inlineStr">
        <is>
          <t>20260814</t>
        </is>
      </c>
      <c r="E537" s="16" t="n">
        <v>366701</v>
      </c>
      <c r="F537" s="16" t="n">
        <v>78315</v>
      </c>
      <c r="G537" s="16" t="n">
        <v>288386</v>
      </c>
      <c r="H537" s="6" t="inlineStr">
        <is>
          <t>백만원</t>
        </is>
      </c>
      <c r="I537" s="17" t="n">
        <v>31.3</v>
      </c>
      <c r="J537" s="18" t="n">
        <v>206393</v>
      </c>
      <c r="K537" s="19" t="n">
        <v>203675</v>
      </c>
      <c r="L537" s="18" t="n">
        <v>184294</v>
      </c>
      <c r="M537" s="19" t="n">
        <v>147896</v>
      </c>
      <c r="N537" s="18" t="n">
        <v>168044</v>
      </c>
      <c r="O537" s="19" t="n">
        <v>141481</v>
      </c>
      <c r="P537" s="18" t="n">
        <v>100002</v>
      </c>
      <c r="Q537" s="19" t="n">
        <v>126441</v>
      </c>
      <c r="R537" s="18" t="n">
        <v>219664</v>
      </c>
      <c r="S537" s="20" t="n">
        <v>288386</v>
      </c>
      <c r="T537" s="6" t="n">
        <v>4</v>
      </c>
      <c r="U537" s="5" t="inlineStr">
        <is>
          <t>IT/모바일 부문 / - | 2차전지 부문 / - | 3D 프린터 및 기타 부문 / -</t>
        </is>
      </c>
      <c r="V537" s="21">
        <f>HYPERLINK("https://dart.fss.or.kr/dsaf001/main.do?rcpNo=20260814003565", "공시열람")</f>
        <v/>
      </c>
    </row>
    <row r="538">
      <c r="A538" s="5" t="inlineStr">
        <is>
          <t>수산인더스트리</t>
        </is>
      </c>
      <c r="B538" s="6" t="inlineStr">
        <is>
          <t>126720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1239387</v>
      </c>
      <c r="F538" s="16" t="n">
        <v>932242</v>
      </c>
      <c r="G538" s="16" t="n">
        <v>307154</v>
      </c>
      <c r="H538" s="6" t="inlineStr">
        <is>
          <t>백만원</t>
        </is>
      </c>
      <c r="I538" s="17" t="n">
        <v>-10.6</v>
      </c>
      <c r="J538" s="18" t="n">
        <v>416841</v>
      </c>
      <c r="K538" s="19" t="n">
        <v>412026</v>
      </c>
      <c r="L538" s="18" t="n">
        <v>458401</v>
      </c>
      <c r="M538" s="19" t="n">
        <v>372370</v>
      </c>
      <c r="N538" s="18" t="n">
        <v>373753</v>
      </c>
      <c r="O538" s="19" t="n">
        <v>352204</v>
      </c>
      <c r="P538" s="18" t="n">
        <v>356272</v>
      </c>
      <c r="Q538" s="19" t="n">
        <v>303187</v>
      </c>
      <c r="R538" s="18" t="n">
        <v>343757</v>
      </c>
      <c r="S538" s="20" t="n">
        <v>307154</v>
      </c>
      <c r="T538" s="6" t="n">
        <v>143</v>
      </c>
      <c r="U538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8" s="21">
        <f>HYPERLINK("https://dart.fss.or.kr/dsaf001/main.do?rcpNo=20260814001283", "공시열람")</f>
        <v/>
      </c>
    </row>
    <row r="539">
      <c r="A539" s="5" t="inlineStr">
        <is>
          <t>제이엔케이글로벌</t>
        </is>
      </c>
      <c r="B539" s="6" t="inlineStr">
        <is>
          <t>126880</t>
        </is>
      </c>
      <c r="C539" s="6" t="inlineStr">
        <is>
          <t>2026Q2</t>
        </is>
      </c>
      <c r="D539" s="6" t="inlineStr">
        <is>
          <t>20260814</t>
        </is>
      </c>
      <c r="E539" s="16" t="n">
        <v>785438</v>
      </c>
      <c r="F539" s="16" t="n">
        <v>389499</v>
      </c>
      <c r="G539" s="16" t="n">
        <v>395940</v>
      </c>
      <c r="H539" s="6" t="inlineStr">
        <is>
          <t>백만원</t>
        </is>
      </c>
      <c r="I539" s="17" t="n">
        <v>-9.6</v>
      </c>
      <c r="J539" s="18" t="n">
        <v>217252</v>
      </c>
      <c r="K539" s="19" t="n">
        <v>211745566</v>
      </c>
      <c r="L539" s="18" t="n">
        <v>136807</v>
      </c>
      <c r="M539" s="19" t="n">
        <v>211745566</v>
      </c>
      <c r="N539" s="18" t="n">
        <v>153198696</v>
      </c>
      <c r="O539" s="19" t="n">
        <v>121962</v>
      </c>
      <c r="P539" s="18" t="n">
        <v>528016</v>
      </c>
      <c r="Q539" s="19" t="n">
        <v>516304971878</v>
      </c>
      <c r="R539" s="18" t="n">
        <v>437892</v>
      </c>
      <c r="S539" s="20" t="n">
        <v>395940</v>
      </c>
      <c r="T539" s="6" t="n">
        <v>10</v>
      </c>
      <c r="U539" s="5" t="inlineStr">
        <is>
          <t>Fired Heater / 2025-09-19 / 20 | Fired Heater / 2025-09-19 / 20 | Fired Heater / 2025-05-19 / 20</t>
        </is>
      </c>
      <c r="V539" s="21">
        <f>HYPERLINK("https://dart.fss.or.kr/dsaf001/main.do?rcpNo=20260814001305", "공시열람")</f>
        <v/>
      </c>
    </row>
    <row r="540">
      <c r="A540" s="5" t="inlineStr">
        <is>
          <t>제이에스링크</t>
        </is>
      </c>
      <c r="B540" s="6" t="inlineStr">
        <is>
          <t>127120</t>
        </is>
      </c>
      <c r="C540" s="6" t="inlineStr">
        <is>
          <t>2026Q2</t>
        </is>
      </c>
      <c r="D540" s="6" t="inlineStr">
        <is>
          <t>20260814</t>
        </is>
      </c>
      <c r="E540" s="16" t="n">
        <v>12946092655</v>
      </c>
      <c r="F540" s="16" t="n">
        <v>7192093809</v>
      </c>
      <c r="G540" s="16" t="n">
        <v>5753998846</v>
      </c>
      <c r="H540" s="6" t="inlineStr">
        <is>
          <t>원</t>
        </is>
      </c>
      <c r="I540" s="17" t="n">
        <v>-19.9</v>
      </c>
      <c r="J540" s="18" t="n">
        <v>50766064</v>
      </c>
      <c r="K540" s="19" t="n">
        <v>2305393336</v>
      </c>
      <c r="L540" s="18" t="n">
        <v>919455336</v>
      </c>
      <c r="M540" s="19" t="n">
        <v>0</v>
      </c>
      <c r="N540" s="18" t="n">
        <v>624474655</v>
      </c>
      <c r="O540" s="19" t="n">
        <v>14073951636</v>
      </c>
      <c r="P540" s="18" t="n">
        <v>11972594957</v>
      </c>
      <c r="Q540" s="19" t="n">
        <v>7311282275</v>
      </c>
      <c r="R540" s="18" t="n">
        <v>7181619679</v>
      </c>
      <c r="S540" s="20" t="n">
        <v>5753998846</v>
      </c>
      <c r="T540" s="6" t="n">
        <v>2</v>
      </c>
      <c r="U540" s="5" t="inlineStr">
        <is>
          <t xml:space="preserve">국가 통합 바이오 빅데이터 구축 사업을 위한 유전체와  | 한국인 범유전체 구축을 위한 염기서열정보생산 (II) </t>
        </is>
      </c>
      <c r="V540" s="21">
        <f>HYPERLINK("https://dart.fss.or.kr/dsaf001/main.do?rcpNo=20260814002018", "공시열람")</f>
        <v/>
      </c>
    </row>
    <row r="541">
      <c r="A541" s="5" t="inlineStr">
        <is>
          <t>피제이메탈</t>
        </is>
      </c>
      <c r="B541" s="6" t="inlineStr">
        <is>
          <t>128660</t>
        </is>
      </c>
      <c r="C541" s="6" t="inlineStr">
        <is>
          <t>2026Q1</t>
        </is>
      </c>
      <c r="D541" s="6" t="inlineStr">
        <is>
          <t>20260515</t>
        </is>
      </c>
      <c r="E541" s="16" t="n">
        <v>73041</v>
      </c>
      <c r="F541" s="16" t="n">
        <v>36660</v>
      </c>
      <c r="G541" s="16" t="n">
        <v>36381</v>
      </c>
      <c r="H541" s="6" t="inlineStr">
        <is>
          <t>톤,백만원</t>
        </is>
      </c>
      <c r="I541" s="17" t="n">
        <v>4546.4</v>
      </c>
      <c r="J541" s="18" t="n">
        <v>24723</v>
      </c>
      <c r="K541" s="19" t="n">
        <v>2421</v>
      </c>
      <c r="L541" s="18" t="n">
        <v>29688</v>
      </c>
      <c r="M541" s="19" t="n">
        <v>3785</v>
      </c>
      <c r="N541" s="18" t="n">
        <v>31920</v>
      </c>
      <c r="O541" s="19" t="n">
        <v>783</v>
      </c>
      <c r="P541" s="18" t="n">
        <v>23890</v>
      </c>
      <c r="Q541" s="19" t="n">
        <v>783</v>
      </c>
      <c r="R541" s="18" t="n">
        <v>36381</v>
      </c>
      <c r="S541" s="20" t="inlineStr"/>
      <c r="T541" s="6" t="n">
        <v>1</v>
      </c>
      <c r="U541" s="5" t="inlineStr">
        <is>
          <t>탈산제 / 2025년 12월 11일 / 2026년 상반</t>
        </is>
      </c>
      <c r="V541" s="21">
        <f>HYPERLINK("https://dart.fss.or.kr/dsaf001/main.do?rcpNo=20260515000714", "공시열람")</f>
        <v/>
      </c>
    </row>
    <row r="542">
      <c r="A542" s="5" t="inlineStr">
        <is>
          <t>인터지스</t>
        </is>
      </c>
      <c r="B542" s="6" t="inlineStr">
        <is>
          <t>129260</t>
        </is>
      </c>
      <c r="C542" s="6" t="inlineStr">
        <is>
          <t>2025Q3</t>
        </is>
      </c>
      <c r="D542" s="6" t="inlineStr">
        <is>
          <t>20251114</t>
        </is>
      </c>
      <c r="E542" s="16" t="n">
        <v>300</v>
      </c>
      <c r="F542" s="16" t="n">
        <v>300</v>
      </c>
      <c r="G542" s="16" t="n">
        <v>0</v>
      </c>
      <c r="H542" s="6" t="inlineStr">
        <is>
          <t>만톤</t>
        </is>
      </c>
      <c r="I542" s="17" t="n">
        <v>-100</v>
      </c>
      <c r="J542" s="18" t="n">
        <v>45</v>
      </c>
      <c r="K542" s="19" t="inlineStr"/>
      <c r="L542" s="18" t="n">
        <v>25</v>
      </c>
      <c r="M542" s="19" t="inlineStr"/>
      <c r="N542" s="18" t="inlineStr"/>
      <c r="O542" s="19" t="inlineStr"/>
      <c r="P542" s="18" t="n">
        <v>0</v>
      </c>
      <c r="Q542" s="19" t="inlineStr"/>
      <c r="R542" s="18" t="inlineStr"/>
      <c r="S542" s="20" t="inlineStr"/>
      <c r="T542" s="6" t="n">
        <v>1</v>
      </c>
      <c r="U542" s="5" t="inlineStr">
        <is>
          <t>SLAB 해상운송 / 2010년 10월 05일 / 15</t>
        </is>
      </c>
      <c r="V542" s="21">
        <f>HYPERLINK("https://dart.fss.or.kr/dsaf001/main.do?rcpNo=20251114001098", "공시열람")</f>
        <v/>
      </c>
    </row>
    <row r="543">
      <c r="A543" s="5" t="inlineStr">
        <is>
          <t>대성하이텍</t>
        </is>
      </c>
      <c r="B543" s="6" t="inlineStr">
        <is>
          <t>129920</t>
        </is>
      </c>
      <c r="C543" s="6" t="inlineStr">
        <is>
          <t>2026Q2</t>
        </is>
      </c>
      <c r="D543" s="6" t="inlineStr">
        <is>
          <t>20260814</t>
        </is>
      </c>
      <c r="E543" s="16" t="n">
        <v>73703090</v>
      </c>
      <c r="F543" s="16" t="inlineStr"/>
      <c r="G543" s="16" t="n">
        <v>76488134</v>
      </c>
      <c r="H543" s="6" t="inlineStr">
        <is>
          <t>천원</t>
        </is>
      </c>
      <c r="I543" s="17" t="n">
        <v>14.1</v>
      </c>
      <c r="J543" s="18" t="n">
        <v>29043640</v>
      </c>
      <c r="K543" s="19" t="n">
        <v>31687070</v>
      </c>
      <c r="L543" s="18" t="n">
        <v>28884774</v>
      </c>
      <c r="M543" s="19" t="n">
        <v>19545821</v>
      </c>
      <c r="N543" s="18" t="n">
        <v>28404172</v>
      </c>
      <c r="O543" s="19" t="n">
        <v>31315405</v>
      </c>
      <c r="P543" s="18" t="n">
        <v>26854695</v>
      </c>
      <c r="Q543" s="19" t="n">
        <v>38608521</v>
      </c>
      <c r="R543" s="18" t="n">
        <v>67013759</v>
      </c>
      <c r="S543" s="20" t="n">
        <v>76488134</v>
      </c>
      <c r="T543" s="6" t="n">
        <v>4</v>
      </c>
      <c r="U543" s="5" t="inlineStr">
        <is>
          <t>정밀부품 / TLR1 외 / 2026/01/01~202 | 스위스턴 자동선반 / NN-25J3-SW-YWL 외 / | 컴팩트 머시닝 센터 / TX-40DSⅡ(15K/24T)</t>
        </is>
      </c>
      <c r="V543" s="21">
        <f>HYPERLINK("https://dart.fss.or.kr/dsaf001/main.do?rcpNo=20260814002715", "공시열람")</f>
        <v/>
      </c>
    </row>
    <row r="544">
      <c r="A544" s="5" t="inlineStr">
        <is>
          <t>티에스이</t>
        </is>
      </c>
      <c r="B544" s="6" t="inlineStr">
        <is>
          <t>131290</t>
        </is>
      </c>
      <c r="C544" s="6" t="inlineStr">
        <is>
          <t>2026Q2</t>
        </is>
      </c>
      <c r="D544" s="6" t="inlineStr">
        <is>
          <t>20260814</t>
        </is>
      </c>
      <c r="E544" s="16" t="n">
        <v>281340</v>
      </c>
      <c r="F544" s="16" t="n">
        <v>149428</v>
      </c>
      <c r="G544" s="16" t="n">
        <v>131912</v>
      </c>
      <c r="H544" s="6" t="inlineStr">
        <is>
          <t>개,백만원</t>
        </is>
      </c>
      <c r="I544" s="17" t="n">
        <v>37.9</v>
      </c>
      <c r="J544" s="18" t="n">
        <v>13641</v>
      </c>
      <c r="K544" s="19" t="n">
        <v>35423</v>
      </c>
      <c r="L544" s="18" t="n">
        <v>56839</v>
      </c>
      <c r="M544" s="19" t="n">
        <v>41915</v>
      </c>
      <c r="N544" s="18" t="n">
        <v>36018</v>
      </c>
      <c r="O544" s="19" t="n">
        <v>41024</v>
      </c>
      <c r="P544" s="18" t="n">
        <v>52234</v>
      </c>
      <c r="Q544" s="19" t="n">
        <v>74099</v>
      </c>
      <c r="R544" s="18" t="n">
        <v>95625</v>
      </c>
      <c r="S544" s="20" t="n">
        <v>131912</v>
      </c>
      <c r="T544" s="6" t="n">
        <v>4</v>
      </c>
      <c r="U544" s="5" t="inlineStr">
        <is>
          <t>Probe Card / 2026.01.01 ~ 2026 | OLED/LED 검사 장비 / 2026.01.01 ~  | Interface Board / 2026.01.01 ~</t>
        </is>
      </c>
      <c r="V544" s="21">
        <f>HYPERLINK("https://dart.fss.or.kr/dsaf001/main.do?rcpNo=20260814002616", "공시열람")</f>
        <v/>
      </c>
    </row>
    <row r="545">
      <c r="A545" s="5" t="inlineStr">
        <is>
          <t>파인텍</t>
        </is>
      </c>
      <c r="B545" s="6" t="inlineStr">
        <is>
          <t>131760</t>
        </is>
      </c>
      <c r="C545" s="6" t="inlineStr">
        <is>
          <t>2026Q2</t>
        </is>
      </c>
      <c r="D545" s="6" t="inlineStr">
        <is>
          <t>20260814</t>
        </is>
      </c>
      <c r="E545" s="16" t="n">
        <v>50641425</v>
      </c>
      <c r="F545" s="16" t="n">
        <v>22270126</v>
      </c>
      <c r="G545" s="16" t="n">
        <v>28371299</v>
      </c>
      <c r="H545" s="6" t="inlineStr">
        <is>
          <t>천원</t>
        </is>
      </c>
      <c r="I545" s="17" t="n">
        <v>616.6</v>
      </c>
      <c r="J545" s="18" t="n">
        <v>17940552</v>
      </c>
      <c r="K545" s="19" t="n">
        <v>27659633</v>
      </c>
      <c r="L545" s="18" t="n">
        <v>8583075</v>
      </c>
      <c r="M545" s="19" t="n">
        <v>7181420</v>
      </c>
      <c r="N545" s="18" t="n">
        <v>7313536</v>
      </c>
      <c r="O545" s="19" t="n">
        <v>5383335</v>
      </c>
      <c r="P545" s="18" t="n">
        <v>12027228</v>
      </c>
      <c r="Q545" s="19" t="n">
        <v>5137023</v>
      </c>
      <c r="R545" s="18" t="n">
        <v>3958902</v>
      </c>
      <c r="S545" s="20" t="n">
        <v>28371299</v>
      </c>
      <c r="T545" s="6" t="n">
        <v>2</v>
      </c>
      <c r="U545" s="5" t="inlineStr">
        <is>
          <t>디스플레이 및 2차전지 제조 장비 / 2026년 / - | 디스플레이 및 2차전지 제조 장비 / 전년도 수주 이월</t>
        </is>
      </c>
      <c r="V545" s="21">
        <f>HYPERLINK("https://dart.fss.or.kr/dsaf001/main.do?rcpNo=20260814002275", "공시열람")</f>
        <v/>
      </c>
    </row>
    <row r="546">
      <c r="A546" s="5" t="inlineStr">
        <is>
          <t>원일티엔아이</t>
        </is>
      </c>
      <c r="B546" s="6" t="inlineStr">
        <is>
          <t>136150</t>
        </is>
      </c>
      <c r="C546" s="6" t="inlineStr">
        <is>
          <t>2026Q2</t>
        </is>
      </c>
      <c r="D546" s="6" t="inlineStr">
        <is>
          <t>20260814</t>
        </is>
      </c>
      <c r="E546" s="16" t="n">
        <v>115128600</v>
      </c>
      <c r="F546" s="16" t="inlineStr"/>
      <c r="G546" s="16" t="n">
        <v>51113519</v>
      </c>
      <c r="H546" s="6" t="inlineStr">
        <is>
          <t>천원</t>
        </is>
      </c>
      <c r="I546" s="17" t="n">
        <v>21.8</v>
      </c>
      <c r="J546" s="18" t="inlineStr"/>
      <c r="K546" s="19" t="inlineStr"/>
      <c r="L546" s="18" t="inlineStr"/>
      <c r="M546" s="19" t="inlineStr"/>
      <c r="N546" s="18" t="inlineStr"/>
      <c r="O546" s="19" t="n">
        <v>28551984</v>
      </c>
      <c r="P546" s="18" t="n">
        <v>26144920</v>
      </c>
      <c r="Q546" s="19" t="n">
        <v>29963239</v>
      </c>
      <c r="R546" s="18" t="n">
        <v>41956345</v>
      </c>
      <c r="S546" s="20" t="n">
        <v>51113519</v>
      </c>
      <c r="T546" s="6" t="n">
        <v>7</v>
      </c>
      <c r="U546" s="5" t="inlineStr">
        <is>
          <t>기타 / - | 개질기 / 2026년 / 2027년 | 고압연소식기화기 / 2025년 / 2026년</t>
        </is>
      </c>
      <c r="V546" s="21">
        <f>HYPERLINK("https://dart.fss.or.kr/dsaf001/main.do?rcpNo=20260814000662", "공시열람")</f>
        <v/>
      </c>
    </row>
    <row r="547">
      <c r="A547" s="5" t="inlineStr">
        <is>
          <t>에스디바이오센서</t>
        </is>
      </c>
      <c r="B547" s="6" t="inlineStr">
        <is>
          <t>137310</t>
        </is>
      </c>
      <c r="C547" s="6" t="inlineStr">
        <is>
          <t>2022Q4</t>
        </is>
      </c>
      <c r="D547" s="6" t="inlineStr">
        <is>
          <t>20250822</t>
        </is>
      </c>
      <c r="E547" s="16" t="inlineStr"/>
      <c r="F547" s="16" t="inlineStr"/>
      <c r="G547" s="16" t="n">
        <v>20492561</v>
      </c>
      <c r="H547" s="6" t="inlineStr">
        <is>
          <t>천원</t>
        </is>
      </c>
      <c r="I547" s="17" t="inlineStr"/>
      <c r="J547" s="18" t="inlineStr"/>
      <c r="K547" s="19" t="inlineStr"/>
      <c r="L547" s="18" t="inlineStr"/>
      <c r="M547" s="19" t="inlineStr"/>
      <c r="N547" s="18" t="inlineStr"/>
      <c r="O547" s="19" t="inlineStr"/>
      <c r="P547" s="18" t="inlineStr"/>
      <c r="Q547" s="19" t="inlineStr"/>
      <c r="R547" s="18" t="inlineStr"/>
      <c r="S547" s="20" t="inlineStr"/>
      <c r="T547" s="6" t="n">
        <v>3</v>
      </c>
      <c r="U547" s="5" t="inlineStr">
        <is>
          <t>연결범위변동 | 기말장부가액 | 환산차이</t>
        </is>
      </c>
      <c r="V547" s="21">
        <f>HYPERLINK("https://dart.fss.or.kr/dsaf001/main.do?rcpNo=20250822000225", "공시열람")</f>
        <v/>
      </c>
    </row>
    <row r="548">
      <c r="A548" s="5" t="inlineStr">
        <is>
          <t>넥스트아이</t>
        </is>
      </c>
      <c r="B548" s="6" t="inlineStr">
        <is>
          <t>137940</t>
        </is>
      </c>
      <c r="C548" s="6" t="inlineStr">
        <is>
          <t>2025Q4</t>
        </is>
      </c>
      <c r="D548" s="6" t="inlineStr">
        <is>
          <t>20260703</t>
        </is>
      </c>
      <c r="E548" s="16" t="n">
        <v>3438240</v>
      </c>
      <c r="F548" s="16" t="n">
        <v>3197907</v>
      </c>
      <c r="G548" s="16" t="n">
        <v>240333</v>
      </c>
      <c r="H548" s="6" t="inlineStr">
        <is>
          <t>천원</t>
        </is>
      </c>
      <c r="I548" s="17" t="n">
        <v>-31.7</v>
      </c>
      <c r="J548" s="18" t="n">
        <v>887110</v>
      </c>
      <c r="K548" s="19" t="n">
        <v>1285193</v>
      </c>
      <c r="L548" s="18" t="n">
        <v>325322</v>
      </c>
      <c r="M548" s="19" t="n">
        <v>5894227</v>
      </c>
      <c r="N548" s="18" t="n">
        <v>358000</v>
      </c>
      <c r="O548" s="19" t="n">
        <v>859904</v>
      </c>
      <c r="P548" s="18" t="n">
        <v>352076</v>
      </c>
      <c r="Q548" s="19" t="n">
        <v>240333</v>
      </c>
      <c r="R548" s="18" t="inlineStr"/>
      <c r="S548" s="20" t="inlineStr"/>
      <c r="T548" s="6" t="n">
        <v>1</v>
      </c>
      <c r="U548" s="5" t="inlineStr">
        <is>
          <t>A / 2024-11-14 / 2025-11-30</t>
        </is>
      </c>
      <c r="V548" s="21">
        <f>HYPERLINK("https://dart.fss.or.kr/dsaf001/main.do?rcpNo=20260703000467", "공시열람")</f>
        <v/>
      </c>
    </row>
    <row r="549">
      <c r="A549" s="5" t="inlineStr">
        <is>
          <t>오이솔루션</t>
        </is>
      </c>
      <c r="B549" s="6" t="inlineStr">
        <is>
          <t>138080</t>
        </is>
      </c>
      <c r="C549" s="6" t="inlineStr">
        <is>
          <t>2026Q2</t>
        </is>
      </c>
      <c r="D549" s="6" t="inlineStr">
        <is>
          <t>20260814</t>
        </is>
      </c>
      <c r="E549" s="16" t="n">
        <v>79605</v>
      </c>
      <c r="F549" s="16" t="n">
        <v>37469</v>
      </c>
      <c r="G549" s="16" t="n">
        <v>42136</v>
      </c>
      <c r="H549" s="6" t="inlineStr">
        <is>
          <t>백만원</t>
        </is>
      </c>
      <c r="I549" s="17" t="n">
        <v>75.40000000000001</v>
      </c>
      <c r="J549" s="18" t="n">
        <v>11977</v>
      </c>
      <c r="K549" s="19" t="n">
        <v>11377</v>
      </c>
      <c r="L549" s="18" t="n">
        <v>14614</v>
      </c>
      <c r="M549" s="19" t="n">
        <v>21784</v>
      </c>
      <c r="N549" s="18" t="n">
        <v>23502</v>
      </c>
      <c r="O549" s="19" t="n">
        <v>20354</v>
      </c>
      <c r="P549" s="18" t="n">
        <v>19978</v>
      </c>
      <c r="Q549" s="19" t="n">
        <v>19094</v>
      </c>
      <c r="R549" s="18" t="n">
        <v>24023</v>
      </c>
      <c r="S549" s="20" t="n">
        <v>42136</v>
      </c>
      <c r="T549" s="6" t="n">
        <v>2</v>
      </c>
      <c r="U549" s="5" t="inlineStr">
        <is>
          <t>광통신 모듈 | 광통신 소자</t>
        </is>
      </c>
      <c r="V549" s="21">
        <f>HYPERLINK("https://dart.fss.or.kr/dsaf001/main.do?rcpNo=20260814002929", "공시열람")</f>
        <v/>
      </c>
    </row>
    <row r="550">
      <c r="A550" s="5" t="inlineStr">
        <is>
          <t>앤로보틱스</t>
        </is>
      </c>
      <c r="B550" s="6" t="inlineStr">
        <is>
          <t>138360</t>
        </is>
      </c>
      <c r="C550" s="6" t="inlineStr">
        <is>
          <t>2026Q2</t>
        </is>
      </c>
      <c r="D550" s="6" t="inlineStr">
        <is>
          <t>20260814</t>
        </is>
      </c>
      <c r="E550" s="16" t="n">
        <v>35545</v>
      </c>
      <c r="F550" s="16" t="n">
        <v>31717</v>
      </c>
      <c r="G550" s="16" t="n">
        <v>5516</v>
      </c>
      <c r="H550" s="6" t="inlineStr">
        <is>
          <t>백만원</t>
        </is>
      </c>
      <c r="I550" s="17" t="n">
        <v>0</v>
      </c>
      <c r="J550" s="18" t="n">
        <v>21680</v>
      </c>
      <c r="K550" s="19" t="n">
        <v>25581</v>
      </c>
      <c r="L550" s="18" t="n">
        <v>19959</v>
      </c>
      <c r="M550" s="19" t="n">
        <v>19588</v>
      </c>
      <c r="N550" s="18" t="n">
        <v>21197</v>
      </c>
      <c r="O550" s="19" t="n">
        <v>18522</v>
      </c>
      <c r="P550" s="18" t="n">
        <v>8679</v>
      </c>
      <c r="Q550" s="19" t="n">
        <v>3976</v>
      </c>
      <c r="R550" s="18" t="n">
        <v>5516</v>
      </c>
      <c r="S550" s="20" t="n">
        <v>5516</v>
      </c>
      <c r="T550" s="6" t="n">
        <v>6</v>
      </c>
      <c r="U550" s="5" t="inlineStr">
        <is>
          <t>식품제조설비 / 2025.01.01~ 2025.12.3 | 공공기관 발급기 시스템등, 유지보수 / 2026.01. | 식품제조설비 / 2024.01.01~ 2024.12.3</t>
        </is>
      </c>
      <c r="V550" s="21">
        <f>HYPERLINK("https://dart.fss.or.kr/dsaf001/main.do?rcpNo=20260814001624", "공시열람")</f>
        <v/>
      </c>
    </row>
    <row r="551">
      <c r="A551" s="5" t="inlineStr">
        <is>
          <t>나이벡</t>
        </is>
      </c>
      <c r="B551" s="6" t="inlineStr">
        <is>
          <t>138610</t>
        </is>
      </c>
      <c r="C551" s="6" t="inlineStr">
        <is>
          <t>2022Q4</t>
        </is>
      </c>
      <c r="D551" s="6" t="inlineStr">
        <is>
          <t>20240311</t>
        </is>
      </c>
      <c r="E551" s="16" t="n">
        <v>21982</v>
      </c>
      <c r="F551" s="16" t="n">
        <v>15540</v>
      </c>
      <c r="G551" s="16" t="n">
        <v>6442</v>
      </c>
      <c r="H551" s="6" t="inlineStr">
        <is>
          <t>천미불</t>
        </is>
      </c>
      <c r="I551" s="17" t="inlineStr"/>
      <c r="J551" s="18" t="inlineStr"/>
      <c r="K551" s="19" t="inlineStr"/>
      <c r="L551" s="18" t="inlineStr"/>
      <c r="M551" s="19" t="inlineStr"/>
      <c r="N551" s="18" t="inlineStr"/>
      <c r="O551" s="19" t="inlineStr"/>
      <c r="P551" s="18" t="inlineStr"/>
      <c r="Q551" s="19" t="inlineStr"/>
      <c r="R551" s="18" t="inlineStr"/>
      <c r="S551" s="20" t="inlineStr"/>
      <c r="T551" s="6" t="n">
        <v>1</v>
      </c>
      <c r="U551" s="5" t="inlineStr">
        <is>
          <t>치과용 골이식재 / 2019-02-21 / 2024-0</t>
        </is>
      </c>
      <c r="V551" s="21">
        <f>HYPERLINK("https://dart.fss.or.kr/dsaf001/main.do?rcpNo=20240311000726", "공시열람")</f>
        <v/>
      </c>
    </row>
    <row r="552">
      <c r="A552" s="5" t="inlineStr">
        <is>
          <t>이마트</t>
        </is>
      </c>
      <c r="B552" s="6" t="inlineStr">
        <is>
          <t>139480</t>
        </is>
      </c>
      <c r="C552" s="6" t="inlineStr">
        <is>
          <t>2026Q2</t>
        </is>
      </c>
      <c r="D552" s="6" t="inlineStr">
        <is>
          <t>20260814</t>
        </is>
      </c>
      <c r="E552" s="16" t="n">
        <v>4015432</v>
      </c>
      <c r="F552" s="16" t="n">
        <v>2127937</v>
      </c>
      <c r="G552" s="16" t="n">
        <v>1887495</v>
      </c>
      <c r="H552" s="6" t="inlineStr">
        <is>
          <t>백만원</t>
        </is>
      </c>
      <c r="I552" s="17" t="n">
        <v>-9</v>
      </c>
      <c r="J552" s="18" t="n">
        <v>1975135</v>
      </c>
      <c r="K552" s="19" t="n">
        <v>2687936</v>
      </c>
      <c r="L552" s="18" t="n">
        <v>2584887</v>
      </c>
      <c r="M552" s="19" t="n">
        <v>2492258</v>
      </c>
      <c r="N552" s="18" t="n">
        <v>2334087</v>
      </c>
      <c r="O552" s="19" t="n">
        <v>2321385</v>
      </c>
      <c r="P552" s="18" t="n">
        <v>2142985</v>
      </c>
      <c r="Q552" s="19" t="n">
        <v>2274360</v>
      </c>
      <c r="R552" s="18" t="n">
        <v>2073875</v>
      </c>
      <c r="S552" s="20" t="n">
        <v>1887495</v>
      </c>
      <c r="T552" s="6" t="n">
        <v>19</v>
      </c>
      <c r="U552" s="5" t="inlineStr">
        <is>
          <t>스타필드청라현장 / 2024.06.28 / 2027.1 | 청담동 52-3 복합시설 개발사업 / 2025.12.2 | 스타필드창원현장 / 2025.04.01 / 2028.0</t>
        </is>
      </c>
      <c r="V552" s="21">
        <f>HYPERLINK("https://dart.fss.or.kr/dsaf001/main.do?rcpNo=20260814002794", "공시열람")</f>
        <v/>
      </c>
    </row>
    <row r="553">
      <c r="A553" s="5" t="inlineStr">
        <is>
          <t>아주스틸</t>
        </is>
      </c>
      <c r="B553" s="6" t="inlineStr">
        <is>
          <t>139990</t>
        </is>
      </c>
      <c r="C553" s="6" t="inlineStr">
        <is>
          <t>2024Q3</t>
        </is>
      </c>
      <c r="D553" s="6" t="inlineStr">
        <is>
          <t>20241114</t>
        </is>
      </c>
      <c r="E553" s="16" t="inlineStr"/>
      <c r="F553" s="16" t="inlineStr"/>
      <c r="G553" s="16" t="n">
        <v>14989856082</v>
      </c>
      <c r="H553" s="6" t="inlineStr">
        <is>
          <t>원</t>
        </is>
      </c>
      <c r="I553" s="17" t="n">
        <v>-60.1</v>
      </c>
      <c r="J553" s="18" t="n">
        <v>29913612693</v>
      </c>
      <c r="K553" s="19" t="n">
        <v>37601052018</v>
      </c>
      <c r="L553" s="18" t="n">
        <v>14989856082</v>
      </c>
      <c r="M553" s="19" t="inlineStr"/>
      <c r="N553" s="18" t="inlineStr"/>
      <c r="O553" s="19" t="inlineStr"/>
      <c r="P553" s="18" t="inlineStr"/>
      <c r="Q553" s="19" t="inlineStr"/>
      <c r="R553" s="18" t="inlineStr"/>
      <c r="S553" s="20" t="inlineStr"/>
      <c r="T553" s="6" t="n">
        <v>1</v>
      </c>
      <c r="U553" s="5" t="inlineStr">
        <is>
          <t>전문건설공사</t>
        </is>
      </c>
      <c r="V553" s="21">
        <f>HYPERLINK("https://dart.fss.or.kr/dsaf001/main.do?rcpNo=20241114002793", "공시열람")</f>
        <v/>
      </c>
    </row>
    <row r="554">
      <c r="A554" s="5" t="inlineStr">
        <is>
          <t>카티스</t>
        </is>
      </c>
      <c r="B554" s="6" t="inlineStr">
        <is>
          <t>140430</t>
        </is>
      </c>
      <c r="C554" s="6" t="inlineStr">
        <is>
          <t>2026Q2</t>
        </is>
      </c>
      <c r="D554" s="6" t="inlineStr">
        <is>
          <t>20260814</t>
        </is>
      </c>
      <c r="E554" s="16" t="inlineStr"/>
      <c r="F554" s="16" t="inlineStr"/>
      <c r="G554" s="16" t="n">
        <v>17314421</v>
      </c>
      <c r="H554" s="6" t="inlineStr">
        <is>
          <t>천원</t>
        </is>
      </c>
      <c r="I554" s="17" t="n">
        <v>108.8</v>
      </c>
      <c r="J554" s="18" t="n">
        <v>823531</v>
      </c>
      <c r="K554" s="19" t="n">
        <v>34610963</v>
      </c>
      <c r="L554" s="18" t="n">
        <v>29654260</v>
      </c>
      <c r="M554" s="19" t="n">
        <v>24385655</v>
      </c>
      <c r="N554" s="18" t="n">
        <v>24385655</v>
      </c>
      <c r="O554" s="19" t="n">
        <v>24385655</v>
      </c>
      <c r="P554" s="18" t="n">
        <v>24385655</v>
      </c>
      <c r="Q554" s="19" t="n">
        <v>24385655</v>
      </c>
      <c r="R554" s="18" t="n">
        <v>8292188</v>
      </c>
      <c r="S554" s="20" t="n">
        <v>17314421</v>
      </c>
      <c r="T554" s="6" t="n">
        <v>5</v>
      </c>
      <c r="U554" s="5" t="inlineStr">
        <is>
          <t>Digital Realty ICN11 김포데이터센터 S | 인천국제공항 4단계 대인검색장비 구매설치사업 | 데이터센터 각 세종 물리보안 구축</t>
        </is>
      </c>
      <c r="V554" s="21">
        <f>HYPERLINK("https://dart.fss.or.kr/dsaf001/main.do?rcpNo=20260814001604", "공시열람")</f>
        <v/>
      </c>
    </row>
    <row r="555">
      <c r="A555" s="5" t="inlineStr">
        <is>
          <t>알에스오토메이션</t>
        </is>
      </c>
      <c r="B555" s="6" t="inlineStr">
        <is>
          <t>140670</t>
        </is>
      </c>
      <c r="C555" s="6" t="inlineStr">
        <is>
          <t>2026Q2</t>
        </is>
      </c>
      <c r="D555" s="6" t="inlineStr">
        <is>
          <t>20260814</t>
        </is>
      </c>
      <c r="E555" s="16" t="n">
        <v>20205</v>
      </c>
      <c r="F555" s="16" t="n">
        <v>0</v>
      </c>
      <c r="G555" s="16" t="n">
        <v>20205</v>
      </c>
      <c r="H555" s="6" t="inlineStr">
        <is>
          <t>대,백만원</t>
        </is>
      </c>
      <c r="I555" s="17" t="n">
        <v>4.3</v>
      </c>
      <c r="J555" s="18" t="n">
        <v>22166</v>
      </c>
      <c r="K555" s="19" t="n">
        <v>19565</v>
      </c>
      <c r="L555" s="18" t="n">
        <v>18519</v>
      </c>
      <c r="M555" s="19" t="n">
        <v>9639</v>
      </c>
      <c r="N555" s="18" t="n">
        <v>15745</v>
      </c>
      <c r="O555" s="19" t="n">
        <v>22136</v>
      </c>
      <c r="P555" s="18" t="n">
        <v>18487</v>
      </c>
      <c r="Q555" s="19" t="n">
        <v>15305</v>
      </c>
      <c r="R555" s="18" t="n">
        <v>19365</v>
      </c>
      <c r="S555" s="20" t="n">
        <v>20205</v>
      </c>
      <c r="T555" s="6" t="n">
        <v>2</v>
      </c>
      <c r="U555" s="5" t="inlineStr">
        <is>
          <t>로봇모션제어기 / 26년 6월 ~26년 7월 / 26년 | 에너지 제어장치 / 26년 6월 ~26년 7월 / 26</t>
        </is>
      </c>
      <c r="V555" s="21">
        <f>HYPERLINK("https://dart.fss.or.kr/dsaf001/main.do?rcpNo=20260814002367", "공시열람")</f>
        <v/>
      </c>
    </row>
    <row r="556">
      <c r="A556" s="5" t="inlineStr">
        <is>
          <t>파크시스템스</t>
        </is>
      </c>
      <c r="B556" s="6" t="inlineStr">
        <is>
          <t>140860</t>
        </is>
      </c>
      <c r="C556" s="6" t="inlineStr">
        <is>
          <t>2026Q2</t>
        </is>
      </c>
      <c r="D556" s="6" t="inlineStr">
        <is>
          <t>20260814</t>
        </is>
      </c>
      <c r="E556" s="16" t="inlineStr"/>
      <c r="F556" s="16" t="inlineStr"/>
      <c r="G556" s="16" t="n">
        <v>19400000</v>
      </c>
      <c r="H556" s="6" t="inlineStr">
        <is>
          <t>USD,천원</t>
        </is>
      </c>
      <c r="I556" s="17" t="n">
        <v>22164.8</v>
      </c>
      <c r="J556" s="18" t="n">
        <v>29000000</v>
      </c>
      <c r="K556" s="19" t="n">
        <v>23500000</v>
      </c>
      <c r="L556" s="18" t="n">
        <v>75357</v>
      </c>
      <c r="M556" s="19" t="n">
        <v>61225</v>
      </c>
      <c r="N556" s="18" t="n">
        <v>89298</v>
      </c>
      <c r="O556" s="19" t="n">
        <v>69260</v>
      </c>
      <c r="P556" s="18" t="n">
        <v>64532</v>
      </c>
      <c r="Q556" s="19" t="n">
        <v>63633</v>
      </c>
      <c r="R556" s="18" t="n">
        <v>87133</v>
      </c>
      <c r="S556" s="20" t="n">
        <v>19400000</v>
      </c>
      <c r="T556" s="6" t="n">
        <v>6</v>
      </c>
      <c r="U556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6" s="21">
        <f>HYPERLINK("https://dart.fss.or.kr/dsaf001/main.do?rcpNo=20260814004158", "공시열람")</f>
        <v/>
      </c>
    </row>
    <row r="557">
      <c r="A557" s="5" t="inlineStr">
        <is>
          <t>비아트론</t>
        </is>
      </c>
      <c r="B557" s="6" t="inlineStr">
        <is>
          <t>141000</t>
        </is>
      </c>
      <c r="C557" s="6" t="inlineStr">
        <is>
          <t>2026Q2</t>
        </is>
      </c>
      <c r="D557" s="6" t="inlineStr">
        <is>
          <t>20260814</t>
        </is>
      </c>
      <c r="E557" s="16" t="n">
        <v>67901865</v>
      </c>
      <c r="F557" s="16" t="n">
        <v>39561217</v>
      </c>
      <c r="G557" s="16" t="n">
        <v>28340648</v>
      </c>
      <c r="H557" s="6" t="inlineStr">
        <is>
          <t>천원</t>
        </is>
      </c>
      <c r="I557" s="17" t="n">
        <v>6.7</v>
      </c>
      <c r="J557" s="18" t="n">
        <v>47676</v>
      </c>
      <c r="K557" s="19" t="n">
        <v>45880</v>
      </c>
      <c r="L557" s="18" t="n">
        <v>17445</v>
      </c>
      <c r="M557" s="19" t="n">
        <v>58063</v>
      </c>
      <c r="N557" s="18" t="n">
        <v>34070</v>
      </c>
      <c r="O557" s="19" t="n">
        <v>17613</v>
      </c>
      <c r="P557" s="18" t="n">
        <v>26533</v>
      </c>
      <c r="Q557" s="19" t="n">
        <v>28555192</v>
      </c>
      <c r="R557" s="18" t="n">
        <v>26560573</v>
      </c>
      <c r="S557" s="20" t="n">
        <v>28340648</v>
      </c>
      <c r="T557" s="6" t="n">
        <v>1</v>
      </c>
      <c r="U557" s="5" t="inlineStr">
        <is>
          <t xml:space="preserve">디스플레이 및 반도체제조장비 / 2023년~2026년 </t>
        </is>
      </c>
      <c r="V557" s="21">
        <f>HYPERLINK("https://dart.fss.or.kr/dsaf001/main.do?rcpNo=20260814001535", "공시열람")</f>
        <v/>
      </c>
    </row>
    <row r="558">
      <c r="A558" s="5" t="inlineStr">
        <is>
          <t>녹십자엠에스</t>
        </is>
      </c>
      <c r="B558" s="6" t="inlineStr">
        <is>
          <t>142280</t>
        </is>
      </c>
      <c r="C558" s="6" t="inlineStr">
        <is>
          <t>2026Q2</t>
        </is>
      </c>
      <c r="D558" s="6" t="inlineStr">
        <is>
          <t>20260814</t>
        </is>
      </c>
      <c r="E558" s="16" t="n">
        <v>8147</v>
      </c>
      <c r="F558" s="16" t="n">
        <v>206</v>
      </c>
      <c r="G558" s="16" t="n">
        <v>7941</v>
      </c>
      <c r="H558" s="6" t="inlineStr">
        <is>
          <t>백만원</t>
        </is>
      </c>
      <c r="I558" s="17" t="n">
        <v>0</v>
      </c>
      <c r="J558" s="18" t="n">
        <v>100177</v>
      </c>
      <c r="K558" s="19" t="n">
        <v>56107</v>
      </c>
      <c r="L558" s="18" t="n">
        <v>52851</v>
      </c>
      <c r="M558" s="19" t="n">
        <v>51199</v>
      </c>
      <c r="N558" s="18" t="n">
        <v>100177</v>
      </c>
      <c r="O558" s="19" t="n">
        <v>41202</v>
      </c>
      <c r="P558" s="18" t="n">
        <v>18716</v>
      </c>
      <c r="Q558" s="19" t="n">
        <v>7985</v>
      </c>
      <c r="R558" s="18" t="n">
        <v>7941</v>
      </c>
      <c r="S558" s="20" t="n">
        <v>7941</v>
      </c>
      <c r="T558" s="6" t="n">
        <v>1</v>
      </c>
      <c r="U558" s="5" t="inlineStr">
        <is>
          <t>Arkray / HbA1c / 유럽,아시아</t>
        </is>
      </c>
      <c r="V558" s="21">
        <f>HYPERLINK("https://dart.fss.or.kr/dsaf001/main.do?rcpNo=20260814003325", "공시열람")</f>
        <v/>
      </c>
    </row>
    <row r="559">
      <c r="A559" s="5" t="inlineStr">
        <is>
          <t>영우디에스피</t>
        </is>
      </c>
      <c r="B559" s="6" t="inlineStr">
        <is>
          <t>143540</t>
        </is>
      </c>
      <c r="C559" s="6" t="inlineStr">
        <is>
          <t>2026Q2</t>
        </is>
      </c>
      <c r="D559" s="6" t="inlineStr">
        <is>
          <t>20260814</t>
        </is>
      </c>
      <c r="E559" s="16" t="n">
        <v>81826</v>
      </c>
      <c r="F559" s="16" t="n">
        <v>39871</v>
      </c>
      <c r="G559" s="16" t="n">
        <v>41955</v>
      </c>
      <c r="H559" s="6" t="inlineStr">
        <is>
          <t>백만원</t>
        </is>
      </c>
      <c r="I559" s="17" t="n">
        <v>15.6</v>
      </c>
      <c r="J559" s="18" t="n">
        <v>41223</v>
      </c>
      <c r="K559" s="19" t="n">
        <v>31203</v>
      </c>
      <c r="L559" s="18" t="n">
        <v>37317</v>
      </c>
      <c r="M559" s="19" t="n">
        <v>27913</v>
      </c>
      <c r="N559" s="18" t="n">
        <v>39659</v>
      </c>
      <c r="O559" s="19" t="n">
        <v>31012</v>
      </c>
      <c r="P559" s="18" t="n">
        <v>51803</v>
      </c>
      <c r="Q559" s="19" t="n">
        <v>36463</v>
      </c>
      <c r="R559" s="18" t="n">
        <v>36292</v>
      </c>
      <c r="S559" s="20" t="n">
        <v>41955</v>
      </c>
      <c r="T559" s="6" t="n">
        <v>3</v>
      </c>
      <c r="U559" s="5" t="inlineStr">
        <is>
          <t>디스플레이 장비 / - | 스마트 물류 자동화 시스템 / - | 반도체 장비 / -</t>
        </is>
      </c>
      <c r="V559" s="21">
        <f>HYPERLINK("https://dart.fss.or.kr/dsaf001/main.do?rcpNo=20260814002804", "공시열람")</f>
        <v/>
      </c>
    </row>
    <row r="560">
      <c r="A560" s="5" t="inlineStr">
        <is>
          <t>다이나믹디자인</t>
        </is>
      </c>
      <c r="B560" s="6" t="inlineStr">
        <is>
          <t>145210</t>
        </is>
      </c>
      <c r="C560" s="6" t="inlineStr">
        <is>
          <t>2026Q2</t>
        </is>
      </c>
      <c r="D560" s="6" t="inlineStr">
        <is>
          <t>20260814</t>
        </is>
      </c>
      <c r="E560" s="16" t="n">
        <v>33123</v>
      </c>
      <c r="F560" s="16" t="n">
        <v>16625</v>
      </c>
      <c r="G560" s="16" t="n">
        <v>16498</v>
      </c>
      <c r="H560" s="6" t="inlineStr">
        <is>
          <t>조,백만원</t>
        </is>
      </c>
      <c r="I560" s="17" t="n">
        <v>50.2</v>
      </c>
      <c r="J560" s="18" t="n">
        <v>6420</v>
      </c>
      <c r="K560" s="19" t="n">
        <v>6851</v>
      </c>
      <c r="L560" s="18" t="n">
        <v>7022</v>
      </c>
      <c r="M560" s="19" t="n">
        <v>9544</v>
      </c>
      <c r="N560" s="18" t="n">
        <v>6021</v>
      </c>
      <c r="O560" s="19" t="n">
        <v>8944</v>
      </c>
      <c r="P560" s="18" t="n">
        <v>13935</v>
      </c>
      <c r="Q560" s="19" t="n">
        <v>12324</v>
      </c>
      <c r="R560" s="18" t="n">
        <v>10985</v>
      </c>
      <c r="S560" s="20" t="n">
        <v>16498</v>
      </c>
      <c r="T560" s="6" t="n">
        <v>1</v>
      </c>
      <c r="U560" s="5" t="inlineStr">
        <is>
          <t>타이어금형 / 2026.01.01 ~ 2026.06.3</t>
        </is>
      </c>
      <c r="V560" s="21">
        <f>HYPERLINK("https://dart.fss.or.kr/dsaf001/main.do?rcpNo=20260814002665", "공시열람")</f>
        <v/>
      </c>
    </row>
    <row r="561">
      <c r="A561" s="5" t="inlineStr">
        <is>
          <t>덴티움</t>
        </is>
      </c>
      <c r="B561" s="6" t="inlineStr">
        <is>
          <t>145720</t>
        </is>
      </c>
      <c r="C561" s="6" t="inlineStr">
        <is>
          <t>2024Q3</t>
        </is>
      </c>
      <c r="D561" s="6" t="inlineStr">
        <is>
          <t>20241114</t>
        </is>
      </c>
      <c r="E561" s="16" t="inlineStr"/>
      <c r="F561" s="16" t="inlineStr"/>
      <c r="G561" s="16" t="n">
        <v>15000000</v>
      </c>
      <c r="H561" s="6" t="inlineStr">
        <is>
          <t>천원</t>
        </is>
      </c>
      <c r="I561" s="17" t="n">
        <v>0</v>
      </c>
      <c r="J561" s="18" t="n">
        <v>17500000</v>
      </c>
      <c r="K561" s="19" t="n">
        <v>15000000</v>
      </c>
      <c r="L561" s="18" t="n">
        <v>15000000</v>
      </c>
      <c r="M561" s="19" t="inlineStr"/>
      <c r="N561" s="18" t="inlineStr"/>
      <c r="O561" s="19" t="inlineStr"/>
      <c r="P561" s="18" t="inlineStr"/>
      <c r="Q561" s="19" t="inlineStr"/>
      <c r="R561" s="18" t="inlineStr"/>
      <c r="S561" s="20" t="inlineStr"/>
      <c r="T561" s="6" t="n">
        <v>1</v>
      </c>
      <c r="U561" s="5" t="inlineStr">
        <is>
          <t>이자율스왑 / 신한은행 / 2019.04.26</t>
        </is>
      </c>
      <c r="V561" s="21">
        <f>HYPERLINK("https://dart.fss.or.kr/dsaf001/main.do?rcpNo=20241114001922", "공시열람")</f>
        <v/>
      </c>
    </row>
    <row r="562">
      <c r="A562" s="5" t="inlineStr">
        <is>
          <t>제룡산업</t>
        </is>
      </c>
      <c r="B562" s="6" t="inlineStr">
        <is>
          <t>147830</t>
        </is>
      </c>
      <c r="C562" s="6" t="inlineStr">
        <is>
          <t>2026Q2</t>
        </is>
      </c>
      <c r="D562" s="6" t="inlineStr">
        <is>
          <t>20260814</t>
        </is>
      </c>
      <c r="E562" s="16" t="n">
        <v>25009633</v>
      </c>
      <c r="F562" s="16" t="n">
        <v>19658463</v>
      </c>
      <c r="G562" s="16" t="n">
        <v>5351170</v>
      </c>
      <c r="H562" s="6" t="inlineStr">
        <is>
          <t>천원</t>
        </is>
      </c>
      <c r="I562" s="17" t="n">
        <v>-54.2</v>
      </c>
      <c r="J562" s="18" t="n">
        <v>4430532</v>
      </c>
      <c r="K562" s="19" t="n">
        <v>3776035</v>
      </c>
      <c r="L562" s="18" t="n">
        <v>4828199</v>
      </c>
      <c r="M562" s="19" t="n">
        <v>1331731</v>
      </c>
      <c r="N562" s="18" t="n">
        <v>20598896</v>
      </c>
      <c r="O562" s="19" t="n">
        <v>18284950</v>
      </c>
      <c r="P562" s="18" t="n">
        <v>25650838</v>
      </c>
      <c r="Q562" s="19" t="n">
        <v>20075851</v>
      </c>
      <c r="R562" s="18" t="n">
        <v>11673010</v>
      </c>
      <c r="S562" s="20" t="n">
        <v>5351170</v>
      </c>
      <c r="T562" s="6" t="n">
        <v>9</v>
      </c>
      <c r="U562" s="5" t="inlineStr">
        <is>
          <t>HVDC 애자 및 전선 금구류 / 2025.01.09  | 조립식이음관 / 2026.04.22 / " | 전주도색판 / 2026.04.28 / "</t>
        </is>
      </c>
      <c r="V562" s="21">
        <f>HYPERLINK("https://dart.fss.or.kr/dsaf001/main.do?rcpNo=20260814000834", "공시열람")</f>
        <v/>
      </c>
    </row>
    <row r="563">
      <c r="A563" s="5" t="inlineStr">
        <is>
          <t>에이치와이티씨</t>
        </is>
      </c>
      <c r="B563" s="6" t="inlineStr">
        <is>
          <t>148930</t>
        </is>
      </c>
      <c r="C563" s="6" t="inlineStr">
        <is>
          <t>2026Q2</t>
        </is>
      </c>
      <c r="D563" s="6" t="inlineStr">
        <is>
          <t>20260814</t>
        </is>
      </c>
      <c r="E563" s="16" t="n">
        <v>6574</v>
      </c>
      <c r="F563" s="16" t="n">
        <v>666</v>
      </c>
      <c r="G563" s="16" t="n">
        <v>5908</v>
      </c>
      <c r="H563" s="6" t="inlineStr">
        <is>
          <t>EA,백만원</t>
        </is>
      </c>
      <c r="I563" s="17" t="n">
        <v>0</v>
      </c>
      <c r="J563" s="18" t="inlineStr"/>
      <c r="K563" s="19" t="inlineStr"/>
      <c r="L563" s="18" t="inlineStr"/>
      <c r="M563" s="19" t="n">
        <v>6278</v>
      </c>
      <c r="N563" s="18" t="n">
        <v>6278</v>
      </c>
      <c r="O563" s="19" t="n">
        <v>6204</v>
      </c>
      <c r="P563" s="18" t="n">
        <v>6130</v>
      </c>
      <c r="Q563" s="19" t="n">
        <v>5908</v>
      </c>
      <c r="R563" s="18" t="n">
        <v>5908</v>
      </c>
      <c r="S563" s="20" t="n">
        <v>5908</v>
      </c>
      <c r="T563" s="6" t="n">
        <v>1</v>
      </c>
      <c r="U563" s="5" t="inlineStr">
        <is>
          <t>이차전지 제조용 노칭금형 및 부품 / 2024-10-1</t>
        </is>
      </c>
      <c r="V563" s="21">
        <f>HYPERLINK("https://dart.fss.or.kr/dsaf001/main.do?rcpNo=20260814000821", "공시열람")</f>
        <v/>
      </c>
    </row>
    <row r="564">
      <c r="A564" s="5" t="inlineStr">
        <is>
          <t>아이케이세미콘</t>
        </is>
      </c>
      <c r="B564" s="6" t="inlineStr">
        <is>
          <t>149010</t>
        </is>
      </c>
      <c r="C564" s="6" t="inlineStr">
        <is>
          <t>2024Q4</t>
        </is>
      </c>
      <c r="D564" s="6" t="inlineStr">
        <is>
          <t>20250321</t>
        </is>
      </c>
      <c r="E564" s="16" t="inlineStr"/>
      <c r="F564" s="16" t="inlineStr"/>
      <c r="G564" s="16" t="n">
        <v>4411</v>
      </c>
      <c r="H564" s="6" t="inlineStr"/>
      <c r="I564" s="17" t="n">
        <v>9.699999999999999</v>
      </c>
      <c r="J564" s="18" t="inlineStr"/>
      <c r="K564" s="19" t="inlineStr"/>
      <c r="L564" s="18" t="inlineStr"/>
      <c r="M564" s="19" t="n">
        <v>4411</v>
      </c>
      <c r="N564" s="18" t="inlineStr"/>
      <c r="O564" s="19" t="inlineStr"/>
      <c r="P564" s="18" t="inlineStr"/>
      <c r="Q564" s="19" t="inlineStr"/>
      <c r="R564" s="18" t="inlineStr"/>
      <c r="S564" s="20" t="inlineStr"/>
      <c r="T564" s="6" t="n">
        <v>2</v>
      </c>
      <c r="U564" s="5" t="inlineStr">
        <is>
          <t>해 외 | 국 내</t>
        </is>
      </c>
      <c r="V564" s="21">
        <f>HYPERLINK("https://dart.fss.or.kr/dsaf001/main.do?rcpNo=20250321000195", "공시열람")</f>
        <v/>
      </c>
    </row>
    <row r="565">
      <c r="A565" s="5" t="inlineStr">
        <is>
          <t>KG에코솔루션</t>
        </is>
      </c>
      <c r="B565" s="6" t="inlineStr">
        <is>
          <t>151860</t>
        </is>
      </c>
      <c r="C565" s="6" t="inlineStr">
        <is>
          <t>2026Q2</t>
        </is>
      </c>
      <c r="D565" s="6" t="inlineStr">
        <is>
          <t>20260814</t>
        </is>
      </c>
      <c r="E565" s="16" t="n">
        <v>57906</v>
      </c>
      <c r="F565" s="16" t="n">
        <v>48922</v>
      </c>
      <c r="G565" s="16" t="n">
        <v>8984</v>
      </c>
      <c r="H565" s="6" t="inlineStr">
        <is>
          <t>톤,백만원</t>
        </is>
      </c>
      <c r="I565" s="17" t="n">
        <v>-25.9</v>
      </c>
      <c r="J565" s="18" t="n">
        <v>29295</v>
      </c>
      <c r="K565" s="19" t="n">
        <v>35425</v>
      </c>
      <c r="L565" s="18" t="n">
        <v>19664</v>
      </c>
      <c r="M565" s="19" t="n">
        <v>16371</v>
      </c>
      <c r="N565" s="18" t="n">
        <v>13584</v>
      </c>
      <c r="O565" s="19" t="n">
        <v>13602</v>
      </c>
      <c r="P565" s="18" t="n">
        <v>14962</v>
      </c>
      <c r="Q565" s="19" t="n">
        <v>14085</v>
      </c>
      <c r="R565" s="18" t="n">
        <v>12117</v>
      </c>
      <c r="S565" s="20" t="n">
        <v>8984</v>
      </c>
      <c r="T565" s="6" t="n">
        <v>3</v>
      </c>
      <c r="U565" s="5" t="inlineStr">
        <is>
          <t>일반철골공사 / - | PEB 제품판매 / - | PEB 철골공사 / -</t>
        </is>
      </c>
      <c r="V565" s="21">
        <f>HYPERLINK("https://dart.fss.or.kr/dsaf001/main.do?rcpNo=20260814002621", "공시열람")</f>
        <v/>
      </c>
    </row>
    <row r="566">
      <c r="A566" s="5" t="inlineStr">
        <is>
          <t>와이엠씨</t>
        </is>
      </c>
      <c r="B566" s="6" t="inlineStr">
        <is>
          <t>155650</t>
        </is>
      </c>
      <c r="C566" s="6" t="inlineStr">
        <is>
          <t>2025Q4</t>
        </is>
      </c>
      <c r="D566" s="6" t="inlineStr">
        <is>
          <t>20260313</t>
        </is>
      </c>
      <c r="E566" s="16" t="n">
        <v>21593</v>
      </c>
      <c r="F566" s="16" t="n">
        <v>21593</v>
      </c>
      <c r="G566" s="16" t="n">
        <v>0</v>
      </c>
      <c r="H566" s="6" t="inlineStr">
        <is>
          <t>백만원</t>
        </is>
      </c>
      <c r="I566" s="17" t="inlineStr"/>
      <c r="J566" s="18" t="n">
        <v>4464</v>
      </c>
      <c r="K566" s="19" t="n">
        <v>19194</v>
      </c>
      <c r="L566" s="18" t="n">
        <v>11996</v>
      </c>
      <c r="M566" s="19" t="n">
        <v>4798</v>
      </c>
      <c r="N566" s="18" t="n">
        <v>0</v>
      </c>
      <c r="O566" s="19" t="n">
        <v>0</v>
      </c>
      <c r="P566" s="18" t="n">
        <v>0</v>
      </c>
      <c r="Q566" s="19" t="n">
        <v>0</v>
      </c>
      <c r="R566" s="18" t="inlineStr"/>
      <c r="S566" s="20" t="inlineStr"/>
      <c r="T566" s="6" t="n">
        <v>1</v>
      </c>
      <c r="U566" s="5" t="inlineStr">
        <is>
          <t>디스플레이 제조 설비 유지 보수 / 2024.05.30</t>
        </is>
      </c>
      <c r="V566" s="21">
        <f>HYPERLINK("https://dart.fss.or.kr/dsaf001/main.do?rcpNo=20260313001301", "공시열람")</f>
        <v/>
      </c>
    </row>
    <row r="567">
      <c r="A567" s="5" t="inlineStr">
        <is>
          <t>에코글로우</t>
        </is>
      </c>
      <c r="B567" s="6" t="inlineStr">
        <is>
          <t>159910</t>
        </is>
      </c>
      <c r="C567" s="6" t="inlineStr">
        <is>
          <t>2026Q1</t>
        </is>
      </c>
      <c r="D567" s="6" t="inlineStr">
        <is>
          <t>20260515</t>
        </is>
      </c>
      <c r="E567" s="16" t="n">
        <v>3000</v>
      </c>
      <c r="F567" s="16" t="n">
        <v>3000</v>
      </c>
      <c r="G567" s="16" t="n">
        <v>0</v>
      </c>
      <c r="H567" s="6" t="inlineStr">
        <is>
          <t>백만원</t>
        </is>
      </c>
      <c r="I567" s="17" t="inlineStr"/>
      <c r="J567" s="18" t="inlineStr"/>
      <c r="K567" s="19" t="inlineStr"/>
      <c r="L567" s="18" t="inlineStr"/>
      <c r="M567" s="19" t="inlineStr"/>
      <c r="N567" s="18" t="inlineStr"/>
      <c r="O567" s="19" t="inlineStr"/>
      <c r="P567" s="18" t="inlineStr"/>
      <c r="Q567" s="19" t="inlineStr"/>
      <c r="R567" s="18" t="n">
        <v>0</v>
      </c>
      <c r="S567" s="20" t="inlineStr"/>
      <c r="T567" s="6" t="n">
        <v>1</v>
      </c>
      <c r="U567" s="5" t="inlineStr">
        <is>
          <t>ESG 통합 캠페인 및 프로젝트 대행 계약 / 2026</t>
        </is>
      </c>
      <c r="V567" s="21">
        <f>HYPERLINK("https://dart.fss.or.kr/dsaf001/main.do?rcpNo=20260515000599", "공시열람")</f>
        <v/>
      </c>
    </row>
    <row r="568">
      <c r="A568" s="5" t="inlineStr">
        <is>
          <t>필옵틱스</t>
        </is>
      </c>
      <c r="B568" s="6" t="inlineStr">
        <is>
          <t>161580</t>
        </is>
      </c>
      <c r="C568" s="6" t="inlineStr">
        <is>
          <t>2026Q2</t>
        </is>
      </c>
      <c r="D568" s="6" t="inlineStr">
        <is>
          <t>20260814</t>
        </is>
      </c>
      <c r="E568" s="16" t="n">
        <v>144994</v>
      </c>
      <c r="F568" s="16" t="n">
        <v>19170</v>
      </c>
      <c r="G568" s="16" t="n">
        <v>125824</v>
      </c>
      <c r="H568" s="6" t="inlineStr">
        <is>
          <t>백만원</t>
        </is>
      </c>
      <c r="I568" s="17" t="n">
        <v>13.3</v>
      </c>
      <c r="J568" s="18" t="n">
        <v>437179</v>
      </c>
      <c r="K568" s="19" t="n">
        <v>335078</v>
      </c>
      <c r="L568" s="18" t="n">
        <v>288534</v>
      </c>
      <c r="M568" s="19" t="n">
        <v>154135</v>
      </c>
      <c r="N568" s="18" t="n">
        <v>121225</v>
      </c>
      <c r="O568" s="19" t="n">
        <v>91999</v>
      </c>
      <c r="P568" s="18" t="n">
        <v>101438</v>
      </c>
      <c r="Q568" s="19" t="n">
        <v>105938</v>
      </c>
      <c r="R568" s="18" t="n">
        <v>111039</v>
      </c>
      <c r="S568" s="20" t="n">
        <v>125824</v>
      </c>
      <c r="T568" s="6" t="n">
        <v>2</v>
      </c>
      <c r="U568" s="5" t="inlineStr">
        <is>
          <t>이차전지 공정장비 / - | 디스플레이, 반도체 장비 등 / -</t>
        </is>
      </c>
      <c r="V568" s="21">
        <f>HYPERLINK("https://dart.fss.or.kr/dsaf001/main.do?rcpNo=20260814002796", "공시열람")</f>
        <v/>
      </c>
    </row>
    <row r="569">
      <c r="A569" s="5" t="inlineStr">
        <is>
          <t>루켄테크놀러지스</t>
        </is>
      </c>
      <c r="B569" s="6" t="inlineStr">
        <is>
          <t>162120</t>
        </is>
      </c>
      <c r="C569" s="6" t="inlineStr">
        <is>
          <t>2025Q4</t>
        </is>
      </c>
      <c r="D569" s="6" t="inlineStr">
        <is>
          <t>20260323</t>
        </is>
      </c>
      <c r="E569" s="16" t="n">
        <v>7652</v>
      </c>
      <c r="F569" s="16" t="inlineStr"/>
      <c r="G569" s="16" t="n">
        <v>7652</v>
      </c>
      <c r="H569" s="6" t="inlineStr">
        <is>
          <t>EA,백만원</t>
        </is>
      </c>
      <c r="I569" s="17" t="n">
        <v>-99.90000000000001</v>
      </c>
      <c r="J569" s="18" t="inlineStr"/>
      <c r="K569" s="19" t="inlineStr"/>
      <c r="L569" s="18" t="inlineStr"/>
      <c r="M569" s="19" t="n">
        <v>6746997</v>
      </c>
      <c r="N569" s="18" t="inlineStr"/>
      <c r="O569" s="19" t="inlineStr"/>
      <c r="P569" s="18" t="inlineStr"/>
      <c r="Q569" s="19" t="n">
        <v>7652</v>
      </c>
      <c r="R569" s="18" t="inlineStr"/>
      <c r="S569" s="20" t="inlineStr"/>
      <c r="T569" s="6" t="n">
        <v>2</v>
      </c>
      <c r="U569" s="5" t="inlineStr">
        <is>
          <t>디스플레이검사장비 / - | 반도체 부품 / -</t>
        </is>
      </c>
      <c r="V569" s="21">
        <f>HYPERLINK("https://dart.fss.or.kr/dsaf001/main.do?rcpNo=20260323000759", "공시열람")</f>
        <v/>
      </c>
    </row>
    <row r="570">
      <c r="A570" s="5" t="inlineStr">
        <is>
          <t>에어레인</t>
        </is>
      </c>
      <c r="B570" s="6" t="inlineStr">
        <is>
          <t>163280</t>
        </is>
      </c>
      <c r="C570" s="6" t="inlineStr">
        <is>
          <t>2026Q2</t>
        </is>
      </c>
      <c r="D570" s="6" t="inlineStr">
        <is>
          <t>20260813</t>
        </is>
      </c>
      <c r="E570" s="16" t="n">
        <v>10357</v>
      </c>
      <c r="F570" s="16" t="n">
        <v>5688</v>
      </c>
      <c r="G570" s="16" t="n">
        <v>4669</v>
      </c>
      <c r="H570" s="6" t="inlineStr">
        <is>
          <t>백만원</t>
        </is>
      </c>
      <c r="I570" s="17" t="n">
        <v>6</v>
      </c>
      <c r="J570" s="18" t="inlineStr"/>
      <c r="K570" s="19" t="inlineStr"/>
      <c r="L570" s="18" t="inlineStr"/>
      <c r="M570" s="19" t="n">
        <v>5079</v>
      </c>
      <c r="N570" s="18" t="n">
        <v>5054</v>
      </c>
      <c r="O570" s="19" t="n">
        <v>2487</v>
      </c>
      <c r="P570" s="18" t="n">
        <v>5221</v>
      </c>
      <c r="Q570" s="19" t="n">
        <v>3961</v>
      </c>
      <c r="R570" s="18" t="n">
        <v>4406</v>
      </c>
      <c r="S570" s="20" t="n">
        <v>4669</v>
      </c>
      <c r="T570" s="6" t="n">
        <v>15</v>
      </c>
      <c r="U570" s="5" t="inlineStr">
        <is>
          <t>바이오가스 고질화설비 / 2025.07.25 / 202 | 수소생산 / 2026.06.22 / 2027.05.31 | CO2포집실증 / 2023.07.01 / 2026.07</t>
        </is>
      </c>
      <c r="V570" s="21">
        <f>HYPERLINK("https://dart.fss.or.kr/dsaf001/main.do?rcpNo=20260813000378", "공시열람")</f>
        <v/>
      </c>
    </row>
    <row r="571">
      <c r="A571" s="5" t="inlineStr">
        <is>
          <t>핑거</t>
        </is>
      </c>
      <c r="B571" s="6" t="inlineStr">
        <is>
          <t>163730</t>
        </is>
      </c>
      <c r="C571" s="6" t="inlineStr">
        <is>
          <t>2026Q2</t>
        </is>
      </c>
      <c r="D571" s="6" t="inlineStr">
        <is>
          <t>20260814</t>
        </is>
      </c>
      <c r="E571" s="16" t="n">
        <v>60795</v>
      </c>
      <c r="F571" s="16" t="n">
        <v>20804</v>
      </c>
      <c r="G571" s="16" t="n">
        <v>39991</v>
      </c>
      <c r="H571" s="6" t="inlineStr">
        <is>
          <t>백만원</t>
        </is>
      </c>
      <c r="I571" s="17" t="n">
        <v>0</v>
      </c>
      <c r="J571" s="18" t="n">
        <v>35312</v>
      </c>
      <c r="K571" s="19" t="n">
        <v>27623</v>
      </c>
      <c r="L571" s="18" t="n">
        <v>18716</v>
      </c>
      <c r="M571" s="19" t="n">
        <v>24510</v>
      </c>
      <c r="N571" s="18" t="n">
        <v>37278</v>
      </c>
      <c r="O571" s="19" t="n">
        <v>35074</v>
      </c>
      <c r="P571" s="18" t="n">
        <v>24824</v>
      </c>
      <c r="Q571" s="19" t="n">
        <v>14283</v>
      </c>
      <c r="R571" s="18" t="n">
        <v>39991</v>
      </c>
      <c r="S571" s="20" t="n">
        <v>39991</v>
      </c>
      <c r="T571" s="6" t="n">
        <v>6</v>
      </c>
      <c r="U571" s="5" t="inlineStr">
        <is>
          <t xml:space="preserve">기타 | O2O플랫폼 전담반 및 유지보수 / 2026.01.13 | 차세대 지급결제시스템 유리관리 / 2026.01.01 </t>
        </is>
      </c>
      <c r="V571" s="21">
        <f>HYPERLINK("https://dart.fss.or.kr/dsaf001/main.do?rcpNo=20260814003937", "공시열람")</f>
        <v/>
      </c>
    </row>
    <row r="572">
      <c r="A572" s="5" t="inlineStr">
        <is>
          <t>코아스템켐온</t>
        </is>
      </c>
      <c r="B572" s="6" t="inlineStr">
        <is>
          <t>166480</t>
        </is>
      </c>
      <c r="C572" s="6" t="inlineStr">
        <is>
          <t>2026Q2</t>
        </is>
      </c>
      <c r="D572" s="6" t="inlineStr">
        <is>
          <t>20260814</t>
        </is>
      </c>
      <c r="E572" s="16" t="n">
        <v>27153</v>
      </c>
      <c r="F572" s="16" t="n">
        <v>14462</v>
      </c>
      <c r="G572" s="16" t="n">
        <v>12692</v>
      </c>
      <c r="H572" s="6" t="inlineStr">
        <is>
          <t>백만원</t>
        </is>
      </c>
      <c r="I572" s="17" t="n">
        <v>-18.3</v>
      </c>
      <c r="J572" s="18" t="n">
        <v>14003</v>
      </c>
      <c r="K572" s="19" t="n">
        <v>12793</v>
      </c>
      <c r="L572" s="18" t="n">
        <v>9639</v>
      </c>
      <c r="M572" s="19" t="n">
        <v>12279</v>
      </c>
      <c r="N572" s="18" t="n">
        <v>14819</v>
      </c>
      <c r="O572" s="19" t="n">
        <v>20249</v>
      </c>
      <c r="P572" s="18" t="n">
        <v>11236</v>
      </c>
      <c r="Q572" s="19" t="n">
        <v>6949</v>
      </c>
      <c r="R572" s="18" t="n">
        <v>15538</v>
      </c>
      <c r="S572" s="20" t="n">
        <v>12692</v>
      </c>
      <c r="T572" s="6" t="n">
        <v>1</v>
      </c>
      <c r="U572" s="5" t="inlineStr">
        <is>
          <t>안전성평가 / -</t>
        </is>
      </c>
      <c r="V572" s="21">
        <f>HYPERLINK("https://dart.fss.or.kr/dsaf001/main.do?rcpNo=20260814002892", "공시열람")</f>
        <v/>
      </c>
    </row>
    <row r="573">
      <c r="A573" s="5" t="inlineStr">
        <is>
          <t>엠브레인</t>
        </is>
      </c>
      <c r="B573" s="6" t="inlineStr">
        <is>
          <t>169330</t>
        </is>
      </c>
      <c r="C573" s="6" t="inlineStr">
        <is>
          <t>2026Q2</t>
        </is>
      </c>
      <c r="D573" s="6" t="inlineStr">
        <is>
          <t>20260929</t>
        </is>
      </c>
      <c r="E573" s="16" t="n">
        <v>55308</v>
      </c>
      <c r="F573" s="16" t="inlineStr"/>
      <c r="G573" s="16" t="n">
        <v>16288</v>
      </c>
      <c r="H573" s="6" t="inlineStr">
        <is>
          <t>백만원</t>
        </is>
      </c>
      <c r="I573" s="17" t="n">
        <v>-0.7</v>
      </c>
      <c r="J573" s="18" t="n">
        <v>11891</v>
      </c>
      <c r="K573" s="19" t="n">
        <v>12349</v>
      </c>
      <c r="L573" s="18" t="n">
        <v>15826</v>
      </c>
      <c r="M573" s="19" t="n">
        <v>11240</v>
      </c>
      <c r="N573" s="18" t="n">
        <v>13255</v>
      </c>
      <c r="O573" s="19" t="n">
        <v>13512</v>
      </c>
      <c r="P573" s="18" t="n">
        <v>16022</v>
      </c>
      <c r="Q573" s="19" t="n">
        <v>12572</v>
      </c>
      <c r="R573" s="18" t="n">
        <v>16399</v>
      </c>
      <c r="S573" s="20" t="n">
        <v>16288</v>
      </c>
      <c r="T573" s="6" t="n">
        <v>0</v>
      </c>
      <c r="U573" s="5" t="inlineStr"/>
      <c r="V573" s="21">
        <f>HYPERLINK("https://dart.fss.or.kr/dsaf001/main.do?rcpNo=20260929000427", "공시열람")</f>
        <v/>
      </c>
    </row>
    <row r="574">
      <c r="A574" s="5" t="inlineStr">
        <is>
          <t>코스텍시스템</t>
        </is>
      </c>
      <c r="B574" s="6" t="inlineStr">
        <is>
          <t>169670</t>
        </is>
      </c>
      <c r="C574" s="6" t="inlineStr">
        <is>
          <t>2025Q4</t>
        </is>
      </c>
      <c r="D574" s="6" t="inlineStr">
        <is>
          <t>20260331</t>
        </is>
      </c>
      <c r="E574" s="16" t="n">
        <v>25200</v>
      </c>
      <c r="F574" s="16" t="n">
        <v>12005</v>
      </c>
      <c r="G574" s="16" t="n">
        <v>13195</v>
      </c>
      <c r="H574" s="6" t="inlineStr">
        <is>
          <t>백만원/대</t>
        </is>
      </c>
      <c r="I574" s="17" t="n">
        <v>0</v>
      </c>
      <c r="J574" s="18" t="inlineStr"/>
      <c r="K574" s="19" t="inlineStr"/>
      <c r="L574" s="18" t="inlineStr"/>
      <c r="M574" s="19" t="n">
        <v>13195</v>
      </c>
      <c r="N574" s="18" t="inlineStr"/>
      <c r="O574" s="19" t="inlineStr"/>
      <c r="P574" s="18" t="inlineStr"/>
      <c r="Q574" s="19" t="n">
        <v>13195</v>
      </c>
      <c r="R574" s="18" t="inlineStr"/>
      <c r="S574" s="20" t="inlineStr"/>
      <c r="T574" s="6" t="n">
        <v>1</v>
      </c>
      <c r="U574" s="5" t="inlineStr">
        <is>
          <t>반도체 웨이퍼 이송장치 / 2026.01.01~ 202</t>
        </is>
      </c>
      <c r="V574" s="21">
        <f>HYPERLINK("https://dart.fss.or.kr/dsaf001/main.do?rcpNo=20260331001824", "공시열람")</f>
        <v/>
      </c>
    </row>
    <row r="575">
      <c r="A575" s="5" t="inlineStr">
        <is>
          <t>엘티씨</t>
        </is>
      </c>
      <c r="B575" s="6" t="inlineStr">
        <is>
          <t>170920</t>
        </is>
      </c>
      <c r="C575" s="6" t="inlineStr">
        <is>
          <t>2026Q2</t>
        </is>
      </c>
      <c r="D575" s="6" t="inlineStr">
        <is>
          <t>20260813</t>
        </is>
      </c>
      <c r="E575" s="16" t="n">
        <v>17566325</v>
      </c>
      <c r="F575" s="16" t="n">
        <v>12724527</v>
      </c>
      <c r="G575" s="16" t="n">
        <v>4841798</v>
      </c>
      <c r="H575" s="6" t="inlineStr">
        <is>
          <t>천원</t>
        </is>
      </c>
      <c r="I575" s="17" t="n">
        <v>-72.7</v>
      </c>
      <c r="J575" s="18" t="inlineStr"/>
      <c r="K575" s="19" t="inlineStr"/>
      <c r="L575" s="18" t="inlineStr"/>
      <c r="M575" s="19" t="n">
        <v>13390553</v>
      </c>
      <c r="N575" s="18" t="n">
        <v>11596172</v>
      </c>
      <c r="O575" s="19" t="n">
        <v>34960749</v>
      </c>
      <c r="P575" s="18" t="n">
        <v>19433741</v>
      </c>
      <c r="Q575" s="19" t="n">
        <v>19058576</v>
      </c>
      <c r="R575" s="18" t="n">
        <v>17764000</v>
      </c>
      <c r="S575" s="20" t="n">
        <v>4841798</v>
      </c>
      <c r="T575" s="6" t="n">
        <v>1</v>
      </c>
      <c r="U575" s="5" t="inlineStr">
        <is>
          <t>반도체장비 / -</t>
        </is>
      </c>
      <c r="V575" s="21">
        <f>HYPERLINK("https://dart.fss.or.kr/dsaf001/main.do?rcpNo=20260813001364", "공시열람")</f>
        <v/>
      </c>
    </row>
    <row r="576">
      <c r="A576" s="5" t="inlineStr">
        <is>
          <t>선익시스템</t>
        </is>
      </c>
      <c r="B576" s="6" t="inlineStr">
        <is>
          <t>171090</t>
        </is>
      </c>
      <c r="C576" s="6" t="inlineStr">
        <is>
          <t>2026Q2</t>
        </is>
      </c>
      <c r="D576" s="6" t="inlineStr">
        <is>
          <t>20260814</t>
        </is>
      </c>
      <c r="E576" s="16" t="n">
        <v>675033</v>
      </c>
      <c r="F576" s="16" t="n">
        <v>33028</v>
      </c>
      <c r="G576" s="16" t="n">
        <v>642005</v>
      </c>
      <c r="H576" s="6" t="inlineStr">
        <is>
          <t>백만원</t>
        </is>
      </c>
      <c r="I576" s="17" t="n">
        <v>10.3</v>
      </c>
      <c r="J576" s="18" t="n">
        <v>100045</v>
      </c>
      <c r="K576" s="19" t="n">
        <v>73821</v>
      </c>
      <c r="L576" s="18" t="n">
        <v>86930</v>
      </c>
      <c r="M576" s="19" t="n">
        <v>528042</v>
      </c>
      <c r="N576" s="18" t="n">
        <v>532929</v>
      </c>
      <c r="O576" s="19" t="n">
        <v>372838</v>
      </c>
      <c r="P576" s="18" t="n">
        <v>307259</v>
      </c>
      <c r="Q576" s="19" t="n">
        <v>95980</v>
      </c>
      <c r="R576" s="18" t="n">
        <v>582273</v>
      </c>
      <c r="S576" s="20" t="n">
        <v>642005</v>
      </c>
      <c r="T576" s="6" t="n">
        <v>1</v>
      </c>
      <c r="U576" s="5" t="inlineStr">
        <is>
          <t>증착장비 / 2018.03.12 ~ 2026.06.22</t>
        </is>
      </c>
      <c r="V576" s="21">
        <f>HYPERLINK("https://dart.fss.or.kr/dsaf001/main.do?rcpNo=20260814003806", "공시열람")</f>
        <v/>
      </c>
    </row>
    <row r="577">
      <c r="A577" s="5" t="inlineStr">
        <is>
          <t>오파스넷</t>
        </is>
      </c>
      <c r="B577" s="6" t="inlineStr">
        <is>
          <t>173130</t>
        </is>
      </c>
      <c r="C577" s="6" t="inlineStr">
        <is>
          <t>2026Q2</t>
        </is>
      </c>
      <c r="D577" s="6" t="inlineStr">
        <is>
          <t>20260814</t>
        </is>
      </c>
      <c r="E577" s="16" t="n">
        <v>362281</v>
      </c>
      <c r="F577" s="16" t="n">
        <v>214004</v>
      </c>
      <c r="G577" s="16" t="n">
        <v>148277</v>
      </c>
      <c r="H577" s="6" t="inlineStr">
        <is>
          <t>백만원</t>
        </is>
      </c>
      <c r="I577" s="17" t="n">
        <v>2.6</v>
      </c>
      <c r="J577" s="18" t="n">
        <v>118987</v>
      </c>
      <c r="K577" s="19" t="n">
        <v>122700</v>
      </c>
      <c r="L577" s="18" t="n">
        <v>133425</v>
      </c>
      <c r="M577" s="19" t="n">
        <v>124113</v>
      </c>
      <c r="N577" s="18" t="n">
        <v>150954</v>
      </c>
      <c r="O577" s="19" t="n">
        <v>151935</v>
      </c>
      <c r="P577" s="18" t="n">
        <v>157006</v>
      </c>
      <c r="Q577" s="19" t="n">
        <v>112917</v>
      </c>
      <c r="R577" s="18" t="n">
        <v>144450</v>
      </c>
      <c r="S577" s="20" t="n">
        <v>148277</v>
      </c>
      <c r="T577" s="6" t="n">
        <v>4</v>
      </c>
      <c r="U577" s="5" t="inlineStr">
        <is>
          <t xml:space="preserve">기타 / - | (NEW ITO)네트워크 ITO 운영 및 고도화 계약  | 21년도 댁내장비를 활용한 응급안전안심서비스 구매사업 </t>
        </is>
      </c>
      <c r="V577" s="21">
        <f>HYPERLINK("https://dart.fss.or.kr/dsaf001/main.do?rcpNo=20260814000094", "공시열람")</f>
        <v/>
      </c>
    </row>
    <row r="578">
      <c r="A578" s="5" t="inlineStr">
        <is>
          <t>아고스</t>
        </is>
      </c>
      <c r="B578" s="6" t="inlineStr">
        <is>
          <t>175140</t>
        </is>
      </c>
      <c r="C578" s="6" t="inlineStr">
        <is>
          <t>2026Q2</t>
        </is>
      </c>
      <c r="D578" s="6" t="inlineStr">
        <is>
          <t>20260814</t>
        </is>
      </c>
      <c r="E578" s="16" t="n">
        <v>15000</v>
      </c>
      <c r="F578" s="16" t="n">
        <v>15000</v>
      </c>
      <c r="G578" s="16" t="n">
        <v>0</v>
      </c>
      <c r="H578" s="6" t="inlineStr">
        <is>
          <t>백만원</t>
        </is>
      </c>
      <c r="I578" s="17" t="n">
        <v>-100</v>
      </c>
      <c r="J578" s="18" t="n">
        <v>21540</v>
      </c>
      <c r="K578" s="19" t="n">
        <v>18200</v>
      </c>
      <c r="L578" s="18" t="n">
        <v>13419</v>
      </c>
      <c r="M578" s="19" t="n">
        <v>21586</v>
      </c>
      <c r="N578" s="18" t="n">
        <v>4869</v>
      </c>
      <c r="O578" s="19" t="n">
        <v>15000</v>
      </c>
      <c r="P578" s="18" t="n">
        <v>10440</v>
      </c>
      <c r="Q578" s="19" t="n">
        <v>7080</v>
      </c>
      <c r="R578" s="18" t="n">
        <v>3240</v>
      </c>
      <c r="S578" s="20" t="n">
        <v>0</v>
      </c>
      <c r="T578" s="6" t="n">
        <v>1</v>
      </c>
      <c r="U578" s="5" t="inlineStr">
        <is>
          <t>AI스피커 / 2025.06.16 / 2026.05.3</t>
        </is>
      </c>
      <c r="V578" s="21">
        <f>HYPERLINK("https://dart.fss.or.kr/dsaf001/main.do?rcpNo=20260814003137", "공시열람")</f>
        <v/>
      </c>
    </row>
    <row r="579">
      <c r="A579" s="5" t="inlineStr">
        <is>
          <t>코나솔</t>
        </is>
      </c>
      <c r="B579" s="6" t="inlineStr">
        <is>
          <t>176590</t>
        </is>
      </c>
      <c r="C579" s="6" t="inlineStr">
        <is>
          <t>2023Q4</t>
        </is>
      </c>
      <c r="D579" s="6" t="inlineStr">
        <is>
          <t>20240704</t>
        </is>
      </c>
      <c r="E579" s="16" t="n">
        <v>21034</v>
      </c>
      <c r="F579" s="16" t="n">
        <v>17345</v>
      </c>
      <c r="G579" s="16" t="n">
        <v>3689</v>
      </c>
      <c r="H579" s="6" t="inlineStr">
        <is>
          <t>개,백만원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inlineStr"/>
      <c r="R579" s="18" t="inlineStr"/>
      <c r="S579" s="20" t="inlineStr"/>
      <c r="T579" s="6" t="n">
        <v>2</v>
      </c>
      <c r="U579" s="5" t="inlineStr">
        <is>
          <t>철강사업부 / 2023.01~2023.12 / - | 나노렉스 외 / 2023.01~2023.12 / -</t>
        </is>
      </c>
      <c r="V579" s="21">
        <f>HYPERLINK("https://dart.fss.or.kr/dsaf001/main.do?rcpNo=20240704000080", "공시열람")</f>
        <v/>
      </c>
    </row>
    <row r="580">
      <c r="A580" s="5" t="inlineStr">
        <is>
          <t>베셀</t>
        </is>
      </c>
      <c r="B580" s="6" t="inlineStr">
        <is>
          <t>177350</t>
        </is>
      </c>
      <c r="C580" s="6" t="inlineStr">
        <is>
          <t>2025Q1</t>
        </is>
      </c>
      <c r="D580" s="6" t="inlineStr">
        <is>
          <t>20250515</t>
        </is>
      </c>
      <c r="E580" s="16" t="n">
        <v>415000</v>
      </c>
      <c r="F580" s="16" t="inlineStr"/>
      <c r="G580" s="16" t="n">
        <v>415000</v>
      </c>
      <c r="H580" s="6" t="inlineStr">
        <is>
          <t>천원</t>
        </is>
      </c>
      <c r="I580" s="17" t="n">
        <v>0</v>
      </c>
      <c r="J580" s="18" t="n">
        <v>6008600</v>
      </c>
      <c r="K580" s="19" t="n">
        <v>3315000</v>
      </c>
      <c r="L580" s="18" t="n">
        <v>415000</v>
      </c>
      <c r="M580" s="19" t="n">
        <v>415000</v>
      </c>
      <c r="N580" s="18" t="n">
        <v>415000</v>
      </c>
      <c r="O580" s="19" t="inlineStr"/>
      <c r="P580" s="18" t="inlineStr"/>
      <c r="Q580" s="19" t="inlineStr"/>
      <c r="R580" s="18" t="inlineStr"/>
      <c r="S580" s="20" t="inlineStr"/>
      <c r="T580" s="6" t="n">
        <v>1</v>
      </c>
      <c r="U580" s="5" t="inlineStr">
        <is>
          <t>디스플레이 / 2024-06-24 / 2025-12-3</t>
        </is>
      </c>
      <c r="V580" s="21">
        <f>HYPERLINK("https://dart.fss.or.kr/dsaf001/main.do?rcpNo=20250515000411", "공시열람")</f>
        <v/>
      </c>
    </row>
    <row r="581">
      <c r="A581" s="5" t="inlineStr">
        <is>
          <t>쓰리에이로직스</t>
        </is>
      </c>
      <c r="B581" s="6" t="inlineStr">
        <is>
          <t>177900</t>
        </is>
      </c>
      <c r="C581" s="6" t="inlineStr">
        <is>
          <t>2026Q2</t>
        </is>
      </c>
      <c r="D581" s="6" t="inlineStr">
        <is>
          <t>20260814</t>
        </is>
      </c>
      <c r="E581" s="16" t="n">
        <v>11375</v>
      </c>
      <c r="F581" s="16" t="n">
        <v>3191</v>
      </c>
      <c r="G581" s="16" t="n">
        <v>8184</v>
      </c>
      <c r="H581" s="6" t="inlineStr">
        <is>
          <t>백만원</t>
        </is>
      </c>
      <c r="I581" s="17" t="inlineStr"/>
      <c r="J581" s="18" t="inlineStr"/>
      <c r="K581" s="19" t="inlineStr"/>
      <c r="L581" s="18" t="inlineStr"/>
      <c r="M581" s="19" t="inlineStr"/>
      <c r="N581" s="18" t="inlineStr"/>
      <c r="O581" s="19" t="inlineStr"/>
      <c r="P581" s="18" t="inlineStr"/>
      <c r="Q581" s="19" t="inlineStr"/>
      <c r="R581" s="18" t="inlineStr"/>
      <c r="S581" s="20" t="n">
        <v>8184</v>
      </c>
      <c r="T581" s="6" t="n">
        <v>1</v>
      </c>
      <c r="U581" s="5" t="inlineStr">
        <is>
          <t>ESL용 NFC Dynamic Tag IC / 2026</t>
        </is>
      </c>
      <c r="V581" s="21">
        <f>HYPERLINK("https://dart.fss.or.kr/dsaf001/main.do?rcpNo=20260814002917", "공시열람")</f>
        <v/>
      </c>
    </row>
    <row r="582">
      <c r="A582" s="5" t="inlineStr">
        <is>
          <t>엠아이텍</t>
        </is>
      </c>
      <c r="B582" s="6" t="inlineStr">
        <is>
          <t>179290</t>
        </is>
      </c>
      <c r="C582" s="6" t="inlineStr">
        <is>
          <t>2026Q2</t>
        </is>
      </c>
      <c r="D582" s="6" t="inlineStr">
        <is>
          <t>20260814</t>
        </is>
      </c>
      <c r="E582" s="16" t="n">
        <v>7379157</v>
      </c>
      <c r="F582" s="16" t="n">
        <v>1859965</v>
      </c>
      <c r="G582" s="16" t="n">
        <v>5519192</v>
      </c>
      <c r="H582" s="6" t="inlineStr">
        <is>
          <t>개,천원</t>
        </is>
      </c>
      <c r="I582" s="17" t="n">
        <v>-33</v>
      </c>
      <c r="J582" s="18" t="n">
        <v>4464317</v>
      </c>
      <c r="K582" s="19" t="n">
        <v>6116972</v>
      </c>
      <c r="L582" s="18" t="n">
        <v>6838985</v>
      </c>
      <c r="M582" s="19" t="n">
        <v>9839578</v>
      </c>
      <c r="N582" s="18" t="n">
        <v>6240903</v>
      </c>
      <c r="O582" s="19" t="n">
        <v>4241454</v>
      </c>
      <c r="P582" s="18" t="n">
        <v>6900120</v>
      </c>
      <c r="Q582" s="19" t="n">
        <v>6407008</v>
      </c>
      <c r="R582" s="18" t="n">
        <v>8233844</v>
      </c>
      <c r="S582" s="20" t="n">
        <v>5519192</v>
      </c>
      <c r="T582" s="6" t="n">
        <v>141</v>
      </c>
      <c r="U582" s="5" t="inlineStr">
        <is>
          <t>스텐트 / 2026-06-14 / 2026년 8월 | 스텐트 / 2026-06-08 / 2026년 7월 | 스텐트 / 2026-06-17 / 2026년 9월</t>
        </is>
      </c>
      <c r="V582" s="21">
        <f>HYPERLINK("https://dart.fss.or.kr/dsaf001/main.do?rcpNo=20260814002272", "공시열람")</f>
        <v/>
      </c>
    </row>
    <row r="583">
      <c r="A583" s="5" t="inlineStr">
        <is>
          <t>탑선</t>
        </is>
      </c>
      <c r="B583" s="6" t="inlineStr">
        <is>
          <t>180060</t>
        </is>
      </c>
      <c r="C583" s="6" t="inlineStr">
        <is>
          <t>2025Q4</t>
        </is>
      </c>
      <c r="D583" s="6" t="inlineStr">
        <is>
          <t>20260430</t>
        </is>
      </c>
      <c r="E583" s="16" t="n">
        <v>730275999</v>
      </c>
      <c r="F583" s="16" t="n">
        <v>302795591</v>
      </c>
      <c r="G583" s="16" t="n">
        <v>427480408</v>
      </c>
      <c r="H583" s="6" t="inlineStr">
        <is>
          <t>천원</t>
        </is>
      </c>
      <c r="I583" s="17" t="n">
        <v>513.1</v>
      </c>
      <c r="J583" s="18" t="inlineStr"/>
      <c r="K583" s="19" t="inlineStr"/>
      <c r="L583" s="18" t="inlineStr"/>
      <c r="M583" s="19" t="n">
        <v>69719268</v>
      </c>
      <c r="N583" s="18" t="inlineStr"/>
      <c r="O583" s="19" t="inlineStr"/>
      <c r="P583" s="18" t="inlineStr"/>
      <c r="Q583" s="19" t="n">
        <v>427480408</v>
      </c>
      <c r="R583" s="18" t="inlineStr"/>
      <c r="S583" s="20" t="inlineStr"/>
      <c r="T583" s="6" t="n">
        <v>31</v>
      </c>
      <c r="U583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83" s="21">
        <f>HYPERLINK("https://dart.fss.or.kr/dsaf001/main.do?rcpNo=20260430001147", "공시열람")</f>
        <v/>
      </c>
    </row>
    <row r="584">
      <c r="A584" s="5" t="inlineStr">
        <is>
          <t>큐브엔터</t>
        </is>
      </c>
      <c r="B584" s="6" t="inlineStr">
        <is>
          <t>182360</t>
        </is>
      </c>
      <c r="C584" s="6" t="inlineStr">
        <is>
          <t>2026Q2</t>
        </is>
      </c>
      <c r="D584" s="6" t="inlineStr">
        <is>
          <t>20260813</t>
        </is>
      </c>
      <c r="E584" s="16" t="n">
        <v>118181818</v>
      </c>
      <c r="F584" s="16" t="n">
        <v>32807507</v>
      </c>
      <c r="G584" s="16" t="n">
        <v>85374311</v>
      </c>
      <c r="H584" s="6" t="inlineStr">
        <is>
          <t>천원</t>
        </is>
      </c>
      <c r="I584" s="17" t="n">
        <v>-1.9</v>
      </c>
      <c r="J584" s="18" t="n">
        <v>28997816</v>
      </c>
      <c r="K584" s="19" t="n">
        <v>17905373</v>
      </c>
      <c r="L584" s="18" t="n">
        <v>4878304</v>
      </c>
      <c r="M584" s="19" t="n">
        <v>2200740</v>
      </c>
      <c r="N584" s="18" t="n">
        <v>116176234</v>
      </c>
      <c r="O584" s="19" t="n">
        <v>102691043</v>
      </c>
      <c r="P584" s="18" t="n">
        <v>94182068</v>
      </c>
      <c r="Q584" s="19" t="n">
        <v>88830545</v>
      </c>
      <c r="R584" s="18" t="n">
        <v>87009047</v>
      </c>
      <c r="S584" s="20" t="n">
        <v>85374311</v>
      </c>
      <c r="T584" s="6" t="n">
        <v>1</v>
      </c>
      <c r="U584" s="5" t="inlineStr">
        <is>
          <t xml:space="preserve">(주)카카오엔터테인먼트(주2) / 2025.02.28 </t>
        </is>
      </c>
      <c r="V584" s="21">
        <f>HYPERLINK("https://dart.fss.or.kr/dsaf001/main.do?rcpNo=20260813001647", "공시열람")</f>
        <v/>
      </c>
    </row>
    <row r="585">
      <c r="A585" s="5" t="inlineStr">
        <is>
          <t>엔케이젠바이오텍코리아</t>
        </is>
      </c>
      <c r="B585" s="6" t="inlineStr">
        <is>
          <t>182400</t>
        </is>
      </c>
      <c r="C585" s="6" t="inlineStr">
        <is>
          <t>2026Q2</t>
        </is>
      </c>
      <c r="D585" s="6" t="inlineStr">
        <is>
          <t>20260930</t>
        </is>
      </c>
      <c r="E585" s="16" t="n">
        <v>1509194483500</v>
      </c>
      <c r="F585" s="16" t="n">
        <v>2850188223</v>
      </c>
      <c r="G585" s="16" t="n">
        <v>1506344295277</v>
      </c>
      <c r="H585" s="6" t="inlineStr">
        <is>
          <t>원</t>
        </is>
      </c>
      <c r="I585" s="17" t="n">
        <v>0</v>
      </c>
      <c r="J585" s="18" t="n">
        <v>1507019926238</v>
      </c>
      <c r="K585" s="19" t="n">
        <v>1506344295277</v>
      </c>
      <c r="L585" s="18" t="n">
        <v>1506344295277</v>
      </c>
      <c r="M585" s="19" t="n">
        <v>1506344295277</v>
      </c>
      <c r="N585" s="18" t="n">
        <v>1506344295277</v>
      </c>
      <c r="O585" s="19" t="n">
        <v>1506344295277</v>
      </c>
      <c r="P585" s="18" t="n">
        <v>1506344295277</v>
      </c>
      <c r="Q585" s="19" t="n">
        <v>1506344295277</v>
      </c>
      <c r="R585" s="18" t="n">
        <v>1506344295277</v>
      </c>
      <c r="S585" s="20" t="n">
        <v>1506344295277</v>
      </c>
      <c r="T585" s="6" t="n">
        <v>5</v>
      </c>
      <c r="U585" s="5" t="inlineStr">
        <is>
          <t>NK Vue ELISA KIT &amp; TUBE(*주3) / | NK Vue ELISA KIT &amp; TUBE (*주1)  | NK Vue ELISA KIT &amp; TUBE(*주2) /</t>
        </is>
      </c>
      <c r="V585" s="21">
        <f>HYPERLINK("https://dart.fss.or.kr/dsaf001/main.do?rcpNo=20260930000644", "공시열람")</f>
        <v/>
      </c>
    </row>
    <row r="586">
      <c r="A586" s="5" t="inlineStr">
        <is>
          <t>수프로</t>
        </is>
      </c>
      <c r="B586" s="6" t="inlineStr">
        <is>
          <t>185190</t>
        </is>
      </c>
      <c r="C586" s="6" t="inlineStr">
        <is>
          <t>2026Q1</t>
        </is>
      </c>
      <c r="D586" s="6" t="inlineStr">
        <is>
          <t>20260617</t>
        </is>
      </c>
      <c r="E586" s="16" t="n">
        <v>11563414497</v>
      </c>
      <c r="F586" s="16" t="n">
        <v>6666110307</v>
      </c>
      <c r="G586" s="16" t="n">
        <v>4897304190</v>
      </c>
      <c r="H586" s="6" t="inlineStr">
        <is>
          <t>원</t>
        </is>
      </c>
      <c r="I586" s="17" t="n">
        <v>36</v>
      </c>
      <c r="J586" s="18" t="n">
        <v>5177019155</v>
      </c>
      <c r="K586" s="19" t="inlineStr"/>
      <c r="L586" s="18" t="inlineStr"/>
      <c r="M586" s="19" t="inlineStr"/>
      <c r="N586" s="18" t="n">
        <v>3601846124</v>
      </c>
      <c r="O586" s="19" t="inlineStr"/>
      <c r="P586" s="18" t="inlineStr"/>
      <c r="Q586" s="19" t="inlineStr"/>
      <c r="R586" s="18" t="n">
        <v>4897304190</v>
      </c>
      <c r="S586" s="20" t="inlineStr"/>
      <c r="T586" s="6" t="n">
        <v>14</v>
      </c>
      <c r="U586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6" s="21">
        <f>HYPERLINK("https://dart.fss.or.kr/dsaf001/main.do?rcpNo=20260617000188", "공시열람")</f>
        <v/>
      </c>
    </row>
    <row r="587">
      <c r="A587" s="5" t="inlineStr">
        <is>
          <t>그린플러스</t>
        </is>
      </c>
      <c r="B587" s="6" t="inlineStr">
        <is>
          <t>186230</t>
        </is>
      </c>
      <c r="C587" s="6" t="inlineStr">
        <is>
          <t>2026Q2</t>
        </is>
      </c>
      <c r="D587" s="6" t="inlineStr">
        <is>
          <t>20260814</t>
        </is>
      </c>
      <c r="E587" s="16" t="n">
        <v>111452431</v>
      </c>
      <c r="F587" s="16" t="n">
        <v>68893658</v>
      </c>
      <c r="G587" s="16" t="n">
        <v>42558773</v>
      </c>
      <c r="H587" s="6" t="inlineStr">
        <is>
          <t>천원</t>
        </is>
      </c>
      <c r="I587" s="17" t="n">
        <v>-13.2</v>
      </c>
      <c r="J587" s="18" t="n">
        <v>24431334</v>
      </c>
      <c r="K587" s="19" t="n">
        <v>19038449</v>
      </c>
      <c r="L587" s="18" t="n">
        <v>21070574</v>
      </c>
      <c r="M587" s="19" t="n">
        <v>30454859</v>
      </c>
      <c r="N587" s="18" t="n">
        <v>40952755</v>
      </c>
      <c r="O587" s="19" t="n">
        <v>46325035</v>
      </c>
      <c r="P587" s="18" t="n">
        <v>65123890</v>
      </c>
      <c r="Q587" s="19" t="n">
        <v>60005283</v>
      </c>
      <c r="R587" s="18" t="n">
        <v>49040318</v>
      </c>
      <c r="S587" s="20" t="n">
        <v>42558773</v>
      </c>
      <c r="T587" s="6" t="n">
        <v>30</v>
      </c>
      <c r="U587" s="5" t="inlineStr">
        <is>
          <t xml:space="preserve">㈜신흥종합건설 / 2026.06.22 / 2027.07 | 하나종합건설㈜, 아산건설㈜ / 2025.09.30 /  | ㈜케이엔지플러스, ㈜선진이앤씨 / 2024.12.24 </t>
        </is>
      </c>
      <c r="V587" s="21">
        <f>HYPERLINK("https://dart.fss.or.kr/dsaf001/main.do?rcpNo=20260814001909", "공시열람")</f>
        <v/>
      </c>
    </row>
    <row r="588">
      <c r="A588" s="5" t="inlineStr">
        <is>
          <t>페니트리움바이오</t>
        </is>
      </c>
      <c r="B588" s="6" t="inlineStr">
        <is>
          <t>187660</t>
        </is>
      </c>
      <c r="C588" s="6" t="inlineStr">
        <is>
          <t>2026Q2</t>
        </is>
      </c>
      <c r="D588" s="6" t="inlineStr">
        <is>
          <t>20260814</t>
        </is>
      </c>
      <c r="E588" s="16" t="n">
        <v>42418255</v>
      </c>
      <c r="F588" s="16" t="n">
        <v>23819597</v>
      </c>
      <c r="G588" s="16" t="n">
        <v>18598658</v>
      </c>
      <c r="H588" s="6" t="inlineStr">
        <is>
          <t>천원</t>
        </is>
      </c>
      <c r="I588" s="17" t="n">
        <v>-0.6</v>
      </c>
      <c r="J588" s="18" t="n">
        <v>21066471</v>
      </c>
      <c r="K588" s="19" t="n">
        <v>20962101</v>
      </c>
      <c r="L588" s="18" t="n">
        <v>22328856</v>
      </c>
      <c r="M588" s="19" t="n">
        <v>22239091</v>
      </c>
      <c r="N588" s="18" t="n">
        <v>21305105</v>
      </c>
      <c r="O588" s="19" t="n">
        <v>22047281</v>
      </c>
      <c r="P588" s="18" t="n">
        <v>20924392</v>
      </c>
      <c r="Q588" s="19" t="n">
        <v>19127572</v>
      </c>
      <c r="R588" s="18" t="n">
        <v>18706866</v>
      </c>
      <c r="S588" s="20" t="n">
        <v>18598658</v>
      </c>
      <c r="T588" s="6" t="n">
        <v>1</v>
      </c>
      <c r="U588" s="5" t="inlineStr">
        <is>
          <t>임상등</t>
        </is>
      </c>
      <c r="V588" s="21">
        <f>HYPERLINK("https://dart.fss.or.kr/dsaf001/main.do?rcpNo=20260814002474", "공시열람")</f>
        <v/>
      </c>
    </row>
    <row r="589">
      <c r="A589" s="5" t="inlineStr">
        <is>
          <t>나노</t>
        </is>
      </c>
      <c r="B589" s="6" t="inlineStr">
        <is>
          <t>187790</t>
        </is>
      </c>
      <c r="C589" s="6" t="inlineStr">
        <is>
          <t>2026Q2</t>
        </is>
      </c>
      <c r="D589" s="6" t="inlineStr">
        <is>
          <t>20260814</t>
        </is>
      </c>
      <c r="E589" s="16" t="n">
        <v>92057188</v>
      </c>
      <c r="F589" s="16" t="n">
        <v>29686839</v>
      </c>
      <c r="G589" s="16" t="n">
        <v>62370349</v>
      </c>
      <c r="H589" s="6" t="inlineStr">
        <is>
          <t>m3,천원</t>
        </is>
      </c>
      <c r="I589" s="17" t="n">
        <v>16.9</v>
      </c>
      <c r="J589" s="18" t="n">
        <v>13464928</v>
      </c>
      <c r="K589" s="19" t="n">
        <v>45890210</v>
      </c>
      <c r="L589" s="18" t="n">
        <v>39913303</v>
      </c>
      <c r="M589" s="19" t="n">
        <v>50714041</v>
      </c>
      <c r="N589" s="18" t="n">
        <v>55623783</v>
      </c>
      <c r="O589" s="19" t="n">
        <v>57515303</v>
      </c>
      <c r="P589" s="18" t="n">
        <v>41860483</v>
      </c>
      <c r="Q589" s="19" t="n">
        <v>39469111</v>
      </c>
      <c r="R589" s="18" t="n">
        <v>53331782</v>
      </c>
      <c r="S589" s="20" t="n">
        <v>62370349</v>
      </c>
      <c r="T589" s="6" t="n">
        <v>3</v>
      </c>
      <c r="U589" s="5" t="inlineStr">
        <is>
          <t>기 타 / - | 하니컴 / 25.07.17 / 27.03.31 | 하니컴 / 25.06.01 / 27.05.31</t>
        </is>
      </c>
      <c r="V589" s="21">
        <f>HYPERLINK("https://dart.fss.or.kr/dsaf001/main.do?rcpNo=20260814001571", "공시열람")</f>
        <v/>
      </c>
    </row>
    <row r="590">
      <c r="A590" s="5" t="inlineStr">
        <is>
          <t>인텔리안테크</t>
        </is>
      </c>
      <c r="B590" s="6" t="inlineStr">
        <is>
          <t>189300</t>
        </is>
      </c>
      <c r="C590" s="6" t="inlineStr">
        <is>
          <t>2026Q2</t>
        </is>
      </c>
      <c r="D590" s="6" t="inlineStr">
        <is>
          <t>20260814</t>
        </is>
      </c>
      <c r="E590" s="16" t="n">
        <v>100087</v>
      </c>
      <c r="F590" s="16" t="n">
        <v>69659</v>
      </c>
      <c r="G590" s="16" t="n">
        <v>30428</v>
      </c>
      <c r="H590" s="6" t="inlineStr">
        <is>
          <t>백만원</t>
        </is>
      </c>
      <c r="I590" s="17" t="n">
        <v>-60.5</v>
      </c>
      <c r="J590" s="18" t="n">
        <v>9395</v>
      </c>
      <c r="K590" s="19" t="n">
        <v>4438</v>
      </c>
      <c r="L590" s="18" t="n">
        <v>2333</v>
      </c>
      <c r="M590" s="19" t="inlineStr"/>
      <c r="N590" s="18" t="inlineStr"/>
      <c r="O590" s="19" t="n">
        <v>40379</v>
      </c>
      <c r="P590" s="18" t="n">
        <v>40528</v>
      </c>
      <c r="Q590" s="19" t="n">
        <v>77422</v>
      </c>
      <c r="R590" s="18" t="n">
        <v>77064</v>
      </c>
      <c r="S590" s="20" t="n">
        <v>30428</v>
      </c>
      <c r="T590" s="6" t="n">
        <v>2</v>
      </c>
      <c r="U590" s="5" t="inlineStr">
        <is>
          <t>Ground Gateway Antenna(TELESAT | 중궤도 User terminal(SES) / 2021.</t>
        </is>
      </c>
      <c r="V590" s="21">
        <f>HYPERLINK("https://dart.fss.or.kr/dsaf001/main.do?rcpNo=20260814002495", "공시열람")</f>
        <v/>
      </c>
    </row>
    <row r="591">
      <c r="A591" s="5" t="inlineStr">
        <is>
          <t>씨이랩</t>
        </is>
      </c>
      <c r="B591" s="6" t="inlineStr">
        <is>
          <t>189330</t>
        </is>
      </c>
      <c r="C591" s="6" t="inlineStr">
        <is>
          <t>2026Q2</t>
        </is>
      </c>
      <c r="D591" s="6" t="inlineStr">
        <is>
          <t>20260813</t>
        </is>
      </c>
      <c r="E591" s="16" t="n">
        <v>3917862</v>
      </c>
      <c r="F591" s="16" t="n">
        <v>747340</v>
      </c>
      <c r="G591" s="16" t="n">
        <v>3170522</v>
      </c>
      <c r="H591" s="6" t="inlineStr">
        <is>
          <t>천원</t>
        </is>
      </c>
      <c r="I591" s="17" t="n">
        <v>23</v>
      </c>
      <c r="J591" s="18" t="n">
        <v>182297</v>
      </c>
      <c r="K591" s="19" t="n">
        <v>983818</v>
      </c>
      <c r="L591" s="18" t="n">
        <v>3073328</v>
      </c>
      <c r="M591" s="19" t="n">
        <v>1807323</v>
      </c>
      <c r="N591" s="18" t="n">
        <v>863422</v>
      </c>
      <c r="O591" s="19" t="n">
        <v>2552800</v>
      </c>
      <c r="P591" s="18" t="n">
        <v>3528116</v>
      </c>
      <c r="Q591" s="19" t="n">
        <v>1733395</v>
      </c>
      <c r="R591" s="18" t="n">
        <v>2578420</v>
      </c>
      <c r="S591" s="20" t="n">
        <v>3170522</v>
      </c>
      <c r="T591" s="6" t="n">
        <v>8</v>
      </c>
      <c r="U591" s="5" t="inlineStr">
        <is>
          <t>AI Infra / 2026년 | AI Infra / 2026년 / 2027년 | Vision AI / 2026년</t>
        </is>
      </c>
      <c r="V591" s="21">
        <f>HYPERLINK("https://dart.fss.or.kr/dsaf001/main.do?rcpNo=20260813001284", "공시열람")</f>
        <v/>
      </c>
    </row>
    <row r="592">
      <c r="A592" s="5" t="inlineStr">
        <is>
          <t>코셋</t>
        </is>
      </c>
      <c r="B592" s="6" t="inlineStr">
        <is>
          <t>189350</t>
        </is>
      </c>
      <c r="C592" s="6" t="inlineStr">
        <is>
          <t>2025Q4</t>
        </is>
      </c>
      <c r="D592" s="6" t="inlineStr">
        <is>
          <t>20260309</t>
        </is>
      </c>
      <c r="E592" s="16" t="n">
        <v>12445</v>
      </c>
      <c r="F592" s="16" t="n">
        <v>10637</v>
      </c>
      <c r="G592" s="16" t="n">
        <v>1808</v>
      </c>
      <c r="H592" s="6" t="inlineStr">
        <is>
          <t>개/백만원</t>
        </is>
      </c>
      <c r="I592" s="17" t="n">
        <v>60</v>
      </c>
      <c r="J592" s="18" t="inlineStr"/>
      <c r="K592" s="19" t="inlineStr"/>
      <c r="L592" s="18" t="inlineStr"/>
      <c r="M592" s="19" t="n">
        <v>1130</v>
      </c>
      <c r="N592" s="18" t="inlineStr"/>
      <c r="O592" s="19" t="inlineStr"/>
      <c r="P592" s="18" t="inlineStr"/>
      <c r="Q592" s="19" t="n">
        <v>1808</v>
      </c>
      <c r="R592" s="18" t="inlineStr"/>
      <c r="S592" s="20" t="inlineStr"/>
      <c r="T592" s="6" t="n">
        <v>1</v>
      </c>
      <c r="U592" s="5" t="inlineStr">
        <is>
          <t>광증폭기용 소자 / -</t>
        </is>
      </c>
      <c r="V592" s="21">
        <f>HYPERLINK("https://dart.fss.or.kr/dsaf001/main.do?rcpNo=20260309001126", "공시열람")</f>
        <v/>
      </c>
    </row>
    <row r="593">
      <c r="A593" s="5" t="inlineStr">
        <is>
          <t>서전기전</t>
        </is>
      </c>
      <c r="B593" s="6" t="inlineStr">
        <is>
          <t>189860</t>
        </is>
      </c>
      <c r="C593" s="6" t="inlineStr">
        <is>
          <t>2026Q2</t>
        </is>
      </c>
      <c r="D593" s="6" t="inlineStr">
        <is>
          <t>20260814</t>
        </is>
      </c>
      <c r="E593" s="16" t="n">
        <v>704464</v>
      </c>
      <c r="F593" s="16" t="n">
        <v>648398</v>
      </c>
      <c r="G593" s="16" t="n">
        <v>59066</v>
      </c>
      <c r="H593" s="6" t="inlineStr">
        <is>
          <t>백만원</t>
        </is>
      </c>
      <c r="I593" s="17" t="n">
        <v>-9.800000000000001</v>
      </c>
      <c r="J593" s="18" t="n">
        <v>53137</v>
      </c>
      <c r="K593" s="19" t="n">
        <v>63803</v>
      </c>
      <c r="L593" s="18" t="n">
        <v>67037</v>
      </c>
      <c r="M593" s="19" t="n">
        <v>64435</v>
      </c>
      <c r="N593" s="18" t="n">
        <v>72586</v>
      </c>
      <c r="O593" s="19" t="n">
        <v>72776</v>
      </c>
      <c r="P593" s="18" t="n">
        <v>73694</v>
      </c>
      <c r="Q593" s="19" t="n">
        <v>60187</v>
      </c>
      <c r="R593" s="18" t="n">
        <v>65504</v>
      </c>
      <c r="S593" s="20" t="n">
        <v>59066</v>
      </c>
      <c r="T593" s="6" t="n">
        <v>1</v>
      </c>
      <c r="U593" s="5" t="inlineStr">
        <is>
          <t>수배전반 및 전력기기 / ~2026.06.30 / ~2</t>
        </is>
      </c>
      <c r="V593" s="21">
        <f>HYPERLINK("https://dart.fss.or.kr/dsaf001/main.do?rcpNo=20260814001021", "공시열람")</f>
        <v/>
      </c>
    </row>
    <row r="594">
      <c r="A594" s="5" t="inlineStr">
        <is>
          <t>육일씨엔에쓰</t>
        </is>
      </c>
      <c r="B594" s="6" t="inlineStr">
        <is>
          <t>191410</t>
        </is>
      </c>
      <c r="C594" s="6" t="inlineStr">
        <is>
          <t>2026Q2</t>
        </is>
      </c>
      <c r="D594" s="6" t="inlineStr">
        <is>
          <t>20260814</t>
        </is>
      </c>
      <c r="E594" s="16" t="inlineStr"/>
      <c r="F594" s="16" t="inlineStr"/>
      <c r="G594" s="16" t="n">
        <v>1117993</v>
      </c>
      <c r="H594" s="6" t="inlineStr">
        <is>
          <t>천원</t>
        </is>
      </c>
      <c r="I594" s="17" t="n">
        <v>-14.3</v>
      </c>
      <c r="J594" s="18" t="inlineStr"/>
      <c r="K594" s="19" t="inlineStr"/>
      <c r="L594" s="18" t="n">
        <v>1304326</v>
      </c>
      <c r="M594" s="19" t="n">
        <v>1117993</v>
      </c>
      <c r="N594" s="18" t="n">
        <v>1304325</v>
      </c>
      <c r="O594" s="19" t="n">
        <v>1117993</v>
      </c>
      <c r="P594" s="18" t="n">
        <v>1117993</v>
      </c>
      <c r="Q594" s="19" t="n">
        <v>1117993</v>
      </c>
      <c r="R594" s="18" t="n">
        <v>1304325</v>
      </c>
      <c r="S594" s="20" t="n">
        <v>1117993</v>
      </c>
      <c r="T594" s="6" t="n">
        <v>2</v>
      </c>
      <c r="U594" s="5" t="inlineStr">
        <is>
          <t>기초금액 | 기초금액</t>
        </is>
      </c>
      <c r="V594" s="21">
        <f>HYPERLINK("https://dart.fss.or.kr/dsaf001/main.do?rcpNo=20260814001982", "공시열람")</f>
        <v/>
      </c>
    </row>
    <row r="595">
      <c r="A595" s="5" t="inlineStr">
        <is>
          <t>테고사이언스</t>
        </is>
      </c>
      <c r="B595" s="6" t="inlineStr">
        <is>
          <t>191420</t>
        </is>
      </c>
      <c r="C595" s="6" t="inlineStr">
        <is>
          <t>2024Q4</t>
        </is>
      </c>
      <c r="D595" s="6" t="inlineStr">
        <is>
          <t>20250319</t>
        </is>
      </c>
      <c r="E595" s="16" t="n">
        <v>2000000000</v>
      </c>
      <c r="F595" s="16" t="n">
        <v>1940822007</v>
      </c>
      <c r="G595" s="16" t="n">
        <v>59177993</v>
      </c>
      <c r="H595" s="6" t="inlineStr"/>
      <c r="I595" s="17" t="n">
        <v>-32.9</v>
      </c>
      <c r="J595" s="18" t="n">
        <v>262546256</v>
      </c>
      <c r="K595" s="19" t="n">
        <v>175388429</v>
      </c>
      <c r="L595" s="18" t="n">
        <v>88230602</v>
      </c>
      <c r="M595" s="19" t="n">
        <v>59177993</v>
      </c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CDMO매출 / 셀라퓨틱스 바이오 / 2021.10.2</t>
        </is>
      </c>
      <c r="V595" s="21">
        <f>HYPERLINK("https://dart.fss.or.kr/dsaf001/main.do?rcpNo=20250319000640", "공시열람")</f>
        <v/>
      </c>
    </row>
    <row r="596">
      <c r="A596" s="5" t="inlineStr">
        <is>
          <t>블루탑</t>
        </is>
      </c>
      <c r="B596" s="6" t="inlineStr">
        <is>
          <t>191600</t>
        </is>
      </c>
      <c r="C596" s="6" t="inlineStr">
        <is>
          <t>2025Q4</t>
        </is>
      </c>
      <c r="D596" s="6" t="inlineStr">
        <is>
          <t>20260323</t>
        </is>
      </c>
      <c r="E596" s="16" t="n">
        <v>44885</v>
      </c>
      <c r="F596" s="16" t="n">
        <v>39560</v>
      </c>
      <c r="G596" s="16" t="n">
        <v>5325</v>
      </c>
      <c r="H596" s="6" t="inlineStr">
        <is>
          <t>백만원</t>
        </is>
      </c>
      <c r="I596" s="17" t="n">
        <v>49.9</v>
      </c>
      <c r="J596" s="18" t="inlineStr"/>
      <c r="K596" s="19" t="inlineStr"/>
      <c r="L596" s="18" t="inlineStr"/>
      <c r="M596" s="19" t="n">
        <v>3553</v>
      </c>
      <c r="N596" s="18" t="inlineStr"/>
      <c r="O596" s="19" t="inlineStr"/>
      <c r="P596" s="18" t="inlineStr"/>
      <c r="Q596" s="19" t="n">
        <v>5325</v>
      </c>
      <c r="R596" s="18" t="inlineStr"/>
      <c r="S596" s="20" t="inlineStr"/>
      <c r="T596" s="6" t="n">
        <v>5</v>
      </c>
      <c r="U596" s="5" t="inlineStr">
        <is>
          <t>전장 / 2025.01.01 ~ 2025.12.31 | Mobile / 2025.01.01 ~ 2025.12. | 통신 / 2025.01.01 ~ 2025.12.31</t>
        </is>
      </c>
      <c r="V596" s="21">
        <f>HYPERLINK("https://dart.fss.or.kr/dsaf001/main.do?rcpNo=20260323001028", "공시열람")</f>
        <v/>
      </c>
    </row>
    <row r="597">
      <c r="A597" s="5" t="inlineStr">
        <is>
          <t>윈하이텍</t>
        </is>
      </c>
      <c r="B597" s="6" t="inlineStr">
        <is>
          <t>192390</t>
        </is>
      </c>
      <c r="C597" s="6" t="inlineStr">
        <is>
          <t>2026Q2</t>
        </is>
      </c>
      <c r="D597" s="6" t="inlineStr">
        <is>
          <t>20260814</t>
        </is>
      </c>
      <c r="E597" s="16" t="n">
        <v>149305</v>
      </c>
      <c r="F597" s="16" t="n">
        <v>84140</v>
      </c>
      <c r="G597" s="16" t="n">
        <v>65165</v>
      </c>
      <c r="H597" s="6" t="inlineStr">
        <is>
          <t>백만원</t>
        </is>
      </c>
      <c r="I597" s="17" t="n">
        <v>0.6</v>
      </c>
      <c r="J597" s="18" t="n">
        <v>73488</v>
      </c>
      <c r="K597" s="19" t="n">
        <v>58683</v>
      </c>
      <c r="L597" s="18" t="n">
        <v>38920</v>
      </c>
      <c r="M597" s="19" t="n">
        <v>37365</v>
      </c>
      <c r="N597" s="18" t="n">
        <v>38231</v>
      </c>
      <c r="O597" s="19" t="n">
        <v>49025</v>
      </c>
      <c r="P597" s="18" t="n">
        <v>43370</v>
      </c>
      <c r="Q597" s="19" t="n">
        <v>43672</v>
      </c>
      <c r="R597" s="18" t="n">
        <v>64748</v>
      </c>
      <c r="S597" s="20" t="n">
        <v>65165</v>
      </c>
      <c r="T597" s="6" t="n">
        <v>9</v>
      </c>
      <c r="U597" s="5" t="inlineStr">
        <is>
          <t>데크플레이트외 / ㈜케이씨씨건설 외 | 데크플레이트외 / 케이엠유키즈파크개발㈜ | 데크플레이트외 / 지에스건설(주)</t>
        </is>
      </c>
      <c r="V597" s="21">
        <f>HYPERLINK("https://dart.fss.or.kr/dsaf001/main.do?rcpNo=20260814003331", "공시열람")</f>
        <v/>
      </c>
    </row>
    <row r="598">
      <c r="A598" s="5" t="inlineStr">
        <is>
          <t>루트K</t>
        </is>
      </c>
      <c r="B598" s="6" t="inlineStr">
        <is>
          <t>195990</t>
        </is>
      </c>
      <c r="C598" s="6" t="inlineStr">
        <is>
          <t>2024Q4</t>
        </is>
      </c>
      <c r="D598" s="6" t="inlineStr">
        <is>
          <t>20250320</t>
        </is>
      </c>
      <c r="E598" s="16" t="n">
        <v>10420000</v>
      </c>
      <c r="F598" s="16" t="n">
        <v>10420000</v>
      </c>
      <c r="G598" s="16" t="n">
        <v>0</v>
      </c>
      <c r="H598" s="6" t="inlineStr">
        <is>
          <t>천원</t>
        </is>
      </c>
      <c r="I598" s="17" t="inlineStr"/>
      <c r="J598" s="18" t="n">
        <v>10420000</v>
      </c>
      <c r="K598" s="19" t="n">
        <v>10420000</v>
      </c>
      <c r="L598" s="18" t="n">
        <v>0</v>
      </c>
      <c r="M598" s="19" t="n">
        <v>0</v>
      </c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</v>
      </c>
      <c r="U598" s="5" t="inlineStr">
        <is>
          <t>공작기계 / 2024.02.29 / 2024.08.31</t>
        </is>
      </c>
      <c r="V598" s="21">
        <f>HYPERLINK("https://dart.fss.or.kr/dsaf001/main.do?rcpNo=20250320001144", "공시열람")</f>
        <v/>
      </c>
    </row>
    <row r="599">
      <c r="A599" s="5" t="inlineStr">
        <is>
          <t>알테오젠</t>
        </is>
      </c>
      <c r="B599" s="6" t="inlineStr">
        <is>
          <t>196170</t>
        </is>
      </c>
      <c r="C599" s="6" t="inlineStr">
        <is>
          <t>2024Q1</t>
        </is>
      </c>
      <c r="D599" s="6" t="inlineStr">
        <is>
          <t>20240516</t>
        </is>
      </c>
      <c r="E599" s="16" t="n">
        <v>65104</v>
      </c>
      <c r="F599" s="16" t="inlineStr"/>
      <c r="G599" s="16" t="n">
        <v>5378</v>
      </c>
      <c r="H599" s="6" t="inlineStr">
        <is>
          <t>백만원</t>
        </is>
      </c>
      <c r="I599" s="17" t="n">
        <v>-50.5</v>
      </c>
      <c r="J599" s="18" t="n">
        <v>5378</v>
      </c>
      <c r="K599" s="19" t="inlineStr"/>
      <c r="L599" s="18" t="inlineStr"/>
      <c r="M599" s="19" t="inlineStr"/>
      <c r="N599" s="18" t="inlineStr"/>
      <c r="O599" s="19" t="inlineStr"/>
      <c r="P599" s="18" t="inlineStr"/>
      <c r="Q599" s="19" t="inlineStr"/>
      <c r="R599" s="18" t="inlineStr"/>
      <c r="S599" s="20" t="inlineStr"/>
      <c r="T599" s="6" t="n">
        <v>1</v>
      </c>
      <c r="U599" s="5" t="inlineStr">
        <is>
          <t>B사 / 기술용역 / 23.01.12 ~24.07.31</t>
        </is>
      </c>
      <c r="V599" s="21">
        <f>HYPERLINK("https://dart.fss.or.kr/dsaf001/main.do?rcpNo=20240516000132", "공시열람")</f>
        <v/>
      </c>
    </row>
    <row r="600">
      <c r="A600" s="5" t="inlineStr">
        <is>
          <t>HLB펩</t>
        </is>
      </c>
      <c r="B600" s="6" t="inlineStr">
        <is>
          <t>196300</t>
        </is>
      </c>
      <c r="C600" s="6" t="inlineStr">
        <is>
          <t>2026Q2</t>
        </is>
      </c>
      <c r="D600" s="6" t="inlineStr">
        <is>
          <t>20260813</t>
        </is>
      </c>
      <c r="E600" s="16" t="n">
        <v>765</v>
      </c>
      <c r="F600" s="16" t="n">
        <v>200</v>
      </c>
      <c r="G600" s="16" t="n">
        <v>565</v>
      </c>
      <c r="H600" s="6" t="inlineStr">
        <is>
          <t>백만원</t>
        </is>
      </c>
      <c r="I600" s="17" t="n">
        <v>0</v>
      </c>
      <c r="J600" s="18" t="inlineStr"/>
      <c r="K600" s="19" t="inlineStr"/>
      <c r="L600" s="18" t="inlineStr"/>
      <c r="M600" s="19" t="inlineStr"/>
      <c r="N600" s="18" t="inlineStr"/>
      <c r="O600" s="19" t="inlineStr"/>
      <c r="P600" s="18" t="n">
        <v>276</v>
      </c>
      <c r="Q600" s="19" t="n">
        <v>565</v>
      </c>
      <c r="R600" s="18" t="n">
        <v>565</v>
      </c>
      <c r="S600" s="20" t="n">
        <v>565</v>
      </c>
      <c r="T600" s="6" t="n">
        <v>1</v>
      </c>
      <c r="U600" s="5" t="inlineStr">
        <is>
          <t>임상용 원료의약품 위탁개발생산계약 / 2025.12.3</t>
        </is>
      </c>
      <c r="V600" s="21">
        <f>HYPERLINK("https://dart.fss.or.kr/dsaf001/main.do?rcpNo=20260813001367", "공시열람")</f>
        <v/>
      </c>
    </row>
    <row r="601">
      <c r="A601" s="5" t="inlineStr">
        <is>
          <t>웹스</t>
        </is>
      </c>
      <c r="B601" s="6" t="inlineStr">
        <is>
          <t>196700</t>
        </is>
      </c>
      <c r="C601" s="6" t="inlineStr">
        <is>
          <t>2026Q2</t>
        </is>
      </c>
      <c r="D601" s="6" t="inlineStr">
        <is>
          <t>20260814</t>
        </is>
      </c>
      <c r="E601" s="16" t="n">
        <v>841494200</v>
      </c>
      <c r="F601" s="16" t="n">
        <v>603890200</v>
      </c>
      <c r="G601" s="16" t="n">
        <v>237604000</v>
      </c>
      <c r="H601" s="6" t="inlineStr">
        <is>
          <t>경간,m,원</t>
        </is>
      </c>
      <c r="I601" s="17" t="inlineStr"/>
      <c r="J601" s="18" t="n">
        <v>511513780</v>
      </c>
      <c r="K601" s="19" t="n">
        <v>307277500</v>
      </c>
      <c r="L601" s="18" t="n">
        <v>588440000</v>
      </c>
      <c r="M601" s="19" t="n">
        <v>430116500</v>
      </c>
      <c r="N601" s="18" t="n">
        <v>136750400</v>
      </c>
      <c r="O601" s="19" t="n">
        <v>483306020</v>
      </c>
      <c r="P601" s="18" t="n">
        <v>291867040</v>
      </c>
      <c r="Q601" s="19" t="n">
        <v>506726194</v>
      </c>
      <c r="R601" s="18" t="n">
        <v>0</v>
      </c>
      <c r="S601" s="20" t="n">
        <v>237604000</v>
      </c>
      <c r="T601" s="6" t="n">
        <v>34</v>
      </c>
      <c r="U601" s="5" t="inlineStr">
        <is>
          <t>SAN025150 / 2026-06-25 / 2026- | DSFPY-104 / 2026-04-09 / 2026- | SAN025150 / 2026-06-18 / 2027-</t>
        </is>
      </c>
      <c r="V601" s="21">
        <f>HYPERLINK("https://dart.fss.or.kr/dsaf001/main.do?rcpNo=20260814000532", "공시열람")</f>
        <v/>
      </c>
    </row>
    <row r="602">
      <c r="A602" s="5" t="inlineStr">
        <is>
          <t>디지캡</t>
        </is>
      </c>
      <c r="B602" s="6" t="inlineStr">
        <is>
          <t>197140</t>
        </is>
      </c>
      <c r="C602" s="6" t="inlineStr">
        <is>
          <t>2024Q3</t>
        </is>
      </c>
      <c r="D602" s="6" t="inlineStr">
        <is>
          <t>20241114</t>
        </is>
      </c>
      <c r="E602" s="16" t="n">
        <v>4140747</v>
      </c>
      <c r="F602" s="16" t="n">
        <v>860569</v>
      </c>
      <c r="G602" s="16" t="n">
        <v>3280179</v>
      </c>
      <c r="H602" s="6" t="inlineStr">
        <is>
          <t>천원</t>
        </is>
      </c>
      <c r="I602" s="17" t="n">
        <v>120.2</v>
      </c>
      <c r="J602" s="18" t="n">
        <v>1729853</v>
      </c>
      <c r="K602" s="19" t="n">
        <v>1489590</v>
      </c>
      <c r="L602" s="18" t="n">
        <v>3280179</v>
      </c>
      <c r="M602" s="19" t="inlineStr"/>
      <c r="N602" s="18" t="inlineStr"/>
      <c r="O602" s="19" t="inlineStr"/>
      <c r="P602" s="18" t="inlineStr"/>
      <c r="Q602" s="19" t="inlineStr"/>
      <c r="R602" s="18" t="inlineStr"/>
      <c r="S602" s="20" t="inlineStr"/>
      <c r="T602" s="6" t="n">
        <v>13</v>
      </c>
      <c r="U602" s="5" t="inlineStr">
        <is>
          <t>기타 / 2024.08.14 / 2025.08.11 | 기타 / 2024.08.19 / 2025.08.06 | 보호솔루션 / 2024.09.30 / 2025.09.3</t>
        </is>
      </c>
      <c r="V602" s="21">
        <f>HYPERLINK("https://dart.fss.or.kr/dsaf001/main.do?rcpNo=20241114000662", "공시열람")</f>
        <v/>
      </c>
    </row>
    <row r="603">
      <c r="A603" s="5" t="inlineStr">
        <is>
          <t>데이터스트림즈</t>
        </is>
      </c>
      <c r="B603" s="6" t="inlineStr">
        <is>
          <t>199150</t>
        </is>
      </c>
      <c r="C603" s="6" t="inlineStr">
        <is>
          <t>2025Q4</t>
        </is>
      </c>
      <c r="D603" s="6" t="inlineStr">
        <is>
          <t>20260319</t>
        </is>
      </c>
      <c r="E603" s="16" t="n">
        <v>13744</v>
      </c>
      <c r="F603" s="16" t="inlineStr"/>
      <c r="G603" s="16" t="n">
        <v>5202</v>
      </c>
      <c r="H603" s="6" t="inlineStr">
        <is>
          <t>백만원</t>
        </is>
      </c>
      <c r="I603" s="17" t="n">
        <v>24.8</v>
      </c>
      <c r="J603" s="18" t="inlineStr"/>
      <c r="K603" s="19" t="inlineStr"/>
      <c r="L603" s="18" t="inlineStr"/>
      <c r="M603" s="19" t="n">
        <v>4168</v>
      </c>
      <c r="N603" s="18" t="inlineStr"/>
      <c r="O603" s="19" t="inlineStr"/>
      <c r="P603" s="18" t="inlineStr"/>
      <c r="Q603" s="19" t="n">
        <v>5202</v>
      </c>
      <c r="R603" s="18" t="inlineStr"/>
      <c r="S603" s="20" t="inlineStr"/>
      <c r="T603" s="6" t="n">
        <v>5</v>
      </c>
      <c r="U603" s="5" t="inlineStr">
        <is>
          <t>금융 | 제조 | 공공</t>
        </is>
      </c>
      <c r="V603" s="21">
        <f>HYPERLINK("https://dart.fss.or.kr/dsaf001/main.do?rcpNo=20260319000707", "공시열람")</f>
        <v/>
      </c>
    </row>
    <row r="604">
      <c r="A604" s="5" t="inlineStr">
        <is>
          <t>바이오프로테크</t>
        </is>
      </c>
      <c r="B604" s="6" t="inlineStr">
        <is>
          <t>199290</t>
        </is>
      </c>
      <c r="C604" s="6" t="inlineStr">
        <is>
          <t>2025Q4</t>
        </is>
      </c>
      <c r="D604" s="6" t="inlineStr">
        <is>
          <t>20260330</t>
        </is>
      </c>
      <c r="E604" s="16" t="inlineStr"/>
      <c r="F604" s="16" t="inlineStr"/>
      <c r="G604" s="16" t="n">
        <v>6467</v>
      </c>
      <c r="H604" s="6" t="inlineStr">
        <is>
          <t>천EA,백만원</t>
        </is>
      </c>
      <c r="I604" s="17" t="n">
        <v>-4.6</v>
      </c>
      <c r="J604" s="18" t="inlineStr"/>
      <c r="K604" s="19" t="inlineStr"/>
      <c r="L604" s="18" t="inlineStr"/>
      <c r="M604" s="19" t="n">
        <v>6776</v>
      </c>
      <c r="N604" s="18" t="inlineStr"/>
      <c r="O604" s="19" t="inlineStr"/>
      <c r="P604" s="18" t="inlineStr"/>
      <c r="Q604" s="19" t="n">
        <v>6467</v>
      </c>
      <c r="R604" s="18" t="inlineStr"/>
      <c r="S604" s="20" t="inlineStr"/>
      <c r="T604" s="6" t="n">
        <v>14</v>
      </c>
      <c r="U604" s="5" t="inlineStr">
        <is>
          <t>ECG / - | TAB / - | Smoke / -</t>
        </is>
      </c>
      <c r="V604" s="21">
        <f>HYPERLINK("https://dart.fss.or.kr/dsaf001/main.do?rcpNo=20260330001644", "공시열람")</f>
        <v/>
      </c>
    </row>
    <row r="605">
      <c r="A605" s="5" t="inlineStr">
        <is>
          <t>뱅크웨어글로벌</t>
        </is>
      </c>
      <c r="B605" s="6" t="inlineStr">
        <is>
          <t>199480</t>
        </is>
      </c>
      <c r="C605" s="6" t="inlineStr">
        <is>
          <t>2026Q2</t>
        </is>
      </c>
      <c r="D605" s="6" t="inlineStr">
        <is>
          <t>20260814</t>
        </is>
      </c>
      <c r="E605" s="16" t="n">
        <v>129510640320</v>
      </c>
      <c r="F605" s="16" t="n">
        <v>84086296796</v>
      </c>
      <c r="G605" s="16" t="n">
        <v>45424343523</v>
      </c>
      <c r="H605" s="6" t="inlineStr">
        <is>
          <t>원</t>
        </is>
      </c>
      <c r="I605" s="17" t="n">
        <v>3.6</v>
      </c>
      <c r="J605" s="18" t="inlineStr"/>
      <c r="K605" s="19" t="inlineStr"/>
      <c r="L605" s="18" t="n">
        <v>36898365549</v>
      </c>
      <c r="M605" s="19" t="n">
        <v>38060</v>
      </c>
      <c r="N605" s="18" t="n">
        <v>46574686540</v>
      </c>
      <c r="O605" s="19" t="n">
        <v>62082692354</v>
      </c>
      <c r="P605" s="18" t="n">
        <v>49567465233</v>
      </c>
      <c r="Q605" s="19" t="n">
        <v>39114</v>
      </c>
      <c r="R605" s="18" t="n">
        <v>43832292621</v>
      </c>
      <c r="S605" s="20" t="n">
        <v>45424343523</v>
      </c>
      <c r="T605" s="6" t="n">
        <v>1</v>
      </c>
      <c r="U605" s="5" t="inlineStr">
        <is>
          <t>금융기관 등 / 시스템구축 및 유지보수 / -</t>
        </is>
      </c>
      <c r="V605" s="21">
        <f>HYPERLINK("https://dart.fss.or.kr/dsaf001/main.do?rcpNo=20260814002727", "공시열람")</f>
        <v/>
      </c>
    </row>
    <row r="606">
      <c r="A606" s="5" t="inlineStr">
        <is>
          <t>바이오인프라</t>
        </is>
      </c>
      <c r="B606" s="6" t="inlineStr">
        <is>
          <t>199730</t>
        </is>
      </c>
      <c r="C606" s="6" t="inlineStr">
        <is>
          <t>2026Q2</t>
        </is>
      </c>
      <c r="D606" s="6" t="inlineStr">
        <is>
          <t>20260812</t>
        </is>
      </c>
      <c r="E606" s="16" t="n">
        <v>13432153</v>
      </c>
      <c r="F606" s="16" t="inlineStr"/>
      <c r="G606" s="16" t="n">
        <v>21993826</v>
      </c>
      <c r="H606" s="6" t="inlineStr">
        <is>
          <t>천원</t>
        </is>
      </c>
      <c r="I606" s="17" t="n">
        <v>-5</v>
      </c>
      <c r="J606" s="18" t="n">
        <v>18115972</v>
      </c>
      <c r="K606" s="19" t="n">
        <v>19823636</v>
      </c>
      <c r="L606" s="18" t="n">
        <v>17120020</v>
      </c>
      <c r="M606" s="19" t="n">
        <v>16184008</v>
      </c>
      <c r="N606" s="18" t="n">
        <v>16988255</v>
      </c>
      <c r="O606" s="19" t="n">
        <v>17210976</v>
      </c>
      <c r="P606" s="18" t="n">
        <v>18784818</v>
      </c>
      <c r="Q606" s="19" t="n">
        <v>23742095</v>
      </c>
      <c r="R606" s="18" t="n">
        <v>23141912</v>
      </c>
      <c r="S606" s="20" t="n">
        <v>21993826</v>
      </c>
      <c r="T606" s="6" t="n">
        <v>8</v>
      </c>
      <c r="U606" s="5" t="inlineStr">
        <is>
          <t>개량신약 임상시험 / 국내 | 생물학적 동등성시험 / 국내 | 허가용 임상시험 / 국내</t>
        </is>
      </c>
      <c r="V606" s="21">
        <f>HYPERLINK("https://dart.fss.or.kr/dsaf001/main.do?rcpNo=20260812000618", "공시열람")</f>
        <v/>
      </c>
    </row>
    <row r="607">
      <c r="A607" s="5" t="inlineStr">
        <is>
          <t>제일일렉트릭</t>
        </is>
      </c>
      <c r="B607" s="6" t="inlineStr">
        <is>
          <t>199820</t>
        </is>
      </c>
      <c r="C607" s="6" t="inlineStr">
        <is>
          <t>2026Q2</t>
        </is>
      </c>
      <c r="D607" s="6" t="inlineStr">
        <is>
          <t>20260814</t>
        </is>
      </c>
      <c r="E607" s="16" t="n">
        <v>90999</v>
      </c>
      <c r="F607" s="16" t="inlineStr"/>
      <c r="G607" s="16" t="n">
        <v>90999</v>
      </c>
      <c r="H607" s="6" t="inlineStr">
        <is>
          <t>백만원</t>
        </is>
      </c>
      <c r="I607" s="17" t="n">
        <v>12.2</v>
      </c>
      <c r="J607" s="18" t="n">
        <v>96600</v>
      </c>
      <c r="K607" s="19" t="n">
        <v>103005</v>
      </c>
      <c r="L607" s="18" t="n">
        <v>102151</v>
      </c>
      <c r="M607" s="19" t="n">
        <v>88980</v>
      </c>
      <c r="N607" s="18" t="n">
        <v>89622</v>
      </c>
      <c r="O607" s="19" t="n">
        <v>85956</v>
      </c>
      <c r="P607" s="18" t="n">
        <v>77650</v>
      </c>
      <c r="Q607" s="19" t="n">
        <v>72566</v>
      </c>
      <c r="R607" s="18" t="n">
        <v>81137</v>
      </c>
      <c r="S607" s="20" t="n">
        <v>90999</v>
      </c>
      <c r="T607" s="6" t="n">
        <v>1</v>
      </c>
      <c r="U607" s="5" t="inlineStr">
        <is>
          <t>스마트배선기구 외 / 2026.06.30. 이전 / 2</t>
        </is>
      </c>
      <c r="V607" s="21">
        <f>HYPERLINK("https://dart.fss.or.kr/dsaf001/main.do?rcpNo=20260814003693", "공시열람")</f>
        <v/>
      </c>
    </row>
    <row r="608">
      <c r="A608" s="5" t="inlineStr">
        <is>
          <t>텔콘RF제약</t>
        </is>
      </c>
      <c r="B608" s="6" t="inlineStr">
        <is>
          <t>200230</t>
        </is>
      </c>
      <c r="C608" s="6" t="inlineStr">
        <is>
          <t>2026Q2</t>
        </is>
      </c>
      <c r="D608" s="6" t="inlineStr">
        <is>
          <t>20260814</t>
        </is>
      </c>
      <c r="E608" s="16" t="n">
        <v>54054700000</v>
      </c>
      <c r="F608" s="16" t="n">
        <v>13222180750</v>
      </c>
      <c r="G608" s="16" t="n">
        <v>40832519250</v>
      </c>
      <c r="H608" s="6" t="inlineStr">
        <is>
          <t>원</t>
        </is>
      </c>
      <c r="I608" s="17" t="n">
        <v>0</v>
      </c>
      <c r="J608" s="18" t="n">
        <v>43727411750</v>
      </c>
      <c r="K608" s="19" t="n">
        <v>42367533250</v>
      </c>
      <c r="L608" s="18" t="n">
        <v>42257069250</v>
      </c>
      <c r="M608" s="19" t="n">
        <v>42257069250</v>
      </c>
      <c r="N608" s="18" t="n">
        <v>42257069250</v>
      </c>
      <c r="O608" s="19" t="n">
        <v>42257069250</v>
      </c>
      <c r="P608" s="18" t="n">
        <v>41565719250</v>
      </c>
      <c r="Q608" s="19" t="n">
        <v>40832519250</v>
      </c>
      <c r="R608" s="18" t="n">
        <v>40832519250</v>
      </c>
      <c r="S608" s="20" t="n">
        <v>40832519250</v>
      </c>
      <c r="T608" s="6" t="n">
        <v>1</v>
      </c>
      <c r="U608" s="5" t="inlineStr">
        <is>
          <t>PGLG 공급계약(*) / 2017.07.12 / 20</t>
        </is>
      </c>
      <c r="V608" s="21">
        <f>HYPERLINK("https://dart.fss.or.kr/dsaf001/main.do?rcpNo=20260814002996", "공시열람")</f>
        <v/>
      </c>
    </row>
    <row r="609">
      <c r="A609" s="5" t="inlineStr">
        <is>
          <t>아티스트스튜디오</t>
        </is>
      </c>
      <c r="B609" s="6" t="inlineStr">
        <is>
          <t>200350</t>
        </is>
      </c>
      <c r="C609" s="6" t="inlineStr">
        <is>
          <t>2026Q2</t>
        </is>
      </c>
      <c r="D609" s="6" t="inlineStr">
        <is>
          <t>20260814</t>
        </is>
      </c>
      <c r="E609" s="16" t="n">
        <v>6150000</v>
      </c>
      <c r="F609" s="16" t="n">
        <v>6150000</v>
      </c>
      <c r="G609" s="16" t="n">
        <v>0</v>
      </c>
      <c r="H609" s="6" t="inlineStr">
        <is>
          <t>천원</t>
        </is>
      </c>
      <c r="I609" s="17" t="inlineStr"/>
      <c r="J609" s="18" t="n">
        <v>8545223</v>
      </c>
      <c r="K609" s="19" t="n">
        <v>15112192</v>
      </c>
      <c r="L609" s="18" t="n">
        <v>7511335</v>
      </c>
      <c r="M609" s="19" t="n">
        <v>4534805</v>
      </c>
      <c r="N609" s="18" t="n">
        <v>4534805</v>
      </c>
      <c r="O609" s="19" t="n">
        <v>9316454</v>
      </c>
      <c r="P609" s="18" t="n">
        <v>3597380</v>
      </c>
      <c r="Q609" s="19" t="n">
        <v>116357</v>
      </c>
      <c r="R609" s="18" t="n">
        <v>0</v>
      </c>
      <c r="S609" s="20" t="n">
        <v>0</v>
      </c>
      <c r="T609" s="6" t="n">
        <v>1</v>
      </c>
      <c r="U609" s="5" t="inlineStr">
        <is>
          <t>프로젝트A / 2025.05.07 / 2025.09.0</t>
        </is>
      </c>
      <c r="V609" s="21">
        <f>HYPERLINK("https://dart.fss.or.kr/dsaf001/main.do?rcpNo=20260814002900", "공시열람")</f>
        <v/>
      </c>
    </row>
    <row r="610">
      <c r="A610" s="5" t="inlineStr">
        <is>
          <t>메디쎄이</t>
        </is>
      </c>
      <c r="B610" s="6" t="inlineStr">
        <is>
          <t>200580</t>
        </is>
      </c>
      <c r="C610" s="6" t="inlineStr">
        <is>
          <t>2025Q4</t>
        </is>
      </c>
      <c r="D610" s="6" t="inlineStr">
        <is>
          <t>20260327</t>
        </is>
      </c>
      <c r="E610" s="16" t="n">
        <v>8014817</v>
      </c>
      <c r="F610" s="16" t="n">
        <v>6594066</v>
      </c>
      <c r="G610" s="16" t="n">
        <v>1420751</v>
      </c>
      <c r="H610" s="6" t="inlineStr">
        <is>
          <t>개,$</t>
        </is>
      </c>
      <c r="I610" s="17" t="n">
        <v>-38.5</v>
      </c>
      <c r="J610" s="18" t="inlineStr"/>
      <c r="K610" s="19" t="inlineStr"/>
      <c r="L610" s="18" t="inlineStr"/>
      <c r="M610" s="19" t="n">
        <v>2308509</v>
      </c>
      <c r="N610" s="18" t="inlineStr"/>
      <c r="O610" s="19" t="inlineStr"/>
      <c r="P610" s="18" t="inlineStr"/>
      <c r="Q610" s="19" t="n">
        <v>1420751</v>
      </c>
      <c r="R610" s="18" t="inlineStr"/>
      <c r="S610" s="20" t="inlineStr"/>
      <c r="T610" s="6" t="n">
        <v>1</v>
      </c>
      <c r="U610" s="5" t="inlineStr">
        <is>
          <t>척추임플란트 외 / -</t>
        </is>
      </c>
      <c r="V610" s="21">
        <f>HYPERLINK("https://dart.fss.or.kr/dsaf001/main.do?rcpNo=20260327001807", "공시열람")</f>
        <v/>
      </c>
    </row>
    <row r="611">
      <c r="A611" s="5" t="inlineStr">
        <is>
          <t>에이비온</t>
        </is>
      </c>
      <c r="B611" s="6" t="inlineStr">
        <is>
          <t>203400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1736363</v>
      </c>
      <c r="F611" s="16" t="n">
        <v>1215455</v>
      </c>
      <c r="G611" s="16" t="n">
        <v>520908</v>
      </c>
      <c r="H611" s="6" t="inlineStr">
        <is>
          <t>천원</t>
        </is>
      </c>
      <c r="I611" s="17" t="n">
        <v>-28.4</v>
      </c>
      <c r="J611" s="18" t="n">
        <v>76746</v>
      </c>
      <c r="K611" s="19" t="n">
        <v>1109691</v>
      </c>
      <c r="L611" s="18" t="n">
        <v>1109691</v>
      </c>
      <c r="M611" s="19" t="n">
        <v>1076746</v>
      </c>
      <c r="N611" s="18" t="n">
        <v>1000000</v>
      </c>
      <c r="O611" s="19" t="n">
        <v>727272</v>
      </c>
      <c r="P611" s="18" t="n">
        <v>727272</v>
      </c>
      <c r="Q611" s="19" t="n">
        <v>727272</v>
      </c>
      <c r="R611" s="18" t="n">
        <v>727272</v>
      </c>
      <c r="S611" s="20" t="n">
        <v>520908</v>
      </c>
      <c r="T611" s="6" t="n">
        <v>1</v>
      </c>
      <c r="U611" s="5" t="inlineStr">
        <is>
          <t>용역매출 / 2024.04.11 / 2026.10.31</t>
        </is>
      </c>
      <c r="V611" s="21">
        <f>HYPERLINK("https://dart.fss.or.kr/dsaf001/main.do?rcpNo=20260814001789", "공시열람")</f>
        <v/>
      </c>
    </row>
    <row r="612">
      <c r="A612" s="5" t="inlineStr">
        <is>
          <t>HL만도</t>
        </is>
      </c>
      <c r="B612" s="6" t="inlineStr">
        <is>
          <t>204320</t>
        </is>
      </c>
      <c r="C612" s="6" t="inlineStr">
        <is>
          <t>2026Q2</t>
        </is>
      </c>
      <c r="D612" s="6" t="inlineStr">
        <is>
          <t>20260814</t>
        </is>
      </c>
      <c r="E612" s="16" t="n">
        <v>1404449</v>
      </c>
      <c r="F612" s="16" t="n">
        <v>461221</v>
      </c>
      <c r="G612" s="16" t="n">
        <v>943228</v>
      </c>
      <c r="H612" s="6" t="inlineStr">
        <is>
          <t>백만원</t>
        </is>
      </c>
      <c r="I612" s="17" t="n">
        <v>-4.1</v>
      </c>
      <c r="J612" s="18" t="n">
        <v>1301908</v>
      </c>
      <c r="K612" s="19" t="n">
        <v>1265755</v>
      </c>
      <c r="L612" s="18" t="n">
        <v>1226938</v>
      </c>
      <c r="M612" s="19" t="n">
        <v>1190518</v>
      </c>
      <c r="N612" s="18" t="n">
        <v>1146594</v>
      </c>
      <c r="O612" s="19" t="n">
        <v>1102277</v>
      </c>
      <c r="P612" s="18" t="n">
        <v>1062269</v>
      </c>
      <c r="Q612" s="19" t="n">
        <v>1025769</v>
      </c>
      <c r="R612" s="18" t="n">
        <v>983729</v>
      </c>
      <c r="S612" s="20" t="n">
        <v>943228</v>
      </c>
      <c r="T612" s="6" t="n">
        <v>1</v>
      </c>
      <c r="U612" s="5" t="inlineStr">
        <is>
          <t>Shock absorber, Strut 등서스펜션 부품</t>
        </is>
      </c>
      <c r="V612" s="21">
        <f>HYPERLINK("https://dart.fss.or.kr/dsaf001/main.do?rcpNo=20260814004041", "공시열람")</f>
        <v/>
      </c>
    </row>
    <row r="613">
      <c r="A613" s="5" t="inlineStr">
        <is>
          <t>지엘팜텍</t>
        </is>
      </c>
      <c r="B613" s="6" t="inlineStr">
        <is>
          <t>204840</t>
        </is>
      </c>
      <c r="C613" s="6" t="inlineStr">
        <is>
          <t>2026Q2</t>
        </is>
      </c>
      <c r="D613" s="6" t="inlineStr">
        <is>
          <t>20260813</t>
        </is>
      </c>
      <c r="E613" s="16" t="n">
        <v>2100</v>
      </c>
      <c r="F613" s="16" t="inlineStr"/>
      <c r="G613" s="16" t="n">
        <v>1000</v>
      </c>
      <c r="H613" s="6" t="inlineStr">
        <is>
          <t>백만원</t>
        </is>
      </c>
      <c r="I613" s="17" t="n">
        <v>0</v>
      </c>
      <c r="J613" s="18" t="n">
        <v>1000</v>
      </c>
      <c r="K613" s="19" t="n">
        <v>1000</v>
      </c>
      <c r="L613" s="18" t="n">
        <v>1000</v>
      </c>
      <c r="M613" s="19" t="n">
        <v>1000</v>
      </c>
      <c r="N613" s="18" t="n">
        <v>1000</v>
      </c>
      <c r="O613" s="19" t="n">
        <v>1000</v>
      </c>
      <c r="P613" s="18" t="n">
        <v>1000</v>
      </c>
      <c r="Q613" s="19" t="n">
        <v>1000</v>
      </c>
      <c r="R613" s="18" t="n">
        <v>1000</v>
      </c>
      <c r="S613" s="20" t="n">
        <v>1000</v>
      </c>
      <c r="T613" s="6" t="n">
        <v>1</v>
      </c>
      <c r="U613" s="5" t="inlineStr">
        <is>
          <t>의약품연구개발서비스 / 오큐라바이오사이언스 / GLH8</t>
        </is>
      </c>
      <c r="V613" s="21">
        <f>HYPERLINK("https://dart.fss.or.kr/dsaf001/main.do?rcpNo=20260813000453", "공시열람")</f>
        <v/>
      </c>
    </row>
    <row r="614">
      <c r="A614" s="5" t="inlineStr">
        <is>
          <t>엑셈</t>
        </is>
      </c>
      <c r="B614" s="6" t="inlineStr">
        <is>
          <t>205100</t>
        </is>
      </c>
      <c r="C614" s="6" t="inlineStr">
        <is>
          <t>2026Q2</t>
        </is>
      </c>
      <c r="D614" s="6" t="inlineStr">
        <is>
          <t>20260814</t>
        </is>
      </c>
      <c r="E614" s="16" t="n">
        <v>8111</v>
      </c>
      <c r="F614" s="16" t="n">
        <v>3140</v>
      </c>
      <c r="G614" s="16" t="n">
        <v>4971</v>
      </c>
      <c r="H614" s="6" t="inlineStr">
        <is>
          <t>백만원</t>
        </is>
      </c>
      <c r="I614" s="17" t="n">
        <v>14.5</v>
      </c>
      <c r="J614" s="18" t="n">
        <v>1207</v>
      </c>
      <c r="K614" s="19" t="n">
        <v>1207</v>
      </c>
      <c r="L614" s="18" t="n">
        <v>1207</v>
      </c>
      <c r="M614" s="19" t="n">
        <v>1207</v>
      </c>
      <c r="N614" s="18" t="n">
        <v>3549</v>
      </c>
      <c r="O614" s="19" t="n">
        <v>3549</v>
      </c>
      <c r="P614" s="18" t="n">
        <v>1118</v>
      </c>
      <c r="Q614" s="19" t="n">
        <v>3366</v>
      </c>
      <c r="R614" s="18" t="n">
        <v>4341</v>
      </c>
      <c r="S614" s="20" t="n">
        <v>4971</v>
      </c>
      <c r="T614" s="6" t="n">
        <v>4</v>
      </c>
      <c r="U614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4" s="21">
        <f>HYPERLINK("https://dart.fss.or.kr/dsaf001/main.do?rcpNo=20260814001932", "공시열람")</f>
        <v/>
      </c>
    </row>
    <row r="615">
      <c r="A615" s="5" t="inlineStr">
        <is>
          <t>베노티앤알</t>
        </is>
      </c>
      <c r="B615" s="6" t="inlineStr">
        <is>
          <t>206400</t>
        </is>
      </c>
      <c r="C615" s="6" t="inlineStr">
        <is>
          <t>2026Q2</t>
        </is>
      </c>
      <c r="D615" s="6" t="inlineStr">
        <is>
          <t>20260814</t>
        </is>
      </c>
      <c r="E615" s="16" t="n">
        <v>31718184</v>
      </c>
      <c r="F615" s="16" t="n">
        <v>29314989</v>
      </c>
      <c r="G615" s="16" t="n">
        <v>2403195</v>
      </c>
      <c r="H615" s="6" t="inlineStr">
        <is>
          <t>천원</t>
        </is>
      </c>
      <c r="I615" s="17" t="n">
        <v>196.7</v>
      </c>
      <c r="J615" s="18" t="n">
        <v>19651564</v>
      </c>
      <c r="K615" s="19" t="n">
        <v>8649706</v>
      </c>
      <c r="L615" s="18" t="n">
        <v>4151658</v>
      </c>
      <c r="M615" s="19" t="n">
        <v>1397099</v>
      </c>
      <c r="N615" s="18" t="n">
        <v>1744542</v>
      </c>
      <c r="O615" s="19" t="n">
        <v>604819</v>
      </c>
      <c r="P615" s="18" t="n">
        <v>303607</v>
      </c>
      <c r="Q615" s="19" t="n">
        <v>810998</v>
      </c>
      <c r="R615" s="18" t="n">
        <v>809855</v>
      </c>
      <c r="S615" s="20" t="n">
        <v>2403195</v>
      </c>
      <c r="T615" s="6" t="n">
        <v>17</v>
      </c>
      <c r="U615" s="5" t="inlineStr">
        <is>
          <t>도배 / 2026.05.26 / 2027.05.13 | 도배 / 2026.06.04 / 2027.08.31 | 도배 / 2025.11.20 / 2026.12.31</t>
        </is>
      </c>
      <c r="V615" s="21">
        <f>HYPERLINK("https://dart.fss.or.kr/dsaf001/main.do?rcpNo=20260814003019", "공시열람")</f>
        <v/>
      </c>
    </row>
    <row r="616">
      <c r="A616" s="5" t="inlineStr">
        <is>
          <t>덱스터</t>
        </is>
      </c>
      <c r="B616" s="6" t="inlineStr">
        <is>
          <t>206560</t>
        </is>
      </c>
      <c r="C616" s="6" t="inlineStr">
        <is>
          <t>2026Q2</t>
        </is>
      </c>
      <c r="D616" s="6" t="inlineStr">
        <is>
          <t>20260814</t>
        </is>
      </c>
      <c r="E616" s="16" t="n">
        <v>10526916</v>
      </c>
      <c r="F616" s="16" t="n">
        <v>5836142</v>
      </c>
      <c r="G616" s="16" t="n">
        <v>4690774</v>
      </c>
      <c r="H616" s="6" t="inlineStr">
        <is>
          <t>천원</t>
        </is>
      </c>
      <c r="I616" s="17" t="n">
        <v>-12.5</v>
      </c>
      <c r="J616" s="18" t="n">
        <v>3023647</v>
      </c>
      <c r="K616" s="19" t="n">
        <v>0</v>
      </c>
      <c r="L616" s="18" t="n">
        <v>0</v>
      </c>
      <c r="M616" s="19" t="n">
        <v>3415643</v>
      </c>
      <c r="N616" s="18" t="n">
        <v>3207051</v>
      </c>
      <c r="O616" s="19" t="n">
        <v>2847757</v>
      </c>
      <c r="P616" s="18" t="n">
        <v>8029139</v>
      </c>
      <c r="Q616" s="19" t="n">
        <v>6594218</v>
      </c>
      <c r="R616" s="18" t="n">
        <v>5363389</v>
      </c>
      <c r="S616" s="20" t="n">
        <v>4690774</v>
      </c>
      <c r="T616" s="6" t="n">
        <v>2</v>
      </c>
      <c r="U616" s="5" t="inlineStr">
        <is>
          <t>드라마 T / 25.07.18 / 27.01.29 | 드라마 E / 24.12.01 / 26.07.31</t>
        </is>
      </c>
      <c r="V616" s="21">
        <f>HYPERLINK("https://dart.fss.or.kr/dsaf001/main.do?rcpNo=20260814003090", "공시열람")</f>
        <v/>
      </c>
    </row>
    <row r="617">
      <c r="A617" s="5" t="inlineStr">
        <is>
          <t>유바이오로직스</t>
        </is>
      </c>
      <c r="B617" s="6" t="inlineStr">
        <is>
          <t>206650</t>
        </is>
      </c>
      <c r="C617" s="6" t="inlineStr">
        <is>
          <t>2026Q2</t>
        </is>
      </c>
      <c r="D617" s="6" t="inlineStr">
        <is>
          <t>20260813</t>
        </is>
      </c>
      <c r="E617" s="16" t="n">
        <v>108523</v>
      </c>
      <c r="F617" s="16" t="n">
        <v>35411</v>
      </c>
      <c r="G617" s="16" t="n">
        <v>73112</v>
      </c>
      <c r="H617" s="6" t="inlineStr">
        <is>
          <t>만도즈,천달러</t>
        </is>
      </c>
      <c r="I617" s="17" t="n">
        <v>-22.4</v>
      </c>
      <c r="J617" s="18" t="n">
        <v>52725</v>
      </c>
      <c r="K617" s="19" t="n">
        <v>79171</v>
      </c>
      <c r="L617" s="18" t="n">
        <v>53201</v>
      </c>
      <c r="M617" s="19" t="n">
        <v>30559</v>
      </c>
      <c r="N617" s="18" t="n">
        <v>78805</v>
      </c>
      <c r="O617" s="19" t="n">
        <v>72151</v>
      </c>
      <c r="P617" s="18" t="n">
        <v>46905</v>
      </c>
      <c r="Q617" s="19" t="n">
        <v>32995</v>
      </c>
      <c r="R617" s="18" t="n">
        <v>94188</v>
      </c>
      <c r="S617" s="20" t="n">
        <v>73112</v>
      </c>
      <c r="T617" s="6" t="n">
        <v>2</v>
      </c>
      <c r="U617" s="5" t="inlineStr">
        <is>
          <t>유비콜-플러스/ 유비콜-에스 / 2026.01.01 / | 유비콜 / 2026.01.01 / 2026.12.31</t>
        </is>
      </c>
      <c r="V617" s="21">
        <f>HYPERLINK("https://dart.fss.or.kr/dsaf001/main.do?rcpNo=20260813001113", "공시열람")</f>
        <v/>
      </c>
    </row>
    <row r="618">
      <c r="A618" s="5" t="inlineStr">
        <is>
          <t>에이펙스인텍</t>
        </is>
      </c>
      <c r="B618" s="6" t="inlineStr">
        <is>
          <t>207490</t>
        </is>
      </c>
      <c r="C618" s="6" t="inlineStr">
        <is>
          <t>2025Q4</t>
        </is>
      </c>
      <c r="D618" s="6" t="inlineStr">
        <is>
          <t>20260318</t>
        </is>
      </c>
      <c r="E618" s="16" t="n">
        <v>33365</v>
      </c>
      <c r="F618" s="16" t="n">
        <v>2105</v>
      </c>
      <c r="G618" s="16" t="n">
        <v>31259</v>
      </c>
      <c r="H618" s="6" t="inlineStr">
        <is>
          <t>EA,백만원</t>
        </is>
      </c>
      <c r="I618" s="17" t="n">
        <v>376</v>
      </c>
      <c r="J618" s="18" t="inlineStr"/>
      <c r="K618" s="19" t="inlineStr"/>
      <c r="L618" s="18" t="inlineStr"/>
      <c r="M618" s="19" t="n">
        <v>6567</v>
      </c>
      <c r="N618" s="18" t="inlineStr"/>
      <c r="O618" s="19" t="inlineStr"/>
      <c r="P618" s="18" t="inlineStr"/>
      <c r="Q618" s="19" t="n">
        <v>31259</v>
      </c>
      <c r="R618" s="18" t="inlineStr"/>
      <c r="S618" s="20" t="inlineStr"/>
      <c r="T618" s="6" t="n">
        <v>12</v>
      </c>
      <c r="U618" s="5" t="inlineStr">
        <is>
          <t>태양광발전장치 / ~2026.02.27 / ~2027. | 터널등 / ~2026.02.27 / ~2026.10.3 | 세대등 / ~2026.02.27 / ~2026.04.1</t>
        </is>
      </c>
      <c r="V618" s="21">
        <f>HYPERLINK("https://dart.fss.or.kr/dsaf001/main.do?rcpNo=20260318000509", "공시열람")</f>
        <v/>
      </c>
    </row>
    <row r="619">
      <c r="A619" s="5" t="inlineStr">
        <is>
          <t>삼성바이오로직스</t>
        </is>
      </c>
      <c r="B619" s="6" t="inlineStr">
        <is>
          <t>207940</t>
        </is>
      </c>
      <c r="C619" s="6" t="inlineStr">
        <is>
          <t>2026Q2</t>
        </is>
      </c>
      <c r="D619" s="6" t="inlineStr">
        <is>
          <t>20260814</t>
        </is>
      </c>
      <c r="E619" s="16" t="n">
        <v>45981</v>
      </c>
      <c r="F619" s="16" t="n">
        <v>23532</v>
      </c>
      <c r="G619" s="16" t="n">
        <v>22449</v>
      </c>
      <c r="H619" s="6" t="inlineStr">
        <is>
          <t>백만달러</t>
        </is>
      </c>
      <c r="I619" s="17" t="n">
        <v>-4</v>
      </c>
      <c r="J619" s="18" t="n">
        <v>18629</v>
      </c>
      <c r="K619" s="19" t="n">
        <v>18808</v>
      </c>
      <c r="L619" s="18" t="n">
        <v>19055</v>
      </c>
      <c r="M619" s="19" t="n">
        <v>21002</v>
      </c>
      <c r="N619" s="18" t="n">
        <v>21893</v>
      </c>
      <c r="O619" s="19" t="n">
        <v>22236</v>
      </c>
      <c r="P619" s="18" t="n">
        <v>23273</v>
      </c>
      <c r="Q619" s="19" t="n">
        <v>24136</v>
      </c>
      <c r="R619" s="18" t="n">
        <v>23378</v>
      </c>
      <c r="S619" s="20" t="n">
        <v>22449</v>
      </c>
      <c r="T619" s="6" t="n">
        <v>2</v>
      </c>
      <c r="U619" s="5" t="inlineStr">
        <is>
          <t>CDMO / 항체의약품 / 2015년~(계약별상이) | CDMO / 항체의약품 / 2015년~(계약별상이)</t>
        </is>
      </c>
      <c r="V619" s="21">
        <f>HYPERLINK("https://dart.fss.or.kr/dsaf001/main.do?rcpNo=20260814003375", "공시열람")</f>
        <v/>
      </c>
    </row>
    <row r="620">
      <c r="A620" s="5" t="inlineStr">
        <is>
          <t>이비테크</t>
        </is>
      </c>
      <c r="B620" s="6" t="inlineStr">
        <is>
          <t>208850</t>
        </is>
      </c>
      <c r="C620" s="6" t="inlineStr">
        <is>
          <t>2025Q4</t>
        </is>
      </c>
      <c r="D620" s="6" t="inlineStr">
        <is>
          <t>20260319</t>
        </is>
      </c>
      <c r="E620" s="16" t="n">
        <v>5176</v>
      </c>
      <c r="F620" s="16" t="n">
        <v>1831</v>
      </c>
      <c r="G620" s="16" t="n">
        <v>3345</v>
      </c>
      <c r="H620" s="6" t="inlineStr">
        <is>
          <t>백만원</t>
        </is>
      </c>
      <c r="I620" s="17" t="n">
        <v>0</v>
      </c>
      <c r="J620" s="18" t="inlineStr"/>
      <c r="K620" s="19" t="inlineStr"/>
      <c r="L620" s="18" t="inlineStr"/>
      <c r="M620" s="19" t="n">
        <v>3344</v>
      </c>
      <c r="N620" s="18" t="inlineStr"/>
      <c r="O620" s="19" t="inlineStr"/>
      <c r="P620" s="18" t="inlineStr"/>
      <c r="Q620" s="19" t="n">
        <v>3345</v>
      </c>
      <c r="R620" s="18" t="inlineStr"/>
      <c r="S620" s="20" t="inlineStr"/>
      <c r="T620" s="6" t="n">
        <v>3</v>
      </c>
      <c r="U620" s="5" t="inlineStr">
        <is>
          <t>전자가속기 / 25.06.04 / 26.06.30 | 전자가속기 / 25.09.11 / 26.12.10 | 전자가속기 / 25.06.04 / 26.04.30</t>
        </is>
      </c>
      <c r="V620" s="21">
        <f>HYPERLINK("https://dart.fss.or.kr/dsaf001/main.do?rcpNo=20260319001155", "공시열람")</f>
        <v/>
      </c>
    </row>
    <row r="621">
      <c r="A621" s="5" t="inlineStr">
        <is>
          <t>와이제이링크</t>
        </is>
      </c>
      <c r="B621" s="6" t="inlineStr">
        <is>
          <t>209640</t>
        </is>
      </c>
      <c r="C621" s="6" t="inlineStr">
        <is>
          <t>2026Q2</t>
        </is>
      </c>
      <c r="D621" s="6" t="inlineStr">
        <is>
          <t>20260814</t>
        </is>
      </c>
      <c r="E621" s="16" t="n">
        <v>4140</v>
      </c>
      <c r="F621" s="16" t="inlineStr"/>
      <c r="G621" s="16" t="n">
        <v>4140</v>
      </c>
      <c r="H621" s="6" t="inlineStr">
        <is>
          <t>백만원</t>
        </is>
      </c>
      <c r="I621" s="17" t="n">
        <v>0</v>
      </c>
      <c r="J621" s="18" t="inlineStr"/>
      <c r="K621" s="19" t="inlineStr"/>
      <c r="L621" s="18" t="inlineStr"/>
      <c r="M621" s="19" t="inlineStr"/>
      <c r="N621" s="18" t="inlineStr"/>
      <c r="O621" s="19" t="inlineStr"/>
      <c r="P621" s="18" t="inlineStr"/>
      <c r="Q621" s="19" t="inlineStr"/>
      <c r="R621" s="18" t="n">
        <v>4140</v>
      </c>
      <c r="S621" s="20" t="n">
        <v>4140</v>
      </c>
      <c r="T621" s="6" t="n">
        <v>1</v>
      </c>
      <c r="U621" s="5" t="inlineStr">
        <is>
          <t>SMT Full Line / 2026.03.12 / 2</t>
        </is>
      </c>
      <c r="V621" s="21">
        <f>HYPERLINK("https://dart.fss.or.kr/dsaf001/main.do?rcpNo=20260814000588", "공시열람")</f>
        <v/>
      </c>
    </row>
    <row r="622">
      <c r="A622" s="5" t="inlineStr">
        <is>
          <t>SK디앤디</t>
        </is>
      </c>
      <c r="B622" s="6" t="inlineStr">
        <is>
          <t>210980</t>
        </is>
      </c>
      <c r="C622" s="6" t="inlineStr">
        <is>
          <t>2026Q2</t>
        </is>
      </c>
      <c r="D622" s="6" t="inlineStr">
        <is>
          <t>20260814</t>
        </is>
      </c>
      <c r="E622" s="16" t="n">
        <v>784189</v>
      </c>
      <c r="F622" s="16" t="n">
        <v>595180</v>
      </c>
      <c r="G622" s="16" t="n">
        <v>189009</v>
      </c>
      <c r="H622" s="6" t="inlineStr">
        <is>
          <t>백만원</t>
        </is>
      </c>
      <c r="I622" s="17" t="n">
        <v>-22.8</v>
      </c>
      <c r="J622" s="18" t="n">
        <v>661437</v>
      </c>
      <c r="K622" s="19" t="n">
        <v>625905</v>
      </c>
      <c r="L622" s="18" t="n">
        <v>588265</v>
      </c>
      <c r="M622" s="19" t="n">
        <v>523296</v>
      </c>
      <c r="N622" s="18" t="n">
        <v>447908</v>
      </c>
      <c r="O622" s="19" t="n">
        <v>380744</v>
      </c>
      <c r="P622" s="18" t="n">
        <v>288902</v>
      </c>
      <c r="Q622" s="19" t="n">
        <v>226290</v>
      </c>
      <c r="R622" s="18" t="n">
        <v>244863</v>
      </c>
      <c r="S622" s="20" t="n">
        <v>189009</v>
      </c>
      <c r="T622" s="6" t="n">
        <v>7</v>
      </c>
      <c r="U622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22" s="21">
        <f>HYPERLINK("https://dart.fss.or.kr/dsaf001/main.do?rcpNo=20260814002026", "공시열람")</f>
        <v/>
      </c>
    </row>
    <row r="623">
      <c r="A623" s="5" t="inlineStr">
        <is>
          <t>AP위성</t>
        </is>
      </c>
      <c r="B623" s="6" t="inlineStr">
        <is>
          <t>211270</t>
        </is>
      </c>
      <c r="C623" s="6" t="inlineStr">
        <is>
          <t>2026Q2</t>
        </is>
      </c>
      <c r="D623" s="6" t="inlineStr">
        <is>
          <t>20260814</t>
        </is>
      </c>
      <c r="E623" s="16" t="inlineStr"/>
      <c r="F623" s="16" t="inlineStr"/>
      <c r="G623" s="16" t="n">
        <v>24927574</v>
      </c>
      <c r="H623" s="6" t="inlineStr">
        <is>
          <t>천원</t>
        </is>
      </c>
      <c r="I623" s="17" t="n">
        <v>-99.90000000000001</v>
      </c>
      <c r="J623" s="18" t="n">
        <v>54705110601</v>
      </c>
      <c r="K623" s="19" t="n">
        <v>53090488</v>
      </c>
      <c r="L623" s="18" t="n">
        <v>49607096</v>
      </c>
      <c r="M623" s="19" t="n">
        <v>36549611692</v>
      </c>
      <c r="N623" s="18" t="n">
        <v>36234566812</v>
      </c>
      <c r="O623" s="19" t="n">
        <v>28214042018</v>
      </c>
      <c r="P623" s="18" t="n">
        <v>25271360583</v>
      </c>
      <c r="Q623" s="19" t="n">
        <v>24927573793</v>
      </c>
      <c r="R623" s="18" t="n">
        <v>24288135783</v>
      </c>
      <c r="S623" s="20" t="n">
        <v>24927574</v>
      </c>
      <c r="T623" s="6" t="n">
        <v>1</v>
      </c>
      <c r="U623" s="5" t="inlineStr">
        <is>
          <t>위성제조 및 서비스 솔루션</t>
        </is>
      </c>
      <c r="V623" s="21">
        <f>HYPERLINK("https://dart.fss.or.kr/dsaf001/main.do?rcpNo=20260814000726", "공시열람")</f>
        <v/>
      </c>
    </row>
    <row r="624">
      <c r="A624" s="5" t="inlineStr">
        <is>
          <t>네오오토</t>
        </is>
      </c>
      <c r="B624" s="6" t="inlineStr">
        <is>
          <t>212560</t>
        </is>
      </c>
      <c r="C624" s="6" t="inlineStr">
        <is>
          <t>2026Q2</t>
        </is>
      </c>
      <c r="D624" s="6" t="inlineStr">
        <is>
          <t>20260814</t>
        </is>
      </c>
      <c r="E624" s="16" t="n">
        <v>3279643</v>
      </c>
      <c r="F624" s="16" t="n">
        <v>2324758</v>
      </c>
      <c r="G624" s="16" t="n">
        <v>954885</v>
      </c>
      <c r="H624" s="6" t="inlineStr">
        <is>
          <t>천만EA,백만원</t>
        </is>
      </c>
      <c r="I624" s="17" t="n">
        <v>-6.2</v>
      </c>
      <c r="J624" s="18" t="n">
        <v>864474</v>
      </c>
      <c r="K624" s="19" t="n">
        <v>866926</v>
      </c>
      <c r="L624" s="18" t="n">
        <v>821804</v>
      </c>
      <c r="M624" s="19" t="n">
        <v>781171</v>
      </c>
      <c r="N624" s="18" t="n">
        <v>1050712</v>
      </c>
      <c r="O624" s="19" t="n">
        <v>1005816</v>
      </c>
      <c r="P624" s="18" t="n">
        <v>960804</v>
      </c>
      <c r="Q624" s="19" t="n">
        <v>1068893</v>
      </c>
      <c r="R624" s="18" t="n">
        <v>1017701</v>
      </c>
      <c r="S624" s="20" t="n">
        <v>954885</v>
      </c>
      <c r="T624" s="6" t="n">
        <v>4</v>
      </c>
      <c r="U624" s="5" t="inlineStr">
        <is>
          <t>대형기어 등 / 수시 | 피니언기어 / 수시 | EV감속기 부품 / 수시</t>
        </is>
      </c>
      <c r="V624" s="21">
        <f>HYPERLINK("https://dart.fss.or.kr/dsaf001/main.do?rcpNo=20260814003021", "공시열람")</f>
        <v/>
      </c>
    </row>
    <row r="625">
      <c r="A625" s="5" t="inlineStr">
        <is>
          <t>아이에스티이</t>
        </is>
      </c>
      <c r="B625" s="6" t="inlineStr">
        <is>
          <t>212710</t>
        </is>
      </c>
      <c r="C625" s="6" t="inlineStr">
        <is>
          <t>2026Q2</t>
        </is>
      </c>
      <c r="D625" s="6" t="inlineStr">
        <is>
          <t>20260813</t>
        </is>
      </c>
      <c r="E625" s="16" t="n">
        <v>78512982</v>
      </c>
      <c r="F625" s="16" t="n">
        <v>37177803</v>
      </c>
      <c r="G625" s="16" t="n">
        <v>41396058</v>
      </c>
      <c r="H625" s="6" t="inlineStr">
        <is>
          <t>천원</t>
        </is>
      </c>
      <c r="I625" s="17" t="n">
        <v>39.7</v>
      </c>
      <c r="J625" s="18" t="inlineStr"/>
      <c r="K625" s="19" t="inlineStr"/>
      <c r="L625" s="18" t="inlineStr"/>
      <c r="M625" s="19" t="n">
        <v>15112708</v>
      </c>
      <c r="N625" s="18" t="n">
        <v>10914655</v>
      </c>
      <c r="O625" s="19" t="n">
        <v>12417596</v>
      </c>
      <c r="P625" s="18" t="n">
        <v>18481004</v>
      </c>
      <c r="Q625" s="19" t="n">
        <v>15731110</v>
      </c>
      <c r="R625" s="18" t="n">
        <v>29622929</v>
      </c>
      <c r="S625" s="20" t="n">
        <v>41396058</v>
      </c>
      <c r="T625" s="6" t="n">
        <v>4</v>
      </c>
      <c r="U625" s="5" t="inlineStr">
        <is>
          <t>에너지사업(EPC) / 23.09~26.06 / 24. | FOUP Cleaner(반도체장비) / 25.11 ~2 | Automation(반도체장비) / 26.01~26.0</t>
        </is>
      </c>
      <c r="V625" s="21">
        <f>HYPERLINK("https://dart.fss.or.kr/dsaf001/main.do?rcpNo=20260813000001", "공시열람")</f>
        <v/>
      </c>
    </row>
    <row r="626">
      <c r="A626" s="5" t="inlineStr">
        <is>
          <t>덕산네오룩스</t>
        </is>
      </c>
      <c r="B626" s="6" t="inlineStr">
        <is>
          <t>213420</t>
        </is>
      </c>
      <c r="C626" s="6" t="inlineStr">
        <is>
          <t>2026Q2</t>
        </is>
      </c>
      <c r="D626" s="6" t="inlineStr">
        <is>
          <t>20260813</t>
        </is>
      </c>
      <c r="E626" s="16" t="n">
        <v>432215</v>
      </c>
      <c r="F626" s="16" t="n">
        <v>40622</v>
      </c>
      <c r="G626" s="16" t="n">
        <v>391593</v>
      </c>
      <c r="H626" s="6" t="inlineStr">
        <is>
          <t>백만원</t>
        </is>
      </c>
      <c r="I626" s="17" t="n">
        <v>16.4</v>
      </c>
      <c r="J626" s="18" t="n">
        <v>6744007.61</v>
      </c>
      <c r="K626" s="19" t="n">
        <v>7685961.460000001</v>
      </c>
      <c r="L626" s="18" t="n">
        <v>8222733.34</v>
      </c>
      <c r="M626" s="19" t="n">
        <v>8793023.969999999</v>
      </c>
      <c r="N626" s="18" t="n">
        <v>2462</v>
      </c>
      <c r="O626" s="19" t="n">
        <v>263706</v>
      </c>
      <c r="P626" s="18" t="n">
        <v>309218</v>
      </c>
      <c r="Q626" s="19" t="n">
        <v>266727</v>
      </c>
      <c r="R626" s="18" t="n">
        <v>336403</v>
      </c>
      <c r="S626" s="20" t="n">
        <v>391593</v>
      </c>
      <c r="T626" s="6" t="n">
        <v>1</v>
      </c>
      <c r="U626" s="5" t="inlineStr">
        <is>
          <t>펌프 및 압축기 / -</t>
        </is>
      </c>
      <c r="V626" s="21">
        <f>HYPERLINK("https://dart.fss.or.kr/dsaf001/main.do?rcpNo=20260813001263", "공시열람")</f>
        <v/>
      </c>
    </row>
    <row r="627">
      <c r="A627" s="5" t="inlineStr">
        <is>
          <t>한솔제지</t>
        </is>
      </c>
      <c r="B627" s="6" t="inlineStr">
        <is>
          <t>213500</t>
        </is>
      </c>
      <c r="C627" s="6" t="inlineStr">
        <is>
          <t>2026Q2</t>
        </is>
      </c>
      <c r="D627" s="6" t="inlineStr">
        <is>
          <t>20260813</t>
        </is>
      </c>
      <c r="E627" s="16" t="n">
        <v>575053</v>
      </c>
      <c r="F627" s="16" t="n">
        <v>327879</v>
      </c>
      <c r="G627" s="16" t="n">
        <v>247174</v>
      </c>
      <c r="H627" s="6" t="inlineStr">
        <is>
          <t>백만원</t>
        </is>
      </c>
      <c r="I627" s="17" t="n">
        <v>9.800000000000001</v>
      </c>
      <c r="J627" s="18" t="n">
        <v>217440</v>
      </c>
      <c r="K627" s="19" t="n">
        <v>214253</v>
      </c>
      <c r="L627" s="18" t="n">
        <v>222835</v>
      </c>
      <c r="M627" s="19" t="n">
        <v>270449</v>
      </c>
      <c r="N627" s="18" t="n">
        <v>347172</v>
      </c>
      <c r="O627" s="19" t="n">
        <v>309523</v>
      </c>
      <c r="P627" s="18" t="n">
        <v>292405</v>
      </c>
      <c r="Q627" s="19" t="n">
        <v>246809</v>
      </c>
      <c r="R627" s="18" t="n">
        <v>225032</v>
      </c>
      <c r="S627" s="20" t="n">
        <v>247174</v>
      </c>
      <c r="T627" s="6" t="n">
        <v>16</v>
      </c>
      <c r="U627" s="5" t="inlineStr">
        <is>
          <t>에티오피아 관개사업 / 2023-12-20 / 2028 | 모잠비크 마푸토 매립장 / 2025-02-28 / 20 | 케냐 지능형 교통망 / 2024-12-05 / 2027</t>
        </is>
      </c>
      <c r="V627" s="21">
        <f>HYPERLINK("https://dart.fss.or.kr/dsaf001/main.do?rcpNo=20260813001710", "공시열람")</f>
        <v/>
      </c>
    </row>
    <row r="628">
      <c r="A628" s="5" t="inlineStr">
        <is>
          <t>아이쓰리시스템</t>
        </is>
      </c>
      <c r="B628" s="6" t="inlineStr">
        <is>
          <t>214430</t>
        </is>
      </c>
      <c r="C628" s="6" t="inlineStr">
        <is>
          <t>2026Q2</t>
        </is>
      </c>
      <c r="D628" s="6" t="inlineStr">
        <is>
          <t>20260813</t>
        </is>
      </c>
      <c r="E628" s="16" t="n">
        <v>455931</v>
      </c>
      <c r="F628" s="16" t="n">
        <v>359576</v>
      </c>
      <c r="G628" s="16" t="n">
        <v>96355</v>
      </c>
      <c r="H628" s="6" t="inlineStr">
        <is>
          <t>백만원</t>
        </is>
      </c>
      <c r="I628" s="17" t="n">
        <v>-11.9</v>
      </c>
      <c r="J628" s="18" t="n">
        <v>63981</v>
      </c>
      <c r="K628" s="19" t="n">
        <v>62078</v>
      </c>
      <c r="L628" s="18" t="n">
        <v>72822</v>
      </c>
      <c r="M628" s="19" t="n">
        <v>80834</v>
      </c>
      <c r="N628" s="18" t="n">
        <v>122969</v>
      </c>
      <c r="O628" s="19" t="n">
        <v>113230</v>
      </c>
      <c r="P628" s="18" t="n">
        <v>118585</v>
      </c>
      <c r="Q628" s="19" t="n">
        <v>119557</v>
      </c>
      <c r="R628" s="18" t="n">
        <v>109360</v>
      </c>
      <c r="S628" s="20" t="n">
        <v>96355</v>
      </c>
      <c r="T628" s="6" t="n">
        <v>18</v>
      </c>
      <c r="U628" s="5" t="inlineStr">
        <is>
          <t>보병용 중거리 유도무기(현궁) 3차 양산 / 2020- | K1E1 포수조준경 기술변경 KGPS Ⅱ형 / 2022 | 천검 소형 무장헬기 / 2023-09-15 / 2028</t>
        </is>
      </c>
      <c r="V628" s="21">
        <f>HYPERLINK("https://dart.fss.or.kr/dsaf001/main.do?rcpNo=20260813000390", "공시열람")</f>
        <v/>
      </c>
    </row>
    <row r="629">
      <c r="A629" s="5" t="inlineStr">
        <is>
          <t>솔디펜스</t>
        </is>
      </c>
      <c r="B629" s="6" t="inlineStr">
        <is>
          <t>215090</t>
        </is>
      </c>
      <c r="C629" s="6" t="inlineStr">
        <is>
          <t>2026Q2</t>
        </is>
      </c>
      <c r="D629" s="6" t="inlineStr">
        <is>
          <t>20260814</t>
        </is>
      </c>
      <c r="E629" s="16" t="n">
        <v>52388267</v>
      </c>
      <c r="F629" s="16" t="n">
        <v>15093502</v>
      </c>
      <c r="G629" s="16" t="n">
        <v>37294765</v>
      </c>
      <c r="H629" s="6" t="inlineStr">
        <is>
          <t>천원</t>
        </is>
      </c>
      <c r="I629" s="17" t="n">
        <v>-1</v>
      </c>
      <c r="J629" s="18" t="n">
        <v>30614392</v>
      </c>
      <c r="K629" s="19" t="n">
        <v>24226446</v>
      </c>
      <c r="L629" s="18" t="n">
        <v>31226459</v>
      </c>
      <c r="M629" s="19" t="n">
        <v>28759657</v>
      </c>
      <c r="N629" s="18" t="n">
        <v>25895253</v>
      </c>
      <c r="O629" s="19" t="n">
        <v>22696599</v>
      </c>
      <c r="P629" s="18" t="n">
        <v>32107443</v>
      </c>
      <c r="Q629" s="19" t="n">
        <v>33940394</v>
      </c>
      <c r="R629" s="18" t="n">
        <v>37686787</v>
      </c>
      <c r="S629" s="20" t="n">
        <v>37294765</v>
      </c>
      <c r="T629" s="6" t="n">
        <v>4</v>
      </c>
      <c r="U629" s="5" t="inlineStr">
        <is>
          <t>유도무기 / - | 항공전자 / - | 방산기타 / -</t>
        </is>
      </c>
      <c r="V629" s="21">
        <f>HYPERLINK("https://dart.fss.or.kr/dsaf001/main.do?rcpNo=20260814003515", "공시열람")</f>
        <v/>
      </c>
    </row>
    <row r="630">
      <c r="A630" s="5" t="inlineStr">
        <is>
          <t>콜마바이오텍</t>
        </is>
      </c>
      <c r="B630" s="6" t="inlineStr">
        <is>
          <t>215380</t>
        </is>
      </c>
      <c r="C630" s="6" t="inlineStr">
        <is>
          <t>2026Q2</t>
        </is>
      </c>
      <c r="D630" s="6" t="inlineStr">
        <is>
          <t>20260814</t>
        </is>
      </c>
      <c r="E630" s="16" t="n">
        <v>29206</v>
      </c>
      <c r="F630" s="16" t="n">
        <v>18796</v>
      </c>
      <c r="G630" s="16" t="n">
        <v>10410</v>
      </c>
      <c r="H630" s="6" t="inlineStr">
        <is>
          <t>백만원</t>
        </is>
      </c>
      <c r="I630" s="17" t="n">
        <v>-12.4</v>
      </c>
      <c r="J630" s="18" t="n">
        <v>17321</v>
      </c>
      <c r="K630" s="19" t="n">
        <v>10730</v>
      </c>
      <c r="L630" s="18" t="n">
        <v>10909</v>
      </c>
      <c r="M630" s="19" t="n">
        <v>15561</v>
      </c>
      <c r="N630" s="18" t="n">
        <v>11003</v>
      </c>
      <c r="O630" s="19" t="n">
        <v>13614</v>
      </c>
      <c r="P630" s="18" t="n">
        <v>14070</v>
      </c>
      <c r="Q630" s="19" t="n">
        <v>10995</v>
      </c>
      <c r="R630" s="18" t="n">
        <v>11881</v>
      </c>
      <c r="S630" s="20" t="n">
        <v>10410</v>
      </c>
      <c r="T630" s="6" t="n">
        <v>4</v>
      </c>
      <c r="U630" s="5" t="inlineStr">
        <is>
          <t>건축 및 장비 | 실험연구 및 대행 | 유지보수 및 멸균용역</t>
        </is>
      </c>
      <c r="V630" s="21">
        <f>HYPERLINK("https://dart.fss.or.kr/dsaf001/main.do?rcpNo=20260814002175", "공시열람")</f>
        <v/>
      </c>
    </row>
    <row r="631">
      <c r="A631" s="5" t="inlineStr">
        <is>
          <t>크로넥스</t>
        </is>
      </c>
      <c r="B631" s="6" t="inlineStr">
        <is>
          <t>215570</t>
        </is>
      </c>
      <c r="C631" s="6" t="inlineStr">
        <is>
          <t>2025Q4</t>
        </is>
      </c>
      <c r="D631" s="6" t="inlineStr">
        <is>
          <t>20260709</t>
        </is>
      </c>
      <c r="E631" s="16" t="n">
        <v>461300000</v>
      </c>
      <c r="F631" s="16" t="n">
        <v>224506234</v>
      </c>
      <c r="G631" s="16" t="n">
        <v>236793766</v>
      </c>
      <c r="H631" s="6" t="inlineStr">
        <is>
          <t>원</t>
        </is>
      </c>
      <c r="I631" s="17" t="n">
        <v>-43.4</v>
      </c>
      <c r="J631" s="18" t="inlineStr"/>
      <c r="K631" s="19" t="inlineStr"/>
      <c r="L631" s="18" t="inlineStr"/>
      <c r="M631" s="19" t="n">
        <v>418054812</v>
      </c>
      <c r="N631" s="18" t="inlineStr"/>
      <c r="O631" s="19" t="inlineStr"/>
      <c r="P631" s="18" t="inlineStr"/>
      <c r="Q631" s="19" t="n">
        <v>236793766</v>
      </c>
      <c r="R631" s="18" t="inlineStr"/>
      <c r="S631" s="20" t="inlineStr"/>
      <c r="T631" s="6" t="n">
        <v>4</v>
      </c>
      <c r="U631" s="5" t="inlineStr">
        <is>
          <t>용역매출 / 2025-12-04 / 2026-01-31 | 용역매출 / 2025-08-13 / 2026-01-07 | 용역매출 / 2025-12-15 / 2026-01-19</t>
        </is>
      </c>
      <c r="V631" s="21">
        <f>HYPERLINK("https://dart.fss.or.kr/dsaf001/main.do?rcpNo=20260709000504", "공시열람")</f>
        <v/>
      </c>
    </row>
    <row r="632">
      <c r="A632" s="5" t="inlineStr">
        <is>
          <t>인바이츠바이오코아</t>
        </is>
      </c>
      <c r="B632" s="6" t="inlineStr">
        <is>
          <t>216400</t>
        </is>
      </c>
      <c r="C632" s="6" t="inlineStr">
        <is>
          <t>2025Q4</t>
        </is>
      </c>
      <c r="D632" s="6" t="inlineStr">
        <is>
          <t>20260612</t>
        </is>
      </c>
      <c r="E632" s="16" t="n">
        <v>33647452</v>
      </c>
      <c r="F632" s="16" t="n">
        <v>24653698</v>
      </c>
      <c r="G632" s="16" t="n">
        <v>8993754</v>
      </c>
      <c r="H632" s="6" t="inlineStr">
        <is>
          <t>천원</t>
        </is>
      </c>
      <c r="I632" s="17" t="n">
        <v>2.5</v>
      </c>
      <c r="J632" s="18" t="inlineStr"/>
      <c r="K632" s="19" t="inlineStr"/>
      <c r="L632" s="18" t="inlineStr"/>
      <c r="M632" s="19" t="n">
        <v>8772680</v>
      </c>
      <c r="N632" s="18" t="inlineStr"/>
      <c r="O632" s="19" t="inlineStr"/>
      <c r="P632" s="18" t="inlineStr"/>
      <c r="Q632" s="19" t="n">
        <v>8993754</v>
      </c>
      <c r="R632" s="18" t="inlineStr"/>
      <c r="S632" s="20" t="inlineStr"/>
      <c r="T632" s="6" t="n">
        <v>3</v>
      </c>
      <c r="U632" s="5" t="inlineStr">
        <is>
          <t>임상시험 / 2025.12.31~ | 생동성시험 / 2025.12.31~ | 분석시험 / 2025.12.31~</t>
        </is>
      </c>
      <c r="V632" s="21">
        <f>HYPERLINK("https://dart.fss.or.kr/dsaf001/main.do?rcpNo=20260612000200", "공시열람")</f>
        <v/>
      </c>
    </row>
    <row r="633">
      <c r="A633" s="5" t="inlineStr">
        <is>
          <t>제너셈</t>
        </is>
      </c>
      <c r="B633" s="6" t="inlineStr">
        <is>
          <t>217190</t>
        </is>
      </c>
      <c r="C633" s="6" t="inlineStr">
        <is>
          <t>2026Q2</t>
        </is>
      </c>
      <c r="D633" s="6" t="inlineStr">
        <is>
          <t>20260813</t>
        </is>
      </c>
      <c r="E633" s="16" t="inlineStr"/>
      <c r="F633" s="16" t="inlineStr"/>
      <c r="G633" s="16" t="n">
        <v>74916</v>
      </c>
      <c r="H633" s="6" t="inlineStr">
        <is>
          <t>백만원</t>
        </is>
      </c>
      <c r="I633" s="17" t="n">
        <v>76.40000000000001</v>
      </c>
      <c r="J633" s="18" t="n">
        <v>42067</v>
      </c>
      <c r="K633" s="19" t="n">
        <v>26473</v>
      </c>
      <c r="L633" s="18" t="n">
        <v>23179</v>
      </c>
      <c r="M633" s="19" t="n">
        <v>22357</v>
      </c>
      <c r="N633" s="18" t="n">
        <v>41411</v>
      </c>
      <c r="O633" s="19" t="n">
        <v>29993</v>
      </c>
      <c r="P633" s="18" t="n">
        <v>21150</v>
      </c>
      <c r="Q633" s="19" t="n">
        <v>28650</v>
      </c>
      <c r="R633" s="18" t="n">
        <v>42460</v>
      </c>
      <c r="S633" s="20" t="n">
        <v>74916</v>
      </c>
      <c r="T633" s="6" t="n">
        <v>1</v>
      </c>
      <c r="U633" s="5" t="inlineStr">
        <is>
          <t>반도체 후공정 장비 외 / ~2026.06.30</t>
        </is>
      </c>
      <c r="V633" s="21">
        <f>HYPERLINK("https://dart.fss.or.kr/dsaf001/main.do?rcpNo=20260813000859", "공시열람")</f>
        <v/>
      </c>
    </row>
    <row r="634">
      <c r="A634" s="5" t="inlineStr">
        <is>
          <t>썬테크</t>
        </is>
      </c>
      <c r="B634" s="6" t="inlineStr">
        <is>
          <t>217320</t>
        </is>
      </c>
      <c r="C634" s="6" t="inlineStr">
        <is>
          <t>2024Q4</t>
        </is>
      </c>
      <c r="D634" s="6" t="inlineStr">
        <is>
          <t>20250317</t>
        </is>
      </c>
      <c r="E634" s="16" t="n">
        <v>14674</v>
      </c>
      <c r="F634" s="16" t="n">
        <v>4189</v>
      </c>
      <c r="G634" s="16" t="n">
        <v>10485</v>
      </c>
      <c r="H634" s="6" t="inlineStr">
        <is>
          <t>백만원</t>
        </is>
      </c>
      <c r="I634" s="17" t="n">
        <v>11.9</v>
      </c>
      <c r="J634" s="18" t="inlineStr"/>
      <c r="K634" s="19" t="inlineStr"/>
      <c r="L634" s="18" t="inlineStr"/>
      <c r="M634" s="19" t="n">
        <v>10485</v>
      </c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90</v>
      </c>
      <c r="U634" s="5" t="inlineStr">
        <is>
          <t>제품 / 2024.12.09 / 2026.04.30 | 제품 / 2024.08.08 / 2026.06.30 | 제품 / 2024.10.18 / 2025.10.31</t>
        </is>
      </c>
      <c r="V634" s="21">
        <f>HYPERLINK("https://dart.fss.or.kr/dsaf001/main.do?rcpNo=20250317000968", "공시열람")</f>
        <v/>
      </c>
    </row>
    <row r="635">
      <c r="A635" s="5" t="inlineStr">
        <is>
          <t>러셀</t>
        </is>
      </c>
      <c r="B635" s="6" t="inlineStr">
        <is>
          <t>217500</t>
        </is>
      </c>
      <c r="C635" s="6" t="inlineStr">
        <is>
          <t>2026Q2</t>
        </is>
      </c>
      <c r="D635" s="6" t="inlineStr">
        <is>
          <t>20260814</t>
        </is>
      </c>
      <c r="E635" s="16" t="n">
        <v>32346</v>
      </c>
      <c r="F635" s="16" t="n">
        <v>11216</v>
      </c>
      <c r="G635" s="16" t="n">
        <v>21130</v>
      </c>
      <c r="H635" s="6" t="inlineStr">
        <is>
          <t>백만원</t>
        </is>
      </c>
      <c r="I635" s="17" t="n">
        <v>15.7</v>
      </c>
      <c r="J635" s="18" t="n">
        <v>8391</v>
      </c>
      <c r="K635" s="19" t="n">
        <v>8525</v>
      </c>
      <c r="L635" s="18" t="n">
        <v>5888</v>
      </c>
      <c r="M635" s="19" t="n">
        <v>4856</v>
      </c>
      <c r="N635" s="18" t="n">
        <v>2490</v>
      </c>
      <c r="O635" s="19" t="n">
        <v>5525</v>
      </c>
      <c r="P635" s="18" t="n">
        <v>5528</v>
      </c>
      <c r="Q635" s="19" t="n">
        <v>6984</v>
      </c>
      <c r="R635" s="18" t="n">
        <v>18267</v>
      </c>
      <c r="S635" s="20" t="n">
        <v>21130</v>
      </c>
      <c r="T635" s="6" t="n">
        <v>1</v>
      </c>
      <c r="U635" s="5" t="inlineStr">
        <is>
          <t xml:space="preserve">반도체 Refurbish외 / ~2026.06.30. </t>
        </is>
      </c>
      <c r="V635" s="21">
        <f>HYPERLINK("https://dart.fss.or.kr/dsaf001/main.do?rcpNo=20260814002921", "공시열람")</f>
        <v/>
      </c>
    </row>
    <row r="636">
      <c r="A636" s="5" t="inlineStr">
        <is>
          <t>티엠씨</t>
        </is>
      </c>
      <c r="B636" s="6" t="inlineStr">
        <is>
          <t>217590</t>
        </is>
      </c>
      <c r="C636" s="6" t="inlineStr">
        <is>
          <t>2026Q2</t>
        </is>
      </c>
      <c r="D636" s="6" t="inlineStr">
        <is>
          <t>20260814</t>
        </is>
      </c>
      <c r="E636" s="16" t="n">
        <v>192096</v>
      </c>
      <c r="F636" s="16" t="inlineStr"/>
      <c r="G636" s="16" t="n">
        <v>169671</v>
      </c>
      <c r="H636" s="6" t="inlineStr">
        <is>
          <t>백만원</t>
        </is>
      </c>
      <c r="I636" s="17" t="n">
        <v>47.1</v>
      </c>
      <c r="J636" s="18" t="inlineStr"/>
      <c r="K636" s="19" t="inlineStr"/>
      <c r="L636" s="18" t="inlineStr"/>
      <c r="M636" s="19" t="inlineStr"/>
      <c r="N636" s="18" t="inlineStr"/>
      <c r="O636" s="19" t="inlineStr"/>
      <c r="P636" s="18" t="n">
        <v>77857</v>
      </c>
      <c r="Q636" s="19" t="n">
        <v>57601</v>
      </c>
      <c r="R636" s="18" t="n">
        <v>115321</v>
      </c>
      <c r="S636" s="20" t="n">
        <v>169671</v>
      </c>
      <c r="T636" s="6" t="n">
        <v>1</v>
      </c>
      <c r="U636" s="5" t="inlineStr">
        <is>
          <t>선박선 및 광 케이블</t>
        </is>
      </c>
      <c r="V636" s="21">
        <f>HYPERLINK("https://dart.fss.or.kr/dsaf001/main.do?rcpNo=20260814003281", "공시열람")</f>
        <v/>
      </c>
    </row>
    <row r="637">
      <c r="A637" s="5" t="inlineStr">
        <is>
          <t>강스템바이오텍</t>
        </is>
      </c>
      <c r="B637" s="6" t="inlineStr">
        <is>
          <t>217730</t>
        </is>
      </c>
      <c r="C637" s="6" t="inlineStr">
        <is>
          <t>2024Q1</t>
        </is>
      </c>
      <c r="D637" s="6" t="inlineStr">
        <is>
          <t>20240516</t>
        </is>
      </c>
      <c r="E637" s="16" t="n">
        <v>45473</v>
      </c>
      <c r="F637" s="16" t="n">
        <v>34658</v>
      </c>
      <c r="G637" s="16" t="n">
        <v>10815</v>
      </c>
      <c r="H637" s="6" t="inlineStr">
        <is>
          <t>백만원</t>
        </is>
      </c>
      <c r="I637" s="17" t="n">
        <v>-0.1</v>
      </c>
      <c r="J637" s="18" t="n">
        <v>10815</v>
      </c>
      <c r="K637" s="19" t="inlineStr"/>
      <c r="L637" s="18" t="inlineStr"/>
      <c r="M637" s="19" t="inlineStr"/>
      <c r="N637" s="18" t="inlineStr"/>
      <c r="O637" s="19" t="inlineStr"/>
      <c r="P637" s="18" t="inlineStr"/>
      <c r="Q637" s="19" t="inlineStr"/>
      <c r="R637" s="18" t="inlineStr"/>
      <c r="S637" s="20" t="inlineStr"/>
      <c r="T637" s="6" t="n">
        <v>1</v>
      </c>
      <c r="U637" s="5" t="inlineStr">
        <is>
          <t>비임상 사업부 / 용역매출</t>
        </is>
      </c>
      <c r="V637" s="21">
        <f>HYPERLINK("https://dart.fss.or.kr/dsaf001/main.do?rcpNo=20240516000984", "공시열람")</f>
        <v/>
      </c>
    </row>
    <row r="638">
      <c r="A638" s="5" t="inlineStr">
        <is>
          <t>틸론</t>
        </is>
      </c>
      <c r="B638" s="6" t="inlineStr">
        <is>
          <t>217880</t>
        </is>
      </c>
      <c r="C638" s="6" t="inlineStr">
        <is>
          <t>2024Q1</t>
        </is>
      </c>
      <c r="D638" s="6" t="inlineStr">
        <is>
          <t>20240510</t>
        </is>
      </c>
      <c r="E638" s="16" t="n">
        <v>11203</v>
      </c>
      <c r="F638" s="16" t="inlineStr"/>
      <c r="G638" s="16" t="n">
        <v>1483</v>
      </c>
      <c r="H638" s="6" t="inlineStr">
        <is>
          <t>백만원</t>
        </is>
      </c>
      <c r="I638" s="17" t="n">
        <v>-0.6</v>
      </c>
      <c r="J638" s="18" t="n">
        <v>1483</v>
      </c>
      <c r="K638" s="19" t="inlineStr"/>
      <c r="L638" s="18" t="inlineStr"/>
      <c r="M638" s="19" t="inlineStr"/>
      <c r="N638" s="18" t="inlineStr"/>
      <c r="O638" s="19" t="inlineStr"/>
      <c r="P638" s="18" t="inlineStr"/>
      <c r="Q638" s="19" t="inlineStr"/>
      <c r="R638" s="18" t="inlineStr"/>
      <c r="S638" s="20" t="inlineStr"/>
      <c r="T638" s="6" t="n">
        <v>2</v>
      </c>
      <c r="U638" s="5" t="inlineStr">
        <is>
          <t>구독형 | 유지보수형</t>
        </is>
      </c>
      <c r="V638" s="21">
        <f>HYPERLINK("https://dart.fss.or.kr/dsaf001/main.do?rcpNo=20240510000999", "공시열람")</f>
        <v/>
      </c>
    </row>
    <row r="639">
      <c r="A639" s="5" t="inlineStr">
        <is>
          <t>RFHIC</t>
        </is>
      </c>
      <c r="B639" s="6" t="inlineStr">
        <is>
          <t>218410</t>
        </is>
      </c>
      <c r="C639" s="6" t="inlineStr">
        <is>
          <t>2024Q3</t>
        </is>
      </c>
      <c r="D639" s="6" t="inlineStr">
        <is>
          <t>20241114</t>
        </is>
      </c>
      <c r="E639" s="16" t="inlineStr"/>
      <c r="F639" s="16" t="inlineStr"/>
      <c r="G639" s="16" t="n">
        <v>59416609</v>
      </c>
      <c r="H639" s="6" t="inlineStr">
        <is>
          <t>천원</t>
        </is>
      </c>
      <c r="I639" s="17" t="n">
        <v>-10.2</v>
      </c>
      <c r="J639" s="18" t="n">
        <v>36706921</v>
      </c>
      <c r="K639" s="19" t="n">
        <v>66197388</v>
      </c>
      <c r="L639" s="18" t="n">
        <v>59416609</v>
      </c>
      <c r="M639" s="19" t="inlineStr"/>
      <c r="N639" s="18" t="inlineStr"/>
      <c r="O639" s="19" t="inlineStr"/>
      <c r="P639" s="18" t="inlineStr"/>
      <c r="Q639" s="19" t="inlineStr"/>
      <c r="R639" s="18" t="inlineStr"/>
      <c r="S639" s="20" t="inlineStr"/>
      <c r="T639" s="6" t="n">
        <v>1</v>
      </c>
      <c r="U639" s="5" t="inlineStr">
        <is>
          <t>레이더용 GaN 전력증폭기</t>
        </is>
      </c>
      <c r="V639" s="21">
        <f>HYPERLINK("https://dart.fss.or.kr/dsaf001/main.do?rcpNo=20241114000956", "공시열람")</f>
        <v/>
      </c>
    </row>
    <row r="640">
      <c r="A640" s="5" t="inlineStr">
        <is>
          <t>링크제니시스</t>
        </is>
      </c>
      <c r="B640" s="6" t="inlineStr">
        <is>
          <t>219420</t>
        </is>
      </c>
      <c r="C640" s="6" t="inlineStr">
        <is>
          <t>2026Q2</t>
        </is>
      </c>
      <c r="D640" s="6" t="inlineStr">
        <is>
          <t>20260814</t>
        </is>
      </c>
      <c r="E640" s="16" t="n">
        <v>1348</v>
      </c>
      <c r="F640" s="16" t="n">
        <v>1340</v>
      </c>
      <c r="G640" s="16" t="n">
        <v>8</v>
      </c>
      <c r="H640" s="6" t="inlineStr">
        <is>
          <t>백만원</t>
        </is>
      </c>
      <c r="I640" s="17" t="inlineStr"/>
      <c r="J640" s="18" t="inlineStr"/>
      <c r="K640" s="19" t="inlineStr"/>
      <c r="L640" s="18" t="n">
        <v>686</v>
      </c>
      <c r="M640" s="19" t="n">
        <v>0</v>
      </c>
      <c r="N640" s="18" t="n">
        <v>440</v>
      </c>
      <c r="O640" s="19" t="n">
        <v>440</v>
      </c>
      <c r="P640" s="18" t="n">
        <v>445</v>
      </c>
      <c r="Q640" s="19" t="n">
        <v>0</v>
      </c>
      <c r="R640" s="18" t="inlineStr"/>
      <c r="S640" s="20" t="n">
        <v>8</v>
      </c>
      <c r="T640" s="6" t="n">
        <v>1</v>
      </c>
      <c r="U640" s="5" t="inlineStr">
        <is>
          <t>LG전자 PO용역(1~6월) / 2026.04.22 /</t>
        </is>
      </c>
      <c r="V640" s="21">
        <f>HYPERLINK("https://dart.fss.or.kr/dsaf001/main.do?rcpNo=20260814000566", "공시열람")</f>
        <v/>
      </c>
    </row>
    <row r="641">
      <c r="A641" s="5" t="inlineStr">
        <is>
          <t>퓨쳐켐</t>
        </is>
      </c>
      <c r="B641" s="6" t="inlineStr">
        <is>
          <t>220100</t>
        </is>
      </c>
      <c r="C641" s="6" t="inlineStr">
        <is>
          <t>2026Q2</t>
        </is>
      </c>
      <c r="D641" s="6" t="inlineStr">
        <is>
          <t>20260814</t>
        </is>
      </c>
      <c r="E641" s="16" t="n">
        <v>405460</v>
      </c>
      <c r="F641" s="16" t="n">
        <v>405460</v>
      </c>
      <c r="G641" s="16" t="n">
        <v>0</v>
      </c>
      <c r="H641" s="6" t="inlineStr">
        <is>
          <t>천원</t>
        </is>
      </c>
      <c r="I641" s="17" t="inlineStr"/>
      <c r="J641" s="18" t="n">
        <v>0</v>
      </c>
      <c r="K641" s="19" t="n">
        <v>850</v>
      </c>
      <c r="L641" s="18" t="n">
        <v>0</v>
      </c>
      <c r="M641" s="19" t="n">
        <v>0</v>
      </c>
      <c r="N641" s="18" t="n">
        <v>0</v>
      </c>
      <c r="O641" s="19" t="n">
        <v>0</v>
      </c>
      <c r="P641" s="18" t="n">
        <v>0</v>
      </c>
      <c r="Q641" s="19" t="n">
        <v>0</v>
      </c>
      <c r="R641" s="18" t="n">
        <v>0</v>
      </c>
      <c r="S641" s="20" t="n">
        <v>0</v>
      </c>
      <c r="T641" s="6" t="n">
        <v>3</v>
      </c>
      <c r="U641" s="5" t="inlineStr">
        <is>
          <t>퓨쳐켐헬스케어 / 2026.01.02 / 2026.03 | 카이바이오텍 / 2026.03.05 / 2026.06. | 기타</t>
        </is>
      </c>
      <c r="V641" s="21">
        <f>HYPERLINK("https://dart.fss.or.kr/dsaf001/main.do?rcpNo=20260814001204", "공시열람")</f>
        <v/>
      </c>
    </row>
    <row r="642">
      <c r="A642" s="5" t="inlineStr">
        <is>
          <t>핸디소프트</t>
        </is>
      </c>
      <c r="B642" s="6" t="inlineStr">
        <is>
          <t>220180</t>
        </is>
      </c>
      <c r="C642" s="6" t="inlineStr">
        <is>
          <t>2026Q2</t>
        </is>
      </c>
      <c r="D642" s="6" t="inlineStr">
        <is>
          <t>20260814</t>
        </is>
      </c>
      <c r="E642" s="16" t="n">
        <v>35211904</v>
      </c>
      <c r="F642" s="16" t="n">
        <v>10746709</v>
      </c>
      <c r="G642" s="16" t="n">
        <v>24465194</v>
      </c>
      <c r="H642" s="6" t="inlineStr">
        <is>
          <t>건,천원</t>
        </is>
      </c>
      <c r="I642" s="17" t="n">
        <v>10</v>
      </c>
      <c r="J642" s="18" t="n">
        <v>9807</v>
      </c>
      <c r="K642" s="19" t="n">
        <v>20190</v>
      </c>
      <c r="L642" s="18" t="n">
        <v>27176</v>
      </c>
      <c r="M642" s="19" t="n">
        <v>31639</v>
      </c>
      <c r="N642" s="18" t="n">
        <v>24785</v>
      </c>
      <c r="O642" s="19" t="n">
        <v>24205</v>
      </c>
      <c r="P642" s="18" t="n">
        <v>20949</v>
      </c>
      <c r="Q642" s="19" t="n">
        <v>25370</v>
      </c>
      <c r="R642" s="18" t="n">
        <v>22246253</v>
      </c>
      <c r="S642" s="20" t="n">
        <v>24465194</v>
      </c>
      <c r="T642" s="6" t="n">
        <v>2</v>
      </c>
      <c r="U642" s="5" t="inlineStr">
        <is>
          <t>소프트웨어사업부문 / 프로젝트 / 2026.06.30 | 소프트웨어사업부문 / 유지보수 / 2026.06.30</t>
        </is>
      </c>
      <c r="V642" s="21">
        <f>HYPERLINK("https://dart.fss.or.kr/dsaf001/main.do?rcpNo=20260814003834", "공시열람")</f>
        <v/>
      </c>
    </row>
    <row r="643">
      <c r="A643" s="5" t="inlineStr">
        <is>
          <t>지구홀딩스</t>
        </is>
      </c>
      <c r="B643" s="6" t="inlineStr">
        <is>
          <t>221800</t>
        </is>
      </c>
      <c r="C643" s="6" t="inlineStr">
        <is>
          <t>2026Q2</t>
        </is>
      </c>
      <c r="D643" s="6" t="inlineStr">
        <is>
          <t>20261001</t>
        </is>
      </c>
      <c r="E643" s="16" t="n">
        <v>18076695</v>
      </c>
      <c r="F643" s="16" t="n">
        <v>8642498</v>
      </c>
      <c r="G643" s="16" t="n">
        <v>9434197</v>
      </c>
      <c r="H643" s="6" t="inlineStr"/>
      <c r="I643" s="17" t="inlineStr"/>
      <c r="J643" s="18" t="inlineStr"/>
      <c r="K643" s="19" t="inlineStr"/>
      <c r="L643" s="18" t="inlineStr"/>
      <c r="M643" s="19" t="inlineStr"/>
      <c r="N643" s="18" t="inlineStr"/>
      <c r="O643" s="19" t="inlineStr"/>
      <c r="P643" s="18" t="inlineStr"/>
      <c r="Q643" s="19" t="inlineStr"/>
      <c r="R643" s="18" t="inlineStr"/>
      <c r="S643" s="20" t="n">
        <v>9434197</v>
      </c>
      <c r="T643" s="6" t="n">
        <v>59</v>
      </c>
      <c r="U643" s="5" t="inlineStr">
        <is>
          <t>임상54 / - | 임상3 | 임상57 / -</t>
        </is>
      </c>
      <c r="V643" s="21">
        <f>HYPERLINK("https://dart.fss.or.kr/dsaf001/main.do?rcpNo=20261001000155", "공시열람")</f>
        <v/>
      </c>
    </row>
    <row r="644">
      <c r="A644" s="5" t="inlineStr">
        <is>
          <t>하이즈항공</t>
        </is>
      </c>
      <c r="B644" s="6" t="inlineStr">
        <is>
          <t>221840</t>
        </is>
      </c>
      <c r="C644" s="6" t="inlineStr">
        <is>
          <t>2026Q2</t>
        </is>
      </c>
      <c r="D644" s="6" t="inlineStr">
        <is>
          <t>20260813</t>
        </is>
      </c>
      <c r="E644" s="16" t="n">
        <v>1759074</v>
      </c>
      <c r="F644" s="16" t="n">
        <v>575610</v>
      </c>
      <c r="G644" s="16" t="n">
        <v>1183464</v>
      </c>
      <c r="H644" s="6" t="inlineStr">
        <is>
          <t>백만원</t>
        </is>
      </c>
      <c r="I644" s="17" t="n">
        <v>2.2</v>
      </c>
      <c r="J644" s="18" t="n">
        <v>1131695</v>
      </c>
      <c r="K644" s="19" t="n">
        <v>1143199</v>
      </c>
      <c r="L644" s="18" t="n">
        <v>1116605</v>
      </c>
      <c r="M644" s="19" t="n">
        <v>1119912</v>
      </c>
      <c r="N644" s="18" t="n">
        <v>1140127</v>
      </c>
      <c r="O644" s="19" t="n">
        <v>1100188</v>
      </c>
      <c r="P644" s="18" t="n">
        <v>1076315</v>
      </c>
      <c r="Q644" s="19" t="n">
        <v>1162538</v>
      </c>
      <c r="R644" s="18" t="n">
        <v>1157968</v>
      </c>
      <c r="S644" s="20" t="n">
        <v>1183464</v>
      </c>
      <c r="T644" s="6" t="n">
        <v>2</v>
      </c>
      <c r="U644" s="5" t="inlineStr">
        <is>
          <t>조립 / - | 부품 / -</t>
        </is>
      </c>
      <c r="V644" s="21">
        <f>HYPERLINK("https://dart.fss.or.kr/dsaf001/main.do?rcpNo=20260813000891", "공시열람")</f>
        <v/>
      </c>
    </row>
    <row r="645">
      <c r="A645" s="5" t="inlineStr">
        <is>
          <t>SFA넥셀</t>
        </is>
      </c>
      <c r="B645" s="6" t="inlineStr">
        <is>
          <t>222080</t>
        </is>
      </c>
      <c r="C645" s="6" t="inlineStr">
        <is>
          <t>2026Q2</t>
        </is>
      </c>
      <c r="D645" s="6" t="inlineStr">
        <is>
          <t>20261013</t>
        </is>
      </c>
      <c r="E645" s="16" t="n">
        <v>30830301644</v>
      </c>
      <c r="F645" s="16" t="inlineStr"/>
      <c r="G645" s="16" t="n">
        <v>275070266501</v>
      </c>
      <c r="H645" s="6" t="inlineStr">
        <is>
          <t>원</t>
        </is>
      </c>
      <c r="I645" s="17" t="n">
        <v>-12.6</v>
      </c>
      <c r="J645" s="18" t="n">
        <v>879582723536</v>
      </c>
      <c r="K645" s="19" t="n">
        <v>861484499816</v>
      </c>
      <c r="L645" s="18" t="n">
        <v>593498709419</v>
      </c>
      <c r="M645" s="19" t="n">
        <v>578727566074</v>
      </c>
      <c r="N645" s="18" t="n">
        <v>499803876277</v>
      </c>
      <c r="O645" s="19" t="n">
        <v>370372106841</v>
      </c>
      <c r="P645" s="18" t="n">
        <v>315539623461</v>
      </c>
      <c r="Q645" s="19" t="n">
        <v>258638252519</v>
      </c>
      <c r="R645" s="18" t="n">
        <v>314657269846</v>
      </c>
      <c r="S645" s="20" t="n">
        <v>275070266501</v>
      </c>
      <c r="T645" s="6" t="n">
        <v>4</v>
      </c>
      <c r="U645" s="5" t="inlineStr">
        <is>
          <t>이차전지전극공정장비 등 / 국외 | 증착 및검사ㆍ측정장비 등 / 국외 | 이차전지전극공정장비 등 / 국내</t>
        </is>
      </c>
      <c r="V645" s="21">
        <f>HYPERLINK("https://dart.fss.or.kr/dsaf001/main.do?rcpNo=20261013000142", "공시열람")</f>
        <v/>
      </c>
    </row>
    <row r="646">
      <c r="A646" s="5" t="inlineStr">
        <is>
          <t>팬젠</t>
        </is>
      </c>
      <c r="B646" s="6" t="inlineStr">
        <is>
          <t>222110</t>
        </is>
      </c>
      <c r="C646" s="6" t="inlineStr">
        <is>
          <t>2026Q2</t>
        </is>
      </c>
      <c r="D646" s="6" t="inlineStr">
        <is>
          <t>20260813</t>
        </is>
      </c>
      <c r="E646" s="16" t="n">
        <v>15572618</v>
      </c>
      <c r="F646" s="16" t="n">
        <v>7869888</v>
      </c>
      <c r="G646" s="16" t="n">
        <v>7702730</v>
      </c>
      <c r="H646" s="6" t="inlineStr">
        <is>
          <t>천원,$</t>
        </is>
      </c>
      <c r="I646" s="17" t="n">
        <v>46.3</v>
      </c>
      <c r="J646" s="18" t="n">
        <v>2557174</v>
      </c>
      <c r="K646" s="19" t="n">
        <v>8104838</v>
      </c>
      <c r="L646" s="18" t="n">
        <v>7172031</v>
      </c>
      <c r="M646" s="19" t="n">
        <v>4703538</v>
      </c>
      <c r="N646" s="18" t="n">
        <v>4499182</v>
      </c>
      <c r="O646" s="19" t="n">
        <v>5311994</v>
      </c>
      <c r="P646" s="18" t="n">
        <v>4574962</v>
      </c>
      <c r="Q646" s="19" t="n">
        <v>4450667</v>
      </c>
      <c r="R646" s="18" t="n">
        <v>5265948</v>
      </c>
      <c r="S646" s="20" t="n">
        <v>7702730</v>
      </c>
      <c r="T646" s="6" t="n">
        <v>10</v>
      </c>
      <c r="U646" s="5" t="inlineStr">
        <is>
          <t>CDO / 26.06.22 / 28.12.31 | CMO / 26.04.15 / 26.07.30 | 시험용역 / 24.07.08 / 30.07.07</t>
        </is>
      </c>
      <c r="V646" s="21">
        <f>HYPERLINK("https://dart.fss.or.kr/dsaf001/main.do?rcpNo=20260813001197", "공시열람")</f>
        <v/>
      </c>
    </row>
    <row r="647">
      <c r="A647" s="5" t="inlineStr">
        <is>
          <t>NPX</t>
        </is>
      </c>
      <c r="B647" s="6" t="inlineStr">
        <is>
          <t>222160</t>
        </is>
      </c>
      <c r="C647" s="6" t="inlineStr">
        <is>
          <t>2026Q1</t>
        </is>
      </c>
      <c r="D647" s="6" t="inlineStr">
        <is>
          <t>20260515</t>
        </is>
      </c>
      <c r="E647" s="16" t="n">
        <v>53</v>
      </c>
      <c r="F647" s="16" t="inlineStr"/>
      <c r="G647" s="16" t="n">
        <v>53</v>
      </c>
      <c r="H647" s="6" t="inlineStr">
        <is>
          <t>대/억원</t>
        </is>
      </c>
      <c r="I647" s="17" t="n">
        <v>0</v>
      </c>
      <c r="J647" s="18" t="inlineStr"/>
      <c r="K647" s="19" t="inlineStr"/>
      <c r="L647" s="18" t="inlineStr"/>
      <c r="M647" s="19" t="inlineStr"/>
      <c r="N647" s="18" t="inlineStr"/>
      <c r="O647" s="19" t="inlineStr"/>
      <c r="P647" s="18" t="n">
        <v>3.4</v>
      </c>
      <c r="Q647" s="19" t="n">
        <v>53</v>
      </c>
      <c r="R647" s="18" t="n">
        <v>53</v>
      </c>
      <c r="S647" s="20" t="inlineStr"/>
      <c r="T647" s="6" t="n">
        <v>2</v>
      </c>
      <c r="U647" s="5" t="inlineStr">
        <is>
          <t>반도체기판 전기검사기 | 반도체기판 전기검사기</t>
        </is>
      </c>
      <c r="V647" s="21">
        <f>HYPERLINK("https://dart.fss.or.kr/dsaf001/main.do?rcpNo=20260515001601", "공시열람")</f>
        <v/>
      </c>
    </row>
    <row r="648">
      <c r="A648" s="5" t="inlineStr">
        <is>
          <t>쎄노텍</t>
        </is>
      </c>
      <c r="B648" s="6" t="inlineStr">
        <is>
          <t>222420</t>
        </is>
      </c>
      <c r="C648" s="6" t="inlineStr">
        <is>
          <t>2026Q2</t>
        </is>
      </c>
      <c r="D648" s="6" t="inlineStr">
        <is>
          <t>20261012</t>
        </is>
      </c>
      <c r="E648" s="16" t="n">
        <v>24165347</v>
      </c>
      <c r="F648" s="16" t="n">
        <v>15751360</v>
      </c>
      <c r="G648" s="16" t="n">
        <v>8413987</v>
      </c>
      <c r="H648" s="6" t="inlineStr">
        <is>
          <t>톤,USD</t>
        </is>
      </c>
      <c r="I648" s="17" t="n">
        <v>101.7</v>
      </c>
      <c r="J648" s="18" t="n">
        <v>4349493</v>
      </c>
      <c r="K648" s="19" t="n">
        <v>5246723</v>
      </c>
      <c r="L648" s="18" t="n">
        <v>5973493</v>
      </c>
      <c r="M648" s="19" t="n">
        <v>5911328</v>
      </c>
      <c r="N648" s="18" t="n">
        <v>1843996</v>
      </c>
      <c r="O648" s="19" t="n">
        <v>2107367</v>
      </c>
      <c r="P648" s="18" t="n">
        <v>1736150</v>
      </c>
      <c r="Q648" s="19" t="n">
        <v>3928292</v>
      </c>
      <c r="R648" s="18" t="n">
        <v>4172399</v>
      </c>
      <c r="S648" s="20" t="n">
        <v>8413987</v>
      </c>
      <c r="T648" s="6" t="n">
        <v>6</v>
      </c>
      <c r="U648" s="5" t="inlineStr">
        <is>
          <t>세라믹 비드 / 광산용 및 제지/잉크 등 / 2025- | 이차전지 첨가제 / 2026-01-08 | 플럭스 / 2026-01-08</t>
        </is>
      </c>
      <c r="V648" s="21">
        <f>HYPERLINK("https://dart.fss.or.kr/dsaf001/main.do?rcpNo=20261012000086", "공시열람")</f>
        <v/>
      </c>
    </row>
    <row r="649">
      <c r="A649" s="5" t="inlineStr">
        <is>
          <t>심텍</t>
        </is>
      </c>
      <c r="B649" s="6" t="inlineStr">
        <is>
          <t>222800</t>
        </is>
      </c>
      <c r="C649" s="6" t="inlineStr">
        <is>
          <t>2026Q2</t>
        </is>
      </c>
      <c r="D649" s="6" t="inlineStr">
        <is>
          <t>20260813</t>
        </is>
      </c>
      <c r="E649" s="16" t="n">
        <v>998848</v>
      </c>
      <c r="F649" s="16" t="n">
        <v>606493</v>
      </c>
      <c r="G649" s="16" t="n">
        <v>392355</v>
      </c>
      <c r="H649" s="6" t="inlineStr">
        <is>
          <t>㎡,천USD</t>
        </is>
      </c>
      <c r="I649" s="17" t="n">
        <v>18.7</v>
      </c>
      <c r="J649" s="18" t="n">
        <v>273020</v>
      </c>
      <c r="K649" s="19" t="n">
        <v>140227</v>
      </c>
      <c r="L649" s="18" t="n">
        <v>130125</v>
      </c>
      <c r="M649" s="19" t="n">
        <v>136721</v>
      </c>
      <c r="N649" s="18" t="n">
        <v>118259</v>
      </c>
      <c r="O649" s="19" t="n">
        <v>191263</v>
      </c>
      <c r="P649" s="18" t="n">
        <v>261706</v>
      </c>
      <c r="Q649" s="19" t="n">
        <v>294564</v>
      </c>
      <c r="R649" s="18" t="n">
        <v>330609</v>
      </c>
      <c r="S649" s="20" t="n">
        <v>392355</v>
      </c>
      <c r="T649" s="6" t="n">
        <v>1</v>
      </c>
      <c r="U649" s="5" t="inlineStr">
        <is>
          <t>인쇄회로기판 / 2026.01 ~ 2026.06 / -</t>
        </is>
      </c>
      <c r="V649" s="21">
        <f>HYPERLINK("https://dart.fss.or.kr/dsaf001/main.do?rcpNo=20260813001430", "공시열람")</f>
        <v/>
      </c>
    </row>
    <row r="650">
      <c r="A650" s="5" t="inlineStr">
        <is>
          <t>드림씨아이에스</t>
        </is>
      </c>
      <c r="B650" s="6" t="inlineStr">
        <is>
          <t>223250</t>
        </is>
      </c>
      <c r="C650" s="6" t="inlineStr">
        <is>
          <t>2026Q2</t>
        </is>
      </c>
      <c r="D650" s="6" t="inlineStr">
        <is>
          <t>20260813</t>
        </is>
      </c>
      <c r="E650" s="16" t="n">
        <v>36086726</v>
      </c>
      <c r="F650" s="16" t="inlineStr"/>
      <c r="G650" s="16" t="n">
        <v>251491876</v>
      </c>
      <c r="H650" s="6" t="inlineStr">
        <is>
          <t>천원</t>
        </is>
      </c>
      <c r="I650" s="17" t="n">
        <v>3.6</v>
      </c>
      <c r="J650" s="18" t="n">
        <v>160580539</v>
      </c>
      <c r="K650" s="19" t="n">
        <v>173048794</v>
      </c>
      <c r="L650" s="18" t="n">
        <v>179923823</v>
      </c>
      <c r="M650" s="19" t="n">
        <v>207552658</v>
      </c>
      <c r="N650" s="18" t="n">
        <v>202005742</v>
      </c>
      <c r="O650" s="19" t="n">
        <v>205979766</v>
      </c>
      <c r="P650" s="18" t="n">
        <v>218306863</v>
      </c>
      <c r="Q650" s="19" t="n">
        <v>247112303</v>
      </c>
      <c r="R650" s="18" t="n">
        <v>242848397</v>
      </c>
      <c r="S650" s="20" t="n">
        <v>251491876</v>
      </c>
      <c r="T650" s="6" t="n">
        <v>0</v>
      </c>
      <c r="U650" s="5" t="inlineStr"/>
      <c r="V650" s="21">
        <f>HYPERLINK("https://dart.fss.or.kr/dsaf001/main.do?rcpNo=20260813001135", "공시열람")</f>
        <v/>
      </c>
    </row>
    <row r="651">
      <c r="A651" s="5" t="inlineStr">
        <is>
          <t>더코디</t>
        </is>
      </c>
      <c r="B651" s="6" t="inlineStr">
        <is>
          <t>224060</t>
        </is>
      </c>
      <c r="C651" s="6" t="inlineStr">
        <is>
          <t>2026Q2</t>
        </is>
      </c>
      <c r="D651" s="6" t="inlineStr">
        <is>
          <t>20260814</t>
        </is>
      </c>
      <c r="E651" s="16" t="n">
        <v>12071</v>
      </c>
      <c r="F651" s="16" t="n">
        <v>7858</v>
      </c>
      <c r="G651" s="16" t="n">
        <v>4213</v>
      </c>
      <c r="H651" s="6" t="inlineStr">
        <is>
          <t>백만원</t>
        </is>
      </c>
      <c r="I651" s="17" t="n">
        <v>-3.7</v>
      </c>
      <c r="J651" s="18" t="n">
        <v>1579</v>
      </c>
      <c r="K651" s="19" t="n">
        <v>2283</v>
      </c>
      <c r="L651" s="18" t="n">
        <v>2628</v>
      </c>
      <c r="M651" s="19" t="n">
        <v>1782</v>
      </c>
      <c r="N651" s="18" t="n">
        <v>5615</v>
      </c>
      <c r="O651" s="19" t="n">
        <v>3453</v>
      </c>
      <c r="P651" s="18" t="n">
        <v>4260</v>
      </c>
      <c r="Q651" s="19" t="n">
        <v>4836</v>
      </c>
      <c r="R651" s="18" t="n">
        <v>4376</v>
      </c>
      <c r="S651" s="20" t="n">
        <v>4213</v>
      </c>
      <c r="T651" s="6" t="n">
        <v>1</v>
      </c>
      <c r="U651" s="5" t="inlineStr">
        <is>
          <t>전자부품 / 2026년 2분기 / -</t>
        </is>
      </c>
      <c r="V651" s="21">
        <f>HYPERLINK("https://dart.fss.or.kr/dsaf001/main.do?rcpNo=20260814002189", "공시열람")</f>
        <v/>
      </c>
    </row>
    <row r="652">
      <c r="A652" s="5" t="inlineStr">
        <is>
          <t>엔에스컴퍼니</t>
        </is>
      </c>
      <c r="B652" s="6" t="inlineStr">
        <is>
          <t>224760</t>
        </is>
      </c>
      <c r="C652" s="6" t="inlineStr">
        <is>
          <t>2023Q4</t>
        </is>
      </c>
      <c r="D652" s="6" t="inlineStr">
        <is>
          <t>20240321</t>
        </is>
      </c>
      <c r="E652" s="16" t="n">
        <v>198558319367</v>
      </c>
      <c r="F652" s="16" t="n">
        <v>108229395773</v>
      </c>
      <c r="G652" s="16" t="n">
        <v>90328893594</v>
      </c>
      <c r="H652" s="6" t="inlineStr"/>
      <c r="I652" s="17" t="inlineStr"/>
      <c r="J652" s="18" t="inlineStr"/>
      <c r="K652" s="19" t="inlineStr"/>
      <c r="L652" s="18" t="inlineStr"/>
      <c r="M652" s="19" t="inlineStr"/>
      <c r="N652" s="18" t="inlineStr"/>
      <c r="O652" s="19" t="inlineStr"/>
      <c r="P652" s="18" t="inlineStr"/>
      <c r="Q652" s="19" t="inlineStr"/>
      <c r="R652" s="18" t="inlineStr"/>
      <c r="S652" s="20" t="inlineStr"/>
      <c r="T652" s="6" t="n">
        <v>25</v>
      </c>
      <c r="U652" s="5" t="inlineStr">
        <is>
          <t>당진기지 LNG탱크 건설공사(1,4호기 탱크 본체 기계 | 배관공사(배관 및 소방설비공사) 및 기계공사(Liner | 1,4호기 보온보냉공사</t>
        </is>
      </c>
      <c r="V652" s="21">
        <f>HYPERLINK("https://dart.fss.or.kr/dsaf001/main.do?rcpNo=20240321000764", "공시열람")</f>
        <v/>
      </c>
    </row>
    <row r="653">
      <c r="A653" s="5" t="inlineStr">
        <is>
          <t>엄지하우스</t>
        </is>
      </c>
      <c r="B653" s="6" t="inlineStr">
        <is>
          <t>224810</t>
        </is>
      </c>
      <c r="C653" s="6" t="inlineStr">
        <is>
          <t>2025Q4</t>
        </is>
      </c>
      <c r="D653" s="6" t="inlineStr">
        <is>
          <t>20260323</t>
        </is>
      </c>
      <c r="E653" s="16" t="inlineStr"/>
      <c r="F653" s="16" t="inlineStr"/>
      <c r="G653" s="16" t="n">
        <v>39731310</v>
      </c>
      <c r="H653" s="6" t="inlineStr">
        <is>
          <t>천원</t>
        </is>
      </c>
      <c r="I653" s="17" t="n">
        <v>-26.6</v>
      </c>
      <c r="J653" s="18" t="inlineStr"/>
      <c r="K653" s="19" t="inlineStr"/>
      <c r="L653" s="18" t="inlineStr"/>
      <c r="M653" s="19" t="n">
        <v>54113100</v>
      </c>
      <c r="N653" s="18" t="inlineStr"/>
      <c r="O653" s="19" t="inlineStr"/>
      <c r="P653" s="18" t="inlineStr"/>
      <c r="Q653" s="19" t="n">
        <v>39731310</v>
      </c>
      <c r="R653" s="18" t="inlineStr"/>
      <c r="S653" s="20" t="inlineStr"/>
      <c r="T653" s="6" t="n">
        <v>4</v>
      </c>
      <c r="U653" s="5" t="inlineStr">
        <is>
          <t>C 공용부 시설 / 2025.07.08 / 2026.0 | D 사옥 / 2025.09.08 / 2026.04.30 | A 리조트 / 2025.01.15 / 2026.05.1</t>
        </is>
      </c>
      <c r="V653" s="21">
        <f>HYPERLINK("https://dart.fss.or.kr/dsaf001/main.do?rcpNo=20260323001051", "공시열람")</f>
        <v/>
      </c>
    </row>
    <row r="654">
      <c r="A654" s="5" t="inlineStr">
        <is>
          <t>제놀루션</t>
        </is>
      </c>
      <c r="B654" s="6" t="inlineStr">
        <is>
          <t>225220</t>
        </is>
      </c>
      <c r="C654" s="6" t="inlineStr">
        <is>
          <t>2025Q3</t>
        </is>
      </c>
      <c r="D654" s="6" t="inlineStr">
        <is>
          <t>20251114</t>
        </is>
      </c>
      <c r="E654" s="16" t="inlineStr"/>
      <c r="F654" s="16" t="n">
        <v>7131</v>
      </c>
      <c r="G654" s="16" t="n">
        <v>2193</v>
      </c>
      <c r="H654" s="6" t="inlineStr">
        <is>
          <t>kit,대</t>
        </is>
      </c>
      <c r="I654" s="17" t="n">
        <v>62.7</v>
      </c>
      <c r="J654" s="18" t="n">
        <v>7415</v>
      </c>
      <c r="K654" s="19" t="n">
        <v>1089</v>
      </c>
      <c r="L654" s="18" t="n">
        <v>7144</v>
      </c>
      <c r="M654" s="19" t="n">
        <v>1197</v>
      </c>
      <c r="N654" s="18" t="n">
        <v>878</v>
      </c>
      <c r="O654" s="19" t="n">
        <v>1348</v>
      </c>
      <c r="P654" s="18" t="n">
        <v>2193</v>
      </c>
      <c r="Q654" s="19" t="inlineStr"/>
      <c r="R654" s="18" t="inlineStr"/>
      <c r="S654" s="20" t="inlineStr"/>
      <c r="T654" s="6" t="n">
        <v>1</v>
      </c>
      <c r="U654" s="5" t="inlineStr">
        <is>
          <t>핵산추출시약</t>
        </is>
      </c>
      <c r="V654" s="21">
        <f>HYPERLINK("https://dart.fss.or.kr/dsaf001/main.do?rcpNo=20251114002436", "공시열람")</f>
        <v/>
      </c>
    </row>
    <row r="655">
      <c r="A655" s="5" t="inlineStr">
        <is>
          <t>신테카바이오</t>
        </is>
      </c>
      <c r="B655" s="6" t="inlineStr">
        <is>
          <t>226330</t>
        </is>
      </c>
      <c r="C655" s="6" t="inlineStr">
        <is>
          <t>2026Q2</t>
        </is>
      </c>
      <c r="D655" s="6" t="inlineStr">
        <is>
          <t>20260814</t>
        </is>
      </c>
      <c r="E655" s="16" t="n">
        <v>1061</v>
      </c>
      <c r="F655" s="16" t="n">
        <v>262</v>
      </c>
      <c r="G655" s="16" t="n">
        <v>799</v>
      </c>
      <c r="H655" s="6" t="inlineStr">
        <is>
          <t>백만원</t>
        </is>
      </c>
      <c r="I655" s="17" t="n">
        <v>14.5</v>
      </c>
      <c r="J655" s="18" t="n">
        <v>1000</v>
      </c>
      <c r="K655" s="19" t="n">
        <v>1000</v>
      </c>
      <c r="L655" s="18" t="n">
        <v>1000</v>
      </c>
      <c r="M655" s="19" t="n">
        <v>1000</v>
      </c>
      <c r="N655" s="18" t="n">
        <v>645</v>
      </c>
      <c r="O655" s="19" t="n">
        <v>618</v>
      </c>
      <c r="P655" s="18" t="n">
        <v>591</v>
      </c>
      <c r="Q655" s="19" t="n">
        <v>799</v>
      </c>
      <c r="R655" s="18" t="n">
        <v>698</v>
      </c>
      <c r="S655" s="20" t="n">
        <v>799</v>
      </c>
      <c r="T655" s="6" t="n">
        <v>3</v>
      </c>
      <c r="U655" s="5" t="inlineStr">
        <is>
          <t>DeepMatcher 플랫폼 서비스 / 2024-12- | IDC 서비스 / 2024-11-27 / 2026-12 | IDC 서비스 / 2025-09-01 / 2026-08</t>
        </is>
      </c>
      <c r="V655" s="21">
        <f>HYPERLINK("https://dart.fss.or.kr/dsaf001/main.do?rcpNo=20260814004304", "공시열람")</f>
        <v/>
      </c>
    </row>
    <row r="656">
      <c r="A656" s="5" t="inlineStr">
        <is>
          <t>본느</t>
        </is>
      </c>
      <c r="B656" s="6" t="inlineStr">
        <is>
          <t>226340</t>
        </is>
      </c>
      <c r="C656" s="6" t="inlineStr">
        <is>
          <t>2026Q2</t>
        </is>
      </c>
      <c r="D656" s="6" t="inlineStr">
        <is>
          <t>20261007</t>
        </is>
      </c>
      <c r="E656" s="16" t="n">
        <v>7486688.26</v>
      </c>
      <c r="F656" s="16" t="inlineStr"/>
      <c r="G656" s="16" t="n">
        <v>6780514.42</v>
      </c>
      <c r="H656" s="6" t="inlineStr"/>
      <c r="I656" s="17" t="n">
        <v>-25</v>
      </c>
      <c r="J656" s="18" t="n">
        <v>16095768.77</v>
      </c>
      <c r="K656" s="19" t="n">
        <v>12579670.55</v>
      </c>
      <c r="L656" s="18" t="n">
        <v>13174852104</v>
      </c>
      <c r="M656" s="19" t="n">
        <v>9469757.17</v>
      </c>
      <c r="N656" s="18" t="n">
        <v>12422303518</v>
      </c>
      <c r="O656" s="19" t="n">
        <v>9321569237</v>
      </c>
      <c r="P656" s="18" t="n">
        <v>13211439893</v>
      </c>
      <c r="Q656" s="19" t="n">
        <v>13435653520</v>
      </c>
      <c r="R656" s="18" t="n">
        <v>9046289.17</v>
      </c>
      <c r="S656" s="20" t="n">
        <v>6780514.42</v>
      </c>
      <c r="T656" s="6" t="n">
        <v>16</v>
      </c>
      <c r="U656" s="5" t="inlineStr">
        <is>
          <t>원화환산금액 | 미국 / 기초 및 색조 화장품 / 2025.10~202 | 영국 / 기초 및 색조 화장품 / 2025.10~202</t>
        </is>
      </c>
      <c r="V656" s="21">
        <f>HYPERLINK("https://dart.fss.or.kr/dsaf001/main.do?rcpNo=20261007000362", "공시열람")</f>
        <v/>
      </c>
    </row>
    <row r="657">
      <c r="A657" s="5" t="inlineStr">
        <is>
          <t>LS에코에너지</t>
        </is>
      </c>
      <c r="B657" s="6" t="inlineStr">
        <is>
          <t>229640</t>
        </is>
      </c>
      <c r="C657" s="6" t="inlineStr">
        <is>
          <t>2026Q2</t>
        </is>
      </c>
      <c r="D657" s="6" t="inlineStr">
        <is>
          <t>20260814</t>
        </is>
      </c>
      <c r="E657" s="16" t="n">
        <v>1047999</v>
      </c>
      <c r="F657" s="16" t="inlineStr"/>
      <c r="G657" s="16" t="n">
        <v>245548</v>
      </c>
      <c r="H657" s="6" t="inlineStr">
        <is>
          <t>백만원</t>
        </is>
      </c>
      <c r="I657" s="17" t="n">
        <v>77.3</v>
      </c>
      <c r="J657" s="18" t="n">
        <v>213976</v>
      </c>
      <c r="K657" s="19" t="n">
        <v>215502</v>
      </c>
      <c r="L657" s="18" t="n">
        <v>210156</v>
      </c>
      <c r="M657" s="19" t="n">
        <v>182672</v>
      </c>
      <c r="N657" s="18" t="n">
        <v>194346</v>
      </c>
      <c r="O657" s="19" t="n">
        <v>219550</v>
      </c>
      <c r="P657" s="18" t="n">
        <v>164061</v>
      </c>
      <c r="Q657" s="19" t="n">
        <v>196201</v>
      </c>
      <c r="R657" s="18" t="n">
        <v>138465</v>
      </c>
      <c r="S657" s="20" t="n">
        <v>245548</v>
      </c>
      <c r="T657" s="6" t="n">
        <v>2</v>
      </c>
      <c r="U657" s="5" t="inlineStr">
        <is>
          <t>LS-VINA Cable &amp; System Joint S | LS Cable &amp; System Vietnam Co.,</t>
        </is>
      </c>
      <c r="V657" s="21">
        <f>HYPERLINK("https://dart.fss.or.kr/dsaf001/main.do?rcpNo=20260814002014", "공시열람")</f>
        <v/>
      </c>
    </row>
    <row r="658">
      <c r="A658" s="5" t="inlineStr">
        <is>
          <t>에치에프알</t>
        </is>
      </c>
      <c r="B658" s="6" t="inlineStr">
        <is>
          <t>230240</t>
        </is>
      </c>
      <c r="C658" s="6" t="inlineStr">
        <is>
          <t>2026Q2</t>
        </is>
      </c>
      <c r="D658" s="6" t="inlineStr">
        <is>
          <t>20260814</t>
        </is>
      </c>
      <c r="E658" s="16" t="n">
        <v>9725</v>
      </c>
      <c r="F658" s="16" t="n">
        <v>14177</v>
      </c>
      <c r="G658" s="16" t="n">
        <v>30456</v>
      </c>
      <c r="H658" s="6" t="inlineStr">
        <is>
          <t>백만원</t>
        </is>
      </c>
      <c r="I658" s="17" t="n">
        <v>1838.6</v>
      </c>
      <c r="J658" s="18" t="n">
        <v>19350</v>
      </c>
      <c r="K658" s="19" t="n">
        <v>9116</v>
      </c>
      <c r="L658" s="18" t="n">
        <v>7066</v>
      </c>
      <c r="M658" s="19" t="n">
        <v>10130</v>
      </c>
      <c r="N658" s="18" t="n">
        <v>19577</v>
      </c>
      <c r="O658" s="19" t="n">
        <v>20613</v>
      </c>
      <c r="P658" s="18" t="n">
        <v>24440</v>
      </c>
      <c r="Q658" s="19" t="n">
        <v>2469</v>
      </c>
      <c r="R658" s="18" t="n">
        <v>1571</v>
      </c>
      <c r="S658" s="20" t="n">
        <v>30456</v>
      </c>
      <c r="T658" s="6" t="n">
        <v>2</v>
      </c>
      <c r="U658" s="5" t="inlineStr">
        <is>
          <t>제품 및 솔루션(국내) | 제품 및 솔루션(해외)</t>
        </is>
      </c>
      <c r="V658" s="21">
        <f>HYPERLINK("https://dart.fss.or.kr/dsaf001/main.do?rcpNo=20260814002714", "공시열람")</f>
        <v/>
      </c>
    </row>
    <row r="659">
      <c r="A659" s="5" t="inlineStr">
        <is>
          <t>와이씨</t>
        </is>
      </c>
      <c r="B659" s="6" t="inlineStr">
        <is>
          <t>232140</t>
        </is>
      </c>
      <c r="C659" s="6" t="inlineStr">
        <is>
          <t>2026Q2</t>
        </is>
      </c>
      <c r="D659" s="6" t="inlineStr">
        <is>
          <t>20260814</t>
        </is>
      </c>
      <c r="E659" s="16" t="n">
        <v>243660</v>
      </c>
      <c r="F659" s="16" t="n">
        <v>29450</v>
      </c>
      <c r="G659" s="16" t="n">
        <v>214210</v>
      </c>
      <c r="H659" s="6" t="inlineStr">
        <is>
          <t>백만원</t>
        </is>
      </c>
      <c r="I659" s="17" t="n">
        <v>214.1</v>
      </c>
      <c r="J659" s="18" t="n">
        <v>75888</v>
      </c>
      <c r="K659" s="19" t="n">
        <v>40176</v>
      </c>
      <c r="L659" s="18" t="n">
        <v>119556</v>
      </c>
      <c r="M659" s="19" t="inlineStr"/>
      <c r="N659" s="18" t="inlineStr"/>
      <c r="O659" s="19" t="inlineStr"/>
      <c r="P659" s="18" t="inlineStr"/>
      <c r="Q659" s="19" t="n">
        <v>68200</v>
      </c>
      <c r="R659" s="18" t="inlineStr"/>
      <c r="S659" s="20" t="n">
        <v>214210</v>
      </c>
      <c r="T659" s="6" t="n">
        <v>1</v>
      </c>
      <c r="U659" s="5" t="inlineStr">
        <is>
          <t>Memory Tester / 2025-06-16 / 2</t>
        </is>
      </c>
      <c r="V659" s="21">
        <f>HYPERLINK("https://dart.fss.or.kr/dsaf001/main.do?rcpNo=20260814001745", "공시열람")</f>
        <v/>
      </c>
    </row>
    <row r="660">
      <c r="A660" s="5" t="inlineStr">
        <is>
          <t>라온로보틱스</t>
        </is>
      </c>
      <c r="B660" s="6" t="inlineStr">
        <is>
          <t>232680</t>
        </is>
      </c>
      <c r="C660" s="6" t="inlineStr">
        <is>
          <t>2026Q2</t>
        </is>
      </c>
      <c r="D660" s="6" t="inlineStr">
        <is>
          <t>20260813</t>
        </is>
      </c>
      <c r="E660" s="16" t="n">
        <v>81498</v>
      </c>
      <c r="F660" s="16" t="n">
        <v>29146</v>
      </c>
      <c r="G660" s="16" t="n">
        <v>52352</v>
      </c>
      <c r="H660" s="6" t="inlineStr">
        <is>
          <t>백만원</t>
        </is>
      </c>
      <c r="I660" s="17" t="n">
        <v>78.5</v>
      </c>
      <c r="J660" s="18" t="n">
        <v>15636</v>
      </c>
      <c r="K660" s="19" t="n">
        <v>16868</v>
      </c>
      <c r="L660" s="18" t="n">
        <v>23497</v>
      </c>
      <c r="M660" s="19" t="n">
        <v>17694</v>
      </c>
      <c r="N660" s="18" t="n">
        <v>18151</v>
      </c>
      <c r="O660" s="19" t="n">
        <v>14453</v>
      </c>
      <c r="P660" s="18" t="n">
        <v>16402</v>
      </c>
      <c r="Q660" s="19" t="n">
        <v>14815</v>
      </c>
      <c r="R660" s="18" t="n">
        <v>29322</v>
      </c>
      <c r="S660" s="20" t="n">
        <v>52352</v>
      </c>
      <c r="T660" s="6" t="n">
        <v>1</v>
      </c>
      <c r="U660" s="5" t="inlineStr">
        <is>
          <t xml:space="preserve">반도체 웨이퍼 이송모듈 외 / 2026.06.30까지 </t>
        </is>
      </c>
      <c r="V660" s="21">
        <f>HYPERLINK("https://dart.fss.or.kr/dsaf001/main.do?rcpNo=20260813000995", "공시열람")</f>
        <v/>
      </c>
    </row>
    <row r="661">
      <c r="A661" s="5" t="inlineStr">
        <is>
          <t>아이티센피엔에스</t>
        </is>
      </c>
      <c r="B661" s="6" t="inlineStr">
        <is>
          <t>232830</t>
        </is>
      </c>
      <c r="C661" s="6" t="inlineStr">
        <is>
          <t>2026Q2</t>
        </is>
      </c>
      <c r="D661" s="6" t="inlineStr">
        <is>
          <t>20260812</t>
        </is>
      </c>
      <c r="E661" s="16" t="n">
        <v>11477813</v>
      </c>
      <c r="F661" s="16" t="inlineStr"/>
      <c r="G661" s="16" t="n">
        <v>5006140</v>
      </c>
      <c r="H661" s="6" t="inlineStr">
        <is>
          <t>천원</t>
        </is>
      </c>
      <c r="I661" s="17" t="n">
        <v>-2.1</v>
      </c>
      <c r="J661" s="18" t="n">
        <v>3770878</v>
      </c>
      <c r="K661" s="19" t="n">
        <v>7028331</v>
      </c>
      <c r="L661" s="18" t="n">
        <v>6652247</v>
      </c>
      <c r="M661" s="19" t="n">
        <v>4339476</v>
      </c>
      <c r="N661" s="18" t="n">
        <v>36956</v>
      </c>
      <c r="O661" s="19" t="n">
        <v>6453073</v>
      </c>
      <c r="P661" s="18" t="n">
        <v>7653515</v>
      </c>
      <c r="Q661" s="19" t="n">
        <v>6662854</v>
      </c>
      <c r="R661" s="18" t="n">
        <v>5113943</v>
      </c>
      <c r="S661" s="20" t="n">
        <v>5006140</v>
      </c>
      <c r="T661" s="6" t="n">
        <v>13</v>
      </c>
      <c r="U661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61" s="21">
        <f>HYPERLINK("https://dart.fss.or.kr/dsaf001/main.do?rcpNo=20260812000605", "공시열람")</f>
        <v/>
      </c>
    </row>
    <row r="662">
      <c r="A662" s="5" t="inlineStr">
        <is>
          <t>폴라리스세원</t>
        </is>
      </c>
      <c r="B662" s="6" t="inlineStr">
        <is>
          <t>234100</t>
        </is>
      </c>
      <c r="C662" s="6" t="inlineStr">
        <is>
          <t>2025Q2</t>
        </is>
      </c>
      <c r="D662" s="6" t="inlineStr">
        <is>
          <t>20250814</t>
        </is>
      </c>
      <c r="E662" s="16" t="n">
        <v>53300411</v>
      </c>
      <c r="F662" s="16" t="n">
        <v>43616063</v>
      </c>
      <c r="G662" s="16" t="n">
        <v>6300767</v>
      </c>
      <c r="H662" s="6" t="inlineStr">
        <is>
          <t>천원</t>
        </is>
      </c>
      <c r="I662" s="17" t="n">
        <v>81.59999999999999</v>
      </c>
      <c r="J662" s="18" t="n">
        <v>0</v>
      </c>
      <c r="K662" s="19" t="n">
        <v>8947876</v>
      </c>
      <c r="L662" s="18" t="n">
        <v>12396827</v>
      </c>
      <c r="M662" s="19" t="n">
        <v>4675002</v>
      </c>
      <c r="N662" s="18" t="n">
        <v>3468711</v>
      </c>
      <c r="O662" s="19" t="n">
        <v>6300767</v>
      </c>
      <c r="P662" s="18" t="inlineStr"/>
      <c r="Q662" s="19" t="inlineStr"/>
      <c r="R662" s="18" t="inlineStr"/>
      <c r="S662" s="20" t="inlineStr"/>
      <c r="T662" s="6" t="n">
        <v>3</v>
      </c>
      <c r="U662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62" s="21">
        <f>HYPERLINK("https://dart.fss.or.kr/dsaf001/main.do?rcpNo=20250814004110", "공시열람")</f>
        <v/>
      </c>
    </row>
    <row r="663">
      <c r="A663" s="5" t="inlineStr">
        <is>
          <t>에스트래픽</t>
        </is>
      </c>
      <c r="B663" s="6" t="inlineStr">
        <is>
          <t>234300</t>
        </is>
      </c>
      <c r="C663" s="6" t="inlineStr">
        <is>
          <t>2026Q2</t>
        </is>
      </c>
      <c r="D663" s="6" t="inlineStr">
        <is>
          <t>20260929</t>
        </is>
      </c>
      <c r="E663" s="16" t="inlineStr"/>
      <c r="F663" s="16" t="inlineStr"/>
      <c r="G663" s="16" t="n">
        <v>128705328</v>
      </c>
      <c r="H663" s="6" t="inlineStr">
        <is>
          <t>천원</t>
        </is>
      </c>
      <c r="I663" s="17" t="n">
        <v>-8.6</v>
      </c>
      <c r="J663" s="18" t="n">
        <v>196436449</v>
      </c>
      <c r="K663" s="19" t="n">
        <v>189955989</v>
      </c>
      <c r="L663" s="18" t="n">
        <v>179948385</v>
      </c>
      <c r="M663" s="19" t="n">
        <v>188290977</v>
      </c>
      <c r="N663" s="18" t="n">
        <v>152526910</v>
      </c>
      <c r="O663" s="19" t="n">
        <v>156402850</v>
      </c>
      <c r="P663" s="18" t="n">
        <v>145064228</v>
      </c>
      <c r="Q663" s="19" t="n">
        <v>139618090</v>
      </c>
      <c r="R663" s="18" t="n">
        <v>140798815</v>
      </c>
      <c r="S663" s="20" t="n">
        <v>128705328</v>
      </c>
      <c r="T663" s="6" t="n">
        <v>2</v>
      </c>
      <c r="U663" s="5" t="inlineStr">
        <is>
          <t>철도 | 도로</t>
        </is>
      </c>
      <c r="V663" s="21">
        <f>HYPERLINK("https://dart.fss.or.kr/dsaf001/main.do?rcpNo=20260929000473", "공시열람")</f>
        <v/>
      </c>
    </row>
    <row r="664">
      <c r="A664" s="5" t="inlineStr">
        <is>
          <t>자이글</t>
        </is>
      </c>
      <c r="B664" s="6" t="inlineStr">
        <is>
          <t>234920</t>
        </is>
      </c>
      <c r="C664" s="6" t="inlineStr">
        <is>
          <t>2025Q2</t>
        </is>
      </c>
      <c r="D664" s="6" t="inlineStr">
        <is>
          <t>20250814</t>
        </is>
      </c>
      <c r="E664" s="16" t="n">
        <v>2545</v>
      </c>
      <c r="F664" s="16" t="n">
        <v>862</v>
      </c>
      <c r="G664" s="16" t="n">
        <v>1683</v>
      </c>
      <c r="H664" s="6" t="inlineStr">
        <is>
          <t>EA,백만원</t>
        </is>
      </c>
      <c r="I664" s="17" t="n">
        <v>0</v>
      </c>
      <c r="J664" s="18" t="inlineStr"/>
      <c r="K664" s="19" t="inlineStr"/>
      <c r="L664" s="18" t="inlineStr"/>
      <c r="M664" s="19" t="n">
        <v>2057</v>
      </c>
      <c r="N664" s="18" t="n">
        <v>1683</v>
      </c>
      <c r="O664" s="19" t="n">
        <v>1683</v>
      </c>
      <c r="P664" s="18" t="inlineStr"/>
      <c r="Q664" s="19" t="inlineStr"/>
      <c r="R664" s="18" t="inlineStr"/>
      <c r="S664" s="20" t="inlineStr"/>
      <c r="T664" s="6" t="n">
        <v>1</v>
      </c>
      <c r="U664" s="5" t="inlineStr">
        <is>
          <t>고주파마사지기 외 / 2024.11.06 / 2025.</t>
        </is>
      </c>
      <c r="V664" s="21">
        <f>HYPERLINK("https://dart.fss.or.kr/dsaf001/main.do?rcpNo=20250814002203", "공시열람")</f>
        <v/>
      </c>
    </row>
    <row r="665">
      <c r="A665" s="5" t="inlineStr">
        <is>
          <t>에스티팜</t>
        </is>
      </c>
      <c r="B665" s="6" t="inlineStr">
        <is>
          <t>237690</t>
        </is>
      </c>
      <c r="C665" s="6" t="inlineStr">
        <is>
          <t>2026Q2</t>
        </is>
      </c>
      <c r="D665" s="6" t="inlineStr">
        <is>
          <t>20260814</t>
        </is>
      </c>
      <c r="E665" s="16" t="n">
        <v>765540</v>
      </c>
      <c r="F665" s="16" t="n">
        <v>490574</v>
      </c>
      <c r="G665" s="16" t="n">
        <v>274967</v>
      </c>
      <c r="H665" s="6" t="inlineStr">
        <is>
          <t>천USD,천CHF,백만KRW</t>
        </is>
      </c>
      <c r="I665" s="17" t="n">
        <v>-8.199999999999999</v>
      </c>
      <c r="J665" s="18" t="n">
        <v>142129</v>
      </c>
      <c r="K665" s="19" t="n">
        <v>144305</v>
      </c>
      <c r="L665" s="18" t="n">
        <v>205983</v>
      </c>
      <c r="M665" s="19" t="n">
        <v>212587</v>
      </c>
      <c r="N665" s="18" t="n">
        <v>229059</v>
      </c>
      <c r="O665" s="19" t="n">
        <v>255542</v>
      </c>
      <c r="P665" s="18" t="n">
        <v>224306</v>
      </c>
      <c r="Q665" s="19" t="n">
        <v>192994</v>
      </c>
      <c r="R665" s="18" t="n">
        <v>299658</v>
      </c>
      <c r="S665" s="20" t="n">
        <v>274967</v>
      </c>
      <c r="T665" s="6" t="n">
        <v>80</v>
      </c>
      <c r="U665" s="5" t="inlineStr">
        <is>
          <t>올리고핵산치료제 신약 원료의약품(Oligonucleot | 올리고핵산치료제 신약 원료의약품(Oligonucleot | 저분자 화학합성 신약원료 의약품</t>
        </is>
      </c>
      <c r="V665" s="21">
        <f>HYPERLINK("https://dart.fss.or.kr/dsaf001/main.do?rcpNo=20260814003399", "공시열람")</f>
        <v/>
      </c>
    </row>
    <row r="666">
      <c r="A666" s="5" t="inlineStr">
        <is>
          <t>피앤씨테크</t>
        </is>
      </c>
      <c r="B666" s="6" t="inlineStr">
        <is>
          <t>237750</t>
        </is>
      </c>
      <c r="C666" s="6" t="inlineStr">
        <is>
          <t>2026Q2</t>
        </is>
      </c>
      <c r="D666" s="6" t="inlineStr">
        <is>
          <t>20260814</t>
        </is>
      </c>
      <c r="E666" s="16" t="n">
        <v>2956</v>
      </c>
      <c r="F666" s="16" t="n">
        <v>754</v>
      </c>
      <c r="G666" s="16" t="n">
        <v>2201</v>
      </c>
      <c r="H666" s="6" t="inlineStr">
        <is>
          <t>백만원</t>
        </is>
      </c>
      <c r="I666" s="17" t="n">
        <v>206.5</v>
      </c>
      <c r="J666" s="18" t="n">
        <v>0</v>
      </c>
      <c r="K666" s="19" t="n">
        <v>0</v>
      </c>
      <c r="L666" s="18" t="n">
        <v>0</v>
      </c>
      <c r="M666" s="19" t="n">
        <v>0</v>
      </c>
      <c r="N666" s="18" t="n">
        <v>1375</v>
      </c>
      <c r="O666" s="19" t="n">
        <v>1375</v>
      </c>
      <c r="P666" s="18" t="n">
        <v>719</v>
      </c>
      <c r="Q666" s="19" t="n">
        <v>718</v>
      </c>
      <c r="R666" s="18" t="n">
        <v>718</v>
      </c>
      <c r="S666" s="20" t="n">
        <v>2201</v>
      </c>
      <c r="T666" s="6" t="n">
        <v>6</v>
      </c>
      <c r="U666" s="5" t="inlineStr">
        <is>
          <t>SYSTEM / 2026.06.30 / 2026.10. | SYSTEM / 2025.02.28 / 2027.01. | SYSTEM / 2025.08.28 / 2026.11.</t>
        </is>
      </c>
      <c r="V666" s="21">
        <f>HYPERLINK("https://dart.fss.or.kr/dsaf001/main.do?rcpNo=20260814003816", "공시열람")</f>
        <v/>
      </c>
    </row>
    <row r="667">
      <c r="A667" s="5" t="inlineStr">
        <is>
          <t>힘스</t>
        </is>
      </c>
      <c r="B667" s="6" t="inlineStr">
        <is>
          <t>238490</t>
        </is>
      </c>
      <c r="C667" s="6" t="inlineStr">
        <is>
          <t>2026Q2</t>
        </is>
      </c>
      <c r="D667" s="6" t="inlineStr">
        <is>
          <t>20260813</t>
        </is>
      </c>
      <c r="E667" s="16" t="n">
        <v>36756</v>
      </c>
      <c r="F667" s="16" t="n">
        <v>0</v>
      </c>
      <c r="G667" s="16" t="n">
        <v>36756</v>
      </c>
      <c r="H667" s="6" t="inlineStr">
        <is>
          <t>EA,백만원</t>
        </is>
      </c>
      <c r="I667" s="17" t="n">
        <v>-15</v>
      </c>
      <c r="J667" s="18" t="n">
        <v>140</v>
      </c>
      <c r="K667" s="19" t="n">
        <v>28189</v>
      </c>
      <c r="L667" s="18" t="n">
        <v>123</v>
      </c>
      <c r="M667" s="19" t="n">
        <v>25588</v>
      </c>
      <c r="N667" s="18" t="n">
        <v>47854</v>
      </c>
      <c r="O667" s="19" t="n">
        <v>36147</v>
      </c>
      <c r="P667" s="18" t="n">
        <v>32055</v>
      </c>
      <c r="Q667" s="19" t="n">
        <v>40120</v>
      </c>
      <c r="R667" s="18" t="n">
        <v>43227</v>
      </c>
      <c r="S667" s="20" t="n">
        <v>36756</v>
      </c>
      <c r="T667" s="6" t="n">
        <v>4</v>
      </c>
      <c r="U667" s="5" t="inlineStr">
        <is>
          <t>OLED장비 / ~25.12.03 / ~27.01.31 | NON-OLED장비 / ~26.02.26 / ~26.0 | 상품 및 기타 / ~23.05.08 / ~26.12.3</t>
        </is>
      </c>
      <c r="V667" s="21">
        <f>HYPERLINK("https://dart.fss.or.kr/dsaf001/main.do?rcpNo=20260813001330", "공시열람")</f>
        <v/>
      </c>
    </row>
    <row r="668">
      <c r="A668" s="5" t="inlineStr">
        <is>
          <t>유진테크놀로지</t>
        </is>
      </c>
      <c r="B668" s="6" t="inlineStr">
        <is>
          <t>240600</t>
        </is>
      </c>
      <c r="C668" s="6" t="inlineStr">
        <is>
          <t>2026Q2</t>
        </is>
      </c>
      <c r="D668" s="6" t="inlineStr">
        <is>
          <t>20260814</t>
        </is>
      </c>
      <c r="E668" s="16" t="n">
        <v>10798</v>
      </c>
      <c r="F668" s="16" t="n">
        <v>1298</v>
      </c>
      <c r="G668" s="16" t="n">
        <v>9500</v>
      </c>
      <c r="H668" s="6" t="inlineStr">
        <is>
          <t>백만원</t>
        </is>
      </c>
      <c r="I668" s="17" t="n">
        <v>96.7</v>
      </c>
      <c r="J668" s="18" t="n">
        <v>7494</v>
      </c>
      <c r="K668" s="19" t="n">
        <v>22164</v>
      </c>
      <c r="L668" s="18" t="n">
        <v>7703</v>
      </c>
      <c r="M668" s="19" t="n">
        <v>1735</v>
      </c>
      <c r="N668" s="18" t="n">
        <v>1597</v>
      </c>
      <c r="O668" s="19" t="n">
        <v>1357</v>
      </c>
      <c r="P668" s="18" t="n">
        <v>6604</v>
      </c>
      <c r="Q668" s="19" t="n">
        <v>7353</v>
      </c>
      <c r="R668" s="18" t="n">
        <v>4830</v>
      </c>
      <c r="S668" s="20" t="n">
        <v>9500</v>
      </c>
      <c r="T668" s="6" t="n">
        <v>4</v>
      </c>
      <c r="U668" s="5" t="inlineStr">
        <is>
          <t>정밀기계부품 / 2026년 6월 30일 이전 / 202 | 정밀금형 / 2026년 6월 30일 이전 / 2026년 | 자동화장비 / 2026년 6월 30일 이전 / 2026</t>
        </is>
      </c>
      <c r="V668" s="21">
        <f>HYPERLINK("https://dart.fss.or.kr/dsaf001/main.do?rcpNo=20260814003601", "공시열람")</f>
        <v/>
      </c>
    </row>
    <row r="669">
      <c r="A669" s="5" t="inlineStr">
        <is>
          <t>원익IPS</t>
        </is>
      </c>
      <c r="B669" s="6" t="inlineStr">
        <is>
          <t>240810</t>
        </is>
      </c>
      <c r="C669" s="6" t="inlineStr">
        <is>
          <t>2026Q2</t>
        </is>
      </c>
      <c r="D669" s="6" t="inlineStr">
        <is>
          <t>20260814</t>
        </is>
      </c>
      <c r="E669" s="16" t="n">
        <v>1197393</v>
      </c>
      <c r="F669" s="16" t="n">
        <v>562803</v>
      </c>
      <c r="G669" s="16" t="n">
        <v>634590</v>
      </c>
      <c r="H669" s="6" t="inlineStr">
        <is>
          <t>백만원</t>
        </is>
      </c>
      <c r="I669" s="17" t="n">
        <v>58.5</v>
      </c>
      <c r="J669" s="18" t="n">
        <v>231645</v>
      </c>
      <c r="K669" s="19" t="n">
        <v>160431</v>
      </c>
      <c r="L669" s="18" t="n">
        <v>105167</v>
      </c>
      <c r="M669" s="19" t="n">
        <v>287864</v>
      </c>
      <c r="N669" s="18" t="n">
        <v>260680</v>
      </c>
      <c r="O669" s="19" t="n">
        <v>197749</v>
      </c>
      <c r="P669" s="18" t="n">
        <v>209252</v>
      </c>
      <c r="Q669" s="19" t="n">
        <v>298229</v>
      </c>
      <c r="R669" s="18" t="n">
        <v>400388</v>
      </c>
      <c r="S669" s="20" t="n">
        <v>634590</v>
      </c>
      <c r="T669" s="6" t="n">
        <v>1</v>
      </c>
      <c r="U669" s="5" t="inlineStr">
        <is>
          <t>반도체/Display 장비 / 2026년 반기 / -</t>
        </is>
      </c>
      <c r="V669" s="21">
        <f>HYPERLINK("https://dart.fss.or.kr/dsaf001/main.do?rcpNo=20260814001845", "공시열람")</f>
        <v/>
      </c>
    </row>
    <row r="670">
      <c r="A670" s="5" t="inlineStr">
        <is>
          <t>티이엠씨씨엔에스</t>
        </is>
      </c>
      <c r="B670" s="6" t="inlineStr">
        <is>
          <t>241790</t>
        </is>
      </c>
      <c r="C670" s="6" t="inlineStr">
        <is>
          <t>2026Q2</t>
        </is>
      </c>
      <c r="D670" s="6" t="inlineStr">
        <is>
          <t>20260814</t>
        </is>
      </c>
      <c r="E670" s="16" t="n">
        <v>413</v>
      </c>
      <c r="F670" s="16" t="n">
        <v>370</v>
      </c>
      <c r="G670" s="16" t="n">
        <v>1475</v>
      </c>
      <c r="H670" s="6" t="inlineStr">
        <is>
          <t>억</t>
        </is>
      </c>
      <c r="I670" s="17" t="n">
        <v>-8.5</v>
      </c>
      <c r="J670" s="18" t="n">
        <v>692</v>
      </c>
      <c r="K670" s="19" t="n">
        <v>623</v>
      </c>
      <c r="L670" s="18" t="n">
        <v>811</v>
      </c>
      <c r="M670" s="19" t="n">
        <v>766</v>
      </c>
      <c r="N670" s="18" t="n">
        <v>811</v>
      </c>
      <c r="O670" s="19" t="n">
        <v>580</v>
      </c>
      <c r="P670" s="18" t="n">
        <v>1271</v>
      </c>
      <c r="Q670" s="19" t="n">
        <v>1432</v>
      </c>
      <c r="R670" s="18" t="n">
        <v>1612</v>
      </c>
      <c r="S670" s="20" t="n">
        <v>1475</v>
      </c>
      <c r="T670" s="6" t="n">
        <v>1</v>
      </c>
      <c r="U670" s="5" t="inlineStr">
        <is>
          <t>장비 / 2026년</t>
        </is>
      </c>
      <c r="V670" s="21">
        <f>HYPERLINK("https://dart.fss.or.kr/dsaf001/main.do?rcpNo=20260814000992", "공시열람")</f>
        <v/>
      </c>
    </row>
    <row r="671">
      <c r="A671" s="5" t="inlineStr">
        <is>
          <t>아이티센코어</t>
        </is>
      </c>
      <c r="B671" s="6" t="inlineStr">
        <is>
          <t>243870</t>
        </is>
      </c>
      <c r="C671" s="6" t="inlineStr">
        <is>
          <t>2025Q4</t>
        </is>
      </c>
      <c r="D671" s="6" t="inlineStr">
        <is>
          <t>20260731</t>
        </is>
      </c>
      <c r="E671" s="16" t="n">
        <v>10558824</v>
      </c>
      <c r="F671" s="16" t="n">
        <v>9793315</v>
      </c>
      <c r="G671" s="16" t="n">
        <v>765509</v>
      </c>
      <c r="H671" s="6" t="inlineStr">
        <is>
          <t>천원</t>
        </is>
      </c>
      <c r="I671" s="17" t="inlineStr"/>
      <c r="J671" s="18" t="inlineStr"/>
      <c r="K671" s="19" t="inlineStr"/>
      <c r="L671" s="18" t="inlineStr"/>
      <c r="M671" s="19" t="n">
        <v>0</v>
      </c>
      <c r="N671" s="18" t="inlineStr"/>
      <c r="O671" s="19" t="inlineStr"/>
      <c r="P671" s="18" t="inlineStr"/>
      <c r="Q671" s="19" t="n">
        <v>765509</v>
      </c>
      <c r="R671" s="18" t="inlineStr"/>
      <c r="S671" s="20" t="inlineStr"/>
      <c r="T671" s="6" t="n">
        <v>5</v>
      </c>
      <c r="U671" s="5" t="inlineStr">
        <is>
          <t>건설계약 / 2025-09-15 / 2026-07-14 | 용역서비스 / 2025-01-01 / 2025-12-3 | 용역서비스 / 2025-01-01 / 2025-12-3</t>
        </is>
      </c>
      <c r="V671" s="21">
        <f>HYPERLINK("https://dart.fss.or.kr/dsaf001/main.do?rcpNo=20260731000744", "공시열람")</f>
        <v/>
      </c>
    </row>
    <row r="672">
      <c r="A672" s="5" t="inlineStr">
        <is>
          <t>나눔테크</t>
        </is>
      </c>
      <c r="B672" s="6" t="inlineStr">
        <is>
          <t>244880</t>
        </is>
      </c>
      <c r="C672" s="6" t="inlineStr">
        <is>
          <t>2024Q4</t>
        </is>
      </c>
      <c r="D672" s="6" t="inlineStr">
        <is>
          <t>20250321</t>
        </is>
      </c>
      <c r="E672" s="16" t="n">
        <v>120230</v>
      </c>
      <c r="F672" s="16" t="inlineStr"/>
      <c r="G672" s="16" t="n">
        <v>120230</v>
      </c>
      <c r="H672" s="6" t="inlineStr">
        <is>
          <t>천원</t>
        </is>
      </c>
      <c r="I672" s="17" t="n">
        <v>-7.1</v>
      </c>
      <c r="J672" s="18" t="inlineStr"/>
      <c r="K672" s="19" t="inlineStr"/>
      <c r="L672" s="18" t="inlineStr"/>
      <c r="M672" s="19" t="n">
        <v>120230</v>
      </c>
      <c r="N672" s="18" t="inlineStr"/>
      <c r="O672" s="19" t="inlineStr"/>
      <c r="P672" s="18" t="inlineStr"/>
      <c r="Q672" s="19" t="inlineStr"/>
      <c r="R672" s="18" t="inlineStr"/>
      <c r="S672" s="20" t="inlineStr"/>
      <c r="T672" s="6" t="n">
        <v>6</v>
      </c>
      <c r="U672" s="5" t="inlineStr">
        <is>
          <t>AED 외 / 2025-03-17 / 2025-03-2 | AED 외 / 2025-03-14 / 2025-03-2 | AED 외 / 2025-03-11 / 2025-03-2</t>
        </is>
      </c>
      <c r="V672" s="21">
        <f>HYPERLINK("https://dart.fss.or.kr/dsaf001/main.do?rcpNo=20250321000468", "공시열람")</f>
        <v/>
      </c>
    </row>
    <row r="673">
      <c r="A673" s="5" t="inlineStr">
        <is>
          <t>아스타</t>
        </is>
      </c>
      <c r="B673" s="6" t="inlineStr">
        <is>
          <t>246720</t>
        </is>
      </c>
      <c r="C673" s="6" t="inlineStr">
        <is>
          <t>2026Q1</t>
        </is>
      </c>
      <c r="D673" s="6" t="inlineStr">
        <is>
          <t>20260515</t>
        </is>
      </c>
      <c r="E673" s="16" t="n">
        <v>841669</v>
      </c>
      <c r="F673" s="16" t="inlineStr"/>
      <c r="G673" s="16" t="n">
        <v>841669</v>
      </c>
      <c r="H673" s="6" t="inlineStr">
        <is>
          <t>천원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inlineStr"/>
      <c r="R673" s="18" t="n">
        <v>841669</v>
      </c>
      <c r="S673" s="20" t="inlineStr"/>
      <c r="T673" s="6" t="n">
        <v>2</v>
      </c>
      <c r="U673" s="5" t="inlineStr">
        <is>
          <t>질량분석기(MALDI-MS) / 2026-03-20 / | 질량분석기(MALDI-MS) / 2026-04-21 /</t>
        </is>
      </c>
      <c r="V673" s="21">
        <f>HYPERLINK("https://dart.fss.or.kr/dsaf001/main.do?rcpNo=20260515000309", "공시열람")</f>
        <v/>
      </c>
    </row>
    <row r="674">
      <c r="A674" s="5" t="inlineStr">
        <is>
          <t>모비스</t>
        </is>
      </c>
      <c r="B674" s="6" t="inlineStr">
        <is>
          <t>250060</t>
        </is>
      </c>
      <c r="C674" s="6" t="inlineStr">
        <is>
          <t>2026Q2</t>
        </is>
      </c>
      <c r="D674" s="6" t="inlineStr">
        <is>
          <t>20261006</t>
        </is>
      </c>
      <c r="E674" s="16" t="inlineStr"/>
      <c r="F674" s="16" t="inlineStr"/>
      <c r="G674" s="16" t="n">
        <v>7208059797</v>
      </c>
      <c r="H674" s="6" t="inlineStr">
        <is>
          <t>원</t>
        </is>
      </c>
      <c r="I674" s="17" t="n">
        <v>119601.8</v>
      </c>
      <c r="J674" s="18" t="n">
        <v>25561508</v>
      </c>
      <c r="K674" s="19" t="n">
        <v>6974162</v>
      </c>
      <c r="L674" s="18" t="n">
        <v>7861922</v>
      </c>
      <c r="M674" s="19" t="n">
        <v>6232958</v>
      </c>
      <c r="N674" s="18" t="n">
        <v>6634185</v>
      </c>
      <c r="O674" s="19" t="n">
        <v>5528206</v>
      </c>
      <c r="P674" s="18" t="n">
        <v>4953188</v>
      </c>
      <c r="Q674" s="19" t="n">
        <v>4357048</v>
      </c>
      <c r="R674" s="18" t="n">
        <v>6021678</v>
      </c>
      <c r="S674" s="20" t="n">
        <v>7208059797</v>
      </c>
      <c r="T674" s="6" t="n">
        <v>2</v>
      </c>
      <c r="U674" s="5" t="inlineStr">
        <is>
          <t>기초과학 | 스마트팩토리</t>
        </is>
      </c>
      <c r="V674" s="21">
        <f>HYPERLINK("https://dart.fss.or.kr/dsaf001/main.do?rcpNo=20261006000433", "공시열람")</f>
        <v/>
      </c>
    </row>
    <row r="675">
      <c r="A675" s="5" t="inlineStr">
        <is>
          <t>브이원텍</t>
        </is>
      </c>
      <c r="B675" s="6" t="inlineStr">
        <is>
          <t>251630</t>
        </is>
      </c>
      <c r="C675" s="6" t="inlineStr">
        <is>
          <t>2026Q2</t>
        </is>
      </c>
      <c r="D675" s="6" t="inlineStr">
        <is>
          <t>20260814</t>
        </is>
      </c>
      <c r="E675" s="16" t="n">
        <v>77643</v>
      </c>
      <c r="F675" s="16" t="n">
        <v>31955</v>
      </c>
      <c r="G675" s="16" t="n">
        <v>45688</v>
      </c>
      <c r="H675" s="6" t="inlineStr">
        <is>
          <t>백만원</t>
        </is>
      </c>
      <c r="I675" s="17" t="n">
        <v>-8.4</v>
      </c>
      <c r="J675" s="18" t="n">
        <v>60624</v>
      </c>
      <c r="K675" s="19" t="n">
        <v>62575</v>
      </c>
      <c r="L675" s="18" t="n">
        <v>54780</v>
      </c>
      <c r="M675" s="19" t="n">
        <v>45967</v>
      </c>
      <c r="N675" s="18" t="n">
        <v>47878</v>
      </c>
      <c r="O675" s="19" t="n">
        <v>50180</v>
      </c>
      <c r="P675" s="18" t="n">
        <v>75011</v>
      </c>
      <c r="Q675" s="19" t="n">
        <v>56953</v>
      </c>
      <c r="R675" s="18" t="n">
        <v>49900</v>
      </c>
      <c r="S675" s="20" t="n">
        <v>45688</v>
      </c>
      <c r="T675" s="6" t="n">
        <v>3</v>
      </c>
      <c r="U675" s="5" t="inlineStr">
        <is>
          <t>2차전지 검사시스템 / - | 로보틱스/운반기계 / - | LCD/OLED 압흔검사기 / -</t>
        </is>
      </c>
      <c r="V675" s="21">
        <f>HYPERLINK("https://dart.fss.or.kr/dsaf001/main.do?rcpNo=20260814002781", "공시열람")</f>
        <v/>
      </c>
    </row>
    <row r="676">
      <c r="A676" s="5" t="inlineStr">
        <is>
          <t>네오셈</t>
        </is>
      </c>
      <c r="B676" s="6" t="inlineStr">
        <is>
          <t>253590</t>
        </is>
      </c>
      <c r="C676" s="6" t="inlineStr">
        <is>
          <t>2026Q2</t>
        </is>
      </c>
      <c r="D676" s="6" t="inlineStr">
        <is>
          <t>20260814</t>
        </is>
      </c>
      <c r="E676" s="16" t="n">
        <v>28463</v>
      </c>
      <c r="F676" s="16" t="n">
        <v>2203</v>
      </c>
      <c r="G676" s="16" t="n">
        <v>26260</v>
      </c>
      <c r="H676" s="6" t="inlineStr">
        <is>
          <t>K$,백만원</t>
        </is>
      </c>
      <c r="I676" s="17" t="n">
        <v>-1.7</v>
      </c>
      <c r="J676" s="18" t="n">
        <v>12761</v>
      </c>
      <c r="K676" s="19" t="n">
        <v>16315</v>
      </c>
      <c r="L676" s="18" t="n">
        <v>10598</v>
      </c>
      <c r="M676" s="19" t="n">
        <v>2573</v>
      </c>
      <c r="N676" s="18" t="n">
        <v>1518</v>
      </c>
      <c r="O676" s="19" t="n">
        <v>1315</v>
      </c>
      <c r="P676" s="18" t="inlineStr"/>
      <c r="Q676" s="19" t="n">
        <v>14152</v>
      </c>
      <c r="R676" s="18" t="n">
        <v>26712</v>
      </c>
      <c r="S676" s="20" t="n">
        <v>26260</v>
      </c>
      <c r="T676" s="6" t="n">
        <v>7</v>
      </c>
      <c r="U676" s="5" t="inlineStr">
        <is>
          <t>반도체 검사장비 외 / 2026-05-27 / 2026 | CLT Interface Board / 2026-05- | 반도체 검사장비 외 / 2026-05-06 / 2026</t>
        </is>
      </c>
      <c r="V676" s="21">
        <f>HYPERLINK("https://dart.fss.or.kr/dsaf001/main.do?rcpNo=20260814000817", "공시열람")</f>
        <v/>
      </c>
    </row>
    <row r="677">
      <c r="A677" s="5" t="inlineStr">
        <is>
          <t>자비스</t>
        </is>
      </c>
      <c r="B677" s="6" t="inlineStr">
        <is>
          <t>254120</t>
        </is>
      </c>
      <c r="C677" s="6" t="inlineStr">
        <is>
          <t>2026Q2</t>
        </is>
      </c>
      <c r="D677" s="6" t="inlineStr">
        <is>
          <t>20260814</t>
        </is>
      </c>
      <c r="E677" s="16" t="n">
        <v>14044411741</v>
      </c>
      <c r="F677" s="16" t="n">
        <v>8303760154</v>
      </c>
      <c r="G677" s="16" t="n">
        <v>13745255556</v>
      </c>
      <c r="H677" s="6" t="inlineStr">
        <is>
          <t>원</t>
        </is>
      </c>
      <c r="I677" s="17" t="n">
        <v>-10.6</v>
      </c>
      <c r="J677" s="18" t="n">
        <v>18127996948</v>
      </c>
      <c r="K677" s="19" t="n">
        <v>8191279519</v>
      </c>
      <c r="L677" s="18" t="n">
        <v>7224578397</v>
      </c>
      <c r="M677" s="19" t="n">
        <v>7657082097</v>
      </c>
      <c r="N677" s="18" t="n">
        <v>17189492624</v>
      </c>
      <c r="O677" s="19" t="n">
        <v>15585271210</v>
      </c>
      <c r="P677" s="18" t="n">
        <v>15735178060</v>
      </c>
      <c r="Q677" s="19" t="n">
        <v>15708789085</v>
      </c>
      <c r="R677" s="18" t="n">
        <v>15381628821</v>
      </c>
      <c r="S677" s="20" t="n">
        <v>13745255556</v>
      </c>
      <c r="T677" s="6" t="n">
        <v>2</v>
      </c>
      <c r="U677" s="5" t="inlineStr">
        <is>
          <t xml:space="preserve">XSCAN / 2026.01.01~2026.06.30  | FSCAN / 2026.01.01~2026.06.30 </t>
        </is>
      </c>
      <c r="V677" s="21">
        <f>HYPERLINK("https://dart.fss.or.kr/dsaf001/main.do?rcpNo=20260814003907", "공시열람")</f>
        <v/>
      </c>
    </row>
    <row r="678">
      <c r="A678" s="5" t="inlineStr">
        <is>
          <t>제이엠멀티</t>
        </is>
      </c>
      <c r="B678" s="6" t="inlineStr">
        <is>
          <t>254160</t>
        </is>
      </c>
      <c r="C678" s="6" t="inlineStr">
        <is>
          <t>2025Q4</t>
        </is>
      </c>
      <c r="D678" s="6" t="inlineStr">
        <is>
          <t>20260429</t>
        </is>
      </c>
      <c r="E678" s="16" t="n">
        <v>45950</v>
      </c>
      <c r="F678" s="16" t="n">
        <v>23741</v>
      </c>
      <c r="G678" s="16" t="n">
        <v>22209</v>
      </c>
      <c r="H678" s="6" t="inlineStr">
        <is>
          <t>건,백만원</t>
        </is>
      </c>
      <c r="I678" s="17" t="n">
        <v>99.3</v>
      </c>
      <c r="J678" s="18" t="inlineStr"/>
      <c r="K678" s="19" t="inlineStr"/>
      <c r="L678" s="18" t="inlineStr"/>
      <c r="M678" s="19" t="n">
        <v>11146</v>
      </c>
      <c r="N678" s="18" t="inlineStr"/>
      <c r="O678" s="19" t="inlineStr"/>
      <c r="P678" s="18" t="inlineStr"/>
      <c r="Q678" s="19" t="n">
        <v>22209</v>
      </c>
      <c r="R678" s="18" t="inlineStr"/>
      <c r="S678" s="20" t="inlineStr"/>
      <c r="T678" s="6" t="n">
        <v>3</v>
      </c>
      <c r="U678" s="5" t="inlineStr">
        <is>
          <t>데크로드시스템 / (주)피플로드 / 2025.01.01 | 데크로드시스템 / (주)알티스멀티 / 2025.01.0 | 데크로드시스템 / (주)제이엠멀티 / 2025.01.0</t>
        </is>
      </c>
      <c r="V678" s="21">
        <f>HYPERLINK("https://dart.fss.or.kr/dsaf001/main.do?rcpNo=20260429000588", "공시열람")</f>
        <v/>
      </c>
    </row>
    <row r="679">
      <c r="A679" s="5" t="inlineStr">
        <is>
          <t>야스</t>
        </is>
      </c>
      <c r="B679" s="6" t="inlineStr">
        <is>
          <t>255440</t>
        </is>
      </c>
      <c r="C679" s="6" t="inlineStr">
        <is>
          <t>2026Q2</t>
        </is>
      </c>
      <c r="D679" s="6" t="inlineStr">
        <is>
          <t>20260814</t>
        </is>
      </c>
      <c r="E679" s="16" t="n">
        <v>26026113</v>
      </c>
      <c r="F679" s="16" t="inlineStr"/>
      <c r="G679" s="16" t="n">
        <v>14894831</v>
      </c>
      <c r="H679" s="6" t="inlineStr">
        <is>
          <t>천원</t>
        </is>
      </c>
      <c r="I679" s="17" t="n">
        <v>290247.6</v>
      </c>
      <c r="J679" s="18" t="n">
        <v>6849</v>
      </c>
      <c r="K679" s="19" t="n">
        <v>6571</v>
      </c>
      <c r="L679" s="18" t="n">
        <v>4187</v>
      </c>
      <c r="M679" s="19" t="n">
        <v>3863</v>
      </c>
      <c r="N679" s="18" t="n">
        <v>3490</v>
      </c>
      <c r="O679" s="19" t="n">
        <v>9046</v>
      </c>
      <c r="P679" s="18" t="n">
        <v>5130</v>
      </c>
      <c r="Q679" s="19" t="inlineStr"/>
      <c r="R679" s="18" t="inlineStr"/>
      <c r="S679" s="20" t="n">
        <v>14894831</v>
      </c>
      <c r="T679" s="6" t="n">
        <v>1</v>
      </c>
      <c r="U679" s="5" t="inlineStr">
        <is>
          <t>증착시스템 및 증발원 등</t>
        </is>
      </c>
      <c r="V679" s="21">
        <f>HYPERLINK("https://dart.fss.or.kr/dsaf001/main.do?rcpNo=20260814001714", "공시열람")</f>
        <v/>
      </c>
    </row>
    <row r="680">
      <c r="A680" s="5" t="inlineStr">
        <is>
          <t>한국비엔씨</t>
        </is>
      </c>
      <c r="B680" s="6" t="inlineStr">
        <is>
          <t>256840</t>
        </is>
      </c>
      <c r="C680" s="6" t="inlineStr">
        <is>
          <t>2026Q2</t>
        </is>
      </c>
      <c r="D680" s="6" t="inlineStr">
        <is>
          <t>20260814</t>
        </is>
      </c>
      <c r="E680" s="16" t="n">
        <v>10154025</v>
      </c>
      <c r="F680" s="16" t="n">
        <v>10154025</v>
      </c>
      <c r="G680" s="16" t="n">
        <v>0</v>
      </c>
      <c r="H680" s="6" t="inlineStr">
        <is>
          <t>천개,천원</t>
        </is>
      </c>
      <c r="I680" s="17" t="n">
        <v>-100</v>
      </c>
      <c r="J680" s="18" t="n">
        <v>9191310</v>
      </c>
      <c r="K680" s="19" t="n">
        <v>8557412</v>
      </c>
      <c r="L680" s="18" t="n">
        <v>7648468</v>
      </c>
      <c r="M680" s="19" t="n">
        <v>6057684</v>
      </c>
      <c r="N680" s="18" t="n">
        <v>5531430</v>
      </c>
      <c r="O680" s="19" t="n">
        <v>3972414</v>
      </c>
      <c r="P680" s="18" t="n">
        <v>3444900</v>
      </c>
      <c r="Q680" s="19" t="n">
        <v>2038169</v>
      </c>
      <c r="R680" s="18" t="n">
        <v>429256</v>
      </c>
      <c r="S680" s="20" t="n">
        <v>0</v>
      </c>
      <c r="T680" s="6" t="n">
        <v>1</v>
      </c>
      <c r="U680" s="5" t="inlineStr">
        <is>
          <t>메조테라피 등 6개품목 / 2024.01.01 / 20</t>
        </is>
      </c>
      <c r="V680" s="21">
        <f>HYPERLINK("https://dart.fss.or.kr/dsaf001/main.do?rcpNo=20260814004180", "공시열람")</f>
        <v/>
      </c>
    </row>
    <row r="681">
      <c r="A681" s="5" t="inlineStr">
        <is>
          <t>킵스파마</t>
        </is>
      </c>
      <c r="B681" s="6" t="inlineStr">
        <is>
          <t>256940</t>
        </is>
      </c>
      <c r="C681" s="6" t="inlineStr">
        <is>
          <t>2025Q1</t>
        </is>
      </c>
      <c r="D681" s="6" t="inlineStr">
        <is>
          <t>20250515</t>
        </is>
      </c>
      <c r="E681" s="16" t="n">
        <v>51890</v>
      </c>
      <c r="F681" s="16" t="n">
        <v>54140</v>
      </c>
      <c r="G681" s="16" t="n">
        <v>1151</v>
      </c>
      <c r="H681" s="6" t="inlineStr">
        <is>
          <t>백만원</t>
        </is>
      </c>
      <c r="I681" s="17" t="n">
        <v>-0.3</v>
      </c>
      <c r="J681" s="18" t="n">
        <v>3983</v>
      </c>
      <c r="K681" s="19" t="n">
        <v>3983</v>
      </c>
      <c r="L681" s="18" t="n">
        <v>1038</v>
      </c>
      <c r="M681" s="19" t="n">
        <v>1154</v>
      </c>
      <c r="N681" s="18" t="n">
        <v>1151</v>
      </c>
      <c r="O681" s="19" t="inlineStr"/>
      <c r="P681" s="18" t="inlineStr"/>
      <c r="Q681" s="19" t="inlineStr"/>
      <c r="R681" s="18" t="inlineStr"/>
      <c r="S681" s="20" t="inlineStr"/>
      <c r="T681" s="6" t="n">
        <v>4</v>
      </c>
      <c r="U681" s="5" t="inlineStr">
        <is>
          <t>OLED 장비 / 2023년 | OLED 장비 / 2016년 / 2017년 | OLED 장비 / 2024년</t>
        </is>
      </c>
      <c r="V681" s="21">
        <f>HYPERLINK("https://dart.fss.or.kr/dsaf001/main.do?rcpNo=20250515002869", "공시열람")</f>
        <v/>
      </c>
    </row>
    <row r="682">
      <c r="A682" s="5" t="inlineStr">
        <is>
          <t>피엔티엠에스</t>
        </is>
      </c>
      <c r="B682" s="6" t="inlineStr">
        <is>
          <t>257370</t>
        </is>
      </c>
      <c r="C682" s="6" t="inlineStr">
        <is>
          <t>2026Q2</t>
        </is>
      </c>
      <c r="D682" s="6" t="inlineStr">
        <is>
          <t>20260812</t>
        </is>
      </c>
      <c r="E682" s="16" t="n">
        <v>29172</v>
      </c>
      <c r="F682" s="16" t="n">
        <v>6383</v>
      </c>
      <c r="G682" s="16" t="n">
        <v>22789</v>
      </c>
      <c r="H682" s="6" t="inlineStr">
        <is>
          <t>백만원</t>
        </is>
      </c>
      <c r="I682" s="17" t="n">
        <v>-21.9</v>
      </c>
      <c r="J682" s="18" t="n">
        <v>38920</v>
      </c>
      <c r="K682" s="19" t="n">
        <v>41984</v>
      </c>
      <c r="L682" s="18" t="n">
        <v>36550</v>
      </c>
      <c r="M682" s="19" t="n">
        <v>34600</v>
      </c>
      <c r="N682" s="18" t="n">
        <v>30500</v>
      </c>
      <c r="O682" s="19" t="n">
        <v>27000</v>
      </c>
      <c r="P682" s="18" t="n">
        <v>27000</v>
      </c>
      <c r="Q682" s="19" t="n">
        <v>27000</v>
      </c>
      <c r="R682" s="18" t="n">
        <v>29172</v>
      </c>
      <c r="S682" s="20" t="n">
        <v>22789</v>
      </c>
      <c r="T682" s="6" t="n">
        <v>3</v>
      </c>
      <c r="U682" s="5" t="inlineStr">
        <is>
          <t>SEPARATOR FILM LINE 설비(제작, 설치) | Tentar Cure Machine 제작_1SET /  | HP 03/04 Line Swelling 추출조 건조조</t>
        </is>
      </c>
      <c r="V682" s="21">
        <f>HYPERLINK("https://dart.fss.or.kr/dsaf001/main.do?rcpNo=20260812000533", "공시열람")</f>
        <v/>
      </c>
    </row>
    <row r="683">
      <c r="A683" s="5" t="inlineStr">
        <is>
          <t>테크트랜스</t>
        </is>
      </c>
      <c r="B683" s="6" t="inlineStr">
        <is>
          <t>258050</t>
        </is>
      </c>
      <c r="C683" s="6" t="inlineStr">
        <is>
          <t>2023Q4</t>
        </is>
      </c>
      <c r="D683" s="6" t="inlineStr">
        <is>
          <t>20240320</t>
        </is>
      </c>
      <c r="E683" s="16" t="n">
        <v>13000000000</v>
      </c>
      <c r="F683" s="16" t="n">
        <v>197810</v>
      </c>
      <c r="G683" s="16" t="n">
        <v>12802190</v>
      </c>
      <c r="H683" s="6" t="inlineStr"/>
      <c r="I683" s="17" t="inlineStr"/>
      <c r="J683" s="18" t="inlineStr"/>
      <c r="K683" s="19" t="inlineStr"/>
      <c r="L683" s="18" t="inlineStr"/>
      <c r="M683" s="19" t="inlineStr"/>
      <c r="N683" s="18" t="inlineStr"/>
      <c r="O683" s="19" t="inlineStr"/>
      <c r="P683" s="18" t="inlineStr"/>
      <c r="Q683" s="19" t="inlineStr"/>
      <c r="R683" s="18" t="inlineStr"/>
      <c r="S683" s="20" t="inlineStr"/>
      <c r="T683" s="6" t="n">
        <v>1</v>
      </c>
      <c r="U683" s="5" t="inlineStr">
        <is>
          <t>안마의자부품</t>
        </is>
      </c>
      <c r="V683" s="21">
        <f>HYPERLINK("https://dart.fss.or.kr/dsaf001/main.do?rcpNo=20240320000610", "공시열람")</f>
        <v/>
      </c>
    </row>
    <row r="684">
      <c r="A684" s="5" t="inlineStr">
        <is>
          <t>케일럼</t>
        </is>
      </c>
      <c r="B684" s="6" t="inlineStr">
        <is>
          <t>258610</t>
        </is>
      </c>
      <c r="C684" s="6" t="inlineStr">
        <is>
          <t>2026Q2</t>
        </is>
      </c>
      <c r="D684" s="6" t="inlineStr">
        <is>
          <t>20260930</t>
        </is>
      </c>
      <c r="E684" s="16" t="n">
        <v>302066</v>
      </c>
      <c r="F684" s="16" t="n">
        <v>139452</v>
      </c>
      <c r="G684" s="16" t="n">
        <v>162614</v>
      </c>
      <c r="H684" s="6" t="inlineStr">
        <is>
          <t>백만원</t>
        </is>
      </c>
      <c r="I684" s="17" t="n">
        <v>-3.9</v>
      </c>
      <c r="J684" s="18" t="n">
        <v>245607</v>
      </c>
      <c r="K684" s="19" t="n">
        <v>241091</v>
      </c>
      <c r="L684" s="18" t="n">
        <v>236443</v>
      </c>
      <c r="M684" s="19" t="n">
        <v>231564</v>
      </c>
      <c r="N684" s="18" t="n">
        <v>219019</v>
      </c>
      <c r="O684" s="19" t="n">
        <v>214777</v>
      </c>
      <c r="P684" s="18" t="n">
        <v>180785</v>
      </c>
      <c r="Q684" s="19" t="n">
        <v>175561</v>
      </c>
      <c r="R684" s="18" t="n">
        <v>169247</v>
      </c>
      <c r="S684" s="20" t="n">
        <v>162614</v>
      </c>
      <c r="T684" s="6" t="n">
        <v>12</v>
      </c>
      <c r="U684" s="5" t="inlineStr">
        <is>
          <t>MTU Seal 2차 / 2019년 / 2035년 | LM2500 LPT / 2015년 / 2030년 | LEAP 1B VANE 1단계 / 2022년 / 203</t>
        </is>
      </c>
      <c r="V684" s="21">
        <f>HYPERLINK("https://dart.fss.or.kr/dsaf001/main.do?rcpNo=20260930000171", "공시열람")</f>
        <v/>
      </c>
    </row>
    <row r="685">
      <c r="A685" s="5" t="inlineStr">
        <is>
          <t>엠플러스</t>
        </is>
      </c>
      <c r="B685" s="6" t="inlineStr">
        <is>
          <t>259630</t>
        </is>
      </c>
      <c r="C685" s="6" t="inlineStr">
        <is>
          <t>2026Q2</t>
        </is>
      </c>
      <c r="D685" s="6" t="inlineStr">
        <is>
          <t>20260814</t>
        </is>
      </c>
      <c r="E685" s="16" t="n">
        <v>1461</v>
      </c>
      <c r="F685" s="16" t="n">
        <v>830</v>
      </c>
      <c r="G685" s="16" t="n">
        <v>631</v>
      </c>
      <c r="H685" s="6" t="inlineStr">
        <is>
          <t>억원</t>
        </is>
      </c>
      <c r="I685" s="17" t="n">
        <v>-42.3</v>
      </c>
      <c r="J685" s="18" t="n">
        <v>3097</v>
      </c>
      <c r="K685" s="19" t="n">
        <v>2847</v>
      </c>
      <c r="L685" s="18" t="n">
        <v>2746</v>
      </c>
      <c r="M685" s="19" t="n">
        <v>2225</v>
      </c>
      <c r="N685" s="18" t="n">
        <v>2604</v>
      </c>
      <c r="O685" s="19" t="n">
        <v>2262</v>
      </c>
      <c r="P685" s="18" t="n">
        <v>1706</v>
      </c>
      <c r="Q685" s="19" t="n">
        <v>1721</v>
      </c>
      <c r="R685" s="18" t="n">
        <v>1094</v>
      </c>
      <c r="S685" s="20" t="n">
        <v>631</v>
      </c>
      <c r="T685" s="6" t="n">
        <v>1</v>
      </c>
      <c r="U685" s="5" t="inlineStr">
        <is>
          <t>이차전지 조립장비 / -</t>
        </is>
      </c>
      <c r="V685" s="21">
        <f>HYPERLINK("https://dart.fss.or.kr/dsaf001/main.do?rcpNo=20260814003181", "공시열람")</f>
        <v/>
      </c>
    </row>
    <row r="686">
      <c r="A686" s="5" t="inlineStr">
        <is>
          <t>아이퀘스트</t>
        </is>
      </c>
      <c r="B686" s="6" t="inlineStr">
        <is>
          <t>262840</t>
        </is>
      </c>
      <c r="C686" s="6" t="inlineStr">
        <is>
          <t>2026Q2</t>
        </is>
      </c>
      <c r="D686" s="6" t="inlineStr">
        <is>
          <t>20260812</t>
        </is>
      </c>
      <c r="E686" s="16" t="n">
        <v>25051</v>
      </c>
      <c r="F686" s="16" t="n">
        <v>10595</v>
      </c>
      <c r="G686" s="16" t="n">
        <v>14456</v>
      </c>
      <c r="H686" s="6" t="inlineStr">
        <is>
          <t>백만원</t>
        </is>
      </c>
      <c r="I686" s="17" t="n">
        <v>-3.4</v>
      </c>
      <c r="J686" s="18" t="n">
        <v>13970</v>
      </c>
      <c r="K686" s="19" t="n">
        <v>10609</v>
      </c>
      <c r="L686" s="18" t="n">
        <v>9930</v>
      </c>
      <c r="M686" s="19" t="n">
        <v>7320</v>
      </c>
      <c r="N686" s="18" t="n">
        <v>14588</v>
      </c>
      <c r="O686" s="19" t="n">
        <v>13817</v>
      </c>
      <c r="P686" s="18" t="n">
        <v>10002</v>
      </c>
      <c r="Q686" s="19" t="n">
        <v>7292</v>
      </c>
      <c r="R686" s="18" t="n">
        <v>14959</v>
      </c>
      <c r="S686" s="20" t="n">
        <v>14456</v>
      </c>
      <c r="T686" s="6" t="n">
        <v>2</v>
      </c>
      <c r="U686" s="5" t="inlineStr">
        <is>
          <t>IT 컨설팅 / 시스템 구축 및 운영/유지 보수 / ' | B2B 소프트웨어 / SAP B1 ERP 공급 및 구축</t>
        </is>
      </c>
      <c r="V686" s="21">
        <f>HYPERLINK("https://dart.fss.or.kr/dsaf001/main.do?rcpNo=20260812000182", "공시열람")</f>
        <v/>
      </c>
    </row>
    <row r="687">
      <c r="A687" s="5" t="inlineStr">
        <is>
          <t>디케이앤디</t>
        </is>
      </c>
      <c r="B687" s="6" t="inlineStr">
        <is>
          <t>263020</t>
        </is>
      </c>
      <c r="C687" s="6" t="inlineStr">
        <is>
          <t>2026Q2</t>
        </is>
      </c>
      <c r="D687" s="6" t="inlineStr">
        <is>
          <t>20260813</t>
        </is>
      </c>
      <c r="E687" s="16" t="n">
        <v>18443</v>
      </c>
      <c r="F687" s="16" t="n">
        <v>15255</v>
      </c>
      <c r="G687" s="16" t="n">
        <v>3188</v>
      </c>
      <c r="H687" s="6" t="inlineStr">
        <is>
          <t>YD,백만원</t>
        </is>
      </c>
      <c r="I687" s="17" t="n">
        <v>-37.9</v>
      </c>
      <c r="J687" s="18" t="inlineStr"/>
      <c r="K687" s="19" t="inlineStr"/>
      <c r="L687" s="18" t="inlineStr"/>
      <c r="M687" s="19" t="inlineStr"/>
      <c r="N687" s="18" t="n">
        <v>14575</v>
      </c>
      <c r="O687" s="19" t="inlineStr"/>
      <c r="P687" s="18" t="inlineStr"/>
      <c r="Q687" s="19" t="inlineStr"/>
      <c r="R687" s="18" t="n">
        <v>5130</v>
      </c>
      <c r="S687" s="20" t="n">
        <v>3188</v>
      </c>
      <c r="T687" s="6" t="n">
        <v>1</v>
      </c>
      <c r="U687" s="5" t="inlineStr">
        <is>
          <t>헤드셋용 합성피혁 / 2024.10.23 / 2027.</t>
        </is>
      </c>
      <c r="V687" s="21">
        <f>HYPERLINK("https://dart.fss.or.kr/dsaf001/main.do?rcpNo=20260813001190", "공시열람")</f>
        <v/>
      </c>
    </row>
    <row r="688">
      <c r="A688" s="5" t="inlineStr">
        <is>
          <t>유틸렉스</t>
        </is>
      </c>
      <c r="B688" s="6" t="inlineStr">
        <is>
          <t>263050</t>
        </is>
      </c>
      <c r="C688" s="6" t="inlineStr">
        <is>
          <t>2026Q2</t>
        </is>
      </c>
      <c r="D688" s="6" t="inlineStr">
        <is>
          <t>20260814</t>
        </is>
      </c>
      <c r="E688" s="16" t="n">
        <v>3359832</v>
      </c>
      <c r="F688" s="16" t="n">
        <v>1527457</v>
      </c>
      <c r="G688" s="16" t="n">
        <v>1832375</v>
      </c>
      <c r="H688" s="6" t="inlineStr">
        <is>
          <t>천원</t>
        </is>
      </c>
      <c r="I688" s="17" t="n">
        <v>-53.5</v>
      </c>
      <c r="J688" s="18" t="inlineStr"/>
      <c r="K688" s="19" t="n">
        <v>1905455</v>
      </c>
      <c r="L688" s="18" t="n">
        <v>960566</v>
      </c>
      <c r="M688" s="19" t="n">
        <v>690673</v>
      </c>
      <c r="N688" s="18" t="n">
        <v>512050</v>
      </c>
      <c r="O688" s="19" t="n">
        <v>1967977</v>
      </c>
      <c r="P688" s="18" t="n">
        <v>3756945</v>
      </c>
      <c r="Q688" s="19" t="n">
        <v>1939095</v>
      </c>
      <c r="R688" s="18" t="n">
        <v>3939263</v>
      </c>
      <c r="S688" s="20" t="n">
        <v>1832375</v>
      </c>
      <c r="T688" s="6" t="n">
        <v>3</v>
      </c>
      <c r="U688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8" s="21">
        <f>HYPERLINK("https://dart.fss.or.kr/dsaf001/main.do?rcpNo=20260814003647", "공시열람")</f>
        <v/>
      </c>
    </row>
    <row r="689">
      <c r="A689" s="5" t="inlineStr">
        <is>
          <t>데이타솔루션</t>
        </is>
      </c>
      <c r="B689" s="6" t="inlineStr">
        <is>
          <t>263800</t>
        </is>
      </c>
      <c r="C689" s="6" t="inlineStr">
        <is>
          <t>2024Q4</t>
        </is>
      </c>
      <c r="D689" s="6" t="inlineStr">
        <is>
          <t>20250312</t>
        </is>
      </c>
      <c r="E689" s="16" t="n">
        <v>5985</v>
      </c>
      <c r="F689" s="16" t="n">
        <v>5664</v>
      </c>
      <c r="G689" s="16" t="n">
        <v>321</v>
      </c>
      <c r="H689" s="6" t="inlineStr"/>
      <c r="I689" s="17" t="n">
        <v>365.2</v>
      </c>
      <c r="J689" s="18" t="n">
        <v>535</v>
      </c>
      <c r="K689" s="19" t="n">
        <v>203</v>
      </c>
      <c r="L689" s="18" t="n">
        <v>69</v>
      </c>
      <c r="M689" s="19" t="n">
        <v>321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1</v>
      </c>
      <c r="U689" s="5" t="inlineStr">
        <is>
          <t>시스템통합 / 2020-10-16 / 2025-03-3</t>
        </is>
      </c>
      <c r="V689" s="21">
        <f>HYPERLINK("https://dart.fss.or.kr/dsaf001/main.do?rcpNo=20250312000588", "공시열람")</f>
        <v/>
      </c>
    </row>
    <row r="690">
      <c r="A690" s="5" t="inlineStr">
        <is>
          <t>유비쿼스</t>
        </is>
      </c>
      <c r="B690" s="6" t="inlineStr">
        <is>
          <t>264450</t>
        </is>
      </c>
      <c r="C690" s="6" t="inlineStr">
        <is>
          <t>2026Q2</t>
        </is>
      </c>
      <c r="D690" s="6" t="inlineStr">
        <is>
          <t>20260814</t>
        </is>
      </c>
      <c r="E690" s="16" t="n">
        <v>179424</v>
      </c>
      <c r="F690" s="16" t="n">
        <v>91937</v>
      </c>
      <c r="G690" s="16" t="n">
        <v>87487</v>
      </c>
      <c r="H690" s="6" t="inlineStr">
        <is>
          <t>백만원</t>
        </is>
      </c>
      <c r="I690" s="17" t="n">
        <v>-15.1</v>
      </c>
      <c r="J690" s="18" t="n">
        <v>171554</v>
      </c>
      <c r="K690" s="19" t="n">
        <v>167430</v>
      </c>
      <c r="L690" s="18" t="n">
        <v>161375</v>
      </c>
      <c r="M690" s="19" t="n">
        <v>147635</v>
      </c>
      <c r="N690" s="18" t="n">
        <v>141886</v>
      </c>
      <c r="O690" s="19" t="n">
        <v>136578</v>
      </c>
      <c r="P690" s="18" t="n">
        <v>124743</v>
      </c>
      <c r="Q690" s="19" t="n">
        <v>112050</v>
      </c>
      <c r="R690" s="18" t="n">
        <v>103021</v>
      </c>
      <c r="S690" s="20" t="n">
        <v>87487</v>
      </c>
      <c r="T690" s="6" t="n">
        <v>1</v>
      </c>
      <c r="U690" s="5" t="inlineStr">
        <is>
          <t>LGU+ 가입자망용 EPON/스위치 단가계약</t>
        </is>
      </c>
      <c r="V690" s="21">
        <f>HYPERLINK("https://dart.fss.or.kr/dsaf001/main.do?rcpNo=20260814001072", "공시열람")</f>
        <v/>
      </c>
    </row>
    <row r="691">
      <c r="A691" s="5" t="inlineStr">
        <is>
          <t>씨앤지하이테크</t>
        </is>
      </c>
      <c r="B691" s="6" t="inlineStr">
        <is>
          <t>264660</t>
        </is>
      </c>
      <c r="C691" s="6" t="inlineStr">
        <is>
          <t>2026Q2</t>
        </is>
      </c>
      <c r="D691" s="6" t="inlineStr">
        <is>
          <t>20260813</t>
        </is>
      </c>
      <c r="E691" s="16" t="n">
        <v>58524</v>
      </c>
      <c r="F691" s="16" t="n">
        <v>33338</v>
      </c>
      <c r="G691" s="16" t="n">
        <v>25186</v>
      </c>
      <c r="H691" s="6" t="inlineStr">
        <is>
          <t>백만원</t>
        </is>
      </c>
      <c r="I691" s="17" t="inlineStr"/>
      <c r="J691" s="18" t="n">
        <v>50912</v>
      </c>
      <c r="K691" s="19" t="n">
        <v>4592</v>
      </c>
      <c r="L691" s="18" t="n">
        <v>18563</v>
      </c>
      <c r="M691" s="19" t="n">
        <v>3163</v>
      </c>
      <c r="N691" s="18" t="n">
        <v>24074</v>
      </c>
      <c r="O691" s="19" t="n">
        <v>19107</v>
      </c>
      <c r="P691" s="18" t="n">
        <v>9322</v>
      </c>
      <c r="Q691" s="19" t="n">
        <v>0</v>
      </c>
      <c r="R691" s="18" t="n">
        <v>0</v>
      </c>
      <c r="S691" s="20" t="n">
        <v>25186</v>
      </c>
      <c r="T691" s="6" t="n">
        <v>2</v>
      </c>
      <c r="U691" s="5" t="inlineStr">
        <is>
          <t>반도체 등 제조장비 / 2026.06.27 / 2026 | 반도체 등 제조장비 / 2026.04.10 / 2026</t>
        </is>
      </c>
      <c r="V691" s="21">
        <f>HYPERLINK("https://dart.fss.or.kr/dsaf001/main.do?rcpNo=20260813000962", "공시열람")</f>
        <v/>
      </c>
    </row>
    <row r="692">
      <c r="A692" s="5" t="inlineStr">
        <is>
          <t>AP시스템</t>
        </is>
      </c>
      <c r="B692" s="6" t="inlineStr">
        <is>
          <t>265520</t>
        </is>
      </c>
      <c r="C692" s="6" t="inlineStr">
        <is>
          <t>2026Q2</t>
        </is>
      </c>
      <c r="D692" s="6" t="inlineStr">
        <is>
          <t>20260814</t>
        </is>
      </c>
      <c r="E692" s="16" t="n">
        <v>804989</v>
      </c>
      <c r="F692" s="16" t="n">
        <v>591790</v>
      </c>
      <c r="G692" s="16" t="n">
        <v>213199</v>
      </c>
      <c r="H692" s="6" t="inlineStr">
        <is>
          <t>백만원</t>
        </is>
      </c>
      <c r="I692" s="17" t="n">
        <v>14.4</v>
      </c>
      <c r="J692" s="18" t="n">
        <v>211401</v>
      </c>
      <c r="K692" s="19" t="n">
        <v>190627</v>
      </c>
      <c r="L692" s="18" t="n">
        <v>175169</v>
      </c>
      <c r="M692" s="19" t="n">
        <v>140816</v>
      </c>
      <c r="N692" s="18" t="n">
        <v>91781</v>
      </c>
      <c r="O692" s="19" t="n">
        <v>131161</v>
      </c>
      <c r="P692" s="18" t="n">
        <v>211308</v>
      </c>
      <c r="Q692" s="19" t="n">
        <v>228659</v>
      </c>
      <c r="R692" s="18" t="n">
        <v>186441</v>
      </c>
      <c r="S692" s="20" t="n">
        <v>213199</v>
      </c>
      <c r="T692" s="6" t="n">
        <v>3</v>
      </c>
      <c r="U692" s="5" t="inlineStr">
        <is>
          <t>디스플레이 제조장비 / - | 반도체 제조장비 / - | 이차전지 제조장비 / -</t>
        </is>
      </c>
      <c r="V692" s="21">
        <f>HYPERLINK("https://dart.fss.or.kr/dsaf001/main.do?rcpNo=20260814003234", "공시열람")</f>
        <v/>
      </c>
    </row>
    <row r="693">
      <c r="A693" s="5" t="inlineStr">
        <is>
          <t>덕산넵코어스</t>
        </is>
      </c>
      <c r="B693" s="6" t="inlineStr">
        <is>
          <t>266690</t>
        </is>
      </c>
      <c r="C693" s="6" t="inlineStr">
        <is>
          <t>2026Q2</t>
        </is>
      </c>
      <c r="D693" s="6" t="inlineStr">
        <is>
          <t>20260813</t>
        </is>
      </c>
      <c r="E693" s="16" t="n">
        <v>794</v>
      </c>
      <c r="F693" s="16" t="n">
        <v>237</v>
      </c>
      <c r="G693" s="16" t="n">
        <v>557</v>
      </c>
      <c r="H693" s="6" t="inlineStr">
        <is>
          <t>억원</t>
        </is>
      </c>
      <c r="I693" s="17" t="n">
        <v>-2.1</v>
      </c>
      <c r="J693" s="18" t="inlineStr"/>
      <c r="K693" s="19" t="inlineStr"/>
      <c r="L693" s="18" t="inlineStr"/>
      <c r="M693" s="19" t="inlineStr"/>
      <c r="N693" s="18" t="inlineStr"/>
      <c r="O693" s="19" t="inlineStr"/>
      <c r="P693" s="18" t="n">
        <v>654</v>
      </c>
      <c r="Q693" s="19" t="n">
        <v>649</v>
      </c>
      <c r="R693" s="18" t="n">
        <v>569</v>
      </c>
      <c r="S693" s="20" t="n">
        <v>557</v>
      </c>
      <c r="T693" s="6" t="n">
        <v>1</v>
      </c>
      <c r="U693" s="5" t="inlineStr">
        <is>
          <t>-</t>
        </is>
      </c>
      <c r="V693" s="21">
        <f>HYPERLINK("https://dart.fss.or.kr/dsaf001/main.do?rcpNo=20260813000889", "공시열람")</f>
        <v/>
      </c>
    </row>
    <row r="694">
      <c r="A694" s="5" t="inlineStr">
        <is>
          <t>HD현대</t>
        </is>
      </c>
      <c r="B694" s="6" t="inlineStr">
        <is>
          <t>267250</t>
        </is>
      </c>
      <c r="C694" s="6" t="inlineStr">
        <is>
          <t>2026Q2</t>
        </is>
      </c>
      <c r="D694" s="6" t="inlineStr">
        <is>
          <t>20260814</t>
        </is>
      </c>
      <c r="E694" s="16" t="inlineStr"/>
      <c r="F694" s="16" t="inlineStr"/>
      <c r="G694" s="16" t="n">
        <v>2243852713</v>
      </c>
      <c r="H694" s="6" t="inlineStr">
        <is>
          <t>천원,천USD,천JPY</t>
        </is>
      </c>
      <c r="I694" s="17" t="n">
        <v>2418.6</v>
      </c>
      <c r="J694" s="18" t="n">
        <v>77179596</v>
      </c>
      <c r="K694" s="19" t="n">
        <v>78510928</v>
      </c>
      <c r="L694" s="18" t="n">
        <v>77076074</v>
      </c>
      <c r="M694" s="19" t="n">
        <v>83508459</v>
      </c>
      <c r="N694" s="18" t="n">
        <v>84046817</v>
      </c>
      <c r="O694" s="19" t="n">
        <v>81442477</v>
      </c>
      <c r="P694" s="18" t="n">
        <v>79890507</v>
      </c>
      <c r="Q694" s="19" t="n">
        <v>82236880</v>
      </c>
      <c r="R694" s="18" t="n">
        <v>89093027</v>
      </c>
      <c r="S694" s="20" t="n">
        <v>2243852713</v>
      </c>
      <c r="T694" s="6" t="n">
        <v>3</v>
      </c>
      <c r="U694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94" s="21">
        <f>HYPERLINK("https://dart.fss.or.kr/dsaf001/main.do?rcpNo=20260814003420", "공시열람")</f>
        <v/>
      </c>
    </row>
    <row r="695">
      <c r="A695" s="5" t="inlineStr">
        <is>
          <t>HD현대일렉트릭</t>
        </is>
      </c>
      <c r="B695" s="6" t="inlineStr">
        <is>
          <t>267260</t>
        </is>
      </c>
      <c r="C695" s="6" t="inlineStr">
        <is>
          <t>2026Q2</t>
        </is>
      </c>
      <c r="D695" s="6" t="inlineStr">
        <is>
          <t>20260814</t>
        </is>
      </c>
      <c r="E695" s="16" t="n">
        <v>14488813</v>
      </c>
      <c r="F695" s="16" t="n">
        <v>2178313</v>
      </c>
      <c r="G695" s="16" t="n">
        <v>12310500</v>
      </c>
      <c r="H695" s="6" t="inlineStr">
        <is>
          <t>백만원</t>
        </is>
      </c>
      <c r="I695" s="17" t="n">
        <v>7.6</v>
      </c>
      <c r="J695" s="18" t="n">
        <v>6497280</v>
      </c>
      <c r="K695" s="19" t="n">
        <v>7090200</v>
      </c>
      <c r="L695" s="18" t="n">
        <v>7180670</v>
      </c>
      <c r="M695" s="19" t="n">
        <v>7646580</v>
      </c>
      <c r="N695" s="18" t="n">
        <v>8493900</v>
      </c>
      <c r="O695" s="19" t="n">
        <v>8711500</v>
      </c>
      <c r="P695" s="18" t="n">
        <v>9566710</v>
      </c>
      <c r="Q695" s="19" t="n">
        <v>9423400</v>
      </c>
      <c r="R695" s="18" t="n">
        <v>11437600</v>
      </c>
      <c r="S695" s="20" t="n">
        <v>12310500</v>
      </c>
      <c r="T695" s="6" t="n">
        <v>1</v>
      </c>
      <c r="U695" s="5" t="inlineStr">
        <is>
          <t>전기전자부문 / 변압기, 고압차단기회전기, 저압전동기배</t>
        </is>
      </c>
      <c r="V695" s="21">
        <f>HYPERLINK("https://dart.fss.or.kr/dsaf001/main.do?rcpNo=20260814003228", "공시열람")</f>
        <v/>
      </c>
    </row>
    <row r="696">
      <c r="A696" s="5" t="inlineStr">
        <is>
          <t>아시아나IDT</t>
        </is>
      </c>
      <c r="B696" s="6" t="inlineStr">
        <is>
          <t>267850</t>
        </is>
      </c>
      <c r="C696" s="6" t="inlineStr">
        <is>
          <t>2026Q2</t>
        </is>
      </c>
      <c r="D696" s="6" t="inlineStr">
        <is>
          <t>20260812</t>
        </is>
      </c>
      <c r="E696" s="16" t="n">
        <v>2526</v>
      </c>
      <c r="F696" s="16" t="n">
        <v>1418</v>
      </c>
      <c r="G696" s="16" t="n">
        <v>1108</v>
      </c>
      <c r="H696" s="6" t="inlineStr">
        <is>
          <t>억원</t>
        </is>
      </c>
      <c r="I696" s="17" t="n">
        <v>-19.1</v>
      </c>
      <c r="J696" s="18" t="n">
        <v>479</v>
      </c>
      <c r="K696" s="19" t="n">
        <v>502</v>
      </c>
      <c r="L696" s="18" t="n">
        <v>441</v>
      </c>
      <c r="M696" s="19" t="n">
        <v>551</v>
      </c>
      <c r="N696" s="18" t="n">
        <v>446</v>
      </c>
      <c r="O696" s="19" t="n">
        <v>324</v>
      </c>
      <c r="P696" s="18" t="n">
        <v>634</v>
      </c>
      <c r="Q696" s="19" t="n">
        <v>768</v>
      </c>
      <c r="R696" s="18" t="n">
        <v>1370</v>
      </c>
      <c r="S696" s="20" t="n">
        <v>1108</v>
      </c>
      <c r="T696" s="6" t="n">
        <v>2</v>
      </c>
      <c r="U696" s="5" t="inlineStr">
        <is>
          <t>운영유지보수 / - | 컨설팅/SI 등 / -</t>
        </is>
      </c>
      <c r="V696" s="21">
        <f>HYPERLINK("https://dart.fss.or.kr/dsaf001/main.do?rcpNo=20260812000800", "공시열람")</f>
        <v/>
      </c>
    </row>
    <row r="697">
      <c r="A697" s="5" t="inlineStr">
        <is>
          <t>에스알바이오텍</t>
        </is>
      </c>
      <c r="B697" s="6" t="inlineStr">
        <is>
          <t>270210</t>
        </is>
      </c>
      <c r="C697" s="6" t="inlineStr">
        <is>
          <t>2024Q4</t>
        </is>
      </c>
      <c r="D697" s="6" t="inlineStr">
        <is>
          <t>20250319</t>
        </is>
      </c>
      <c r="E697" s="16" t="n">
        <v>8125274</v>
      </c>
      <c r="F697" s="16" t="inlineStr"/>
      <c r="G697" s="16" t="n">
        <v>3735917</v>
      </c>
      <c r="H697" s="6" t="inlineStr"/>
      <c r="I697" s="17" t="n">
        <v>80.59999999999999</v>
      </c>
      <c r="J697" s="18" t="inlineStr"/>
      <c r="K697" s="19" t="inlineStr"/>
      <c r="L697" s="18" t="inlineStr"/>
      <c r="M697" s="19" t="n">
        <v>3735917</v>
      </c>
      <c r="N697" s="18" t="inlineStr"/>
      <c r="O697" s="19" t="inlineStr"/>
      <c r="P697" s="18" t="inlineStr"/>
      <c r="Q697" s="19" t="inlineStr"/>
      <c r="R697" s="18" t="inlineStr"/>
      <c r="S697" s="20" t="inlineStr"/>
      <c r="T697" s="6" t="n">
        <v>6</v>
      </c>
      <c r="U697" s="5" t="inlineStr">
        <is>
          <t>주식회사 스킨천사 / 제품 / 5월~12월 | (주)제이크리컴퍼니 / 제품 / 12월 | 엔비엘케이 / 제품 / 12월</t>
        </is>
      </c>
      <c r="V697" s="21">
        <f>HYPERLINK("https://dart.fss.or.kr/dsaf001/main.do?rcpNo=20250319000677", "공시열람")</f>
        <v/>
      </c>
    </row>
    <row r="698">
      <c r="A698" s="5" t="inlineStr">
        <is>
          <t>에브리봇</t>
        </is>
      </c>
      <c r="B698" s="6" t="inlineStr">
        <is>
          <t>270660</t>
        </is>
      </c>
      <c r="C698" s="6" t="inlineStr">
        <is>
          <t>2025Q3</t>
        </is>
      </c>
      <c r="D698" s="6" t="inlineStr">
        <is>
          <t>20251114</t>
        </is>
      </c>
      <c r="E698" s="16" t="n">
        <v>2066000000</v>
      </c>
      <c r="F698" s="16" t="n">
        <v>2066000000</v>
      </c>
      <c r="G698" s="16" t="n">
        <v>0</v>
      </c>
      <c r="H698" s="6" t="inlineStr">
        <is>
          <t>원</t>
        </is>
      </c>
      <c r="I698" s="17" t="inlineStr"/>
      <c r="J698" s="18" t="inlineStr"/>
      <c r="K698" s="19" t="inlineStr"/>
      <c r="L698" s="18" t="inlineStr"/>
      <c r="M698" s="19" t="inlineStr"/>
      <c r="N698" s="18" t="n">
        <v>1850000000</v>
      </c>
      <c r="O698" s="19" t="n">
        <v>0</v>
      </c>
      <c r="P698" s="18" t="n">
        <v>0</v>
      </c>
      <c r="Q698" s="19" t="inlineStr"/>
      <c r="R698" s="18" t="inlineStr"/>
      <c r="S698" s="20" t="inlineStr"/>
      <c r="T698" s="6" t="n">
        <v>2</v>
      </c>
      <c r="U698" s="5" t="inlineStr">
        <is>
          <t>AI 자율주행 공기청정기 개발용역 / 2025.3.31 | S/W 추가 개발용역 / 2025.7.24 / 2025</t>
        </is>
      </c>
      <c r="V698" s="21">
        <f>HYPERLINK("https://dart.fss.or.kr/dsaf001/main.do?rcpNo=20251114000204", "공시열람")</f>
        <v/>
      </c>
    </row>
    <row r="699">
      <c r="A699" s="5" t="inlineStr">
        <is>
          <t>팸텍</t>
        </is>
      </c>
      <c r="B699" s="6" t="inlineStr">
        <is>
          <t>271830</t>
        </is>
      </c>
      <c r="C699" s="6" t="inlineStr">
        <is>
          <t>2026Q2</t>
        </is>
      </c>
      <c r="D699" s="6" t="inlineStr">
        <is>
          <t>20260814</t>
        </is>
      </c>
      <c r="E699" s="16" t="n">
        <v>43295</v>
      </c>
      <c r="F699" s="16" t="n">
        <v>12569</v>
      </c>
      <c r="G699" s="16" t="n">
        <v>30727</v>
      </c>
      <c r="H699" s="6" t="inlineStr">
        <is>
          <t>백만원</t>
        </is>
      </c>
      <c r="I699" s="17" t="n">
        <v>85.2</v>
      </c>
      <c r="J699" s="18" t="n">
        <v>15082</v>
      </c>
      <c r="K699" s="19" t="n">
        <v>16199</v>
      </c>
      <c r="L699" s="18" t="n">
        <v>15198</v>
      </c>
      <c r="M699" s="19" t="n">
        <v>6392</v>
      </c>
      <c r="N699" s="18" t="n">
        <v>10791</v>
      </c>
      <c r="O699" s="19" t="n">
        <v>23451</v>
      </c>
      <c r="P699" s="18" t="n">
        <v>27024</v>
      </c>
      <c r="Q699" s="19" t="n">
        <v>10669</v>
      </c>
      <c r="R699" s="18" t="n">
        <v>16594</v>
      </c>
      <c r="S699" s="20" t="n">
        <v>30727</v>
      </c>
      <c r="T699" s="6" t="n">
        <v>4</v>
      </c>
      <c r="U699" s="5" t="inlineStr">
        <is>
          <t>카메라모듈 / 제품 | 반도체 / 제품 | 모빌리티 / 제품</t>
        </is>
      </c>
      <c r="V699" s="21">
        <f>HYPERLINK("https://dart.fss.or.kr/dsaf001/main.do?rcpNo=20260814002911", "공시열람")</f>
        <v/>
      </c>
    </row>
    <row r="700">
      <c r="A700" s="5" t="inlineStr">
        <is>
          <t>한화시스템</t>
        </is>
      </c>
      <c r="B700" s="6" t="inlineStr">
        <is>
          <t>272210</t>
        </is>
      </c>
      <c r="C700" s="6" t="inlineStr">
        <is>
          <t>2026Q2</t>
        </is>
      </c>
      <c r="D700" s="6" t="inlineStr">
        <is>
          <t>20260820</t>
        </is>
      </c>
      <c r="E700" s="16" t="n">
        <v>13245410</v>
      </c>
      <c r="F700" s="16" t="n">
        <v>1926822</v>
      </c>
      <c r="G700" s="16" t="n">
        <v>11318588</v>
      </c>
      <c r="H700" s="6" t="inlineStr">
        <is>
          <t>백만원</t>
        </is>
      </c>
      <c r="I700" s="17" t="n">
        <v>-7.2</v>
      </c>
      <c r="J700" s="18" t="n">
        <v>7049779</v>
      </c>
      <c r="K700" s="19" t="n">
        <v>6967870</v>
      </c>
      <c r="L700" s="18" t="n">
        <v>7923594</v>
      </c>
      <c r="M700" s="19" t="n">
        <v>10557886</v>
      </c>
      <c r="N700" s="18" t="n">
        <v>10498985</v>
      </c>
      <c r="O700" s="19" t="n">
        <v>10362144</v>
      </c>
      <c r="P700" s="18" t="n">
        <v>11175820</v>
      </c>
      <c r="Q700" s="19" t="n">
        <v>12216300</v>
      </c>
      <c r="R700" s="18" t="n">
        <v>12196397</v>
      </c>
      <c r="S700" s="20" t="n">
        <v>11318588</v>
      </c>
      <c r="T700" s="6" t="n">
        <v>3</v>
      </c>
      <c r="U700" s="5" t="inlineStr">
        <is>
          <t>방산 / 한화시스템 / 군수장비 | 기타 / H FOUNDATION PTE. LTD.Han | ICT / 한화시스템 / 전산시스템 설계 및 구축,전산</t>
        </is>
      </c>
      <c r="V700" s="21">
        <f>HYPERLINK("https://dart.fss.or.kr/dsaf001/main.do?rcpNo=20260820000123", "공시열람")</f>
        <v/>
      </c>
    </row>
    <row r="701">
      <c r="A701" s="5" t="inlineStr">
        <is>
          <t>와이엠텍</t>
        </is>
      </c>
      <c r="B701" s="6" t="inlineStr">
        <is>
          <t>273640</t>
        </is>
      </c>
      <c r="C701" s="6" t="inlineStr">
        <is>
          <t>2023Q4</t>
        </is>
      </c>
      <c r="D701" s="6" t="inlineStr">
        <is>
          <t>20240315</t>
        </is>
      </c>
      <c r="E701" s="16" t="n">
        <v>36701182</v>
      </c>
      <c r="F701" s="16" t="n">
        <v>34852927</v>
      </c>
      <c r="G701" s="16" t="n">
        <v>1848254</v>
      </c>
      <c r="H701" s="6" t="inlineStr">
        <is>
          <t>EA/천원</t>
        </is>
      </c>
      <c r="I701" s="17" t="inlineStr"/>
      <c r="J701" s="18" t="inlineStr"/>
      <c r="K701" s="19" t="inlineStr"/>
      <c r="L701" s="18" t="inlineStr"/>
      <c r="M701" s="19" t="inlineStr"/>
      <c r="N701" s="18" t="inlineStr"/>
      <c r="O701" s="19" t="inlineStr"/>
      <c r="P701" s="18" t="inlineStr"/>
      <c r="Q701" s="19" t="inlineStr"/>
      <c r="R701" s="18" t="inlineStr"/>
      <c r="S701" s="20" t="inlineStr"/>
      <c r="T701" s="6" t="n">
        <v>1</v>
      </c>
      <c r="U701" s="5" t="inlineStr">
        <is>
          <t>EV Relay / 23.12.31 / 23.01~24</t>
        </is>
      </c>
      <c r="V701" s="21">
        <f>HYPERLINK("https://dart.fss.or.kr/dsaf001/main.do?rcpNo=20240315000026", "공시열람")</f>
        <v/>
      </c>
    </row>
    <row r="702">
      <c r="A702" s="5" t="inlineStr">
        <is>
          <t>이노시뮬레이션</t>
        </is>
      </c>
      <c r="B702" s="6" t="inlineStr">
        <is>
          <t>274400</t>
        </is>
      </c>
      <c r="C702" s="6" t="inlineStr">
        <is>
          <t>2026Q2</t>
        </is>
      </c>
      <c r="D702" s="6" t="inlineStr">
        <is>
          <t>20260814</t>
        </is>
      </c>
      <c r="E702" s="16" t="inlineStr"/>
      <c r="F702" s="16" t="inlineStr"/>
      <c r="G702" s="16" t="n">
        <v>27474718</v>
      </c>
      <c r="H702" s="6" t="inlineStr">
        <is>
          <t>천원</t>
        </is>
      </c>
      <c r="I702" s="17" t="n">
        <v>149073.2</v>
      </c>
      <c r="J702" s="18" t="n">
        <v>11025</v>
      </c>
      <c r="K702" s="19" t="n">
        <v>17251</v>
      </c>
      <c r="L702" s="18" t="n">
        <v>15840</v>
      </c>
      <c r="M702" s="19" t="n">
        <v>15401</v>
      </c>
      <c r="N702" s="18" t="n">
        <v>21465</v>
      </c>
      <c r="O702" s="19" t="n">
        <v>17996</v>
      </c>
      <c r="P702" s="18" t="n">
        <v>16114</v>
      </c>
      <c r="Q702" s="19" t="n">
        <v>15574</v>
      </c>
      <c r="R702" s="18" t="n">
        <v>18418</v>
      </c>
      <c r="S702" s="20" t="n">
        <v>27474718</v>
      </c>
      <c r="T702" s="6" t="n">
        <v>2</v>
      </c>
      <c r="U702" s="5" t="inlineStr">
        <is>
          <t>당반기 | 전반기</t>
        </is>
      </c>
      <c r="V702" s="21">
        <f>HYPERLINK("https://dart.fss.or.kr/dsaf001/main.do?rcpNo=20260814003512", "공시열람")</f>
        <v/>
      </c>
    </row>
    <row r="703">
      <c r="A703" s="5" t="inlineStr">
        <is>
          <t>스코넥</t>
        </is>
      </c>
      <c r="B703" s="6" t="inlineStr">
        <is>
          <t>276040</t>
        </is>
      </c>
      <c r="C703" s="6" t="inlineStr">
        <is>
          <t>2026Q2</t>
        </is>
      </c>
      <c r="D703" s="6" t="inlineStr">
        <is>
          <t>20260814</t>
        </is>
      </c>
      <c r="E703" s="16" t="n">
        <v>1433</v>
      </c>
      <c r="F703" s="16" t="n">
        <v>1433</v>
      </c>
      <c r="G703" s="16" t="n">
        <v>0</v>
      </c>
      <c r="H703" s="6" t="inlineStr">
        <is>
          <t>백만원</t>
        </is>
      </c>
      <c r="I703" s="17" t="n">
        <v>-100</v>
      </c>
      <c r="J703" s="18" t="n">
        <v>0</v>
      </c>
      <c r="K703" s="19" t="n">
        <v>1812</v>
      </c>
      <c r="L703" s="18" t="n">
        <v>2360</v>
      </c>
      <c r="M703" s="19" t="n">
        <v>1074</v>
      </c>
      <c r="N703" s="18" t="n">
        <v>3211</v>
      </c>
      <c r="O703" s="19" t="n">
        <v>3158</v>
      </c>
      <c r="P703" s="18" t="n">
        <v>2233</v>
      </c>
      <c r="Q703" s="19" t="n">
        <v>142</v>
      </c>
      <c r="R703" s="18" t="n">
        <v>431</v>
      </c>
      <c r="S703" s="20" t="n">
        <v>0</v>
      </c>
      <c r="T703" s="6" t="n">
        <v>3</v>
      </c>
      <c r="U703" s="5" t="inlineStr">
        <is>
          <t>XR 콘텐츠 개발 및 제작 / 2025-08-28 /  | XR 콘텐츠 개발 및 제작 / 2026-01-30 /  | 콘텐츠 개발 등</t>
        </is>
      </c>
      <c r="V703" s="21">
        <f>HYPERLINK("https://dart.fss.or.kr/dsaf001/main.do?rcpNo=20260814003564", "공시열람")</f>
        <v/>
      </c>
    </row>
    <row r="704">
      <c r="A704" s="5" t="inlineStr">
        <is>
          <t>엘리비젼</t>
        </is>
      </c>
      <c r="B704" s="6" t="inlineStr">
        <is>
          <t>276240</t>
        </is>
      </c>
      <c r="C704" s="6" t="inlineStr">
        <is>
          <t>2025Q4</t>
        </is>
      </c>
      <c r="D704" s="6" t="inlineStr">
        <is>
          <t>20260323</t>
        </is>
      </c>
      <c r="E704" s="16" t="n">
        <v>800500</v>
      </c>
      <c r="F704" s="16" t="inlineStr"/>
      <c r="G704" s="16" t="n">
        <v>800500</v>
      </c>
      <c r="H704" s="6" t="inlineStr">
        <is>
          <t>천원</t>
        </is>
      </c>
      <c r="I704" s="17" t="n">
        <v>369.5</v>
      </c>
      <c r="J704" s="18" t="inlineStr"/>
      <c r="K704" s="19" t="inlineStr"/>
      <c r="L704" s="18" t="inlineStr"/>
      <c r="M704" s="19" t="n">
        <v>170486</v>
      </c>
      <c r="N704" s="18" t="inlineStr"/>
      <c r="O704" s="19" t="inlineStr"/>
      <c r="P704" s="18" t="inlineStr"/>
      <c r="Q704" s="19" t="n">
        <v>800500</v>
      </c>
      <c r="R704" s="18" t="inlineStr"/>
      <c r="S704" s="20" t="inlineStr"/>
      <c r="T704" s="6" t="n">
        <v>6</v>
      </c>
      <c r="U704" s="5" t="inlineStr">
        <is>
          <t>Interactive KIOSK | Interactive KIOSK | Interactive KIOSK</t>
        </is>
      </c>
      <c r="V704" s="21">
        <f>HYPERLINK("https://dart.fss.or.kr/dsaf001/main.do?rcpNo=20260323000763", "공시열람")</f>
        <v/>
      </c>
    </row>
    <row r="705">
      <c r="A705" s="5" t="inlineStr">
        <is>
          <t>티에스아이</t>
        </is>
      </c>
      <c r="B705" s="6" t="inlineStr">
        <is>
          <t>277880</t>
        </is>
      </c>
      <c r="C705" s="6" t="inlineStr">
        <is>
          <t>2026Q2</t>
        </is>
      </c>
      <c r="D705" s="6" t="inlineStr">
        <is>
          <t>20260814</t>
        </is>
      </c>
      <c r="E705" s="16" t="n">
        <v>753663</v>
      </c>
      <c r="F705" s="16" t="n">
        <v>545504</v>
      </c>
      <c r="G705" s="16" t="n">
        <v>208160</v>
      </c>
      <c r="H705" s="6" t="inlineStr">
        <is>
          <t>백만원</t>
        </is>
      </c>
      <c r="I705" s="17" t="n">
        <v>-39.3</v>
      </c>
      <c r="J705" s="18" t="n">
        <v>465915</v>
      </c>
      <c r="K705" s="19" t="n">
        <v>103345</v>
      </c>
      <c r="L705" s="18" t="n">
        <v>507077</v>
      </c>
      <c r="M705" s="19" t="n">
        <v>492364</v>
      </c>
      <c r="N705" s="18" t="n">
        <v>465313</v>
      </c>
      <c r="O705" s="19" t="n">
        <v>274355</v>
      </c>
      <c r="P705" s="18" t="n">
        <v>208298</v>
      </c>
      <c r="Q705" s="19" t="n">
        <v>293628</v>
      </c>
      <c r="R705" s="18" t="n">
        <v>342659</v>
      </c>
      <c r="S705" s="20" t="n">
        <v>208160</v>
      </c>
      <c r="T705" s="6" t="n">
        <v>3</v>
      </c>
      <c r="U705" s="5" t="inlineStr">
        <is>
          <t>믹싱시스템 / - | 공사 / - | 제작품 / -</t>
        </is>
      </c>
      <c r="V705" s="21">
        <f>HYPERLINK("https://dart.fss.or.kr/dsaf001/main.do?rcpNo=20260814001782", "공시열람")</f>
        <v/>
      </c>
    </row>
    <row r="706">
      <c r="A706" s="5" t="inlineStr">
        <is>
          <t>HLB바이오스텝</t>
        </is>
      </c>
      <c r="B706" s="6" t="inlineStr">
        <is>
          <t>278650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34083</v>
      </c>
      <c r="H706" s="6" t="inlineStr">
        <is>
          <t>천원</t>
        </is>
      </c>
      <c r="I706" s="17" t="n">
        <v>-99.90000000000001</v>
      </c>
      <c r="J706" s="18" t="inlineStr"/>
      <c r="K706" s="19" t="inlineStr"/>
      <c r="L706" s="18" t="inlineStr"/>
      <c r="M706" s="19" t="inlineStr"/>
      <c r="N706" s="18" t="inlineStr"/>
      <c r="O706" s="19" t="inlineStr"/>
      <c r="P706" s="18" t="n">
        <v>31970718</v>
      </c>
      <c r="Q706" s="19" t="inlineStr"/>
      <c r="R706" s="18" t="n">
        <v>24648959</v>
      </c>
      <c r="S706" s="20" t="n">
        <v>34083</v>
      </c>
      <c r="T706" s="6" t="n">
        <v>3</v>
      </c>
      <c r="U706" s="5" t="inlineStr">
        <is>
          <t>CRO용역(독성) / - / 2026년 04월~2026 | CRO용역(유효성) / - / 2026년 04월~202 | 구축사업 / - / 2026년 04월~2026년 11월</t>
        </is>
      </c>
      <c r="V706" s="21">
        <f>HYPERLINK("https://dart.fss.or.kr/dsaf001/main.do?rcpNo=20260814003288", "공시열람")</f>
        <v/>
      </c>
    </row>
    <row r="707">
      <c r="A707" s="5" t="inlineStr">
        <is>
          <t>이노벡스</t>
        </is>
      </c>
      <c r="B707" s="6" t="inlineStr">
        <is>
          <t>279060</t>
        </is>
      </c>
      <c r="C707" s="6" t="inlineStr">
        <is>
          <t>2025Q4</t>
        </is>
      </c>
      <c r="D707" s="6" t="inlineStr">
        <is>
          <t>20260331</t>
        </is>
      </c>
      <c r="E707" s="16" t="n">
        <v>10452000</v>
      </c>
      <c r="F707" s="16" t="n">
        <v>7306900</v>
      </c>
      <c r="G707" s="16" t="n">
        <v>3145100</v>
      </c>
      <c r="H707" s="6" t="inlineStr">
        <is>
          <t>천원</t>
        </is>
      </c>
      <c r="I707" s="17" t="n">
        <v>-71</v>
      </c>
      <c r="J707" s="18" t="inlineStr"/>
      <c r="K707" s="19" t="inlineStr"/>
      <c r="L707" s="18" t="inlineStr"/>
      <c r="M707" s="19" t="n">
        <v>10860600</v>
      </c>
      <c r="N707" s="18" t="inlineStr"/>
      <c r="O707" s="19" t="inlineStr"/>
      <c r="P707" s="18" t="inlineStr"/>
      <c r="Q707" s="19" t="n">
        <v>3145100</v>
      </c>
      <c r="R707" s="18" t="inlineStr"/>
      <c r="S707" s="20" t="inlineStr"/>
      <c r="T707" s="6" t="n">
        <v>6</v>
      </c>
      <c r="U707" s="5" t="inlineStr">
        <is>
          <t>2차전지활성화공정장비 / 2024-12-05 / 202 | TAS사업 / 2025-12-26 / 2026-04-3 | 2차전지활성화공정장비 / 2024-12-13 / 202</t>
        </is>
      </c>
      <c r="V707" s="21">
        <f>HYPERLINK("https://dart.fss.or.kr/dsaf001/main.do?rcpNo=20260331004637", "공시열람")</f>
        <v/>
      </c>
    </row>
    <row r="708">
      <c r="A708" s="5" t="inlineStr">
        <is>
          <t>미디어젠</t>
        </is>
      </c>
      <c r="B708" s="6" t="inlineStr">
        <is>
          <t>279600</t>
        </is>
      </c>
      <c r="C708" s="6" t="inlineStr">
        <is>
          <t>2026Q2</t>
        </is>
      </c>
      <c r="D708" s="6" t="inlineStr">
        <is>
          <t>20260813</t>
        </is>
      </c>
      <c r="E708" s="16" t="n">
        <v>14368</v>
      </c>
      <c r="F708" s="16" t="n">
        <v>6159</v>
      </c>
      <c r="G708" s="16" t="n">
        <v>8210</v>
      </c>
      <c r="H708" s="6" t="inlineStr">
        <is>
          <t>백만원</t>
        </is>
      </c>
      <c r="I708" s="17" t="n">
        <v>3.4</v>
      </c>
      <c r="J708" s="18" t="n">
        <v>3337</v>
      </c>
      <c r="K708" s="19" t="n">
        <v>9729</v>
      </c>
      <c r="L708" s="18" t="n">
        <v>9627</v>
      </c>
      <c r="M708" s="19" t="n">
        <v>15285</v>
      </c>
      <c r="N708" s="18" t="n">
        <v>9319</v>
      </c>
      <c r="O708" s="19" t="n">
        <v>8581</v>
      </c>
      <c r="P708" s="18" t="n">
        <v>11503</v>
      </c>
      <c r="Q708" s="19" t="n">
        <v>7181</v>
      </c>
      <c r="R708" s="18" t="n">
        <v>7938</v>
      </c>
      <c r="S708" s="20" t="n">
        <v>8210</v>
      </c>
      <c r="T708" s="6" t="n">
        <v>6</v>
      </c>
      <c r="U708" s="5" t="inlineStr">
        <is>
          <t>음성인식용역 / 전년도 수주이월(주1) / - | 음성인식용역 / 2026.1~2026.6 / - | 기타개발용역 / 2026.1~2026.6 / -</t>
        </is>
      </c>
      <c r="V708" s="21">
        <f>HYPERLINK("https://dart.fss.or.kr/dsaf001/main.do?rcpNo=20260813001467", "공시열람")</f>
        <v/>
      </c>
    </row>
    <row r="709">
      <c r="A709" s="5" t="inlineStr">
        <is>
          <t>케이씨텍</t>
        </is>
      </c>
      <c r="B709" s="6" t="inlineStr">
        <is>
          <t>281820</t>
        </is>
      </c>
      <c r="C709" s="6" t="inlineStr">
        <is>
          <t>2024Q4</t>
        </is>
      </c>
      <c r="D709" s="6" t="inlineStr">
        <is>
          <t>20250318</t>
        </is>
      </c>
      <c r="E709" s="16" t="inlineStr"/>
      <c r="F709" s="16" t="inlineStr"/>
      <c r="G709" s="16" t="n">
        <v>40755952</v>
      </c>
      <c r="H709" s="6" t="inlineStr">
        <is>
          <t>천원</t>
        </is>
      </c>
      <c r="I709" s="17" t="n">
        <v>-4.6</v>
      </c>
      <c r="J709" s="18" t="n">
        <v>40755952</v>
      </c>
      <c r="K709" s="19" t="n">
        <v>40755952</v>
      </c>
      <c r="L709" s="18" t="n">
        <v>42728355</v>
      </c>
      <c r="M709" s="19" t="n">
        <v>40755952</v>
      </c>
      <c r="N709" s="18" t="inlineStr"/>
      <c r="O709" s="19" t="inlineStr"/>
      <c r="P709" s="18" t="inlineStr"/>
      <c r="Q709" s="19" t="inlineStr"/>
      <c r="R709" s="18" t="inlineStr"/>
      <c r="S709" s="20" t="inlineStr"/>
      <c r="T709" s="6" t="n">
        <v>2</v>
      </c>
      <c r="U709" s="5" t="inlineStr">
        <is>
          <t>디스플레이부문 | 반도체부문</t>
        </is>
      </c>
      <c r="V709" s="21">
        <f>HYPERLINK("https://dart.fss.or.kr/dsaf001/main.do?rcpNo=20250318001445", "공시열람")</f>
        <v/>
      </c>
    </row>
    <row r="710">
      <c r="A710" s="5" t="inlineStr">
        <is>
          <t>금양그린파워</t>
        </is>
      </c>
      <c r="B710" s="6" t="inlineStr">
        <is>
          <t>282720</t>
        </is>
      </c>
      <c r="C710" s="6" t="inlineStr">
        <is>
          <t>2026Q2</t>
        </is>
      </c>
      <c r="D710" s="6" t="inlineStr">
        <is>
          <t>20260813</t>
        </is>
      </c>
      <c r="E710" s="16" t="n">
        <v>955164337</v>
      </c>
      <c r="F710" s="16" t="n">
        <v>690688046</v>
      </c>
      <c r="G710" s="16" t="n">
        <v>264476291</v>
      </c>
      <c r="H710" s="6" t="inlineStr">
        <is>
          <t>천원</t>
        </is>
      </c>
      <c r="I710" s="17" t="n">
        <v>11.2</v>
      </c>
      <c r="J710" s="18" t="n">
        <v>114143303</v>
      </c>
      <c r="K710" s="19" t="n">
        <v>140437022</v>
      </c>
      <c r="L710" s="18" t="n">
        <v>238060040</v>
      </c>
      <c r="M710" s="19" t="n">
        <v>307278734</v>
      </c>
      <c r="N710" s="18" t="n">
        <v>340992707</v>
      </c>
      <c r="O710" s="19" t="n">
        <v>310093799</v>
      </c>
      <c r="P710" s="18" t="n">
        <v>276403054</v>
      </c>
      <c r="Q710" s="19" t="n">
        <v>293047761</v>
      </c>
      <c r="R710" s="18" t="n">
        <v>237793433</v>
      </c>
      <c r="S710" s="20" t="n">
        <v>264476291</v>
      </c>
      <c r="T710" s="6" t="n">
        <v>48</v>
      </c>
      <c r="U710" s="5" t="inlineStr">
        <is>
          <t>Saudi ARAMCO / 사우디 Amiral | 현대건설 / 신한울3,4호기 전기계장 | 동백마울풍력발전소 / 제주 동백마을 풍력발전</t>
        </is>
      </c>
      <c r="V710" s="21">
        <f>HYPERLINK("https://dart.fss.or.kr/dsaf001/main.do?rcpNo=20260813001497", "공시열람")</f>
        <v/>
      </c>
    </row>
    <row r="711">
      <c r="A711" s="5" t="inlineStr">
        <is>
          <t>코윈테크</t>
        </is>
      </c>
      <c r="B711" s="6" t="inlineStr">
        <is>
          <t>282880</t>
        </is>
      </c>
      <c r="C711" s="6" t="inlineStr">
        <is>
          <t>2026Q2</t>
        </is>
      </c>
      <c r="D711" s="6" t="inlineStr">
        <is>
          <t>20260814</t>
        </is>
      </c>
      <c r="E711" s="16" t="inlineStr"/>
      <c r="F711" s="16" t="inlineStr"/>
      <c r="G711" s="16" t="n">
        <v>281816</v>
      </c>
      <c r="H711" s="6" t="inlineStr">
        <is>
          <t>백만원</t>
        </is>
      </c>
      <c r="I711" s="17" t="n">
        <v>-4.9</v>
      </c>
      <c r="J711" s="18" t="n">
        <v>387003</v>
      </c>
      <c r="K711" s="19" t="n">
        <v>347996</v>
      </c>
      <c r="L711" s="18" t="n">
        <v>262705</v>
      </c>
      <c r="M711" s="19" t="n">
        <v>276601</v>
      </c>
      <c r="N711" s="18" t="n">
        <v>286189</v>
      </c>
      <c r="O711" s="19" t="n">
        <v>250320</v>
      </c>
      <c r="P711" s="18" t="n">
        <v>256779</v>
      </c>
      <c r="Q711" s="19" t="n">
        <v>243857</v>
      </c>
      <c r="R711" s="18" t="n">
        <v>296373</v>
      </c>
      <c r="S711" s="20" t="n">
        <v>281816</v>
      </c>
      <c r="T711" s="6" t="n">
        <v>2</v>
      </c>
      <c r="U711" s="5" t="inlineStr">
        <is>
          <t>로봇 자동화 | 2차전지 시스템엔지니어링</t>
        </is>
      </c>
      <c r="V711" s="21">
        <f>HYPERLINK("https://dart.fss.or.kr/dsaf001/main.do?rcpNo=20260814001249", "공시열람")</f>
        <v/>
      </c>
    </row>
    <row r="712">
      <c r="A712" s="5" t="inlineStr">
        <is>
          <t>SK케미칼</t>
        </is>
      </c>
      <c r="B712" s="6" t="inlineStr">
        <is>
          <t>285130</t>
        </is>
      </c>
      <c r="C712" s="6" t="inlineStr">
        <is>
          <t>2026Q2</t>
        </is>
      </c>
      <c r="D712" s="6" t="inlineStr">
        <is>
          <t>20260813</t>
        </is>
      </c>
      <c r="E712" s="16" t="n">
        <v>2511572</v>
      </c>
      <c r="F712" s="16" t="n">
        <v>1933255</v>
      </c>
      <c r="G712" s="16" t="n">
        <v>578317</v>
      </c>
      <c r="H712" s="6" t="inlineStr">
        <is>
          <t>백만원</t>
        </is>
      </c>
      <c r="I712" s="17" t="n">
        <v>-30.1</v>
      </c>
      <c r="J712" s="18" t="n">
        <v>114955</v>
      </c>
      <c r="K712" s="19" t="n">
        <v>141644</v>
      </c>
      <c r="L712" s="18" t="n">
        <v>107602</v>
      </c>
      <c r="M712" s="19" t="n">
        <v>979319</v>
      </c>
      <c r="N712" s="18" t="n">
        <v>882738</v>
      </c>
      <c r="O712" s="19" t="n">
        <v>804123</v>
      </c>
      <c r="P712" s="18" t="n">
        <v>720658</v>
      </c>
      <c r="Q712" s="19" t="n">
        <v>801010</v>
      </c>
      <c r="R712" s="18" t="n">
        <v>827917</v>
      </c>
      <c r="S712" s="20" t="n">
        <v>578317</v>
      </c>
      <c r="T712" s="6" t="n">
        <v>2</v>
      </c>
      <c r="U712" s="5" t="inlineStr">
        <is>
          <t>CDMO / 2015년~(계약별 상이) / ~2029년 | 백신 원액 및 완제 생산 / 2022년~(계약별 상이)</t>
        </is>
      </c>
      <c r="V712" s="21">
        <f>HYPERLINK("https://dart.fss.or.kr/dsaf001/main.do?rcpNo=20260813001371", "공시열람")</f>
        <v/>
      </c>
    </row>
    <row r="713">
      <c r="A713" s="5" t="inlineStr">
        <is>
          <t>나노실리칸첨단소재</t>
        </is>
      </c>
      <c r="B713" s="6" t="inlineStr">
        <is>
          <t>286750</t>
        </is>
      </c>
      <c r="C713" s="6" t="inlineStr">
        <is>
          <t>2026Q2</t>
        </is>
      </c>
      <c r="D713" s="6" t="inlineStr">
        <is>
          <t>20260814</t>
        </is>
      </c>
      <c r="E713" s="16" t="n">
        <v>3091515</v>
      </c>
      <c r="F713" s="16" t="n">
        <v>1933260</v>
      </c>
      <c r="G713" s="16" t="n">
        <v>1158255</v>
      </c>
      <c r="H713" s="6" t="inlineStr">
        <is>
          <t>EA,천원</t>
        </is>
      </c>
      <c r="I713" s="17" t="n">
        <v>-0.2</v>
      </c>
      <c r="J713" s="18" t="inlineStr"/>
      <c r="K713" s="19" t="inlineStr"/>
      <c r="L713" s="18" t="inlineStr"/>
      <c r="M713" s="19" t="n">
        <v>1959205</v>
      </c>
      <c r="N713" s="18" t="n">
        <v>1284649</v>
      </c>
      <c r="O713" s="19" t="n">
        <v>2812123</v>
      </c>
      <c r="P713" s="18" t="n">
        <v>438228</v>
      </c>
      <c r="Q713" s="19" t="n">
        <v>1519455</v>
      </c>
      <c r="R713" s="18" t="n">
        <v>1160381</v>
      </c>
      <c r="S713" s="20" t="n">
        <v>1158255</v>
      </c>
      <c r="T713" s="6" t="n">
        <v>2</v>
      </c>
      <c r="U713" s="5" t="inlineStr">
        <is>
          <t>M-Tag / 2026-04-22 / 2026-09-1 | M-Tag / 2025-11-26 / 2026-06-3</t>
        </is>
      </c>
      <c r="V713" s="21">
        <f>HYPERLINK("https://dart.fss.or.kr/dsaf001/main.do?rcpNo=20260814002695", "공시열람")</f>
        <v/>
      </c>
    </row>
    <row r="714">
      <c r="A714" s="5" t="inlineStr">
        <is>
          <t>롯데이노베이트</t>
        </is>
      </c>
      <c r="B714" s="6" t="inlineStr">
        <is>
          <t>286940</t>
        </is>
      </c>
      <c r="C714" s="6" t="inlineStr">
        <is>
          <t>2026Q2</t>
        </is>
      </c>
      <c r="D714" s="6" t="inlineStr">
        <is>
          <t>20260813</t>
        </is>
      </c>
      <c r="E714" s="16" t="n">
        <v>326973</v>
      </c>
      <c r="F714" s="16" t="n">
        <v>151834</v>
      </c>
      <c r="G714" s="16" t="n">
        <v>175140</v>
      </c>
      <c r="H714" s="6" t="inlineStr">
        <is>
          <t>백만원</t>
        </is>
      </c>
      <c r="I714" s="17" t="n">
        <v>5.5</v>
      </c>
      <c r="J714" s="18" t="n">
        <v>104192</v>
      </c>
      <c r="K714" s="19" t="n">
        <v>168416</v>
      </c>
      <c r="L714" s="18" t="n">
        <v>185820</v>
      </c>
      <c r="M714" s="19" t="n">
        <v>156942</v>
      </c>
      <c r="N714" s="18" t="n">
        <v>171681</v>
      </c>
      <c r="O714" s="19" t="n">
        <v>157710</v>
      </c>
      <c r="P714" s="18" t="n">
        <v>123869</v>
      </c>
      <c r="Q714" s="19" t="n">
        <v>97278</v>
      </c>
      <c r="R714" s="18" t="n">
        <v>165974</v>
      </c>
      <c r="S714" s="20" t="n">
        <v>175140</v>
      </c>
      <c r="T714" s="6" t="n">
        <v>1</v>
      </c>
      <c r="U714" s="5" t="inlineStr">
        <is>
          <t>시스템 구축 및 운영/유지보수 / -</t>
        </is>
      </c>
      <c r="V714" s="21">
        <f>HYPERLINK("https://dart.fss.or.kr/dsaf001/main.do?rcpNo=20260813001539", "공시열람")</f>
        <v/>
      </c>
    </row>
    <row r="715">
      <c r="A715" s="5" t="inlineStr">
        <is>
          <t>에스프리즘</t>
        </is>
      </c>
      <c r="B715" s="6" t="inlineStr">
        <is>
          <t>288620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19987</v>
      </c>
      <c r="F715" s="16" t="n">
        <v>6023</v>
      </c>
      <c r="G715" s="16" t="n">
        <v>13964</v>
      </c>
      <c r="H715" s="6" t="inlineStr">
        <is>
          <t>백만원</t>
        </is>
      </c>
      <c r="I715" s="17" t="n">
        <v>18.9</v>
      </c>
      <c r="J715" s="18" t="n">
        <v>18659958</v>
      </c>
      <c r="K715" s="19" t="n">
        <v>20171792</v>
      </c>
      <c r="L715" s="18" t="n">
        <v>20810552</v>
      </c>
      <c r="M715" s="19" t="n">
        <v>18869499</v>
      </c>
      <c r="N715" s="18" t="n">
        <v>15320</v>
      </c>
      <c r="O715" s="19" t="n">
        <v>13401</v>
      </c>
      <c r="P715" s="18" t="n">
        <v>10314</v>
      </c>
      <c r="Q715" s="19" t="n">
        <v>5212</v>
      </c>
      <c r="R715" s="18" t="n">
        <v>11741</v>
      </c>
      <c r="S715" s="20" t="n">
        <v>13964</v>
      </c>
      <c r="T715" s="6" t="n">
        <v>2</v>
      </c>
      <c r="U715" s="5" t="inlineStr">
        <is>
          <t>건물용 연료전지 / ~2026.06.30 / ~2026 | 발전용 연료전지 / ~2026.06.30 / ~2033</t>
        </is>
      </c>
      <c r="V715" s="21">
        <f>HYPERLINK("https://dart.fss.or.kr/dsaf001/main.do?rcpNo=20260814003226", "공시열람")</f>
        <v/>
      </c>
    </row>
    <row r="716">
      <c r="A716" s="5" t="inlineStr">
        <is>
          <t>모아데이타</t>
        </is>
      </c>
      <c r="B716" s="6" t="inlineStr">
        <is>
          <t>288980</t>
        </is>
      </c>
      <c r="C716" s="6" t="inlineStr">
        <is>
          <t>2026Q2</t>
        </is>
      </c>
      <c r="D716" s="6" t="inlineStr">
        <is>
          <t>20260814</t>
        </is>
      </c>
      <c r="E716" s="16" t="n">
        <v>2392870</v>
      </c>
      <c r="F716" s="16" t="inlineStr"/>
      <c r="G716" s="16" t="n">
        <v>2392870</v>
      </c>
      <c r="H716" s="6" t="inlineStr">
        <is>
          <t>천원</t>
        </is>
      </c>
      <c r="I716" s="17" t="n">
        <v>0</v>
      </c>
      <c r="J716" s="18" t="n">
        <v>2392870</v>
      </c>
      <c r="K716" s="19" t="n">
        <v>2392870</v>
      </c>
      <c r="L716" s="18" t="n">
        <v>2392870</v>
      </c>
      <c r="M716" s="19" t="n">
        <v>4847938</v>
      </c>
      <c r="N716" s="18" t="n">
        <v>4132870</v>
      </c>
      <c r="O716" s="19" t="n">
        <v>3791226</v>
      </c>
      <c r="P716" s="18" t="n">
        <v>3791226</v>
      </c>
      <c r="Q716" s="19" t="n">
        <v>2392870</v>
      </c>
      <c r="R716" s="18" t="n">
        <v>2392870</v>
      </c>
      <c r="S716" s="20" t="n">
        <v>2392870</v>
      </c>
      <c r="T716" s="6" t="n">
        <v>1</v>
      </c>
      <c r="U716" s="5" t="inlineStr">
        <is>
          <t>AI 탄소중립 융복합구축(주1) / 2024-02-28</t>
        </is>
      </c>
      <c r="V716" s="21">
        <f>HYPERLINK("https://dart.fss.or.kr/dsaf001/main.do?rcpNo=20260814002441", "공시열람")</f>
        <v/>
      </c>
    </row>
    <row r="717">
      <c r="A717" s="5" t="inlineStr">
        <is>
          <t>자이언트스텝</t>
        </is>
      </c>
      <c r="B717" s="6" t="inlineStr">
        <is>
          <t>289220</t>
        </is>
      </c>
      <c r="C717" s="6" t="inlineStr">
        <is>
          <t>2026Q2</t>
        </is>
      </c>
      <c r="D717" s="6" t="inlineStr">
        <is>
          <t>20260814</t>
        </is>
      </c>
      <c r="E717" s="16" t="n">
        <v>48</v>
      </c>
      <c r="F717" s="16" t="n">
        <v>3.6</v>
      </c>
      <c r="G717" s="16" t="n">
        <v>44.4</v>
      </c>
      <c r="H717" s="6" t="inlineStr">
        <is>
          <t>억원</t>
        </is>
      </c>
      <c r="I717" s="17" t="n">
        <v>0</v>
      </c>
      <c r="J717" s="18" t="n">
        <v>44.4</v>
      </c>
      <c r="K717" s="19" t="n">
        <v>44.4</v>
      </c>
      <c r="L717" s="18" t="n">
        <v>44.4</v>
      </c>
      <c r="M717" s="19" t="n">
        <v>44</v>
      </c>
      <c r="N717" s="18" t="n">
        <v>44.4</v>
      </c>
      <c r="O717" s="19" t="n">
        <v>44.4</v>
      </c>
      <c r="P717" s="18" t="n">
        <v>44.4</v>
      </c>
      <c r="Q717" s="19" t="n">
        <v>44.4</v>
      </c>
      <c r="R717" s="18" t="n">
        <v>44.4</v>
      </c>
      <c r="S717" s="20" t="n">
        <v>44.4</v>
      </c>
      <c r="T717" s="6" t="n">
        <v>1</v>
      </c>
      <c r="U717" s="5" t="inlineStr">
        <is>
          <t xml:space="preserve">영화 "하이브(HIVE)" VFX 계약 / 2021년 </t>
        </is>
      </c>
      <c r="V717" s="21">
        <f>HYPERLINK("https://dart.fss.or.kr/dsaf001/main.do?rcpNo=20260814002501", "공시열람")</f>
        <v/>
      </c>
    </row>
    <row r="718">
      <c r="A718" s="5" t="inlineStr">
        <is>
          <t>웨이비스</t>
        </is>
      </c>
      <c r="B718" s="6" t="inlineStr">
        <is>
          <t>289930</t>
        </is>
      </c>
      <c r="C718" s="6" t="inlineStr">
        <is>
          <t>2026Q2</t>
        </is>
      </c>
      <c r="D718" s="6" t="inlineStr">
        <is>
          <t>20260813</t>
        </is>
      </c>
      <c r="E718" s="16" t="n">
        <v>16629129536</v>
      </c>
      <c r="F718" s="16" t="inlineStr"/>
      <c r="G718" s="16" t="n">
        <v>94135747</v>
      </c>
      <c r="H718" s="6" t="inlineStr">
        <is>
          <t>원</t>
        </is>
      </c>
      <c r="I718" s="17" t="n">
        <v>0</v>
      </c>
      <c r="J718" s="18" t="inlineStr"/>
      <c r="K718" s="19" t="inlineStr"/>
      <c r="L718" s="18" t="inlineStr"/>
      <c r="M718" s="19" t="n">
        <v>4393222104</v>
      </c>
      <c r="N718" s="18" t="n">
        <v>3117911353</v>
      </c>
      <c r="O718" s="19" t="n">
        <v>2936596693</v>
      </c>
      <c r="P718" s="18" t="n">
        <v>1235472408</v>
      </c>
      <c r="Q718" s="19" t="n">
        <v>94135747</v>
      </c>
      <c r="R718" s="18" t="n">
        <v>94135747</v>
      </c>
      <c r="S718" s="20" t="n">
        <v>94135747</v>
      </c>
      <c r="T718" s="6" t="n">
        <v>1</v>
      </c>
      <c r="U718" s="5" t="inlineStr">
        <is>
          <t>프로젝트A / 2021.05.24 / 2030.12.3</t>
        </is>
      </c>
      <c r="V718" s="21">
        <f>HYPERLINK("https://dart.fss.or.kr/dsaf001/main.do?rcpNo=20260813000472", "공시열람")</f>
        <v/>
      </c>
    </row>
    <row r="719">
      <c r="A719" s="5" t="inlineStr">
        <is>
          <t>트윔</t>
        </is>
      </c>
      <c r="B719" s="6" t="inlineStr">
        <is>
          <t>290090</t>
        </is>
      </c>
      <c r="C719" s="6" t="inlineStr">
        <is>
          <t>2026Q2</t>
        </is>
      </c>
      <c r="D719" s="6" t="inlineStr">
        <is>
          <t>20260814</t>
        </is>
      </c>
      <c r="E719" s="16" t="n">
        <v>17975</v>
      </c>
      <c r="F719" s="16" t="n">
        <v>4945</v>
      </c>
      <c r="G719" s="16" t="n">
        <v>13030</v>
      </c>
      <c r="H719" s="6" t="inlineStr">
        <is>
          <t>건수,백만원</t>
        </is>
      </c>
      <c r="I719" s="17" t="n">
        <v>14.2</v>
      </c>
      <c r="J719" s="18" t="n">
        <v>18491</v>
      </c>
      <c r="K719" s="19" t="n">
        <v>9884</v>
      </c>
      <c r="L719" s="18" t="n">
        <v>4385</v>
      </c>
      <c r="M719" s="19" t="n">
        <v>6713</v>
      </c>
      <c r="N719" s="18" t="n">
        <v>8383</v>
      </c>
      <c r="O719" s="19" t="n">
        <v>8427</v>
      </c>
      <c r="P719" s="18" t="n">
        <v>9381</v>
      </c>
      <c r="Q719" s="19" t="n">
        <v>10019</v>
      </c>
      <c r="R719" s="18" t="n">
        <v>11409</v>
      </c>
      <c r="S719" s="20" t="n">
        <v>13030</v>
      </c>
      <c r="T719" s="6" t="n">
        <v>1</v>
      </c>
      <c r="U719" s="5" t="inlineStr"/>
      <c r="V719" s="21">
        <f>HYPERLINK("https://dart.fss.or.kr/dsaf001/main.do?rcpNo=20260814002271", "공시열람")</f>
        <v/>
      </c>
    </row>
    <row r="720">
      <c r="A720" s="5" t="inlineStr">
        <is>
          <t>신도기연</t>
        </is>
      </c>
      <c r="B720" s="6" t="inlineStr">
        <is>
          <t>290520</t>
        </is>
      </c>
      <c r="C720" s="6" t="inlineStr">
        <is>
          <t>2026Q2</t>
        </is>
      </c>
      <c r="D720" s="6" t="inlineStr">
        <is>
          <t>20260814</t>
        </is>
      </c>
      <c r="E720" s="16" t="n">
        <v>12801</v>
      </c>
      <c r="F720" s="16" t="n">
        <v>9313</v>
      </c>
      <c r="G720" s="16" t="n">
        <v>3488</v>
      </c>
      <c r="H720" s="6" t="inlineStr">
        <is>
          <t>백만원</t>
        </is>
      </c>
      <c r="I720" s="17" t="n">
        <v>-67.8</v>
      </c>
      <c r="J720" s="18" t="n">
        <v>6245</v>
      </c>
      <c r="K720" s="19" t="n">
        <v>4822</v>
      </c>
      <c r="L720" s="18" t="n">
        <v>3689</v>
      </c>
      <c r="M720" s="19" t="n">
        <v>28340</v>
      </c>
      <c r="N720" s="18" t="n">
        <v>33622</v>
      </c>
      <c r="O720" s="19" t="n">
        <v>31132</v>
      </c>
      <c r="P720" s="18" t="n">
        <v>28968</v>
      </c>
      <c r="Q720" s="19" t="n">
        <v>11004</v>
      </c>
      <c r="R720" s="18" t="n">
        <v>10829</v>
      </c>
      <c r="S720" s="20" t="n">
        <v>3488</v>
      </c>
      <c r="T720" s="6" t="n">
        <v>1</v>
      </c>
      <c r="U720" s="5" t="inlineStr">
        <is>
          <t>디스플레이제조 장비등 / -</t>
        </is>
      </c>
      <c r="V720" s="21">
        <f>HYPERLINK("https://dart.fss.or.kr/dsaf001/main.do?rcpNo=20260814001825", "공시열람")</f>
        <v/>
      </c>
    </row>
    <row r="721">
      <c r="A721" s="5" t="inlineStr">
        <is>
          <t>소룩스</t>
        </is>
      </c>
      <c r="B721" s="6" t="inlineStr">
        <is>
          <t>290690</t>
        </is>
      </c>
      <c r="C721" s="6" t="inlineStr">
        <is>
          <t>2026Q2</t>
        </is>
      </c>
      <c r="D721" s="6" t="inlineStr">
        <is>
          <t>20260930</t>
        </is>
      </c>
      <c r="E721" s="16" t="n">
        <v>110446192920</v>
      </c>
      <c r="F721" s="16" t="n">
        <v>42509644828</v>
      </c>
      <c r="G721" s="16" t="n">
        <v>67936548093</v>
      </c>
      <c r="H721" s="6" t="inlineStr">
        <is>
          <t>천원</t>
        </is>
      </c>
      <c r="I721" s="17" t="n">
        <v>234905.4</v>
      </c>
      <c r="J721" s="18" t="n">
        <v>40841979</v>
      </c>
      <c r="K721" s="19" t="n">
        <v>37891649</v>
      </c>
      <c r="L721" s="18" t="n">
        <v>33661170</v>
      </c>
      <c r="M721" s="19" t="n">
        <v>26456926</v>
      </c>
      <c r="N721" s="18" t="n">
        <v>42972889</v>
      </c>
      <c r="O721" s="19" t="n">
        <v>39828481</v>
      </c>
      <c r="P721" s="18" t="n">
        <v>41723721</v>
      </c>
      <c r="Q721" s="19" t="n">
        <v>33751941</v>
      </c>
      <c r="R721" s="18" t="n">
        <v>28908499</v>
      </c>
      <c r="S721" s="20" t="n">
        <v>67936548093</v>
      </c>
      <c r="T721" s="6" t="n">
        <v>11</v>
      </c>
      <c r="U721" s="5" t="inlineStr">
        <is>
          <t>괴정동 지역주택조합 전기소방통신설비공사 / 2026-0 | 부산 에코2차(13BL) 통신공사 2단계(공사) / 2 | 기타 201개 현장 / -</t>
        </is>
      </c>
      <c r="V721" s="21">
        <f>HYPERLINK("https://dart.fss.or.kr/dsaf001/main.do?rcpNo=20260930000794", "공시열람")</f>
        <v/>
      </c>
    </row>
    <row r="722">
      <c r="A722" s="5" t="inlineStr">
        <is>
          <t>엔피</t>
        </is>
      </c>
      <c r="B722" s="6" t="inlineStr">
        <is>
          <t>291230</t>
        </is>
      </c>
      <c r="C722" s="6" t="inlineStr">
        <is>
          <t>2022Q4</t>
        </is>
      </c>
      <c r="D722" s="6" t="inlineStr">
        <is>
          <t>20240126</t>
        </is>
      </c>
      <c r="E722" s="16" t="inlineStr"/>
      <c r="F722" s="16" t="inlineStr"/>
      <c r="G722" s="16" t="n">
        <v>1321959</v>
      </c>
      <c r="H722" s="6" t="inlineStr">
        <is>
          <t>천원</t>
        </is>
      </c>
      <c r="I722" s="17" t="n">
        <v>-9.5</v>
      </c>
      <c r="J722" s="18" t="inlineStr"/>
      <c r="K722" s="19" t="inlineStr"/>
      <c r="L722" s="18" t="inlineStr"/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/>
      <c r="V722" s="21">
        <f>HYPERLINK("https://dart.fss.or.kr/dsaf001/main.do?rcpNo=20240126000505", "공시열람")</f>
        <v/>
      </c>
    </row>
    <row r="723">
      <c r="A723" s="5" t="inlineStr">
        <is>
          <t>츌립앤사이언스</t>
        </is>
      </c>
      <c r="B723" s="6" t="inlineStr">
        <is>
          <t>291650</t>
        </is>
      </c>
      <c r="C723" s="6" t="inlineStr">
        <is>
          <t>2026Q2</t>
        </is>
      </c>
      <c r="D723" s="6" t="inlineStr">
        <is>
          <t>20260814</t>
        </is>
      </c>
      <c r="E723" s="16" t="n">
        <v>3596929</v>
      </c>
      <c r="F723" s="16" t="inlineStr"/>
      <c r="G723" s="16" t="n">
        <v>771524</v>
      </c>
      <c r="H723" s="6" t="inlineStr">
        <is>
          <t>천원</t>
        </is>
      </c>
      <c r="I723" s="17" t="n">
        <v>-49.4</v>
      </c>
      <c r="J723" s="18" t="inlineStr"/>
      <c r="K723" s="19" t="inlineStr"/>
      <c r="L723" s="18" t="inlineStr"/>
      <c r="M723" s="19" t="n">
        <v>382965</v>
      </c>
      <c r="N723" s="18" t="n">
        <v>690495</v>
      </c>
      <c r="O723" s="19" t="n">
        <v>774456405</v>
      </c>
      <c r="P723" s="18" t="n">
        <v>1108606</v>
      </c>
      <c r="Q723" s="19" t="n">
        <v>1527765</v>
      </c>
      <c r="R723" s="18" t="n">
        <v>1525438</v>
      </c>
      <c r="S723" s="20" t="n">
        <v>771524</v>
      </c>
      <c r="T723" s="6" t="n">
        <v>3</v>
      </c>
      <c r="U723" s="5" t="inlineStr">
        <is>
          <t>임상시험 검체분석 / 국내 | 허가목적이 아닌 검체분석 / 국내 | 비임상시험 검체분석 / 국내</t>
        </is>
      </c>
      <c r="V723" s="21">
        <f>HYPERLINK("https://dart.fss.or.kr/dsaf001/main.do?rcpNo=20260814003116", "공시열람")</f>
        <v/>
      </c>
    </row>
    <row r="724">
      <c r="A724" s="5" t="inlineStr">
        <is>
          <t>핀텔</t>
        </is>
      </c>
      <c r="B724" s="6" t="inlineStr">
        <is>
          <t>291810</t>
        </is>
      </c>
      <c r="C724" s="6" t="inlineStr">
        <is>
          <t>2026Q2</t>
        </is>
      </c>
      <c r="D724" s="6" t="inlineStr">
        <is>
          <t>20260812</t>
        </is>
      </c>
      <c r="E724" s="16" t="n">
        <v>7140</v>
      </c>
      <c r="F724" s="16" t="n">
        <v>4385</v>
      </c>
      <c r="G724" s="16" t="n">
        <v>2755</v>
      </c>
      <c r="H724" s="6" t="inlineStr">
        <is>
          <t>백만원</t>
        </is>
      </c>
      <c r="I724" s="17" t="n">
        <v>11.1</v>
      </c>
      <c r="J724" s="18" t="n">
        <v>4320</v>
      </c>
      <c r="K724" s="19" t="n">
        <v>4501</v>
      </c>
      <c r="L724" s="18" t="n">
        <v>4088</v>
      </c>
      <c r="M724" s="19" t="n">
        <v>2819</v>
      </c>
      <c r="N724" s="18" t="n">
        <v>2010</v>
      </c>
      <c r="O724" s="19" t="n">
        <v>5106</v>
      </c>
      <c r="P724" s="18" t="n">
        <v>4767</v>
      </c>
      <c r="Q724" s="19" t="n">
        <v>4507</v>
      </c>
      <c r="R724" s="18" t="n">
        <v>2480</v>
      </c>
      <c r="S724" s="20" t="n">
        <v>2755</v>
      </c>
      <c r="T724" s="6" t="n">
        <v>2</v>
      </c>
      <c r="U724" s="5" t="inlineStr">
        <is>
          <t>보안분야 / - | 교통분야 / -</t>
        </is>
      </c>
      <c r="V724" s="21">
        <f>HYPERLINK("https://dart.fss.or.kr/dsaf001/main.do?rcpNo=20260812000620", "공시열람")</f>
        <v/>
      </c>
    </row>
    <row r="725">
      <c r="A725" s="5" t="inlineStr">
        <is>
          <t>하나제약</t>
        </is>
      </c>
      <c r="B725" s="6" t="inlineStr">
        <is>
          <t>293480</t>
        </is>
      </c>
      <c r="C725" s="6" t="inlineStr">
        <is>
          <t>2026Q2</t>
        </is>
      </c>
      <c r="D725" s="6" t="inlineStr">
        <is>
          <t>20260814</t>
        </is>
      </c>
      <c r="E725" s="16" t="n">
        <v>57378</v>
      </c>
      <c r="F725" s="16" t="n">
        <v>4932</v>
      </c>
      <c r="G725" s="16" t="n">
        <v>52446</v>
      </c>
      <c r="H725" s="6" t="inlineStr">
        <is>
          <t>백만원</t>
        </is>
      </c>
      <c r="I725" s="17" t="n">
        <v>-5.5</v>
      </c>
      <c r="J725" s="18" t="n">
        <v>757</v>
      </c>
      <c r="K725" s="19" t="n">
        <v>9</v>
      </c>
      <c r="L725" s="18" t="inlineStr"/>
      <c r="M725" s="19" t="inlineStr"/>
      <c r="N725" s="18" t="n">
        <v>595</v>
      </c>
      <c r="O725" s="19" t="n">
        <v>57378</v>
      </c>
      <c r="P725" s="18" t="n">
        <v>55966</v>
      </c>
      <c r="Q725" s="19" t="n">
        <v>55524</v>
      </c>
      <c r="R725" s="18" t="n">
        <v>55524</v>
      </c>
      <c r="S725" s="20" t="n">
        <v>52446</v>
      </c>
      <c r="T725" s="6" t="n">
        <v>1</v>
      </c>
      <c r="U725" s="5" t="inlineStr">
        <is>
          <t>CMO</t>
        </is>
      </c>
      <c r="V725" s="21">
        <f>HYPERLINK("https://dart.fss.or.kr/dsaf001/main.do?rcpNo=20260814001371", "공시열람")</f>
        <v/>
      </c>
    </row>
    <row r="726">
      <c r="A726" s="5" t="inlineStr">
        <is>
          <t>이오플로우</t>
        </is>
      </c>
      <c r="B726" s="6" t="inlineStr">
        <is>
          <t>294090</t>
        </is>
      </c>
      <c r="C726" s="6" t="inlineStr">
        <is>
          <t>2025Q3</t>
        </is>
      </c>
      <c r="D726" s="6" t="inlineStr">
        <is>
          <t>20251114</t>
        </is>
      </c>
      <c r="E726" s="16" t="n">
        <v>1157</v>
      </c>
      <c r="F726" s="16" t="n">
        <v>355</v>
      </c>
      <c r="G726" s="16" t="n">
        <v>802</v>
      </c>
      <c r="H726" s="6" t="inlineStr">
        <is>
          <t>백만원,천개</t>
        </is>
      </c>
      <c r="I726" s="17" t="n">
        <v>0</v>
      </c>
      <c r="J726" s="18" t="n">
        <v>150</v>
      </c>
      <c r="K726" s="19" t="n">
        <v>860</v>
      </c>
      <c r="L726" s="18" t="n">
        <v>118</v>
      </c>
      <c r="M726" s="19" t="n">
        <v>413</v>
      </c>
      <c r="N726" s="18" t="n">
        <v>802</v>
      </c>
      <c r="O726" s="19" t="n">
        <v>802</v>
      </c>
      <c r="P726" s="18" t="n">
        <v>802</v>
      </c>
      <c r="Q726" s="19" t="inlineStr"/>
      <c r="R726" s="18" t="inlineStr"/>
      <c r="S726" s="20" t="inlineStr"/>
      <c r="T726" s="6" t="n">
        <v>6</v>
      </c>
      <c r="U726" s="5" t="inlineStr">
        <is>
          <t>EOPatch / 2025.03.18 / 2025.05 | EOPatch / 2025.03.28 / 2025.05 | EOPatch / 2025.01.21 / 2025.03</t>
        </is>
      </c>
      <c r="V726" s="21">
        <f>HYPERLINK("https://dart.fss.or.kr/dsaf001/main.do?rcpNo=20251114000863", "공시열람")</f>
        <v/>
      </c>
    </row>
    <row r="727">
      <c r="A727" s="5" t="inlineStr">
        <is>
          <t>레몬</t>
        </is>
      </c>
      <c r="B727" s="6" t="inlineStr">
        <is>
          <t>294140</t>
        </is>
      </c>
      <c r="C727" s="6" t="inlineStr">
        <is>
          <t>2026Q2</t>
        </is>
      </c>
      <c r="D727" s="6" t="inlineStr">
        <is>
          <t>20260814</t>
        </is>
      </c>
      <c r="E727" s="16" t="n">
        <v>11024</v>
      </c>
      <c r="F727" s="16" t="n">
        <v>9321</v>
      </c>
      <c r="G727" s="16" t="n">
        <v>1703</v>
      </c>
      <c r="H727" s="6" t="inlineStr">
        <is>
          <t>백만원</t>
        </is>
      </c>
      <c r="I727" s="17" t="n">
        <v>-19.2</v>
      </c>
      <c r="J727" s="18" t="n">
        <v>120</v>
      </c>
      <c r="K727" s="19" t="n">
        <v>143</v>
      </c>
      <c r="L727" s="18" t="n">
        <v>45</v>
      </c>
      <c r="M727" s="19" t="n">
        <v>225</v>
      </c>
      <c r="N727" s="18" t="n">
        <v>269</v>
      </c>
      <c r="O727" s="19" t="n">
        <v>168</v>
      </c>
      <c r="P727" s="18" t="n">
        <v>1001</v>
      </c>
      <c r="Q727" s="19" t="n">
        <v>1556</v>
      </c>
      <c r="R727" s="18" t="n">
        <v>2107</v>
      </c>
      <c r="S727" s="20" t="n">
        <v>1703</v>
      </c>
      <c r="T727" s="6" t="n">
        <v>2</v>
      </c>
      <c r="U727" s="5" t="inlineStr">
        <is>
          <t>나노관련 | 기타</t>
        </is>
      </c>
      <c r="V727" s="21">
        <f>HYPERLINK("https://dart.fss.or.kr/dsaf001/main.do?rcpNo=20260814002294", "공시열람")</f>
        <v/>
      </c>
    </row>
    <row r="728">
      <c r="A728" s="5" t="inlineStr">
        <is>
          <t>쿠콘</t>
        </is>
      </c>
      <c r="B728" s="6" t="inlineStr">
        <is>
          <t>294570</t>
        </is>
      </c>
      <c r="C728" s="6" t="inlineStr">
        <is>
          <t>2024Q3</t>
        </is>
      </c>
      <c r="D728" s="6" t="inlineStr">
        <is>
          <t>20241114</t>
        </is>
      </c>
      <c r="E728" s="16" t="n">
        <v>4375</v>
      </c>
      <c r="F728" s="16" t="n">
        <v>4375</v>
      </c>
      <c r="G728" s="16" t="n">
        <v>0</v>
      </c>
      <c r="H728" s="6" t="inlineStr">
        <is>
          <t>백만원</t>
        </is>
      </c>
      <c r="I728" s="17" t="n">
        <v>-100</v>
      </c>
      <c r="J728" s="18" t="n">
        <v>26</v>
      </c>
      <c r="K728" s="19" t="n">
        <v>26</v>
      </c>
      <c r="L728" s="18" t="n">
        <v>0</v>
      </c>
      <c r="M728" s="19" t="inlineStr"/>
      <c r="N728" s="18" t="inlineStr"/>
      <c r="O728" s="19" t="inlineStr"/>
      <c r="P728" s="18" t="inlineStr"/>
      <c r="Q728" s="19" t="inlineStr"/>
      <c r="R728" s="18" t="inlineStr"/>
      <c r="S728" s="20" t="inlineStr"/>
      <c r="T728" s="6" t="n">
        <v>1</v>
      </c>
      <c r="U728" s="5" t="inlineStr">
        <is>
          <t>플랫폼 고도화 / 2023년 4월 / 2024년 5월</t>
        </is>
      </c>
      <c r="V728" s="21">
        <f>HYPERLINK("https://dart.fss.or.kr/dsaf001/main.do?rcpNo=20241114002883", "공시열람")</f>
        <v/>
      </c>
    </row>
    <row r="729">
      <c r="A729" s="5" t="inlineStr">
        <is>
          <t>서남</t>
        </is>
      </c>
      <c r="B729" s="6" t="inlineStr">
        <is>
          <t>294630</t>
        </is>
      </c>
      <c r="C729" s="6" t="inlineStr">
        <is>
          <t>2026Q2</t>
        </is>
      </c>
      <c r="D729" s="6" t="inlineStr">
        <is>
          <t>20260813</t>
        </is>
      </c>
      <c r="E729" s="16" t="inlineStr"/>
      <c r="F729" s="16" t="inlineStr"/>
      <c r="G729" s="16" t="n">
        <v>2590588360</v>
      </c>
      <c r="H729" s="6" t="inlineStr">
        <is>
          <t>원</t>
        </is>
      </c>
      <c r="I729" s="17" t="n">
        <v>171039.5</v>
      </c>
      <c r="J729" s="18" t="n">
        <v>2544425651</v>
      </c>
      <c r="K729" s="19" t="n">
        <v>499236303</v>
      </c>
      <c r="L729" s="18" t="n">
        <v>3577431</v>
      </c>
      <c r="M729" s="19" t="n">
        <v>3577431</v>
      </c>
      <c r="N729" s="18" t="n">
        <v>3198302</v>
      </c>
      <c r="O729" s="19" t="n">
        <v>2590588</v>
      </c>
      <c r="P729" s="18" t="n">
        <v>2216452</v>
      </c>
      <c r="Q729" s="19" t="n">
        <v>1828877</v>
      </c>
      <c r="R729" s="18" t="n">
        <v>1513729</v>
      </c>
      <c r="S729" s="20" t="n">
        <v>2590588360</v>
      </c>
      <c r="T729" s="6" t="n">
        <v>1</v>
      </c>
      <c r="U729" s="5" t="inlineStr">
        <is>
          <t>A Reel to Reel PVD system / -</t>
        </is>
      </c>
      <c r="V729" s="21">
        <f>HYPERLINK("https://dart.fss.or.kr/dsaf001/main.do?rcpNo=20260813001650", "공시열람")</f>
        <v/>
      </c>
    </row>
    <row r="730">
      <c r="A730" s="5" t="inlineStr">
        <is>
          <t>IPARK현대산업개발</t>
        </is>
      </c>
      <c r="B730" s="6" t="inlineStr">
        <is>
          <t>294870</t>
        </is>
      </c>
      <c r="C730" s="6" t="inlineStr">
        <is>
          <t>2026Q2</t>
        </is>
      </c>
      <c r="D730" s="6" t="inlineStr">
        <is>
          <t>20260818</t>
        </is>
      </c>
      <c r="E730" s="16" t="n">
        <v>26519376</v>
      </c>
      <c r="F730" s="16" t="n">
        <v>4225760</v>
      </c>
      <c r="G730" s="16" t="n">
        <v>22293615</v>
      </c>
      <c r="H730" s="6" t="inlineStr">
        <is>
          <t>백만원</t>
        </is>
      </c>
      <c r="I730" s="17" t="n">
        <v>2.8</v>
      </c>
      <c r="J730" s="18" t="n">
        <v>20870598</v>
      </c>
      <c r="K730" s="19" t="n">
        <v>19565207</v>
      </c>
      <c r="L730" s="18" t="n">
        <v>19215968</v>
      </c>
      <c r="M730" s="19" t="n">
        <v>19942970</v>
      </c>
      <c r="N730" s="18" t="n">
        <v>19528498</v>
      </c>
      <c r="O730" s="19" t="n">
        <v>19472415</v>
      </c>
      <c r="P730" s="18" t="n">
        <v>20661544</v>
      </c>
      <c r="Q730" s="19" t="n">
        <v>20955039</v>
      </c>
      <c r="R730" s="18" t="n">
        <v>21681977</v>
      </c>
      <c r="S730" s="20" t="n">
        <v>22293615</v>
      </c>
      <c r="T730" s="6" t="n">
        <v>2</v>
      </c>
      <c r="U730" s="5" t="inlineStr">
        <is>
          <t>민간공사 | 관급공사</t>
        </is>
      </c>
      <c r="V730" s="21">
        <f>HYPERLINK("https://dart.fss.or.kr/dsaf001/main.do?rcpNo=20260818000088", "공시열람")</f>
        <v/>
      </c>
    </row>
    <row r="731">
      <c r="A731" s="5" t="inlineStr">
        <is>
          <t>에이치브이엠</t>
        </is>
      </c>
      <c r="B731" s="6" t="inlineStr">
        <is>
          <t>295310</t>
        </is>
      </c>
      <c r="C731" s="6" t="inlineStr">
        <is>
          <t>2026Q2</t>
        </is>
      </c>
      <c r="D731" s="6" t="inlineStr">
        <is>
          <t>20260814</t>
        </is>
      </c>
      <c r="E731" s="16" t="inlineStr"/>
      <c r="F731" s="16" t="inlineStr"/>
      <c r="G731" s="16" t="n">
        <v>63078</v>
      </c>
      <c r="H731" s="6" t="inlineStr">
        <is>
          <t>백만원</t>
        </is>
      </c>
      <c r="I731" s="17" t="n">
        <v>29.8</v>
      </c>
      <c r="J731" s="18" t="inlineStr"/>
      <c r="K731" s="19" t="n">
        <v>21979</v>
      </c>
      <c r="L731" s="18" t="n">
        <v>24738</v>
      </c>
      <c r="M731" s="19" t="n">
        <v>23450</v>
      </c>
      <c r="N731" s="18" t="n">
        <v>19830</v>
      </c>
      <c r="O731" s="19" t="n">
        <v>31960</v>
      </c>
      <c r="P731" s="18" t="n">
        <v>35395</v>
      </c>
      <c r="Q731" s="19" t="n">
        <v>31102</v>
      </c>
      <c r="R731" s="18" t="n">
        <v>48593</v>
      </c>
      <c r="S731" s="20" t="n">
        <v>63078</v>
      </c>
      <c r="T731" s="6" t="n">
        <v>0</v>
      </c>
      <c r="U731" s="5" t="inlineStr"/>
      <c r="V731" s="21">
        <f>HYPERLINK("https://dart.fss.or.kr/dsaf001/main.do?rcpNo=20260814004157", "공시열람")</f>
        <v/>
      </c>
    </row>
    <row r="732">
      <c r="A732" s="5" t="inlineStr">
        <is>
          <t>이노에이엑스</t>
        </is>
      </c>
      <c r="B732" s="6" t="inlineStr">
        <is>
          <t>296640</t>
        </is>
      </c>
      <c r="C732" s="6" t="inlineStr">
        <is>
          <t>2026Q2</t>
        </is>
      </c>
      <c r="D732" s="6" t="inlineStr">
        <is>
          <t>20260814</t>
        </is>
      </c>
      <c r="E732" s="16" t="n">
        <v>40192</v>
      </c>
      <c r="F732" s="16" t="n">
        <v>22341</v>
      </c>
      <c r="G732" s="16" t="n">
        <v>17856</v>
      </c>
      <c r="H732" s="6" t="inlineStr">
        <is>
          <t>백만원</t>
        </is>
      </c>
      <c r="I732" s="17" t="n">
        <v>-1.4</v>
      </c>
      <c r="J732" s="18" t="n">
        <v>17100</v>
      </c>
      <c r="K732" s="19" t="n">
        <v>16965</v>
      </c>
      <c r="L732" s="18" t="n">
        <v>13105</v>
      </c>
      <c r="M732" s="19" t="n">
        <v>18549</v>
      </c>
      <c r="N732" s="18" t="n">
        <v>16541</v>
      </c>
      <c r="O732" s="19" t="n">
        <v>15792</v>
      </c>
      <c r="P732" s="18" t="n">
        <v>16183</v>
      </c>
      <c r="Q732" s="19" t="n">
        <v>18159</v>
      </c>
      <c r="R732" s="18" t="n">
        <v>18111</v>
      </c>
      <c r="S732" s="20" t="n">
        <v>17856</v>
      </c>
      <c r="T732" s="6" t="n">
        <v>3</v>
      </c>
      <c r="U732" s="5" t="inlineStr">
        <is>
          <t>프로페셔널 서비스 | 기술료 | 라이선스</t>
        </is>
      </c>
      <c r="V732" s="21">
        <f>HYPERLINK("https://dart.fss.or.kr/dsaf001/main.do?rcpNo=20260814001685", "공시열람")</f>
        <v/>
      </c>
    </row>
    <row r="733">
      <c r="A733" s="5" t="inlineStr">
        <is>
          <t>HB솔루션</t>
        </is>
      </c>
      <c r="B733" s="6" t="inlineStr">
        <is>
          <t>297890</t>
        </is>
      </c>
      <c r="C733" s="6" t="inlineStr">
        <is>
          <t>2026Q2</t>
        </is>
      </c>
      <c r="D733" s="6" t="inlineStr">
        <is>
          <t>20260814</t>
        </is>
      </c>
      <c r="E733" s="16" t="n">
        <v>51959</v>
      </c>
      <c r="F733" s="16" t="n">
        <v>24863</v>
      </c>
      <c r="G733" s="16" t="n">
        <v>27096</v>
      </c>
      <c r="H733" s="6" t="inlineStr">
        <is>
          <t>백만원</t>
        </is>
      </c>
      <c r="I733" s="17" t="n">
        <v>47.9</v>
      </c>
      <c r="J733" s="18" t="n">
        <v>87927</v>
      </c>
      <c r="K733" s="19" t="n">
        <v>44871</v>
      </c>
      <c r="L733" s="18" t="n">
        <v>64852</v>
      </c>
      <c r="M733" s="19" t="n">
        <v>54824</v>
      </c>
      <c r="N733" s="18" t="n">
        <v>40929</v>
      </c>
      <c r="O733" s="19" t="n">
        <v>13965</v>
      </c>
      <c r="P733" s="18" t="n">
        <v>19717</v>
      </c>
      <c r="Q733" s="19" t="n">
        <v>16793</v>
      </c>
      <c r="R733" s="18" t="n">
        <v>18319</v>
      </c>
      <c r="S733" s="20" t="n">
        <v>27096</v>
      </c>
      <c r="T733" s="6" t="n">
        <v>1</v>
      </c>
      <c r="U733" s="5" t="inlineStr">
        <is>
          <t>디스플레이, 반도체,이차전지 설비 / -</t>
        </is>
      </c>
      <c r="V733" s="21">
        <f>HYPERLINK("https://dart.fss.or.kr/dsaf001/main.do?rcpNo=20260814002863", "공시열람")</f>
        <v/>
      </c>
    </row>
    <row r="734">
      <c r="A734" s="5" t="inlineStr">
        <is>
          <t>효성중공업</t>
        </is>
      </c>
      <c r="B734" s="6" t="inlineStr">
        <is>
          <t>298040</t>
        </is>
      </c>
      <c r="C734" s="6" t="inlineStr">
        <is>
          <t>2026Q2</t>
        </is>
      </c>
      <c r="D734" s="6" t="inlineStr">
        <is>
          <t>20260813</t>
        </is>
      </c>
      <c r="E734" s="16" t="n">
        <v>12131411</v>
      </c>
      <c r="F734" s="16" t="n">
        <v>3971095</v>
      </c>
      <c r="G734" s="16" t="n">
        <v>32958249</v>
      </c>
      <c r="H734" s="6" t="inlineStr">
        <is>
          <t>백만원</t>
        </is>
      </c>
      <c r="I734" s="17" t="n">
        <v>11.8</v>
      </c>
      <c r="J734" s="18" t="n">
        <v>39741022</v>
      </c>
      <c r="K734" s="19" t="n">
        <v>40867602</v>
      </c>
      <c r="L734" s="18" t="n">
        <v>44210450</v>
      </c>
      <c r="M734" s="19" t="n">
        <v>49657494</v>
      </c>
      <c r="N734" s="18" t="n">
        <v>20976755</v>
      </c>
      <c r="O734" s="19" t="n">
        <v>21920840</v>
      </c>
      <c r="P734" s="18" t="n">
        <v>22245977</v>
      </c>
      <c r="Q734" s="19" t="n">
        <v>24389683</v>
      </c>
      <c r="R734" s="18" t="n">
        <v>29489574</v>
      </c>
      <c r="S734" s="20" t="n">
        <v>32958249</v>
      </c>
      <c r="T734" s="6" t="n">
        <v>3</v>
      </c>
      <c r="U734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4" s="21">
        <f>HYPERLINK("https://dart.fss.or.kr/dsaf001/main.do?rcpNo=20260813001554", "공시열람")</f>
        <v/>
      </c>
    </row>
    <row r="735">
      <c r="A735" s="5" t="inlineStr">
        <is>
          <t>하나기술</t>
        </is>
      </c>
      <c r="B735" s="6" t="inlineStr">
        <is>
          <t>299030</t>
        </is>
      </c>
      <c r="C735" s="6" t="inlineStr">
        <is>
          <t>2026Q2</t>
        </is>
      </c>
      <c r="D735" s="6" t="inlineStr">
        <is>
          <t>20260814</t>
        </is>
      </c>
      <c r="E735" s="16" t="n">
        <v>577804</v>
      </c>
      <c r="F735" s="16" t="n">
        <v>95266</v>
      </c>
      <c r="G735" s="16" t="n">
        <v>482537</v>
      </c>
      <c r="H735" s="6" t="inlineStr">
        <is>
          <t>백만원</t>
        </is>
      </c>
      <c r="I735" s="17" t="n">
        <v>42.2</v>
      </c>
      <c r="J735" s="18" t="n">
        <v>372236</v>
      </c>
      <c r="K735" s="19" t="n">
        <v>221947</v>
      </c>
      <c r="L735" s="18" t="n">
        <v>146924</v>
      </c>
      <c r="M735" s="19" t="n">
        <v>153465</v>
      </c>
      <c r="N735" s="18" t="n">
        <v>195962</v>
      </c>
      <c r="O735" s="19" t="n">
        <v>203611</v>
      </c>
      <c r="P735" s="18" t="inlineStr"/>
      <c r="Q735" s="19" t="n">
        <v>326212</v>
      </c>
      <c r="R735" s="18" t="n">
        <v>339342</v>
      </c>
      <c r="S735" s="20" t="n">
        <v>482537</v>
      </c>
      <c r="T735" s="6" t="n">
        <v>1</v>
      </c>
      <c r="U735" s="5" t="inlineStr">
        <is>
          <t>이차전지 제조장비 / -</t>
        </is>
      </c>
      <c r="V735" s="21">
        <f>HYPERLINK("https://dart.fss.or.kr/dsaf001/main.do?rcpNo=20260814003482", "공시열람")</f>
        <v/>
      </c>
    </row>
    <row r="736">
      <c r="A736" s="5" t="inlineStr">
        <is>
          <t>셀리드</t>
        </is>
      </c>
      <c r="B736" s="6" t="inlineStr">
        <is>
          <t>299660</t>
        </is>
      </c>
      <c r="C736" s="6" t="inlineStr">
        <is>
          <t>2026Q2</t>
        </is>
      </c>
      <c r="D736" s="6" t="inlineStr">
        <is>
          <t>20260814</t>
        </is>
      </c>
      <c r="E736" s="16" t="n">
        <v>4888000</v>
      </c>
      <c r="F736" s="16" t="n">
        <v>496000</v>
      </c>
      <c r="G736" s="16" t="n">
        <v>4392000</v>
      </c>
      <c r="H736" s="6" t="inlineStr">
        <is>
          <t>천원</t>
        </is>
      </c>
      <c r="I736" s="17" t="n">
        <v>0</v>
      </c>
      <c r="J736" s="18" t="n">
        <v>4888000</v>
      </c>
      <c r="K736" s="19" t="n">
        <v>4484000</v>
      </c>
      <c r="L736" s="18" t="n">
        <v>4392000</v>
      </c>
      <c r="M736" s="19" t="n">
        <v>4576000</v>
      </c>
      <c r="N736" s="18" t="n">
        <v>4576000</v>
      </c>
      <c r="O736" s="19" t="n">
        <v>4576000</v>
      </c>
      <c r="P736" s="18" t="n">
        <v>4392000</v>
      </c>
      <c r="Q736" s="19" t="n">
        <v>4392000</v>
      </c>
      <c r="R736" s="18" t="n">
        <v>4392000</v>
      </c>
      <c r="S736" s="20" t="n">
        <v>4392000</v>
      </c>
      <c r="T736" s="6" t="n">
        <v>1</v>
      </c>
      <c r="U736" s="5" t="inlineStr">
        <is>
          <t>세포유전자치료제 / 2023.03.16 / (주)</t>
        </is>
      </c>
      <c r="V736" s="21">
        <f>HYPERLINK("https://dart.fss.or.kr/dsaf001/main.do?rcpNo=20260814004146", "공시열람")</f>
        <v/>
      </c>
    </row>
    <row r="737">
      <c r="A737" s="5" t="inlineStr">
        <is>
          <t>위지윅스튜디오</t>
        </is>
      </c>
      <c r="B737" s="6" t="inlineStr">
        <is>
          <t>299900</t>
        </is>
      </c>
      <c r="C737" s="6" t="inlineStr">
        <is>
          <t>2023Q4</t>
        </is>
      </c>
      <c r="D737" s="6" t="inlineStr">
        <is>
          <t>20240724</t>
        </is>
      </c>
      <c r="E737" s="16" t="inlineStr"/>
      <c r="F737" s="16" t="inlineStr"/>
      <c r="G737" s="16" t="n">
        <v>1402977</v>
      </c>
      <c r="H737" s="6" t="inlineStr">
        <is>
          <t>천원</t>
        </is>
      </c>
      <c r="I737" s="17" t="inlineStr"/>
      <c r="J737" s="18" t="inlineStr"/>
      <c r="K737" s="19" t="inlineStr"/>
      <c r="L737" s="18" t="inlineStr"/>
      <c r="M737" s="19" t="inlineStr"/>
      <c r="N737" s="18" t="inlineStr"/>
      <c r="O737" s="19" t="inlineStr"/>
      <c r="P737" s="18" t="inlineStr"/>
      <c r="Q737" s="19" t="inlineStr"/>
      <c r="R737" s="18" t="inlineStr"/>
      <c r="S737" s="20" t="inlineStr"/>
      <c r="T737" s="6" t="n">
        <v>1</v>
      </c>
      <c r="U737" s="5" t="inlineStr">
        <is>
          <t>취득원가</t>
        </is>
      </c>
      <c r="V737" s="21">
        <f>HYPERLINK("https://dart.fss.or.kr/dsaf001/main.do?rcpNo=20240724000502", "공시열람")</f>
        <v/>
      </c>
    </row>
    <row r="738">
      <c r="A738" s="5" t="inlineStr">
        <is>
          <t>라온피플</t>
        </is>
      </c>
      <c r="B738" s="6" t="inlineStr">
        <is>
          <t>300120</t>
        </is>
      </c>
      <c r="C738" s="6" t="inlineStr">
        <is>
          <t>2026Q2</t>
        </is>
      </c>
      <c r="D738" s="6" t="inlineStr">
        <is>
          <t>20260814</t>
        </is>
      </c>
      <c r="E738" s="16" t="n">
        <v>385704</v>
      </c>
      <c r="F738" s="16" t="n">
        <v>103956</v>
      </c>
      <c r="G738" s="16" t="n">
        <v>281748</v>
      </c>
      <c r="H738" s="6" t="inlineStr">
        <is>
          <t>백만원</t>
        </is>
      </c>
      <c r="I738" s="17" t="n">
        <v>-4.5</v>
      </c>
      <c r="J738" s="18" t="n">
        <v>39777</v>
      </c>
      <c r="K738" s="19" t="n">
        <v>205291</v>
      </c>
      <c r="L738" s="18" t="n">
        <v>193742</v>
      </c>
      <c r="M738" s="19" t="n">
        <v>7682</v>
      </c>
      <c r="N738" s="18" t="inlineStr"/>
      <c r="O738" s="19" t="n">
        <v>280089</v>
      </c>
      <c r="P738" s="18" t="n">
        <v>275363</v>
      </c>
      <c r="Q738" s="19" t="n">
        <v>316153</v>
      </c>
      <c r="R738" s="18" t="n">
        <v>294879</v>
      </c>
      <c r="S738" s="20" t="n">
        <v>281748</v>
      </c>
      <c r="T738" s="6" t="n">
        <v>3</v>
      </c>
      <c r="U738" s="5" t="inlineStr">
        <is>
          <t>클라우드 등 | AI 비전생성형 AIPlatform | 카메라모듈검사</t>
        </is>
      </c>
      <c r="V738" s="21">
        <f>HYPERLINK("https://dart.fss.or.kr/dsaf001/main.do?rcpNo=20260814002571", "공시열람")</f>
        <v/>
      </c>
    </row>
    <row r="739">
      <c r="A739" s="5" t="inlineStr">
        <is>
          <t>한일시멘트</t>
        </is>
      </c>
      <c r="B739" s="6" t="inlineStr">
        <is>
          <t>300720</t>
        </is>
      </c>
      <c r="C739" s="6" t="inlineStr">
        <is>
          <t>2026Q2</t>
        </is>
      </c>
      <c r="D739" s="6" t="inlineStr">
        <is>
          <t>20260814</t>
        </is>
      </c>
      <c r="E739" s="16" t="n">
        <v>363217</v>
      </c>
      <c r="F739" s="16" t="n">
        <v>180146</v>
      </c>
      <c r="G739" s="16" t="n">
        <v>183071</v>
      </c>
      <c r="H739" s="6" t="inlineStr">
        <is>
          <t>백만원</t>
        </is>
      </c>
      <c r="I739" s="17" t="n">
        <v>2.7</v>
      </c>
      <c r="J739" s="18" t="n">
        <v>259193100290</v>
      </c>
      <c r="K739" s="19" t="n">
        <v>220013996173</v>
      </c>
      <c r="L739" s="18" t="n">
        <v>204122</v>
      </c>
      <c r="M739" s="19" t="n">
        <v>226837</v>
      </c>
      <c r="N739" s="18" t="n">
        <v>214066</v>
      </c>
      <c r="O739" s="19" t="n">
        <v>215258</v>
      </c>
      <c r="P739" s="18" t="n">
        <v>195065</v>
      </c>
      <c r="Q739" s="19" t="n">
        <v>193955</v>
      </c>
      <c r="R739" s="18" t="n">
        <v>178189</v>
      </c>
      <c r="S739" s="20" t="n">
        <v>183071</v>
      </c>
      <c r="T739" s="6" t="n">
        <v>22</v>
      </c>
      <c r="U739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9" s="21">
        <f>HYPERLINK("https://dart.fss.or.kr/dsaf001/main.do?rcpNo=20260814003685", "공시열람")</f>
        <v/>
      </c>
    </row>
    <row r="740">
      <c r="A740" s="5" t="inlineStr">
        <is>
          <t>바이브컴퍼니</t>
        </is>
      </c>
      <c r="B740" s="6" t="inlineStr">
        <is>
          <t>301300</t>
        </is>
      </c>
      <c r="C740" s="6" t="inlineStr">
        <is>
          <t>2026Q2</t>
        </is>
      </c>
      <c r="D740" s="6" t="inlineStr">
        <is>
          <t>20261012</t>
        </is>
      </c>
      <c r="E740" s="16" t="n">
        <v>18792106</v>
      </c>
      <c r="F740" s="16" t="n">
        <v>10901280</v>
      </c>
      <c r="G740" s="16" t="n">
        <v>7890826</v>
      </c>
      <c r="H740" s="6" t="inlineStr">
        <is>
          <t>천원</t>
        </is>
      </c>
      <c r="I740" s="17" t="n">
        <v>3.6</v>
      </c>
      <c r="J740" s="18" t="n">
        <v>5453850</v>
      </c>
      <c r="K740" s="19" t="inlineStr"/>
      <c r="L740" s="18" t="n">
        <v>7344196</v>
      </c>
      <c r="M740" s="19" t="n">
        <v>2404113</v>
      </c>
      <c r="N740" s="18" t="n">
        <v>5172613</v>
      </c>
      <c r="O740" s="19" t="n">
        <v>9112885</v>
      </c>
      <c r="P740" s="18" t="n">
        <v>7032627</v>
      </c>
      <c r="Q740" s="19" t="n">
        <v>2655025</v>
      </c>
      <c r="R740" s="18" t="n">
        <v>7620023</v>
      </c>
      <c r="S740" s="20" t="n">
        <v>7890826</v>
      </c>
      <c r="T740" s="6" t="n">
        <v>21</v>
      </c>
      <c r="U740" s="5" t="inlineStr">
        <is>
          <t>AI솔루션 | SI/SM | AI솔루션</t>
        </is>
      </c>
      <c r="V740" s="21">
        <f>HYPERLINK("https://dart.fss.or.kr/dsaf001/main.do?rcpNo=20261012000289", "공시열람")</f>
        <v/>
      </c>
    </row>
    <row r="741">
      <c r="A741" s="5" t="inlineStr">
        <is>
          <t>이노메트리</t>
        </is>
      </c>
      <c r="B741" s="6" t="inlineStr">
        <is>
          <t>302430</t>
        </is>
      </c>
      <c r="C741" s="6" t="inlineStr">
        <is>
          <t>2024Q1</t>
        </is>
      </c>
      <c r="D741" s="6" t="inlineStr">
        <is>
          <t>20240516</t>
        </is>
      </c>
      <c r="E741" s="16" t="n">
        <v>71769339</v>
      </c>
      <c r="F741" s="16" t="n">
        <v>48635690</v>
      </c>
      <c r="G741" s="16" t="n">
        <v>23133649</v>
      </c>
      <c r="H741" s="6" t="inlineStr">
        <is>
          <t>천원</t>
        </is>
      </c>
      <c r="I741" s="17" t="n">
        <v>-8.800000000000001</v>
      </c>
      <c r="J741" s="18" t="n">
        <v>23133649</v>
      </c>
      <c r="K741" s="19" t="inlineStr"/>
      <c r="L741" s="18" t="inlineStr"/>
      <c r="M741" s="19" t="inlineStr"/>
      <c r="N741" s="18" t="inlineStr"/>
      <c r="O741" s="19" t="inlineStr"/>
      <c r="P741" s="18" t="inlineStr"/>
      <c r="Q741" s="19" t="inlineStr"/>
      <c r="R741" s="18" t="inlineStr"/>
      <c r="S741" s="20" t="inlineStr"/>
      <c r="T741" s="6" t="n">
        <v>13</v>
      </c>
      <c r="U741" s="5" t="inlineStr">
        <is>
          <t>2차전지검사장비 / 2023-11-04 / 2025-0 | 2차전지검사장비 / 2022-12-22 / 2024-0 | 2차전지검사장비 / 2022-12-22 / 2024-0</t>
        </is>
      </c>
      <c r="V741" s="21">
        <f>HYPERLINK("https://dart.fss.or.kr/dsaf001/main.do?rcpNo=20240516000062", "공시열람")</f>
        <v/>
      </c>
    </row>
    <row r="742">
      <c r="A742" s="5" t="inlineStr">
        <is>
          <t>SK바이오사이언스</t>
        </is>
      </c>
      <c r="B742" s="6" t="inlineStr">
        <is>
          <t>302440</t>
        </is>
      </c>
      <c r="C742" s="6" t="inlineStr">
        <is>
          <t>2026Q2</t>
        </is>
      </c>
      <c r="D742" s="6" t="inlineStr">
        <is>
          <t>20260813</t>
        </is>
      </c>
      <c r="E742" s="16" t="n">
        <v>2511572</v>
      </c>
      <c r="F742" s="16" t="n">
        <v>1933255</v>
      </c>
      <c r="G742" s="16" t="n">
        <v>578317</v>
      </c>
      <c r="H742" s="6" t="inlineStr">
        <is>
          <t>백만원</t>
        </is>
      </c>
      <c r="I742" s="17" t="n">
        <v>-30.1</v>
      </c>
      <c r="J742" s="18" t="n">
        <v>114955</v>
      </c>
      <c r="K742" s="19" t="n">
        <v>141644</v>
      </c>
      <c r="L742" s="18" t="n">
        <v>107602</v>
      </c>
      <c r="M742" s="19" t="n">
        <v>979319</v>
      </c>
      <c r="N742" s="18" t="n">
        <v>882738</v>
      </c>
      <c r="O742" s="19" t="n">
        <v>804123</v>
      </c>
      <c r="P742" s="18" t="n">
        <v>720658</v>
      </c>
      <c r="Q742" s="19" t="n">
        <v>801010</v>
      </c>
      <c r="R742" s="18" t="n">
        <v>827917</v>
      </c>
      <c r="S742" s="20" t="n">
        <v>578317</v>
      </c>
      <c r="T742" s="6" t="n">
        <v>2</v>
      </c>
      <c r="U742" s="5" t="inlineStr">
        <is>
          <t>CDMO / 2015년~(계약별 상이) / ~2029년 | 백신 원액 및 완제 생산 / 2022년~(계약별 상이)</t>
        </is>
      </c>
      <c r="V742" s="21">
        <f>HYPERLINK("https://dart.fss.or.kr/dsaf001/main.do?rcpNo=20260813001292", "공시열람")</f>
        <v/>
      </c>
    </row>
    <row r="743">
      <c r="A743" s="5" t="inlineStr">
        <is>
          <t>리메드</t>
        </is>
      </c>
      <c r="B743" s="6" t="inlineStr">
        <is>
          <t>302550</t>
        </is>
      </c>
      <c r="C743" s="6" t="inlineStr">
        <is>
          <t>2026Q2</t>
        </is>
      </c>
      <c r="D743" s="6" t="inlineStr">
        <is>
          <t>20260812</t>
        </is>
      </c>
      <c r="E743" s="16" t="n">
        <v>23436000</v>
      </c>
      <c r="F743" s="16" t="n">
        <v>1922088</v>
      </c>
      <c r="G743" s="16" t="n">
        <v>21513912</v>
      </c>
      <c r="H743" s="6" t="inlineStr">
        <is>
          <t>대,천원</t>
        </is>
      </c>
      <c r="I743" s="17" t="n">
        <v>0</v>
      </c>
      <c r="J743" s="18" t="n">
        <v>21538520</v>
      </c>
      <c r="K743" s="19" t="n">
        <v>21538520</v>
      </c>
      <c r="L743" s="18" t="n">
        <v>21538520</v>
      </c>
      <c r="M743" s="19" t="n">
        <v>21513912</v>
      </c>
      <c r="N743" s="18" t="n">
        <v>21513912</v>
      </c>
      <c r="O743" s="19" t="n">
        <v>21513912</v>
      </c>
      <c r="P743" s="18" t="n">
        <v>21513912</v>
      </c>
      <c r="Q743" s="19" t="n">
        <v>21513912</v>
      </c>
      <c r="R743" s="18" t="n">
        <v>21513912</v>
      </c>
      <c r="S743" s="20" t="n">
        <v>21513912</v>
      </c>
      <c r="T743" s="6" t="n">
        <v>13</v>
      </c>
      <c r="U743" s="5" t="inlineStr">
        <is>
          <t>ZTone plus / 2023.11.02 / 2023 | ZTone plus / 2021.09.27 / 2021 | ZTone plus / 2024.01.16 / 2024</t>
        </is>
      </c>
      <c r="V743" s="21">
        <f>HYPERLINK("https://dart.fss.or.kr/dsaf001/main.do?rcpNo=20260812000883", "공시열람")</f>
        <v/>
      </c>
    </row>
    <row r="744">
      <c r="A744" s="5" t="inlineStr">
        <is>
          <t>동국생명과학</t>
        </is>
      </c>
      <c r="B744" s="6" t="inlineStr">
        <is>
          <t>303810</t>
        </is>
      </c>
      <c r="C744" s="6" t="inlineStr">
        <is>
          <t>2026Q2</t>
        </is>
      </c>
      <c r="D744" s="6" t="inlineStr">
        <is>
          <t>20260814</t>
        </is>
      </c>
      <c r="E744" s="16" t="n">
        <v>1532255</v>
      </c>
      <c r="F744" s="16" t="inlineStr"/>
      <c r="G744" s="16" t="n">
        <v>1532255</v>
      </c>
      <c r="H744" s="6" t="inlineStr">
        <is>
          <t>천원</t>
        </is>
      </c>
      <c r="I744" s="17" t="n">
        <v>-33.4</v>
      </c>
      <c r="J744" s="18" t="inlineStr"/>
      <c r="K744" s="19" t="inlineStr"/>
      <c r="L744" s="18" t="inlineStr"/>
      <c r="M744" s="19" t="n">
        <v>4699240</v>
      </c>
      <c r="N744" s="18" t="n">
        <v>4699240</v>
      </c>
      <c r="O744" s="19" t="n">
        <v>1305331</v>
      </c>
      <c r="P744" s="18" t="n">
        <v>2062558</v>
      </c>
      <c r="Q744" s="19" t="n">
        <v>1399658</v>
      </c>
      <c r="R744" s="18" t="n">
        <v>2301490</v>
      </c>
      <c r="S744" s="20" t="n">
        <v>1532255</v>
      </c>
      <c r="T744" s="6" t="n">
        <v>3</v>
      </c>
      <c r="U744" s="5" t="inlineStr">
        <is>
          <t>C사 / 조영제 / Vial | B사 / 조영제 API / Kg | A사 / 조영제 / Vial</t>
        </is>
      </c>
      <c r="V744" s="21">
        <f>HYPERLINK("https://dart.fss.or.kr/dsaf001/main.do?rcpNo=20260814002097", "공시열람")</f>
        <v/>
      </c>
    </row>
    <row r="745">
      <c r="A745" s="5" t="inlineStr">
        <is>
          <t>솔트룩스</t>
        </is>
      </c>
      <c r="B745" s="6" t="inlineStr">
        <is>
          <t>304100</t>
        </is>
      </c>
      <c r="C745" s="6" t="inlineStr">
        <is>
          <t>2026Q2</t>
        </is>
      </c>
      <c r="D745" s="6" t="inlineStr">
        <is>
          <t>20260814</t>
        </is>
      </c>
      <c r="E745" s="16" t="n">
        <v>19855414</v>
      </c>
      <c r="F745" s="16" t="n">
        <v>6935031</v>
      </c>
      <c r="G745" s="16" t="n">
        <v>12920384</v>
      </c>
      <c r="H745" s="6" t="inlineStr">
        <is>
          <t>천원</t>
        </is>
      </c>
      <c r="I745" s="17" t="n">
        <v>309.5</v>
      </c>
      <c r="J745" s="18" t="n">
        <v>1249055</v>
      </c>
      <c r="K745" s="19" t="n">
        <v>25163</v>
      </c>
      <c r="L745" s="18" t="n">
        <v>19371</v>
      </c>
      <c r="M745" s="19" t="n">
        <v>595897</v>
      </c>
      <c r="N745" s="18" t="n">
        <v>391003</v>
      </c>
      <c r="O745" s="19" t="n">
        <v>3729941</v>
      </c>
      <c r="P745" s="18" t="n">
        <v>4080403</v>
      </c>
      <c r="Q745" s="19" t="n">
        <v>3860077</v>
      </c>
      <c r="R745" s="18" t="n">
        <v>3155538</v>
      </c>
      <c r="S745" s="20" t="n">
        <v>12920384</v>
      </c>
      <c r="T745" s="6" t="n">
        <v>15</v>
      </c>
      <c r="U745" s="5" t="inlineStr">
        <is>
          <t>AI Suite / 삼성에스디에스(주) / 2026-0 | AI Suite / 한전원자력연료 / 2026-06-0 | AI Suite / 동양생명보험(주) / 2026-05</t>
        </is>
      </c>
      <c r="V745" s="21">
        <f>HYPERLINK("https://dart.fss.or.kr/dsaf001/main.do?rcpNo=20260814001518", "공시열람")</f>
        <v/>
      </c>
    </row>
    <row r="746">
      <c r="A746" s="5" t="inlineStr">
        <is>
          <t>세아제강</t>
        </is>
      </c>
      <c r="B746" s="6" t="inlineStr">
        <is>
          <t>306200</t>
        </is>
      </c>
      <c r="C746" s="6" t="inlineStr">
        <is>
          <t>2026Q2</t>
        </is>
      </c>
      <c r="D746" s="6" t="inlineStr">
        <is>
          <t>20260814</t>
        </is>
      </c>
      <c r="E746" s="16" t="n">
        <v>270602</v>
      </c>
      <c r="F746" s="16" t="n">
        <v>202482</v>
      </c>
      <c r="G746" s="16" t="n">
        <v>57760</v>
      </c>
      <c r="H746" s="6" t="inlineStr">
        <is>
          <t>백만원</t>
        </is>
      </c>
      <c r="I746" s="17" t="n">
        <v>-41.9</v>
      </c>
      <c r="J746" s="18" t="n">
        <v>59518</v>
      </c>
      <c r="K746" s="19" t="n">
        <v>39297</v>
      </c>
      <c r="L746" s="18" t="n">
        <v>28941</v>
      </c>
      <c r="M746" s="19" t="n">
        <v>28312</v>
      </c>
      <c r="N746" s="18" t="n">
        <v>22063</v>
      </c>
      <c r="O746" s="19" t="n">
        <v>13697</v>
      </c>
      <c r="P746" s="18" t="n">
        <v>11118</v>
      </c>
      <c r="Q746" s="19" t="n">
        <v>108537</v>
      </c>
      <c r="R746" s="18" t="n">
        <v>99347</v>
      </c>
      <c r="S746" s="20" t="n">
        <v>57760</v>
      </c>
      <c r="T746" s="6" t="n">
        <v>2</v>
      </c>
      <c r="U746" s="5" t="inlineStr">
        <is>
          <t xml:space="preserve">천연가스 이송용 PIPE 공급 계약 / 2025.12. | 카타르 LNG 북부 가스전 프로젝트(STS PIPE) </t>
        </is>
      </c>
      <c r="V746" s="21">
        <f>HYPERLINK("https://dart.fss.or.kr/dsaf001/main.do?rcpNo=20260814003277", "공시열람")</f>
        <v/>
      </c>
    </row>
    <row r="747">
      <c r="A747" s="5" t="inlineStr">
        <is>
          <t>아이엘</t>
        </is>
      </c>
      <c r="B747" s="6" t="inlineStr">
        <is>
          <t>307180</t>
        </is>
      </c>
      <c r="C747" s="6" t="inlineStr">
        <is>
          <t>2026Q2</t>
        </is>
      </c>
      <c r="D747" s="6" t="inlineStr">
        <is>
          <t>20260812</t>
        </is>
      </c>
      <c r="E747" s="16" t="n">
        <v>125025045</v>
      </c>
      <c r="F747" s="16" t="n">
        <v>38197706</v>
      </c>
      <c r="G747" s="16" t="n">
        <v>86817339</v>
      </c>
      <c r="H747" s="6" t="inlineStr">
        <is>
          <t>천원</t>
        </is>
      </c>
      <c r="I747" s="17" t="n">
        <v>0</v>
      </c>
      <c r="J747" s="18" t="n">
        <v>71459722</v>
      </c>
      <c r="K747" s="19" t="n">
        <v>72042712</v>
      </c>
      <c r="L747" s="18" t="n">
        <v>72042712</v>
      </c>
      <c r="M747" s="19" t="n">
        <v>72185570</v>
      </c>
      <c r="N747" s="18" t="n">
        <v>95977954</v>
      </c>
      <c r="O747" s="19" t="n">
        <v>67643548</v>
      </c>
      <c r="P747" s="18" t="n">
        <v>68417593</v>
      </c>
      <c r="Q747" s="19" t="n">
        <v>76025371</v>
      </c>
      <c r="R747" s="18" t="n">
        <v>86817339</v>
      </c>
      <c r="S747" s="20" t="n">
        <v>86817339</v>
      </c>
      <c r="T747" s="6" t="n">
        <v>5</v>
      </c>
      <c r="U747" s="5" t="inlineStr">
        <is>
          <t>전장/조명외 | LED조명/시스템 / - | 모듈 및 램프</t>
        </is>
      </c>
      <c r="V747" s="21">
        <f>HYPERLINK("https://dart.fss.or.kr/dsaf001/main.do?rcpNo=20260812000513", "공시열람")</f>
        <v/>
      </c>
    </row>
    <row r="748">
      <c r="A748" s="5" t="inlineStr">
        <is>
          <t>비투엔</t>
        </is>
      </c>
      <c r="B748" s="6" t="inlineStr">
        <is>
          <t>307870</t>
        </is>
      </c>
      <c r="C748" s="6" t="inlineStr">
        <is>
          <t>2026Q2</t>
        </is>
      </c>
      <c r="D748" s="6" t="inlineStr">
        <is>
          <t>20260813</t>
        </is>
      </c>
      <c r="E748" s="16" t="inlineStr"/>
      <c r="F748" s="16" t="inlineStr"/>
      <c r="G748" s="16" t="n">
        <v>5279</v>
      </c>
      <c r="H748" s="6" t="inlineStr">
        <is>
          <t>백만원</t>
        </is>
      </c>
      <c r="I748" s="17" t="n">
        <v>25.3</v>
      </c>
      <c r="J748" s="18" t="n">
        <v>11610</v>
      </c>
      <c r="K748" s="19" t="n">
        <v>9405</v>
      </c>
      <c r="L748" s="18" t="n">
        <v>9761</v>
      </c>
      <c r="M748" s="19" t="n">
        <v>5934</v>
      </c>
      <c r="N748" s="18" t="n">
        <v>8238</v>
      </c>
      <c r="O748" s="19" t="n">
        <v>4515</v>
      </c>
      <c r="P748" s="18" t="n">
        <v>6208</v>
      </c>
      <c r="Q748" s="19" t="n">
        <v>4579</v>
      </c>
      <c r="R748" s="18" t="n">
        <v>4214</v>
      </c>
      <c r="S748" s="20" t="n">
        <v>5279</v>
      </c>
      <c r="T748" s="6" t="n">
        <v>4</v>
      </c>
      <c r="U748" s="5" t="inlineStr">
        <is>
          <t xml:space="preserve">기타 / - | K사 / 융자차세대시스템 구축_정보계, 데이터관리전환  | 공공 / 차세대 상장공시시스템 구축을 위한 개발 용역 </t>
        </is>
      </c>
      <c r="V748" s="21">
        <f>HYPERLINK("https://dart.fss.or.kr/dsaf001/main.do?rcpNo=20260813000458", "공시열람")</f>
        <v/>
      </c>
    </row>
    <row r="749">
      <c r="A749" s="5" t="inlineStr">
        <is>
          <t>현대오토에버</t>
        </is>
      </c>
      <c r="B749" s="6" t="inlineStr">
        <is>
          <t>307950</t>
        </is>
      </c>
      <c r="C749" s="6" t="inlineStr">
        <is>
          <t>2026Q2</t>
        </is>
      </c>
      <c r="D749" s="6" t="inlineStr">
        <is>
          <t>20260814</t>
        </is>
      </c>
      <c r="E749" s="16" t="n">
        <v>18896</v>
      </c>
      <c r="F749" s="16" t="n">
        <v>6155</v>
      </c>
      <c r="G749" s="16" t="n">
        <v>12741</v>
      </c>
      <c r="H749" s="6" t="inlineStr">
        <is>
          <t>억원</t>
        </is>
      </c>
      <c r="I749" s="17" t="n">
        <v>13.8</v>
      </c>
      <c r="J749" s="18" t="n">
        <v>8031</v>
      </c>
      <c r="K749" s="19" t="n">
        <v>8660</v>
      </c>
      <c r="L749" s="18" t="n">
        <v>10167</v>
      </c>
      <c r="M749" s="19" t="n">
        <v>2888</v>
      </c>
      <c r="N749" s="18" t="n">
        <v>10743</v>
      </c>
      <c r="O749" s="19" t="n">
        <v>14200</v>
      </c>
      <c r="P749" s="18" t="n">
        <v>10072</v>
      </c>
      <c r="Q749" s="19" t="n">
        <v>10775</v>
      </c>
      <c r="R749" s="18" t="n">
        <v>11200</v>
      </c>
      <c r="S749" s="20" t="n">
        <v>12741</v>
      </c>
      <c r="T749" s="6" t="n">
        <v>1</v>
      </c>
      <c r="U749" s="5" t="inlineStr">
        <is>
          <t>시스템 구축 / -</t>
        </is>
      </c>
      <c r="V749" s="21">
        <f>HYPERLINK("https://dart.fss.or.kr/dsaf001/main.do?rcpNo=20260814003571", "공시열람")</f>
        <v/>
      </c>
    </row>
    <row r="750">
      <c r="A750" s="5" t="inlineStr">
        <is>
          <t>아이티켐</t>
        </is>
      </c>
      <c r="B750" s="6" t="inlineStr">
        <is>
          <t>309710</t>
        </is>
      </c>
      <c r="C750" s="6" t="inlineStr">
        <is>
          <t>2026Q1</t>
        </is>
      </c>
      <c r="D750" s="6" t="inlineStr">
        <is>
          <t>20260601</t>
        </is>
      </c>
      <c r="E750" s="16" t="n">
        <v>19921</v>
      </c>
      <c r="F750" s="16" t="n">
        <v>1519</v>
      </c>
      <c r="G750" s="16" t="n">
        <v>18402</v>
      </c>
      <c r="H750" s="6" t="inlineStr">
        <is>
          <t>Kg,백만원</t>
        </is>
      </c>
      <c r="I750" s="17" t="n">
        <v>8.800000000000001</v>
      </c>
      <c r="J750" s="18" t="inlineStr"/>
      <c r="K750" s="19" t="inlineStr"/>
      <c r="L750" s="18" t="inlineStr"/>
      <c r="M750" s="19" t="inlineStr"/>
      <c r="N750" s="18" t="inlineStr"/>
      <c r="O750" s="19" t="n">
        <v>11301</v>
      </c>
      <c r="P750" s="18" t="n">
        <v>9821</v>
      </c>
      <c r="Q750" s="19" t="n">
        <v>16918</v>
      </c>
      <c r="R750" s="18" t="n">
        <v>18402</v>
      </c>
      <c r="S750" s="20" t="inlineStr"/>
      <c r="T750" s="6" t="n">
        <v>14</v>
      </c>
      <c r="U750" s="5" t="inlineStr">
        <is>
          <t>BCBB / 2025-12-04 / 2027-05-31 | SK-BMK / 2026-02-28 / 2026-07- | TPB-100T / 2026-03-20 / 2027-0</t>
        </is>
      </c>
      <c r="V750" s="21">
        <f>HYPERLINK("https://dart.fss.or.kr/dsaf001/main.do?rcpNo=20260601001979", "공시열람")</f>
        <v/>
      </c>
    </row>
    <row r="751">
      <c r="A751" s="5" t="inlineStr">
        <is>
          <t>엘에이티</t>
        </is>
      </c>
      <c r="B751" s="6" t="inlineStr">
        <is>
          <t>311060</t>
        </is>
      </c>
      <c r="C751" s="6" t="inlineStr">
        <is>
          <t>2023Q4</t>
        </is>
      </c>
      <c r="D751" s="6" t="inlineStr">
        <is>
          <t>20240320</t>
        </is>
      </c>
      <c r="E751" s="16" t="n">
        <v>43849725</v>
      </c>
      <c r="F751" s="16" t="n">
        <v>7560166</v>
      </c>
      <c r="G751" s="16" t="n">
        <v>36289559</v>
      </c>
      <c r="H751" s="6" t="inlineStr">
        <is>
          <t>천원</t>
        </is>
      </c>
      <c r="I751" s="17" t="inlineStr"/>
      <c r="J751" s="18" t="inlineStr"/>
      <c r="K751" s="19" t="inlineStr"/>
      <c r="L751" s="18" t="inlineStr"/>
      <c r="M751" s="19" t="inlineStr"/>
      <c r="N751" s="18" t="inlineStr"/>
      <c r="O751" s="19" t="inlineStr"/>
      <c r="P751" s="18" t="inlineStr"/>
      <c r="Q751" s="19" t="inlineStr"/>
      <c r="R751" s="18" t="inlineStr"/>
      <c r="S751" s="20" t="inlineStr"/>
      <c r="T751" s="6" t="n">
        <v>1</v>
      </c>
      <c r="U751" s="5" t="inlineStr">
        <is>
          <t>반도체/Display 장비 등 / 2023년 / 202</t>
        </is>
      </c>
      <c r="V751" s="21">
        <f>HYPERLINK("https://dart.fss.or.kr/dsaf001/main.do?rcpNo=20240320001509", "공시열람")</f>
        <v/>
      </c>
    </row>
    <row r="752">
      <c r="A752" s="5" t="inlineStr">
        <is>
          <t>인터로이드</t>
        </is>
      </c>
      <c r="B752" s="6" t="inlineStr">
        <is>
          <t>311960</t>
        </is>
      </c>
      <c r="C752" s="6" t="inlineStr">
        <is>
          <t>2025Q4</t>
        </is>
      </c>
      <c r="D752" s="6" t="inlineStr">
        <is>
          <t>20260326</t>
        </is>
      </c>
      <c r="E752" s="16" t="inlineStr"/>
      <c r="F752" s="16" t="inlineStr"/>
      <c r="G752" s="16" t="n">
        <v>328458</v>
      </c>
      <c r="H752" s="6" t="inlineStr">
        <is>
          <t>천원</t>
        </is>
      </c>
      <c r="I752" s="17" t="n">
        <v>-65.40000000000001</v>
      </c>
      <c r="J752" s="18" t="inlineStr"/>
      <c r="K752" s="19" t="inlineStr"/>
      <c r="L752" s="18" t="inlineStr"/>
      <c r="M752" s="19" t="n">
        <v>948339</v>
      </c>
      <c r="N752" s="18" t="inlineStr"/>
      <c r="O752" s="19" t="inlineStr"/>
      <c r="P752" s="18" t="inlineStr"/>
      <c r="Q752" s="19" t="n">
        <v>328458</v>
      </c>
      <c r="R752" s="18" t="inlineStr"/>
      <c r="S752" s="20" t="inlineStr"/>
      <c r="T752" s="6" t="n">
        <v>2</v>
      </c>
      <c r="U752" s="5" t="inlineStr">
        <is>
          <t xml:space="preserve">공장설립인허가사전진단서비스시범구축 / 한국산업단지공단  | 24년 사회보장정보시스템 확대개편 사업 / 보건복지부 </t>
        </is>
      </c>
      <c r="V752" s="21">
        <f>HYPERLINK("https://dart.fss.or.kr/dsaf001/main.do?rcpNo=20260326000677", "공시열람")</f>
        <v/>
      </c>
    </row>
    <row r="753">
      <c r="A753" s="5" t="inlineStr">
        <is>
          <t>캐리</t>
        </is>
      </c>
      <c r="B753" s="6" t="inlineStr">
        <is>
          <t>313760</t>
        </is>
      </c>
      <c r="C753" s="6" t="inlineStr">
        <is>
          <t>2024Q4</t>
        </is>
      </c>
      <c r="D753" s="6" t="inlineStr">
        <is>
          <t>20250326</t>
        </is>
      </c>
      <c r="E753" s="16" t="inlineStr"/>
      <c r="F753" s="16" t="inlineStr"/>
      <c r="G753" s="16" t="n">
        <v>125654</v>
      </c>
      <c r="H753" s="6" t="inlineStr">
        <is>
          <t>천원</t>
        </is>
      </c>
      <c r="I753" s="17" t="n">
        <v>-96</v>
      </c>
      <c r="J753" s="18" t="inlineStr"/>
      <c r="K753" s="19" t="inlineStr"/>
      <c r="L753" s="18" t="inlineStr"/>
      <c r="M753" s="19" t="n">
        <v>125654</v>
      </c>
      <c r="N753" s="18" t="inlineStr"/>
      <c r="O753" s="19" t="inlineStr"/>
      <c r="P753" s="18" t="inlineStr"/>
      <c r="Q753" s="19" t="inlineStr"/>
      <c r="R753" s="18" t="inlineStr"/>
      <c r="S753" s="20" t="inlineStr"/>
      <c r="T753" s="6" t="n">
        <v>1</v>
      </c>
      <c r="U753" s="5" t="inlineStr">
        <is>
          <t>효성광양금호1호 태양광발전소 건설 공사</t>
        </is>
      </c>
      <c r="V753" s="21">
        <f>HYPERLINK("https://dart.fss.or.kr/dsaf001/main.do?rcpNo=20250326000865", "공시열람")</f>
        <v/>
      </c>
    </row>
    <row r="754">
      <c r="A754" s="5" t="inlineStr">
        <is>
          <t>지놈앤컴퍼니</t>
        </is>
      </c>
      <c r="B754" s="6" t="inlineStr">
        <is>
          <t>314130</t>
        </is>
      </c>
      <c r="C754" s="6" t="inlineStr">
        <is>
          <t>2026Q2</t>
        </is>
      </c>
      <c r="D754" s="6" t="inlineStr">
        <is>
          <t>20260814</t>
        </is>
      </c>
      <c r="E754" s="16" t="n">
        <v>4916</v>
      </c>
      <c r="F754" s="16" t="n">
        <v>-1484</v>
      </c>
      <c r="G754" s="16" t="n">
        <v>6400</v>
      </c>
      <c r="H754" s="6" t="inlineStr">
        <is>
          <t>백만원</t>
        </is>
      </c>
      <c r="I754" s="17" t="n">
        <v>102.1</v>
      </c>
      <c r="J754" s="18" t="n">
        <v>3298</v>
      </c>
      <c r="K754" s="19" t="n">
        <v>5178</v>
      </c>
      <c r="L754" s="18" t="n">
        <v>7935</v>
      </c>
      <c r="M754" s="19" t="n">
        <v>8000</v>
      </c>
      <c r="N754" s="18" t="n">
        <v>2270</v>
      </c>
      <c r="O754" s="19" t="n">
        <v>5006</v>
      </c>
      <c r="P754" s="18" t="n">
        <v>3501</v>
      </c>
      <c r="Q754" s="19" t="n">
        <v>3488</v>
      </c>
      <c r="R754" s="18" t="n">
        <v>3167</v>
      </c>
      <c r="S754" s="20" t="n">
        <v>6400</v>
      </c>
      <c r="T754" s="6" t="n">
        <v>1</v>
      </c>
      <c r="U754" s="5" t="inlineStr">
        <is>
          <t>CDMO / 2023~ / ~2026</t>
        </is>
      </c>
      <c r="V754" s="21">
        <f>HYPERLINK("https://dart.fss.or.kr/dsaf001/main.do?rcpNo=20260814003059", "공시열람")</f>
        <v/>
      </c>
    </row>
    <row r="755">
      <c r="A755" s="5" t="inlineStr">
        <is>
          <t>딥노이드</t>
        </is>
      </c>
      <c r="B755" s="6" t="inlineStr">
        <is>
          <t>315640</t>
        </is>
      </c>
      <c r="C755" s="6" t="inlineStr">
        <is>
          <t>2026Q2</t>
        </is>
      </c>
      <c r="D755" s="6" t="inlineStr">
        <is>
          <t>20260814</t>
        </is>
      </c>
      <c r="E755" s="16" t="n">
        <v>11954197</v>
      </c>
      <c r="F755" s="16" t="n">
        <v>9390406</v>
      </c>
      <c r="G755" s="16" t="n">
        <v>2563791</v>
      </c>
      <c r="H755" s="6" t="inlineStr">
        <is>
          <t>천원</t>
        </is>
      </c>
      <c r="I755" s="17" t="n">
        <v>-25.8</v>
      </c>
      <c r="J755" s="18" t="n">
        <v>9641359</v>
      </c>
      <c r="K755" s="19" t="n">
        <v>7863159</v>
      </c>
      <c r="L755" s="18" t="n">
        <v>6105915</v>
      </c>
      <c r="M755" s="19" t="n">
        <v>4071022</v>
      </c>
      <c r="N755" s="18" t="n">
        <v>3414278</v>
      </c>
      <c r="O755" s="19" t="n">
        <v>4293914</v>
      </c>
      <c r="P755" s="18" t="n">
        <v>2891025</v>
      </c>
      <c r="Q755" s="19" t="n">
        <v>3303459</v>
      </c>
      <c r="R755" s="18" t="n">
        <v>3455588</v>
      </c>
      <c r="S755" s="20" t="n">
        <v>2563791</v>
      </c>
      <c r="T755" s="6" t="n">
        <v>1</v>
      </c>
      <c r="U755" s="5" t="inlineStr">
        <is>
          <t>인공지능 솔루션 외</t>
        </is>
      </c>
      <c r="V755" s="21">
        <f>HYPERLINK("https://dart.fss.or.kr/dsaf001/main.do?rcpNo=20260814003155", "공시열람")</f>
        <v/>
      </c>
    </row>
    <row r="756">
      <c r="A756" s="5" t="inlineStr">
        <is>
          <t>자이에스앤디</t>
        </is>
      </c>
      <c r="B756" s="6" t="inlineStr">
        <is>
          <t>317400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n">
        <v>455806</v>
      </c>
      <c r="G756" s="16" t="n">
        <v>3222374</v>
      </c>
      <c r="H756" s="6" t="inlineStr">
        <is>
          <t>백만원</t>
        </is>
      </c>
      <c r="I756" s="17" t="n">
        <v>3.5</v>
      </c>
      <c r="J756" s="18" t="n">
        <v>1959428</v>
      </c>
      <c r="K756" s="19" t="n">
        <v>2163936</v>
      </c>
      <c r="L756" s="18" t="n">
        <v>2138083</v>
      </c>
      <c r="M756" s="19" t="n">
        <v>2096342</v>
      </c>
      <c r="N756" s="18" t="n">
        <v>893468</v>
      </c>
      <c r="O756" s="19" t="n">
        <v>1070282</v>
      </c>
      <c r="P756" s="18" t="n">
        <v>888890</v>
      </c>
      <c r="Q756" s="19" t="n">
        <v>3046867</v>
      </c>
      <c r="R756" s="18" t="n">
        <v>3111951</v>
      </c>
      <c r="S756" s="20" t="n">
        <v>3222374</v>
      </c>
      <c r="T756" s="6" t="n">
        <v>14</v>
      </c>
      <c r="U756" s="5" t="inlineStr">
        <is>
          <t>주택사업 / 기타 | Home Solution 사업 / 광주원주고속도로_BT | 주택사업 / 상주자이르네 / 고은건설</t>
        </is>
      </c>
      <c r="V756" s="21">
        <f>HYPERLINK("https://dart.fss.or.kr/dsaf001/main.do?rcpNo=20260814000451", "공시열람")</f>
        <v/>
      </c>
    </row>
    <row r="757">
      <c r="A757" s="5" t="inlineStr">
        <is>
          <t>에스피시스템스</t>
        </is>
      </c>
      <c r="B757" s="6" t="inlineStr">
        <is>
          <t>317830</t>
        </is>
      </c>
      <c r="C757" s="6" t="inlineStr">
        <is>
          <t>2026Q2</t>
        </is>
      </c>
      <c r="D757" s="6" t="inlineStr">
        <is>
          <t>20260930</t>
        </is>
      </c>
      <c r="E757" s="16" t="n">
        <v>107924386</v>
      </c>
      <c r="F757" s="16" t="n">
        <v>83301732</v>
      </c>
      <c r="G757" s="16" t="n">
        <v>24622654</v>
      </c>
      <c r="H757" s="6" t="inlineStr">
        <is>
          <t>천원</t>
        </is>
      </c>
      <c r="I757" s="17" t="n">
        <v>18.8</v>
      </c>
      <c r="J757" s="18" t="n">
        <v>36764409</v>
      </c>
      <c r="K757" s="19" t="n">
        <v>30105272</v>
      </c>
      <c r="L757" s="18" t="n">
        <v>27100452</v>
      </c>
      <c r="M757" s="19" t="n">
        <v>24782556</v>
      </c>
      <c r="N757" s="18" t="n">
        <v>23521045</v>
      </c>
      <c r="O757" s="19" t="n">
        <v>20825020</v>
      </c>
      <c r="P757" s="18" t="n">
        <v>22517781</v>
      </c>
      <c r="Q757" s="19" t="n">
        <v>16924168</v>
      </c>
      <c r="R757" s="18" t="n">
        <v>20718497</v>
      </c>
      <c r="S757" s="20" t="n">
        <v>24622654</v>
      </c>
      <c r="T757" s="6" t="n">
        <v>2</v>
      </c>
      <c r="U757" s="5" t="inlineStr">
        <is>
          <t>자동화시스템 / - | 스마트팩토리솔루션 / -</t>
        </is>
      </c>
      <c r="V757" s="21">
        <f>HYPERLINK("https://dart.fss.or.kr/dsaf001/main.do?rcpNo=20260930000593", "공시열람")</f>
        <v/>
      </c>
    </row>
    <row r="758">
      <c r="A758" s="5" t="inlineStr">
        <is>
          <t>대모</t>
        </is>
      </c>
      <c r="B758" s="6" t="inlineStr">
        <is>
          <t>317850</t>
        </is>
      </c>
      <c r="C758" s="6" t="inlineStr">
        <is>
          <t>2026Q2</t>
        </is>
      </c>
      <c r="D758" s="6" t="inlineStr">
        <is>
          <t>20260814</t>
        </is>
      </c>
      <c r="E758" s="16" t="n">
        <v>29056237</v>
      </c>
      <c r="F758" s="16" t="n">
        <v>22831190</v>
      </c>
      <c r="G758" s="16" t="n">
        <v>6225047</v>
      </c>
      <c r="H758" s="6" t="inlineStr">
        <is>
          <t>천원</t>
        </is>
      </c>
      <c r="I758" s="17" t="n">
        <v>30.9</v>
      </c>
      <c r="J758" s="18" t="n">
        <v>4880287</v>
      </c>
      <c r="K758" s="19" t="n">
        <v>5695854</v>
      </c>
      <c r="L758" s="18" t="n">
        <v>5343881</v>
      </c>
      <c r="M758" s="19" t="n">
        <v>4808916</v>
      </c>
      <c r="N758" s="18" t="n">
        <v>4520733</v>
      </c>
      <c r="O758" s="19" t="n">
        <v>4262696</v>
      </c>
      <c r="P758" s="18" t="n">
        <v>2846846</v>
      </c>
      <c r="Q758" s="19" t="n">
        <v>5646003</v>
      </c>
      <c r="R758" s="18" t="n">
        <v>4757243</v>
      </c>
      <c r="S758" s="20" t="n">
        <v>6225047</v>
      </c>
      <c r="T758" s="6" t="n">
        <v>1</v>
      </c>
      <c r="U758" s="5" t="inlineStr">
        <is>
          <t>유압브레이커 외 / 2026년 1월 ~ 현재 / 202</t>
        </is>
      </c>
      <c r="V758" s="21">
        <f>HYPERLINK("https://dart.fss.or.kr/dsaf001/main.do?rcpNo=20260814001352", "공시열람")</f>
        <v/>
      </c>
    </row>
    <row r="759">
      <c r="A759" s="5" t="inlineStr">
        <is>
          <t>타임기술</t>
        </is>
      </c>
      <c r="B759" s="6" t="inlineStr">
        <is>
          <t>318660</t>
        </is>
      </c>
      <c r="C759" s="6" t="inlineStr">
        <is>
          <t>2025Q4</t>
        </is>
      </c>
      <c r="D759" s="6" t="inlineStr">
        <is>
          <t>20260323</t>
        </is>
      </c>
      <c r="E759" s="16" t="n">
        <v>12050414</v>
      </c>
      <c r="F759" s="16" t="n">
        <v>6658852</v>
      </c>
      <c r="G759" s="16" t="n">
        <v>5391558</v>
      </c>
      <c r="H759" s="6" t="inlineStr">
        <is>
          <t>천원</t>
        </is>
      </c>
      <c r="I759" s="17" t="n">
        <v>-16.3</v>
      </c>
      <c r="J759" s="18" t="inlineStr"/>
      <c r="K759" s="19" t="inlineStr"/>
      <c r="L759" s="18" t="inlineStr"/>
      <c r="M759" s="19" t="n">
        <v>6438018</v>
      </c>
      <c r="N759" s="18" t="inlineStr"/>
      <c r="O759" s="19" t="inlineStr"/>
      <c r="P759" s="18" t="inlineStr"/>
      <c r="Q759" s="19" t="n">
        <v>5391558</v>
      </c>
      <c r="R759" s="18" t="inlineStr"/>
      <c r="S759" s="20" t="inlineStr"/>
      <c r="T759" s="6" t="n">
        <v>26</v>
      </c>
      <c r="U759" s="5" t="inlineStr">
        <is>
          <t>IPS / 한국항공우주산업 / 2025-01-01 | IPS / 한국항공우주산업 / 2024-09-10 | 콘텐츠 / 현대로템 / 2025-08-08</t>
        </is>
      </c>
      <c r="V759" s="21">
        <f>HYPERLINK("https://dart.fss.or.kr/dsaf001/main.do?rcpNo=20260323000081", "공시열람")</f>
        <v/>
      </c>
    </row>
    <row r="760">
      <c r="A760" s="5" t="inlineStr">
        <is>
          <t>현대무벡스</t>
        </is>
      </c>
      <c r="B760" s="6" t="inlineStr">
        <is>
          <t>319400</t>
        </is>
      </c>
      <c r="C760" s="6" t="inlineStr">
        <is>
          <t>2026Q2</t>
        </is>
      </c>
      <c r="D760" s="6" t="inlineStr">
        <is>
          <t>20260814</t>
        </is>
      </c>
      <c r="E760" s="16" t="n">
        <v>548128800</v>
      </c>
      <c r="F760" s="16" t="n">
        <v>166327510</v>
      </c>
      <c r="G760" s="16" t="n">
        <v>381801290</v>
      </c>
      <c r="H760" s="6" t="inlineStr">
        <is>
          <t>천원</t>
        </is>
      </c>
      <c r="I760" s="17" t="n">
        <v>3.9</v>
      </c>
      <c r="J760" s="18" t="n">
        <v>15268789</v>
      </c>
      <c r="K760" s="19" t="n">
        <v>540418228</v>
      </c>
      <c r="L760" s="18" t="n">
        <v>486486816</v>
      </c>
      <c r="M760" s="19" t="n">
        <v>426861169</v>
      </c>
      <c r="N760" s="18" t="n">
        <v>466303912</v>
      </c>
      <c r="O760" s="19" t="n">
        <v>421481842</v>
      </c>
      <c r="P760" s="18" t="n">
        <v>363174184</v>
      </c>
      <c r="Q760" s="19" t="n">
        <v>373176713</v>
      </c>
      <c r="R760" s="18" t="n">
        <v>367420774</v>
      </c>
      <c r="S760" s="20" t="n">
        <v>381801290</v>
      </c>
      <c r="T760" s="6" t="n">
        <v>3</v>
      </c>
      <c r="U760" s="5" t="inlineStr">
        <is>
          <t>물류자동화 / 2026.06.30. 까지 | 승강장 안전문 / 2026.06.30. 까지 | IT서비스 / 2026.06.30. 까지</t>
        </is>
      </c>
      <c r="V760" s="21">
        <f>HYPERLINK("https://dart.fss.or.kr/dsaf001/main.do?rcpNo=20260814003499", "공시열람")</f>
        <v/>
      </c>
    </row>
    <row r="761">
      <c r="A761" s="5" t="inlineStr">
        <is>
          <t>한울반도체</t>
        </is>
      </c>
      <c r="B761" s="6" t="inlineStr">
        <is>
          <t>320000</t>
        </is>
      </c>
      <c r="C761" s="6" t="inlineStr">
        <is>
          <t>2026Q2</t>
        </is>
      </c>
      <c r="D761" s="6" t="inlineStr">
        <is>
          <t>20260814</t>
        </is>
      </c>
      <c r="E761" s="16" t="n">
        <v>9908436</v>
      </c>
      <c r="F761" s="16" t="n">
        <v>4976149</v>
      </c>
      <c r="G761" s="16" t="n">
        <v>4932288</v>
      </c>
      <c r="H761" s="6" t="inlineStr">
        <is>
          <t>천원</t>
        </is>
      </c>
      <c r="I761" s="17" t="n">
        <v>-1.8</v>
      </c>
      <c r="J761" s="18" t="n">
        <v>8322663</v>
      </c>
      <c r="K761" s="19" t="n">
        <v>6124561</v>
      </c>
      <c r="L761" s="18" t="n">
        <v>6804608</v>
      </c>
      <c r="M761" s="19" t="n">
        <v>7629493</v>
      </c>
      <c r="N761" s="18" t="n">
        <v>8734250</v>
      </c>
      <c r="O761" s="19" t="n">
        <v>8959316</v>
      </c>
      <c r="P761" s="18" t="n">
        <v>9579565</v>
      </c>
      <c r="Q761" s="19" t="n">
        <v>6363585</v>
      </c>
      <c r="R761" s="18" t="n">
        <v>5020482</v>
      </c>
      <c r="S761" s="20" t="n">
        <v>4932288</v>
      </c>
      <c r="T761" s="6" t="n">
        <v>3</v>
      </c>
      <c r="U761" s="5" t="inlineStr">
        <is>
          <t>머신비전(주1) / Chip 검사장비 / - | 머신비전(주1) / Display 검사장비 / - | 머신비전(주1) / Film 검사장비 / -</t>
        </is>
      </c>
      <c r="V761" s="21">
        <f>HYPERLINK("https://dart.fss.or.kr/dsaf001/main.do?rcpNo=20260814003668", "공시열람")</f>
        <v/>
      </c>
    </row>
    <row r="762">
      <c r="A762" s="5" t="inlineStr">
        <is>
          <t>프로이천</t>
        </is>
      </c>
      <c r="B762" s="6" t="inlineStr">
        <is>
          <t>321260</t>
        </is>
      </c>
      <c r="C762" s="6" t="inlineStr">
        <is>
          <t>2026Q2</t>
        </is>
      </c>
      <c r="D762" s="6" t="inlineStr">
        <is>
          <t>20260813</t>
        </is>
      </c>
      <c r="E762" s="16" t="n">
        <v>15482</v>
      </c>
      <c r="F762" s="16" t="n">
        <v>15482</v>
      </c>
      <c r="G762" s="16" t="n">
        <v>0</v>
      </c>
      <c r="H762" s="6" t="inlineStr">
        <is>
          <t>백만원</t>
        </is>
      </c>
      <c r="I762" s="17" t="n">
        <v>-100</v>
      </c>
      <c r="J762" s="18" t="n">
        <v>9626</v>
      </c>
      <c r="K762" s="19" t="n">
        <v>4205</v>
      </c>
      <c r="L762" s="18" t="n">
        <v>2500</v>
      </c>
      <c r="M762" s="19" t="n">
        <v>4836</v>
      </c>
      <c r="N762" s="18" t="n">
        <v>2485</v>
      </c>
      <c r="O762" s="19" t="n">
        <v>2781</v>
      </c>
      <c r="P762" s="18" t="n">
        <v>4046</v>
      </c>
      <c r="Q762" s="19" t="n">
        <v>3069</v>
      </c>
      <c r="R762" s="18" t="n">
        <v>5221</v>
      </c>
      <c r="S762" s="20" t="n">
        <v>0</v>
      </c>
      <c r="T762" s="6" t="n">
        <v>2</v>
      </c>
      <c r="U762" s="5" t="inlineStr">
        <is>
          <t>디스플레이 검사장치 / - | 반도체 검사장치 / -</t>
        </is>
      </c>
      <c r="V762" s="21">
        <f>HYPERLINK("https://dart.fss.or.kr/dsaf001/main.do?rcpNo=20260813000508", "공시열람")</f>
        <v/>
      </c>
    </row>
    <row r="763">
      <c r="A763" s="5" t="inlineStr">
        <is>
          <t>센서뷰</t>
        </is>
      </c>
      <c r="B763" s="6" t="inlineStr">
        <is>
          <t>321370</t>
        </is>
      </c>
      <c r="C763" s="6" t="inlineStr">
        <is>
          <t>2026Q2</t>
        </is>
      </c>
      <c r="D763" s="6" t="inlineStr">
        <is>
          <t>20260814</t>
        </is>
      </c>
      <c r="E763" s="16" t="inlineStr"/>
      <c r="F763" s="16" t="inlineStr"/>
      <c r="G763" s="16" t="n">
        <v>22089913</v>
      </c>
      <c r="H763" s="6" t="inlineStr">
        <is>
          <t>천원</t>
        </is>
      </c>
      <c r="I763" s="17" t="n">
        <v>33.9</v>
      </c>
      <c r="J763" s="18" t="inlineStr"/>
      <c r="K763" s="19" t="inlineStr"/>
      <c r="L763" s="18" t="n">
        <v>945562</v>
      </c>
      <c r="M763" s="19" t="n">
        <v>4577353</v>
      </c>
      <c r="N763" s="18" t="n">
        <v>5679754</v>
      </c>
      <c r="O763" s="19" t="n">
        <v>10415701</v>
      </c>
      <c r="P763" s="18" t="n">
        <v>10449728</v>
      </c>
      <c r="Q763" s="19" t="n">
        <v>8177397</v>
      </c>
      <c r="R763" s="18" t="n">
        <v>16496947</v>
      </c>
      <c r="S763" s="20" t="n">
        <v>22089913</v>
      </c>
      <c r="T763" s="6" t="n">
        <v>0</v>
      </c>
      <c r="U763" s="5" t="inlineStr"/>
      <c r="V763" s="21">
        <f>HYPERLINK("https://dart.fss.or.kr/dsaf001/main.do?rcpNo=20260814002382", "공시열람")</f>
        <v/>
      </c>
    </row>
    <row r="764">
      <c r="A764" s="5" t="inlineStr">
        <is>
          <t>티움바이오</t>
        </is>
      </c>
      <c r="B764" s="6" t="inlineStr">
        <is>
          <t>321550</t>
        </is>
      </c>
      <c r="C764" s="6" t="inlineStr">
        <is>
          <t>2026Q2</t>
        </is>
      </c>
      <c r="D764" s="6" t="inlineStr">
        <is>
          <t>20260814</t>
        </is>
      </c>
      <c r="E764" s="16" t="n">
        <v>41513346</v>
      </c>
      <c r="F764" s="16" t="n">
        <v>16193935</v>
      </c>
      <c r="G764" s="16" t="n">
        <v>25319411</v>
      </c>
      <c r="H764" s="6" t="inlineStr">
        <is>
          <t>천원</t>
        </is>
      </c>
      <c r="I764" s="17" t="n">
        <v>3</v>
      </c>
      <c r="J764" s="18" t="n">
        <v>6459279</v>
      </c>
      <c r="K764" s="19" t="n">
        <v>6352419</v>
      </c>
      <c r="L764" s="18" t="n">
        <v>5391920</v>
      </c>
      <c r="M764" s="19" t="n">
        <v>4426646</v>
      </c>
      <c r="N764" s="18" t="n">
        <v>5494042</v>
      </c>
      <c r="O764" s="19" t="n">
        <v>14990431</v>
      </c>
      <c r="P764" s="18" t="n">
        <v>23035137</v>
      </c>
      <c r="Q764" s="19" t="n">
        <v>20577295</v>
      </c>
      <c r="R764" s="18" t="n">
        <v>24583961</v>
      </c>
      <c r="S764" s="20" t="n">
        <v>25319411</v>
      </c>
      <c r="T764" s="6" t="n">
        <v>2</v>
      </c>
      <c r="U764" s="5" t="inlineStr">
        <is>
          <t>위탁개발 및 분석 | 천연화장품 OEM/ODM</t>
        </is>
      </c>
      <c r="V764" s="21">
        <f>HYPERLINK("https://dart.fss.or.kr/dsaf001/main.do?rcpNo=20260814001441", "공시열람")</f>
        <v/>
      </c>
    </row>
    <row r="765">
      <c r="A765" s="5" t="inlineStr">
        <is>
          <t>HD현대에너지솔루션</t>
        </is>
      </c>
      <c r="B765" s="6" t="inlineStr">
        <is>
          <t>322000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14303229</v>
      </c>
      <c r="H765" s="6" t="inlineStr">
        <is>
          <t>천원</t>
        </is>
      </c>
      <c r="I765" s="17" t="n">
        <v>35.8</v>
      </c>
      <c r="J765" s="18" t="n">
        <v>27217550</v>
      </c>
      <c r="K765" s="19" t="n">
        <v>15399084</v>
      </c>
      <c r="L765" s="18" t="n">
        <v>19232675</v>
      </c>
      <c r="M765" s="19" t="n">
        <v>23807433</v>
      </c>
      <c r="N765" s="18" t="n">
        <v>23807433</v>
      </c>
      <c r="O765" s="19" t="n">
        <v>4927681</v>
      </c>
      <c r="P765" s="18" t="n">
        <v>4324569</v>
      </c>
      <c r="Q765" s="19" t="n">
        <v>5379590</v>
      </c>
      <c r="R765" s="18" t="n">
        <v>10529250</v>
      </c>
      <c r="S765" s="20" t="n">
        <v>14303229</v>
      </c>
      <c r="T765" s="6" t="n">
        <v>1</v>
      </c>
      <c r="U765" s="5" t="inlineStr">
        <is>
          <t>모듈설치 공사 / '26.06.30 까지 / -</t>
        </is>
      </c>
      <c r="V765" s="21">
        <f>HYPERLINK("https://dart.fss.or.kr/dsaf001/main.do?rcpNo=20260814002295", "공시열람")</f>
        <v/>
      </c>
    </row>
    <row r="766">
      <c r="A766" s="5" t="inlineStr">
        <is>
          <t>LS티라유텍</t>
        </is>
      </c>
      <c r="B766" s="6" t="inlineStr">
        <is>
          <t>322180</t>
        </is>
      </c>
      <c r="C766" s="6" t="inlineStr">
        <is>
          <t>2026Q2</t>
        </is>
      </c>
      <c r="D766" s="6" t="inlineStr">
        <is>
          <t>20260814</t>
        </is>
      </c>
      <c r="E766" s="16" t="n">
        <v>50590</v>
      </c>
      <c r="F766" s="16" t="n">
        <v>37187</v>
      </c>
      <c r="G766" s="16" t="n">
        <v>13404</v>
      </c>
      <c r="H766" s="6" t="inlineStr">
        <is>
          <t>백만원</t>
        </is>
      </c>
      <c r="I766" s="17" t="n">
        <v>-13.2</v>
      </c>
      <c r="J766" s="18" t="n">
        <v>17017</v>
      </c>
      <c r="K766" s="19" t="n">
        <v>16240</v>
      </c>
      <c r="L766" s="18" t="n">
        <v>11441</v>
      </c>
      <c r="M766" s="19" t="n">
        <v>1098</v>
      </c>
      <c r="N766" s="18" t="n">
        <v>14792</v>
      </c>
      <c r="O766" s="19" t="n">
        <v>581</v>
      </c>
      <c r="P766" s="18" t="n">
        <v>14469</v>
      </c>
      <c r="Q766" s="19" t="n">
        <v>309</v>
      </c>
      <c r="R766" s="18" t="n">
        <v>15445</v>
      </c>
      <c r="S766" s="20" t="n">
        <v>13404</v>
      </c>
      <c r="T766" s="6" t="n">
        <v>5</v>
      </c>
      <c r="U766" s="5" t="inlineStr">
        <is>
          <t>IT서비스 및 SW매출 / - | 파우치형 이차전지 스마트팩토리 구축 / 2024-05- | 물류자동화 공급 / 2025-07-28 / 2026-1</t>
        </is>
      </c>
      <c r="V766" s="21">
        <f>HYPERLINK("https://dart.fss.or.kr/dsaf001/main.do?rcpNo=20260814002493", "공시열람")</f>
        <v/>
      </c>
    </row>
    <row r="767">
      <c r="A767" s="5" t="inlineStr">
        <is>
          <t>제이엘케이</t>
        </is>
      </c>
      <c r="B767" s="6" t="inlineStr">
        <is>
          <t>322510</t>
        </is>
      </c>
      <c r="C767" s="6" t="inlineStr">
        <is>
          <t>2026Q2</t>
        </is>
      </c>
      <c r="D767" s="6" t="inlineStr">
        <is>
          <t>20260814</t>
        </is>
      </c>
      <c r="E767" s="16" t="n">
        <v>1000</v>
      </c>
      <c r="F767" s="16" t="n">
        <v>750</v>
      </c>
      <c r="G767" s="16" t="n">
        <v>250</v>
      </c>
      <c r="H767" s="6" t="inlineStr">
        <is>
          <t>백만원</t>
        </is>
      </c>
      <c r="I767" s="17" t="n">
        <v>0</v>
      </c>
      <c r="J767" s="18" t="n">
        <v>1360</v>
      </c>
      <c r="K767" s="19" t="n">
        <v>1360</v>
      </c>
      <c r="L767" s="18" t="n">
        <v>1360</v>
      </c>
      <c r="M767" s="19" t="n">
        <v>1360</v>
      </c>
      <c r="N767" s="18" t="n">
        <v>700</v>
      </c>
      <c r="O767" s="19" t="n">
        <v>500</v>
      </c>
      <c r="P767" s="18" t="n">
        <v>500</v>
      </c>
      <c r="Q767" s="19" t="n">
        <v>250</v>
      </c>
      <c r="R767" s="18" t="n">
        <v>250</v>
      </c>
      <c r="S767" s="20" t="n">
        <v>250</v>
      </c>
      <c r="T767" s="6" t="n">
        <v>1</v>
      </c>
      <c r="U767" s="5" t="inlineStr">
        <is>
          <t>JVIEWER-X(AI 기반 흉부 X-ray 폐영상 분</t>
        </is>
      </c>
      <c r="V767" s="21">
        <f>HYPERLINK("https://dart.fss.or.kr/dsaf001/main.do?rcpNo=20260814002418", "공시열람")</f>
        <v/>
      </c>
    </row>
    <row r="768">
      <c r="A768" s="5" t="inlineStr">
        <is>
          <t>태성</t>
        </is>
      </c>
      <c r="B768" s="6" t="inlineStr">
        <is>
          <t>323280</t>
        </is>
      </c>
      <c r="C768" s="6" t="inlineStr">
        <is>
          <t>2026Q2</t>
        </is>
      </c>
      <c r="D768" s="6" t="inlineStr">
        <is>
          <t>20260812</t>
        </is>
      </c>
      <c r="E768" s="16" t="n">
        <v>68975</v>
      </c>
      <c r="F768" s="16" t="n">
        <v>23382</v>
      </c>
      <c r="G768" s="16" t="n">
        <v>45593</v>
      </c>
      <c r="H768" s="6" t="inlineStr">
        <is>
          <t>백만원</t>
        </is>
      </c>
      <c r="I768" s="17" t="n">
        <v>43</v>
      </c>
      <c r="J768" s="18" t="n">
        <v>22375</v>
      </c>
      <c r="K768" s="19" t="n">
        <v>16537</v>
      </c>
      <c r="L768" s="18" t="n">
        <v>8512</v>
      </c>
      <c r="M768" s="19" t="n">
        <v>7468</v>
      </c>
      <c r="N768" s="18" t="n">
        <v>7737</v>
      </c>
      <c r="O768" s="19" t="n">
        <v>7076</v>
      </c>
      <c r="P768" s="18" t="n">
        <v>13999</v>
      </c>
      <c r="Q768" s="19" t="n">
        <v>38453</v>
      </c>
      <c r="R768" s="18" t="n">
        <v>31891</v>
      </c>
      <c r="S768" s="20" t="n">
        <v>45593</v>
      </c>
      <c r="T768" s="6" t="n">
        <v>9</v>
      </c>
      <c r="U768" s="5" t="inlineStr">
        <is>
          <t>제품 / - | 제품 / - | 제품 / -</t>
        </is>
      </c>
      <c r="V768" s="21">
        <f>HYPERLINK("https://dart.fss.or.kr/dsaf001/main.do?rcpNo=20260812000203", "공시열람")</f>
        <v/>
      </c>
    </row>
    <row r="769">
      <c r="A769" s="5" t="inlineStr">
        <is>
          <t>다원넥스뷰</t>
        </is>
      </c>
      <c r="B769" s="6" t="inlineStr">
        <is>
          <t>323350</t>
        </is>
      </c>
      <c r="C769" s="6" t="inlineStr">
        <is>
          <t>2023Q4</t>
        </is>
      </c>
      <c r="D769" s="6" t="inlineStr">
        <is>
          <t>20240314</t>
        </is>
      </c>
      <c r="E769" s="16" t="n">
        <v>20729</v>
      </c>
      <c r="F769" s="16" t="n">
        <v>6556</v>
      </c>
      <c r="G769" s="16" t="n">
        <v>14173</v>
      </c>
      <c r="H769" s="6" t="inlineStr"/>
      <c r="I769" s="17" t="inlineStr"/>
      <c r="J769" s="18" t="inlineStr"/>
      <c r="K769" s="19" t="inlineStr"/>
      <c r="L769" s="18" t="inlineStr"/>
      <c r="M769" s="19" t="inlineStr"/>
      <c r="N769" s="18" t="inlineStr"/>
      <c r="O769" s="19" t="inlineStr"/>
      <c r="P769" s="18" t="inlineStr"/>
      <c r="Q769" s="19" t="inlineStr"/>
      <c r="R769" s="18" t="inlineStr"/>
      <c r="S769" s="20" t="inlineStr"/>
      <c r="T769" s="6" t="n">
        <v>1</v>
      </c>
      <c r="U769" s="5" t="inlineStr">
        <is>
          <t>LSMB / 23.01.01 ~ 23.12.31 / 2</t>
        </is>
      </c>
      <c r="V769" s="21">
        <f>HYPERLINK("https://dart.fss.or.kr/dsaf001/main.do?rcpNo=20240314000984", "공시열람")</f>
        <v/>
      </c>
    </row>
    <row r="770">
      <c r="A770" s="5" t="inlineStr">
        <is>
          <t>루닛</t>
        </is>
      </c>
      <c r="B770" s="6" t="inlineStr">
        <is>
          <t>328130</t>
        </is>
      </c>
      <c r="C770" s="6" t="inlineStr">
        <is>
          <t>2026Q2</t>
        </is>
      </c>
      <c r="D770" s="6" t="inlineStr">
        <is>
          <t>20260811</t>
        </is>
      </c>
      <c r="E770" s="16" t="inlineStr"/>
      <c r="F770" s="16" t="inlineStr"/>
      <c r="G770" s="16" t="n">
        <v>20000000</v>
      </c>
      <c r="H770" s="6" t="inlineStr">
        <is>
          <t>USD</t>
        </is>
      </c>
      <c r="I770" s="17" t="n">
        <v>1846.5</v>
      </c>
      <c r="J770" s="18" t="n">
        <v>75903</v>
      </c>
      <c r="K770" s="19" t="n">
        <v>30473</v>
      </c>
      <c r="L770" s="18" t="n">
        <v>70894</v>
      </c>
      <c r="M770" s="19" t="n">
        <v>20650000</v>
      </c>
      <c r="N770" s="18" t="n">
        <v>870689</v>
      </c>
      <c r="O770" s="19" t="n">
        <v>96424</v>
      </c>
      <c r="P770" s="18" t="n">
        <v>23000000</v>
      </c>
      <c r="Q770" s="19" t="n">
        <v>490463</v>
      </c>
      <c r="R770" s="18" t="n">
        <v>1027482</v>
      </c>
      <c r="S770" s="20" t="n">
        <v>20000000</v>
      </c>
      <c r="T770" s="6" t="n">
        <v>1</v>
      </c>
      <c r="U770" s="5" t="inlineStr">
        <is>
          <t>통화선도 / USD</t>
        </is>
      </c>
      <c r="V770" s="21">
        <f>HYPERLINK("https://dart.fss.or.kr/dsaf001/main.do?rcpNo=20260811000657", "공시열람")</f>
        <v/>
      </c>
    </row>
    <row r="771">
      <c r="A771" s="5" t="inlineStr">
        <is>
          <t>HD현대중공업</t>
        </is>
      </c>
      <c r="B771" s="6" t="inlineStr">
        <is>
          <t>329180</t>
        </is>
      </c>
      <c r="C771" s="6" t="inlineStr">
        <is>
          <t>2026Q2</t>
        </is>
      </c>
      <c r="D771" s="6" t="inlineStr">
        <is>
          <t>20260814</t>
        </is>
      </c>
      <c r="E771" s="16" t="inlineStr"/>
      <c r="F771" s="16" t="inlineStr"/>
      <c r="G771" s="16" t="n">
        <v>69514154</v>
      </c>
      <c r="H771" s="6" t="inlineStr">
        <is>
          <t>백만원</t>
        </is>
      </c>
      <c r="I771" s="17" t="n">
        <v>11.8</v>
      </c>
      <c r="J771" s="18" t="n">
        <v>45978622</v>
      </c>
      <c r="K771" s="19" t="n">
        <v>46328902</v>
      </c>
      <c r="L771" s="18" t="n">
        <v>43957480</v>
      </c>
      <c r="M771" s="19" t="n">
        <v>46931768</v>
      </c>
      <c r="N771" s="18" t="n">
        <v>49633635</v>
      </c>
      <c r="O771" s="19" t="n">
        <v>46344247</v>
      </c>
      <c r="P771" s="18" t="n">
        <v>45018051</v>
      </c>
      <c r="Q771" s="19" t="n">
        <v>56384472</v>
      </c>
      <c r="R771" s="18" t="n">
        <v>62170777</v>
      </c>
      <c r="S771" s="20" t="n">
        <v>69514154</v>
      </c>
      <c r="T771" s="6" t="n">
        <v>3</v>
      </c>
      <c r="U771" s="5" t="inlineStr">
        <is>
          <t>조 선 / '26.06.30일까지 / - | 기 타 / '26.06.30일까지 / - | 해양플랜트 / '26.06.30일까지 / -</t>
        </is>
      </c>
      <c r="V771" s="21">
        <f>HYPERLINK("https://dart.fss.or.kr/dsaf001/main.do?rcpNo=20260814002879", "공시열람")</f>
        <v/>
      </c>
    </row>
    <row r="772">
      <c r="A772" s="5" t="inlineStr">
        <is>
          <t>아우토크립트</t>
        </is>
      </c>
      <c r="B772" s="6" t="inlineStr">
        <is>
          <t>331740</t>
        </is>
      </c>
      <c r="C772" s="6" t="inlineStr">
        <is>
          <t>2026Q2</t>
        </is>
      </c>
      <c r="D772" s="6" t="inlineStr">
        <is>
          <t>20260814</t>
        </is>
      </c>
      <c r="E772" s="16" t="n">
        <v>17521589</v>
      </c>
      <c r="F772" s="16" t="inlineStr"/>
      <c r="G772" s="16" t="n">
        <v>8919273</v>
      </c>
      <c r="H772" s="6" t="inlineStr">
        <is>
          <t>천원</t>
        </is>
      </c>
      <c r="I772" s="17" t="n">
        <v>-0.6</v>
      </c>
      <c r="J772" s="18" t="inlineStr"/>
      <c r="K772" s="19" t="inlineStr"/>
      <c r="L772" s="18" t="inlineStr"/>
      <c r="M772" s="19" t="inlineStr"/>
      <c r="N772" s="18" t="inlineStr"/>
      <c r="O772" s="19" t="n">
        <v>8837124</v>
      </c>
      <c r="P772" s="18" t="inlineStr"/>
      <c r="Q772" s="19" t="n">
        <v>8853891</v>
      </c>
      <c r="R772" s="18" t="n">
        <v>8969064</v>
      </c>
      <c r="S772" s="20" t="n">
        <v>8919273</v>
      </c>
      <c r="T772" s="6" t="n">
        <v>16</v>
      </c>
      <c r="U772" s="5" t="inlineStr">
        <is>
          <t xml:space="preserve">기타 | CryptoDev(IVS 사업) / 차량 제어기 보안  | CryptoComm (V2X 사업) / 차량통신 보안 </t>
        </is>
      </c>
      <c r="V772" s="21">
        <f>HYPERLINK("https://dart.fss.or.kr/dsaf001/main.do?rcpNo=20260814003908", "공시열람")</f>
        <v/>
      </c>
    </row>
    <row r="773">
      <c r="A773" s="5" t="inlineStr">
        <is>
          <t>누보</t>
        </is>
      </c>
      <c r="B773" s="6" t="inlineStr">
        <is>
          <t>332290</t>
        </is>
      </c>
      <c r="C773" s="6" t="inlineStr">
        <is>
          <t>2026Q2</t>
        </is>
      </c>
      <c r="D773" s="6" t="inlineStr">
        <is>
          <t>20260929</t>
        </is>
      </c>
      <c r="E773" s="16" t="n">
        <v>8267</v>
      </c>
      <c r="F773" s="16" t="n">
        <v>8153</v>
      </c>
      <c r="G773" s="16" t="n">
        <v>114</v>
      </c>
      <c r="H773" s="6" t="inlineStr">
        <is>
          <t>천KG,천USD</t>
        </is>
      </c>
      <c r="I773" s="17" t="n">
        <v>850</v>
      </c>
      <c r="J773" s="18" t="n">
        <v>794</v>
      </c>
      <c r="K773" s="19" t="n">
        <v>395</v>
      </c>
      <c r="L773" s="18" t="n">
        <v>22217</v>
      </c>
      <c r="M773" s="19" t="n">
        <v>6661</v>
      </c>
      <c r="N773" s="18" t="n">
        <v>2320</v>
      </c>
      <c r="O773" s="19" t="n">
        <v>4790</v>
      </c>
      <c r="P773" s="18" t="n">
        <v>5642</v>
      </c>
      <c r="Q773" s="19" t="n">
        <v>12956</v>
      </c>
      <c r="R773" s="18" t="n">
        <v>12</v>
      </c>
      <c r="S773" s="20" t="n">
        <v>114</v>
      </c>
      <c r="T773" s="6" t="n">
        <v>3</v>
      </c>
      <c r="U773" s="5" t="inlineStr">
        <is>
          <t>비료류 / 2025년~ / 2026년내 | 녹차류 / 2025년~ / 2026년내 | 기타 / 2025년~ / 2026년내</t>
        </is>
      </c>
      <c r="V773" s="21">
        <f>HYPERLINK("https://dart.fss.or.kr/dsaf001/main.do?rcpNo=20260929000100", "공시열람")</f>
        <v/>
      </c>
    </row>
    <row r="774">
      <c r="A774" s="5" t="inlineStr">
        <is>
          <t>이노테나</t>
        </is>
      </c>
      <c r="B774" s="6" t="inlineStr">
        <is>
          <t>333050</t>
        </is>
      </c>
      <c r="C774" s="6" t="inlineStr">
        <is>
          <t>2026Q2</t>
        </is>
      </c>
      <c r="D774" s="6" t="inlineStr">
        <is>
          <t>20260814</t>
        </is>
      </c>
      <c r="E774" s="16" t="n">
        <v>11495022</v>
      </c>
      <c r="F774" s="16" t="inlineStr"/>
      <c r="G774" s="16" t="n">
        <v>17339878</v>
      </c>
      <c r="H774" s="6" t="inlineStr">
        <is>
          <t>천원</t>
        </is>
      </c>
      <c r="I774" s="17" t="n">
        <v>-0.6</v>
      </c>
      <c r="J774" s="18" t="n">
        <v>25008165</v>
      </c>
      <c r="K774" s="19" t="n">
        <v>26825963</v>
      </c>
      <c r="L774" s="18" t="n">
        <v>16915661</v>
      </c>
      <c r="M774" s="19" t="n">
        <v>20391974</v>
      </c>
      <c r="N774" s="18" t="n">
        <v>19518222</v>
      </c>
      <c r="O774" s="19" t="n">
        <v>20026973</v>
      </c>
      <c r="P774" s="18" t="n">
        <v>16303465</v>
      </c>
      <c r="Q774" s="19" t="n">
        <v>18248026</v>
      </c>
      <c r="R774" s="18" t="n">
        <v>17450213</v>
      </c>
      <c r="S774" s="20" t="n">
        <v>17339878</v>
      </c>
      <c r="T774" s="6" t="n">
        <v>3</v>
      </c>
      <c r="U774" s="5" t="inlineStr">
        <is>
          <t>연계솔루션사업 | 클라우드솔루션사업 (APM솔루션 포함) | 보안솔루션사업</t>
        </is>
      </c>
      <c r="V774" s="21">
        <f>HYPERLINK("https://dart.fss.or.kr/dsaf001/main.do?rcpNo=20260814001122", "공시열람")</f>
        <v/>
      </c>
    </row>
    <row r="775">
      <c r="A775" s="5" t="inlineStr">
        <is>
          <t>일승</t>
        </is>
      </c>
      <c r="B775" s="6" t="inlineStr">
        <is>
          <t>333430</t>
        </is>
      </c>
      <c r="C775" s="6" t="inlineStr">
        <is>
          <t>2026Q2</t>
        </is>
      </c>
      <c r="D775" s="6" t="inlineStr">
        <is>
          <t>20260814</t>
        </is>
      </c>
      <c r="E775" s="16" t="n">
        <v>59575</v>
      </c>
      <c r="F775" s="16" t="n">
        <v>28308</v>
      </c>
      <c r="G775" s="16" t="n">
        <v>31267</v>
      </c>
      <c r="H775" s="6" t="inlineStr">
        <is>
          <t>백만원</t>
        </is>
      </c>
      <c r="I775" s="17" t="n">
        <v>10.2</v>
      </c>
      <c r="J775" s="18" t="n">
        <v>24571</v>
      </c>
      <c r="K775" s="19" t="n">
        <v>22487</v>
      </c>
      <c r="L775" s="18" t="n">
        <v>23948</v>
      </c>
      <c r="M775" s="19" t="n">
        <v>20527</v>
      </c>
      <c r="N775" s="18" t="n">
        <v>22835</v>
      </c>
      <c r="O775" s="19" t="n">
        <v>20899</v>
      </c>
      <c r="P775" s="18" t="n">
        <v>27380</v>
      </c>
      <c r="Q775" s="19" t="n">
        <v>27136</v>
      </c>
      <c r="R775" s="18" t="n">
        <v>28376</v>
      </c>
      <c r="S775" s="20" t="n">
        <v>31267</v>
      </c>
      <c r="T775" s="6" t="n">
        <v>1</v>
      </c>
      <c r="U775" s="5" t="inlineStr"/>
      <c r="V775" s="21">
        <f>HYPERLINK("https://dart.fss.or.kr/dsaf001/main.do?rcpNo=20260814000008", "공시열람")</f>
        <v/>
      </c>
    </row>
    <row r="776">
      <c r="A776" s="5" t="inlineStr">
        <is>
          <t>엔시스</t>
        </is>
      </c>
      <c r="B776" s="6" t="inlineStr">
        <is>
          <t>333620</t>
        </is>
      </c>
      <c r="C776" s="6" t="inlineStr">
        <is>
          <t>2026Q2</t>
        </is>
      </c>
      <c r="D776" s="6" t="inlineStr">
        <is>
          <t>20260814</t>
        </is>
      </c>
      <c r="E776" s="16" t="n">
        <v>45384</v>
      </c>
      <c r="F776" s="16" t="n">
        <v>26287</v>
      </c>
      <c r="G776" s="16" t="n">
        <v>61834</v>
      </c>
      <c r="H776" s="6" t="inlineStr">
        <is>
          <t>백만원</t>
        </is>
      </c>
      <c r="I776" s="17" t="n">
        <v>-8.800000000000001</v>
      </c>
      <c r="J776" s="18" t="n">
        <v>80195</v>
      </c>
      <c r="K776" s="19" t="n">
        <v>72779</v>
      </c>
      <c r="L776" s="18" t="n">
        <v>66953</v>
      </c>
      <c r="M776" s="19" t="n">
        <v>60589</v>
      </c>
      <c r="N776" s="18" t="n">
        <v>54683</v>
      </c>
      <c r="O776" s="19" t="n">
        <v>50059</v>
      </c>
      <c r="P776" s="18" t="n">
        <v>47821</v>
      </c>
      <c r="Q776" s="19" t="n">
        <v>53212</v>
      </c>
      <c r="R776" s="18" t="n">
        <v>67794</v>
      </c>
      <c r="S776" s="20" t="n">
        <v>61834</v>
      </c>
      <c r="T776" s="6" t="n">
        <v>1</v>
      </c>
      <c r="U776" s="5" t="inlineStr">
        <is>
          <t>2차전지 검사장비</t>
        </is>
      </c>
      <c r="V776" s="21">
        <f>HYPERLINK("https://dart.fss.or.kr/dsaf001/main.do?rcpNo=20260814000383", "공시열람")</f>
        <v/>
      </c>
    </row>
    <row r="777">
      <c r="A777" s="5" t="inlineStr">
        <is>
          <t>프레스티지바이오로직스</t>
        </is>
      </c>
      <c r="B777" s="6" t="inlineStr">
        <is>
          <t>334970</t>
        </is>
      </c>
      <c r="C777" s="6" t="inlineStr">
        <is>
          <t>2026Q2</t>
        </is>
      </c>
      <c r="D777" s="6" t="inlineStr">
        <is>
          <t>20260928</t>
        </is>
      </c>
      <c r="E777" s="16" t="n">
        <v>75363</v>
      </c>
      <c r="F777" s="16" t="n">
        <v>14890</v>
      </c>
      <c r="G777" s="16" t="n">
        <v>60473</v>
      </c>
      <c r="H777" s="6" t="inlineStr">
        <is>
          <t>천$,백만원</t>
        </is>
      </c>
      <c r="I777" s="17" t="n">
        <v>21.3</v>
      </c>
      <c r="J777" s="18" t="n">
        <v>11000</v>
      </c>
      <c r="K777" s="19" t="n">
        <v>88863</v>
      </c>
      <c r="L777" s="18" t="n">
        <v>11000</v>
      </c>
      <c r="M777" s="19" t="n">
        <v>19071047</v>
      </c>
      <c r="N777" s="18" t="n">
        <v>19320937</v>
      </c>
      <c r="O777" s="19" t="n">
        <v>21282648</v>
      </c>
      <c r="P777" s="18" t="n">
        <v>15074696</v>
      </c>
      <c r="Q777" s="19" t="n">
        <v>48008</v>
      </c>
      <c r="R777" s="18" t="n">
        <v>49863</v>
      </c>
      <c r="S777" s="20" t="n">
        <v>60473</v>
      </c>
      <c r="T777" s="6" t="n">
        <v>2</v>
      </c>
      <c r="U777" s="5" t="inlineStr">
        <is>
          <t>CDMO(CMO, CDO, QC분석서비스 등) / 바이 | CDMO(CMO, CDO, QC분석서비스 등) / 바이</t>
        </is>
      </c>
      <c r="V777" s="21">
        <f>HYPERLINK("https://dart.fss.or.kr/dsaf001/main.do?rcpNo=20260928000204", "공시열람")</f>
        <v/>
      </c>
    </row>
    <row r="778">
      <c r="A778" s="5" t="inlineStr">
        <is>
          <t>웨이버스</t>
        </is>
      </c>
      <c r="B778" s="6" t="inlineStr">
        <is>
          <t>336060</t>
        </is>
      </c>
      <c r="C778" s="6" t="inlineStr">
        <is>
          <t>2026Q2</t>
        </is>
      </c>
      <c r="D778" s="6" t="inlineStr">
        <is>
          <t>20260814</t>
        </is>
      </c>
      <c r="E778" s="16" t="n">
        <v>53408129</v>
      </c>
      <c r="F778" s="16" t="inlineStr"/>
      <c r="G778" s="16" t="n">
        <v>35117803</v>
      </c>
      <c r="H778" s="6" t="inlineStr">
        <is>
          <t>천원</t>
        </is>
      </c>
      <c r="I778" s="17" t="n">
        <v>36.1</v>
      </c>
      <c r="J778" s="18" t="n">
        <v>30551891</v>
      </c>
      <c r="K778" s="19" t="n">
        <v>39835879</v>
      </c>
      <c r="L778" s="18" t="n">
        <v>32261188</v>
      </c>
      <c r="M778" s="19" t="n">
        <v>31857383</v>
      </c>
      <c r="N778" s="18" t="n">
        <v>31807449</v>
      </c>
      <c r="O778" s="19" t="n">
        <v>33122474</v>
      </c>
      <c r="P778" s="18" t="n">
        <v>24962084</v>
      </c>
      <c r="Q778" s="19" t="n">
        <v>16944148</v>
      </c>
      <c r="R778" s="18" t="n">
        <v>25797203</v>
      </c>
      <c r="S778" s="20" t="n">
        <v>35117803</v>
      </c>
      <c r="T778" s="6" t="n">
        <v>9</v>
      </c>
      <c r="U778" s="5" t="inlineStr">
        <is>
          <t>공공기관 / 공간정보 SM / 2026-06-01 | 공공기관 / 공간정보 SM / 2026-01-01 | 공공기관 / 공간정보 SI / 2023-11-30</t>
        </is>
      </c>
      <c r="V778" s="21">
        <f>HYPERLINK("https://dart.fss.or.kr/dsaf001/main.do?rcpNo=20260814001981", "공시열람")</f>
        <v/>
      </c>
    </row>
    <row r="779">
      <c r="A779" s="5" t="inlineStr">
        <is>
          <t>뷰노</t>
        </is>
      </c>
      <c r="B779" s="6" t="inlineStr">
        <is>
          <t>338220</t>
        </is>
      </c>
      <c r="C779" s="6" t="inlineStr">
        <is>
          <t>2026Q2</t>
        </is>
      </c>
      <c r="D779" s="6" t="inlineStr">
        <is>
          <t>20260814</t>
        </is>
      </c>
      <c r="E779" s="16" t="n">
        <v>507</v>
      </c>
      <c r="F779" s="16" t="n">
        <v>487</v>
      </c>
      <c r="G779" s="16" t="n">
        <v>20</v>
      </c>
      <c r="H779" s="6" t="inlineStr">
        <is>
          <t>백만원</t>
        </is>
      </c>
      <c r="I779" s="17" t="n">
        <v>0</v>
      </c>
      <c r="J779" s="18" t="n">
        <v>1021</v>
      </c>
      <c r="K779" s="19" t="n">
        <v>1010</v>
      </c>
      <c r="L779" s="18" t="n">
        <v>962</v>
      </c>
      <c r="M779" s="19" t="n">
        <v>694</v>
      </c>
      <c r="N779" s="18" t="n">
        <v>615</v>
      </c>
      <c r="O779" s="19" t="n">
        <v>345</v>
      </c>
      <c r="P779" s="18" t="n">
        <v>40</v>
      </c>
      <c r="Q779" s="19" t="n">
        <v>40</v>
      </c>
      <c r="R779" s="18" t="n">
        <v>20</v>
      </c>
      <c r="S779" s="20" t="n">
        <v>20</v>
      </c>
      <c r="T779" s="6" t="n">
        <v>1</v>
      </c>
      <c r="U779" s="5" t="inlineStr">
        <is>
          <t>인공지능기반 희귀질환 스크리닝 솔루션 / 2021-11</t>
        </is>
      </c>
      <c r="V779" s="21">
        <f>HYPERLINK("https://dart.fss.or.kr/dsaf001/main.do?rcpNo=20260814002777", "공시열람")</f>
        <v/>
      </c>
    </row>
    <row r="780">
      <c r="A780" s="5" t="inlineStr">
        <is>
          <t>티앤엘</t>
        </is>
      </c>
      <c r="B780" s="6" t="inlineStr">
        <is>
          <t>340570</t>
        </is>
      </c>
      <c r="C780" s="6" t="inlineStr">
        <is>
          <t>2025Q1</t>
        </is>
      </c>
      <c r="D780" s="6" t="inlineStr">
        <is>
          <t>20250514</t>
        </is>
      </c>
      <c r="E780" s="16" t="n">
        <v>7679525</v>
      </c>
      <c r="F780" s="16" t="inlineStr"/>
      <c r="G780" s="16" t="n">
        <v>7679525</v>
      </c>
      <c r="H780" s="6" t="inlineStr">
        <is>
          <t>천원</t>
        </is>
      </c>
      <c r="I780" s="17" t="n">
        <v>-27.2</v>
      </c>
      <c r="J780" s="18" t="n">
        <v>41196255</v>
      </c>
      <c r="K780" s="19" t="n">
        <v>40239752</v>
      </c>
      <c r="L780" s="18" t="n">
        <v>35932640</v>
      </c>
      <c r="M780" s="19" t="n">
        <v>10545983</v>
      </c>
      <c r="N780" s="18" t="n">
        <v>7679525</v>
      </c>
      <c r="O780" s="19" t="inlineStr"/>
      <c r="P780" s="18" t="inlineStr"/>
      <c r="Q780" s="19" t="inlineStr"/>
      <c r="R780" s="18" t="inlineStr"/>
      <c r="S780" s="20" t="inlineStr"/>
      <c r="T780" s="6" t="n">
        <v>6</v>
      </c>
      <c r="U780" s="5" t="inlineStr">
        <is>
          <t>창상피복재 | 창상피복재 | 창상피복재</t>
        </is>
      </c>
      <c r="V780" s="21">
        <f>HYPERLINK("https://dart.fss.or.kr/dsaf001/main.do?rcpNo=20250514001008", "공시열람")</f>
        <v/>
      </c>
    </row>
    <row r="781">
      <c r="A781" s="5" t="inlineStr">
        <is>
          <t>시선AI</t>
        </is>
      </c>
      <c r="B781" s="6" t="inlineStr">
        <is>
          <t>340810</t>
        </is>
      </c>
      <c r="C781" s="6" t="inlineStr">
        <is>
          <t>2026Q2</t>
        </is>
      </c>
      <c r="D781" s="6" t="inlineStr">
        <is>
          <t>20260814</t>
        </is>
      </c>
      <c r="E781" s="16" t="n">
        <v>34780</v>
      </c>
      <c r="F781" s="16" t="n">
        <v>22514</v>
      </c>
      <c r="G781" s="16" t="n">
        <v>12266</v>
      </c>
      <c r="H781" s="6" t="inlineStr">
        <is>
          <t>백만원</t>
        </is>
      </c>
      <c r="I781" s="17" t="n">
        <v>9.4</v>
      </c>
      <c r="J781" s="18" t="n">
        <v>9313</v>
      </c>
      <c r="K781" s="19" t="n">
        <v>12286</v>
      </c>
      <c r="L781" s="18" t="n">
        <v>8608</v>
      </c>
      <c r="M781" s="19" t="n">
        <v>6071</v>
      </c>
      <c r="N781" s="18" t="n">
        <v>5469</v>
      </c>
      <c r="O781" s="19" t="n">
        <v>5180</v>
      </c>
      <c r="P781" s="18" t="n">
        <v>6798</v>
      </c>
      <c r="Q781" s="19" t="n">
        <v>12185</v>
      </c>
      <c r="R781" s="18" t="n">
        <v>11207</v>
      </c>
      <c r="S781" s="20" t="n">
        <v>12266</v>
      </c>
      <c r="T781" s="6" t="n">
        <v>12</v>
      </c>
      <c r="U781" s="5" t="inlineStr">
        <is>
          <t>SI사업 / SR-MaaS 통합정보시스템 구축 사업 / | 기타 / 올인원 보안 검색 플랫폼 개발 / 2025-0 | AI 얼굴인식 시스템 / K사 재난망 운영 및 유지보수</t>
        </is>
      </c>
      <c r="V781" s="21">
        <f>HYPERLINK("https://dart.fss.or.kr/dsaf001/main.do?rcpNo=20260814001583", "공시열람")</f>
        <v/>
      </c>
    </row>
    <row r="782">
      <c r="A782" s="5" t="inlineStr">
        <is>
          <t>케이씨씨글라스</t>
        </is>
      </c>
      <c r="B782" s="6" t="inlineStr">
        <is>
          <t>344820</t>
        </is>
      </c>
      <c r="C782" s="6" t="inlineStr">
        <is>
          <t>2026Q2</t>
        </is>
      </c>
      <c r="D782" s="6" t="inlineStr">
        <is>
          <t>20260820</t>
        </is>
      </c>
      <c r="E782" s="16" t="n">
        <v>175723</v>
      </c>
      <c r="F782" s="16" t="n">
        <v>63051</v>
      </c>
      <c r="G782" s="16" t="n">
        <v>112672</v>
      </c>
      <c r="H782" s="6" t="inlineStr">
        <is>
          <t>백만원</t>
        </is>
      </c>
      <c r="I782" s="17" t="n">
        <v>2.3</v>
      </c>
      <c r="J782" s="18" t="n">
        <v>127373</v>
      </c>
      <c r="K782" s="19" t="n">
        <v>96723</v>
      </c>
      <c r="L782" s="18" t="n">
        <v>79466</v>
      </c>
      <c r="M782" s="19" t="n">
        <v>93562</v>
      </c>
      <c r="N782" s="18" t="n">
        <v>49344</v>
      </c>
      <c r="O782" s="19" t="n">
        <v>75007</v>
      </c>
      <c r="P782" s="18" t="n">
        <v>87069</v>
      </c>
      <c r="Q782" s="19" t="n">
        <v>100686</v>
      </c>
      <c r="R782" s="18" t="n">
        <v>110139</v>
      </c>
      <c r="S782" s="20" t="n">
        <v>112672</v>
      </c>
      <c r="T782" s="6" t="n">
        <v>3</v>
      </c>
      <c r="U782" s="5" t="inlineStr">
        <is>
          <t>유리 / ~ 2026.06.30 / - | 인테리어 및 유통 / ~ 2026.06.30 / - | 파일사업 / ~ 2026.06.30 / -</t>
        </is>
      </c>
      <c r="V782" s="21">
        <f>HYPERLINK("https://dart.fss.or.kr/dsaf001/main.do?rcpNo=20260820000314", "공시열람")</f>
        <v/>
      </c>
    </row>
    <row r="783">
      <c r="A783" s="5" t="inlineStr">
        <is>
          <t>타이드</t>
        </is>
      </c>
      <c r="B783" s="6" t="inlineStr">
        <is>
          <t>346010</t>
        </is>
      </c>
      <c r="C783" s="6" t="inlineStr">
        <is>
          <t>2025Q4</t>
        </is>
      </c>
      <c r="D783" s="6" t="inlineStr">
        <is>
          <t>20260407</t>
        </is>
      </c>
      <c r="E783" s="16" t="n">
        <v>674925</v>
      </c>
      <c r="F783" s="16" t="inlineStr"/>
      <c r="G783" s="16" t="n">
        <v>674925</v>
      </c>
      <c r="H783" s="6" t="inlineStr">
        <is>
          <t>천원</t>
        </is>
      </c>
      <c r="I783" s="17" t="n">
        <v>-60.9</v>
      </c>
      <c r="J783" s="18" t="inlineStr"/>
      <c r="K783" s="19" t="inlineStr"/>
      <c r="L783" s="18" t="inlineStr"/>
      <c r="M783" s="19" t="n">
        <v>1728000</v>
      </c>
      <c r="N783" s="18" t="inlineStr"/>
      <c r="O783" s="19" t="inlineStr"/>
      <c r="P783" s="18" t="inlineStr"/>
      <c r="Q783" s="19" t="n">
        <v>674925</v>
      </c>
      <c r="R783" s="18" t="inlineStr"/>
      <c r="S783" s="20" t="inlineStr"/>
      <c r="T783" s="6" t="n">
        <v>1</v>
      </c>
      <c r="U783" s="5" t="inlineStr">
        <is>
          <t>PLC</t>
        </is>
      </c>
      <c r="V783" s="21">
        <f>HYPERLINK("https://dart.fss.or.kr/dsaf001/main.do?rcpNo=20260407000793", "공시열람")</f>
        <v/>
      </c>
    </row>
    <row r="784">
      <c r="A784" s="5" t="inlineStr">
        <is>
          <t>센코</t>
        </is>
      </c>
      <c r="B784" s="6" t="inlineStr">
        <is>
          <t>347000</t>
        </is>
      </c>
      <c r="C784" s="6" t="inlineStr">
        <is>
          <t>2026Q2</t>
        </is>
      </c>
      <c r="D784" s="6" t="inlineStr">
        <is>
          <t>20260814</t>
        </is>
      </c>
      <c r="E784" s="16" t="n">
        <v>6793472855</v>
      </c>
      <c r="F784" s="16" t="n">
        <v>4743282395</v>
      </c>
      <c r="G784" s="16" t="n">
        <v>2050190460</v>
      </c>
      <c r="H784" s="6" t="inlineStr">
        <is>
          <t>원</t>
        </is>
      </c>
      <c r="I784" s="17" t="n">
        <v>45.5</v>
      </c>
      <c r="J784" s="18" t="n">
        <v>2108055554</v>
      </c>
      <c r="K784" s="19" t="n">
        <v>2108055554</v>
      </c>
      <c r="L784" s="18" t="n">
        <v>4784929449</v>
      </c>
      <c r="M784" s="19" t="n">
        <v>3350630000</v>
      </c>
      <c r="N784" s="18" t="n">
        <v>10323012000</v>
      </c>
      <c r="O784" s="19" t="n">
        <v>10323012000</v>
      </c>
      <c r="P784" s="18" t="n">
        <v>10323012000</v>
      </c>
      <c r="Q784" s="19" t="n">
        <v>1409428095</v>
      </c>
      <c r="R784" s="18" t="n">
        <v>1409428095</v>
      </c>
      <c r="S784" s="20" t="n">
        <v>2050190460</v>
      </c>
      <c r="T784" s="6" t="n">
        <v>4</v>
      </c>
      <c r="U784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84" s="21">
        <f>HYPERLINK("https://dart.fss.or.kr/dsaf001/main.do?rcpNo=20260814001161", "공시열람")</f>
        <v/>
      </c>
    </row>
    <row r="785">
      <c r="A785" s="5" t="inlineStr">
        <is>
          <t>스피어</t>
        </is>
      </c>
      <c r="B785" s="6" t="inlineStr">
        <is>
          <t>347700</t>
        </is>
      </c>
      <c r="C785" s="6" t="inlineStr">
        <is>
          <t>2026Q2</t>
        </is>
      </c>
      <c r="D785" s="6" t="inlineStr">
        <is>
          <t>20260814</t>
        </is>
      </c>
      <c r="E785" s="16" t="n">
        <v>204787048</v>
      </c>
      <c r="F785" s="16" t="n">
        <v>89052955</v>
      </c>
      <c r="G785" s="16" t="n">
        <v>115734093</v>
      </c>
      <c r="H785" s="6" t="inlineStr">
        <is>
          <t>USD</t>
        </is>
      </c>
      <c r="I785" s="17" t="n">
        <v>20.8</v>
      </c>
      <c r="J785" s="18" t="inlineStr"/>
      <c r="K785" s="19" t="inlineStr"/>
      <c r="L785" s="18" t="inlineStr"/>
      <c r="M785" s="19" t="inlineStr"/>
      <c r="N785" s="18" t="inlineStr"/>
      <c r="O785" s="19" t="n">
        <v>30280260</v>
      </c>
      <c r="P785" s="18" t="n">
        <v>43545655</v>
      </c>
      <c r="Q785" s="19" t="n">
        <v>57635487</v>
      </c>
      <c r="R785" s="18" t="n">
        <v>95772506</v>
      </c>
      <c r="S785" s="20" t="n">
        <v>115734093</v>
      </c>
      <c r="T785" s="6" t="n">
        <v>31</v>
      </c>
      <c r="U785" s="5" t="inlineStr">
        <is>
          <t>특수합금 공급 / 2025-09-27 / 2027-02 | 특수합금 공급 / 2026-06-08 / 2026-12 | 특수합금 공급 / 2026-06-15 / 2026-07</t>
        </is>
      </c>
      <c r="V785" s="21">
        <f>HYPERLINK("https://dart.fss.or.kr/dsaf001/main.do?rcpNo=20260814003121", "공시열람")</f>
        <v/>
      </c>
    </row>
    <row r="786">
      <c r="A786" s="5" t="inlineStr">
        <is>
          <t>피엔케이피부임상연구센타</t>
        </is>
      </c>
      <c r="B786" s="6" t="inlineStr">
        <is>
          <t>347740</t>
        </is>
      </c>
      <c r="C786" s="6" t="inlineStr">
        <is>
          <t>2026Q2</t>
        </is>
      </c>
      <c r="D786" s="6" t="inlineStr">
        <is>
          <t>20260814</t>
        </is>
      </c>
      <c r="E786" s="16" t="n">
        <v>9261</v>
      </c>
      <c r="F786" s="16" t="n">
        <v>1017</v>
      </c>
      <c r="G786" s="16" t="n">
        <v>8244</v>
      </c>
      <c r="H786" s="6" t="inlineStr">
        <is>
          <t>백만원</t>
        </is>
      </c>
      <c r="I786" s="17" t="n">
        <v>36.9</v>
      </c>
      <c r="J786" s="18" t="n">
        <v>3049</v>
      </c>
      <c r="K786" s="19" t="n">
        <v>4757</v>
      </c>
      <c r="L786" s="18" t="n">
        <v>5786</v>
      </c>
      <c r="M786" s="19" t="n">
        <v>6148</v>
      </c>
      <c r="N786" s="18" t="n">
        <v>5009</v>
      </c>
      <c r="O786" s="19" t="n">
        <v>5216</v>
      </c>
      <c r="P786" s="18" t="n">
        <v>5389</v>
      </c>
      <c r="Q786" s="19" t="n">
        <v>6085</v>
      </c>
      <c r="R786" s="18" t="n">
        <v>6020</v>
      </c>
      <c r="S786" s="20" t="n">
        <v>8244</v>
      </c>
      <c r="T786" s="6" t="n">
        <v>1</v>
      </c>
      <c r="U786" s="5" t="inlineStr">
        <is>
          <t>화장품 인체적용시험외 / -</t>
        </is>
      </c>
      <c r="V786" s="21">
        <f>HYPERLINK("https://dart.fss.or.kr/dsaf001/main.do?rcpNo=20260814002845", "공시열람")</f>
        <v/>
      </c>
    </row>
    <row r="787">
      <c r="A787" s="5" t="inlineStr">
        <is>
          <t>알체라</t>
        </is>
      </c>
      <c r="B787" s="6" t="inlineStr">
        <is>
          <t>347860</t>
        </is>
      </c>
      <c r="C787" s="6" t="inlineStr">
        <is>
          <t>2026Q2</t>
        </is>
      </c>
      <c r="D787" s="6" t="inlineStr">
        <is>
          <t>20260814</t>
        </is>
      </c>
      <c r="E787" s="16" t="n">
        <v>16140</v>
      </c>
      <c r="F787" s="16" t="n">
        <v>3780</v>
      </c>
      <c r="G787" s="16" t="n">
        <v>12360</v>
      </c>
      <c r="H787" s="6" t="inlineStr">
        <is>
          <t>백만원</t>
        </is>
      </c>
      <c r="I787" s="17" t="n">
        <v>6.7</v>
      </c>
      <c r="J787" s="18" t="n">
        <v>9764</v>
      </c>
      <c r="K787" s="19" t="n">
        <v>13821</v>
      </c>
      <c r="L787" s="18" t="n">
        <v>14153</v>
      </c>
      <c r="M787" s="19" t="n">
        <v>9004</v>
      </c>
      <c r="N787" s="18" t="n">
        <v>9801</v>
      </c>
      <c r="O787" s="19" t="n">
        <v>12110</v>
      </c>
      <c r="P787" s="18" t="n">
        <v>12131</v>
      </c>
      <c r="Q787" s="19" t="n">
        <v>9630</v>
      </c>
      <c r="R787" s="18" t="n">
        <v>11583</v>
      </c>
      <c r="S787" s="20" t="n">
        <v>12360</v>
      </c>
      <c r="T787" s="6" t="n">
        <v>6</v>
      </c>
      <c r="U787" s="5" t="inlineStr">
        <is>
          <t>AI 학습 데이타구축 서비스 / ~ 2025년 | 안면인식 AI솔루션 등 / ~ 2025년 | AI 학습 데이타구축 서비스 / 2026년 1월 ~ 6</t>
        </is>
      </c>
      <c r="V787" s="21">
        <f>HYPERLINK("https://dart.fss.or.kr/dsaf001/main.do?rcpNo=20260814001661", "공시열람")</f>
        <v/>
      </c>
    </row>
    <row r="788">
      <c r="A788" s="5" t="inlineStr">
        <is>
          <t>엠엑스온</t>
        </is>
      </c>
      <c r="B788" s="6" t="inlineStr">
        <is>
          <t>347890</t>
        </is>
      </c>
      <c r="C788" s="6" t="inlineStr">
        <is>
          <t>2026Q2</t>
        </is>
      </c>
      <c r="D788" s="6" t="inlineStr">
        <is>
          <t>20260814</t>
        </is>
      </c>
      <c r="E788" s="16" t="n">
        <v>235918460</v>
      </c>
      <c r="F788" s="16" t="n">
        <v>46028966</v>
      </c>
      <c r="G788" s="16" t="n">
        <v>189889494</v>
      </c>
      <c r="H788" s="6" t="inlineStr">
        <is>
          <t>천원</t>
        </is>
      </c>
      <c r="I788" s="17" t="n">
        <v>3.9</v>
      </c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n">
        <v>164329344</v>
      </c>
      <c r="R788" s="18" t="n">
        <v>182779407</v>
      </c>
      <c r="S788" s="20" t="n">
        <v>189889494</v>
      </c>
      <c r="T788" s="6" t="n">
        <v>2</v>
      </c>
      <c r="U788" s="5" t="inlineStr">
        <is>
          <t xml:space="preserve">해외 자동화 물류시스템 외 / ~ 2026.06.30  | 국내 자동화 물류시스템 외 / ~ 2026.06.30 </t>
        </is>
      </c>
      <c r="V788" s="21">
        <f>HYPERLINK("https://dart.fss.or.kr/dsaf001/main.do?rcpNo=20260814004040", "공시열람")</f>
        <v/>
      </c>
    </row>
    <row r="789">
      <c r="A789" s="5" t="inlineStr">
        <is>
          <t>큐라티스</t>
        </is>
      </c>
      <c r="B789" s="6" t="inlineStr">
        <is>
          <t>348080</t>
        </is>
      </c>
      <c r="C789" s="6" t="inlineStr">
        <is>
          <t>2022Q4</t>
        </is>
      </c>
      <c r="D789" s="6" t="inlineStr">
        <is>
          <t>20250325</t>
        </is>
      </c>
      <c r="E789" s="16" t="n">
        <v>1851000</v>
      </c>
      <c r="F789" s="16" t="n">
        <v>1287314</v>
      </c>
      <c r="G789" s="16" t="n">
        <v>563686</v>
      </c>
      <c r="H789" s="6" t="inlineStr">
        <is>
          <t>천원</t>
        </is>
      </c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9</v>
      </c>
      <c r="U789" s="5" t="inlineStr">
        <is>
          <t>프로앱텍 / 2021.03.01 | 에이비온 / 2022.03.03 | 펩진 / 2022.09.21</t>
        </is>
      </c>
      <c r="V789" s="21">
        <f>HYPERLINK("https://dart.fss.or.kr/dsaf001/main.do?rcpNo=20250325000150", "공시열람")</f>
        <v/>
      </c>
    </row>
    <row r="790">
      <c r="A790" s="5" t="inlineStr">
        <is>
          <t>넥스틴</t>
        </is>
      </c>
      <c r="B790" s="6" t="inlineStr">
        <is>
          <t>348210</t>
        </is>
      </c>
      <c r="C790" s="6" t="inlineStr">
        <is>
          <t>2026Q2</t>
        </is>
      </c>
      <c r="D790" s="6" t="inlineStr">
        <is>
          <t>20260814</t>
        </is>
      </c>
      <c r="E790" s="16" t="n">
        <v>21012</v>
      </c>
      <c r="F790" s="16" t="n">
        <v>19770</v>
      </c>
      <c r="G790" s="16" t="n">
        <v>8978</v>
      </c>
      <c r="H790" s="6" t="inlineStr">
        <is>
          <t>백만원</t>
        </is>
      </c>
      <c r="I790" s="17" t="n">
        <v>-65.09999999999999</v>
      </c>
      <c r="J790" s="18" t="n">
        <v>22474</v>
      </c>
      <c r="K790" s="19" t="n">
        <v>25435</v>
      </c>
      <c r="L790" s="18" t="n">
        <v>27272</v>
      </c>
      <c r="M790" s="19" t="n">
        <v>11670</v>
      </c>
      <c r="N790" s="18" t="inlineStr"/>
      <c r="O790" s="19" t="n">
        <v>11855</v>
      </c>
      <c r="P790" s="18" t="n">
        <v>15214</v>
      </c>
      <c r="Q790" s="19" t="n">
        <v>7736</v>
      </c>
      <c r="R790" s="18" t="n">
        <v>25748</v>
      </c>
      <c r="S790" s="20" t="n">
        <v>8978</v>
      </c>
      <c r="T790" s="6" t="n">
        <v>1</v>
      </c>
      <c r="U790" s="5" t="inlineStr">
        <is>
          <t>Wafer InspectionSystem</t>
        </is>
      </c>
      <c r="V790" s="21">
        <f>HYPERLINK("https://dart.fss.or.kr/dsaf001/main.do?rcpNo=20260814003931", "공시열람")</f>
        <v/>
      </c>
    </row>
    <row r="791">
      <c r="A791" s="5" t="inlineStr">
        <is>
          <t>위드텍</t>
        </is>
      </c>
      <c r="B791" s="6" t="inlineStr">
        <is>
          <t>348350</t>
        </is>
      </c>
      <c r="C791" s="6" t="inlineStr">
        <is>
          <t>2026Q2</t>
        </is>
      </c>
      <c r="D791" s="6" t="inlineStr">
        <is>
          <t>20260814</t>
        </is>
      </c>
      <c r="E791" s="16" t="n">
        <v>54187</v>
      </c>
      <c r="F791" s="16" t="n">
        <v>23559</v>
      </c>
      <c r="G791" s="16" t="n">
        <v>30628</v>
      </c>
      <c r="H791" s="6" t="inlineStr">
        <is>
          <t>백만원</t>
        </is>
      </c>
      <c r="I791" s="17" t="n">
        <v>27.4</v>
      </c>
      <c r="J791" s="18" t="n">
        <v>7881</v>
      </c>
      <c r="K791" s="19" t="n">
        <v>7784</v>
      </c>
      <c r="L791" s="18" t="n">
        <v>8558</v>
      </c>
      <c r="M791" s="19" t="n">
        <v>7953</v>
      </c>
      <c r="N791" s="18" t="n">
        <v>14858</v>
      </c>
      <c r="O791" s="19" t="n">
        <v>22390</v>
      </c>
      <c r="P791" s="18" t="n">
        <v>16598</v>
      </c>
      <c r="Q791" s="19" t="n">
        <v>19428</v>
      </c>
      <c r="R791" s="18" t="n">
        <v>24042</v>
      </c>
      <c r="S791" s="20" t="n">
        <v>30628</v>
      </c>
      <c r="T791" s="6" t="n">
        <v>3</v>
      </c>
      <c r="U791" s="5" t="inlineStr">
        <is>
          <t>대기 / - | 공정 / - | 환경(TMS) / -</t>
        </is>
      </c>
      <c r="V791" s="21">
        <f>HYPERLINK("https://dart.fss.or.kr/dsaf001/main.do?rcpNo=20260814001848", "공시열람")</f>
        <v/>
      </c>
    </row>
    <row r="792">
      <c r="A792" s="5" t="inlineStr">
        <is>
          <t>넥사다이내믹스</t>
        </is>
      </c>
      <c r="B792" s="6" t="inlineStr">
        <is>
          <t>351320</t>
        </is>
      </c>
      <c r="C792" s="6" t="inlineStr">
        <is>
          <t>2026Q2</t>
        </is>
      </c>
      <c r="D792" s="6" t="inlineStr">
        <is>
          <t>20260814</t>
        </is>
      </c>
      <c r="E792" s="16" t="n">
        <v>6431</v>
      </c>
      <c r="F792" s="16" t="n">
        <v>627</v>
      </c>
      <c r="G792" s="16" t="n">
        <v>5804</v>
      </c>
      <c r="H792" s="6" t="inlineStr">
        <is>
          <t>백만원</t>
        </is>
      </c>
      <c r="I792" s="17" t="n">
        <v>267.8</v>
      </c>
      <c r="J792" s="18" t="n">
        <v>7652</v>
      </c>
      <c r="K792" s="19" t="n">
        <v>5427</v>
      </c>
      <c r="L792" s="18" t="n">
        <v>13849</v>
      </c>
      <c r="M792" s="19" t="n">
        <v>11413</v>
      </c>
      <c r="N792" s="18" t="n">
        <v>2676</v>
      </c>
      <c r="O792" s="19" t="n">
        <v>1721</v>
      </c>
      <c r="P792" s="18" t="n">
        <v>1409</v>
      </c>
      <c r="Q792" s="19" t="n">
        <v>1588</v>
      </c>
      <c r="R792" s="18" t="n">
        <v>1578</v>
      </c>
      <c r="S792" s="20" t="n">
        <v>5804</v>
      </c>
      <c r="T792" s="6" t="n">
        <v>1</v>
      </c>
      <c r="U792" s="5" t="inlineStr">
        <is>
          <t>제조장비 / -</t>
        </is>
      </c>
      <c r="V792" s="21">
        <f>HYPERLINK("https://dart.fss.or.kr/dsaf001/main.do?rcpNo=20260814003563", "공시열람")</f>
        <v/>
      </c>
    </row>
    <row r="793">
      <c r="A793" s="5" t="inlineStr">
        <is>
          <t>오비고</t>
        </is>
      </c>
      <c r="B793" s="6" t="inlineStr">
        <is>
          <t>352910</t>
        </is>
      </c>
      <c r="C793" s="6" t="inlineStr">
        <is>
          <t>2026Q2</t>
        </is>
      </c>
      <c r="D793" s="6" t="inlineStr">
        <is>
          <t>20260814</t>
        </is>
      </c>
      <c r="E793" s="16" t="n">
        <v>11914285</v>
      </c>
      <c r="F793" s="16" t="n">
        <v>5344424</v>
      </c>
      <c r="G793" s="16" t="n">
        <v>6569860</v>
      </c>
      <c r="H793" s="6" t="inlineStr">
        <is>
          <t>천원</t>
        </is>
      </c>
      <c r="I793" s="17" t="n">
        <v>108636.5</v>
      </c>
      <c r="J793" s="18" t="n">
        <v>5902815</v>
      </c>
      <c r="K793" s="19" t="n">
        <v>4950245</v>
      </c>
      <c r="L793" s="18" t="n">
        <v>4506260</v>
      </c>
      <c r="M793" s="19" t="n">
        <v>5251100</v>
      </c>
      <c r="N793" s="18" t="n">
        <v>5650308</v>
      </c>
      <c r="O793" s="19" t="n">
        <v>5641</v>
      </c>
      <c r="P793" s="18" t="n">
        <v>5545</v>
      </c>
      <c r="Q793" s="19" t="n">
        <v>2646</v>
      </c>
      <c r="R793" s="18" t="n">
        <v>6042</v>
      </c>
      <c r="S793" s="20" t="n">
        <v>6569860</v>
      </c>
      <c r="T793" s="6" t="n">
        <v>3</v>
      </c>
      <c r="U793" s="5" t="inlineStr">
        <is>
          <t>AI 콘텐츠 | AI 카케어 | 피지컬 AI 솔루션</t>
        </is>
      </c>
      <c r="V793" s="21">
        <f>HYPERLINK("https://dart.fss.or.kr/dsaf001/main.do?rcpNo=20260814002505", "공시열람")</f>
        <v/>
      </c>
    </row>
    <row r="794">
      <c r="A794" s="5" t="inlineStr">
        <is>
          <t>인바이오</t>
        </is>
      </c>
      <c r="B794" s="6" t="inlineStr">
        <is>
          <t>352940</t>
        </is>
      </c>
      <c r="C794" s="6" t="inlineStr">
        <is>
          <t>2026Q2</t>
        </is>
      </c>
      <c r="D794" s="6" t="inlineStr">
        <is>
          <t>20260813</t>
        </is>
      </c>
      <c r="E794" s="16" t="n">
        <v>9310088</v>
      </c>
      <c r="F794" s="16" t="n">
        <v>5720301</v>
      </c>
      <c r="G794" s="16" t="n">
        <v>3589787</v>
      </c>
      <c r="H794" s="6" t="inlineStr">
        <is>
          <t>병/봉,천원</t>
        </is>
      </c>
      <c r="I794" s="17" t="n">
        <v>-41</v>
      </c>
      <c r="J794" s="18" t="n">
        <v>3938317</v>
      </c>
      <c r="K794" s="19" t="n">
        <v>3376638</v>
      </c>
      <c r="L794" s="18" t="n">
        <v>1408326</v>
      </c>
      <c r="M794" s="19" t="n">
        <v>2389562</v>
      </c>
      <c r="N794" s="18" t="n">
        <v>1843689</v>
      </c>
      <c r="O794" s="19" t="n">
        <v>867162</v>
      </c>
      <c r="P794" s="18" t="n">
        <v>273113</v>
      </c>
      <c r="Q794" s="19" t="n">
        <v>544106</v>
      </c>
      <c r="R794" s="18" t="n">
        <v>6080203</v>
      </c>
      <c r="S794" s="20" t="n">
        <v>3589787</v>
      </c>
      <c r="T794" s="6" t="n">
        <v>1</v>
      </c>
      <c r="U794" s="5" t="inlineStr">
        <is>
          <t>농약 / 2026.01.31 / 2026.01.31~2</t>
        </is>
      </c>
      <c r="V794" s="21">
        <f>HYPERLINK("https://dart.fss.or.kr/dsaf001/main.do?rcpNo=20260813000903", "공시열람")</f>
        <v/>
      </c>
    </row>
    <row r="795">
      <c r="A795" s="5" t="inlineStr">
        <is>
          <t>대덕전자</t>
        </is>
      </c>
      <c r="B795" s="6" t="inlineStr">
        <is>
          <t>353200</t>
        </is>
      </c>
      <c r="C795" s="6" t="inlineStr">
        <is>
          <t>2026Q2</t>
        </is>
      </c>
      <c r="D795" s="6" t="inlineStr">
        <is>
          <t>20260813</t>
        </is>
      </c>
      <c r="E795" s="16" t="n">
        <v>10777</v>
      </c>
      <c r="F795" s="16" t="n">
        <v>7449</v>
      </c>
      <c r="G795" s="16" t="n">
        <v>3328</v>
      </c>
      <c r="H795" s="6" t="inlineStr">
        <is>
          <t>천㎡,억원</t>
        </is>
      </c>
      <c r="I795" s="17" t="n">
        <v>40.2</v>
      </c>
      <c r="J795" s="18" t="n">
        <v>723</v>
      </c>
      <c r="K795" s="19" t="n">
        <v>682</v>
      </c>
      <c r="L795" s="18" t="n">
        <v>776</v>
      </c>
      <c r="M795" s="19" t="n">
        <v>357</v>
      </c>
      <c r="N795" s="18" t="n">
        <v>792</v>
      </c>
      <c r="O795" s="19" t="n">
        <v>1283</v>
      </c>
      <c r="P795" s="18" t="n">
        <v>3110</v>
      </c>
      <c r="Q795" s="19" t="n">
        <v>2168</v>
      </c>
      <c r="R795" s="18" t="n">
        <v>2374</v>
      </c>
      <c r="S795" s="20" t="n">
        <v>3328</v>
      </c>
      <c r="T795" s="6" t="n">
        <v>1</v>
      </c>
      <c r="U795" s="5" t="inlineStr">
        <is>
          <t>PCB / 2026.01.01~ 2026.06.30</t>
        </is>
      </c>
      <c r="V795" s="21">
        <f>HYPERLINK("https://dart.fss.or.kr/dsaf001/main.do?rcpNo=20260813001620", "공시열람")</f>
        <v/>
      </c>
    </row>
    <row r="796">
      <c r="A796" s="5" t="inlineStr">
        <is>
          <t>바스칸바이오제약</t>
        </is>
      </c>
      <c r="B796" s="6" t="inlineStr">
        <is>
          <t>354390</t>
        </is>
      </c>
      <c r="C796" s="6" t="inlineStr">
        <is>
          <t>2023Q4</t>
        </is>
      </c>
      <c r="D796" s="6" t="inlineStr">
        <is>
          <t>20240318</t>
        </is>
      </c>
      <c r="E796" s="16" t="inlineStr"/>
      <c r="F796" s="16" t="inlineStr"/>
      <c r="G796" s="16" t="n">
        <v>6623811</v>
      </c>
      <c r="H796" s="6" t="inlineStr"/>
      <c r="I796" s="17" t="inlineStr"/>
      <c r="J796" s="18" t="inlineStr"/>
      <c r="K796" s="19" t="inlineStr"/>
      <c r="L796" s="18" t="inlineStr"/>
      <c r="M796" s="19" t="inlineStr"/>
      <c r="N796" s="18" t="inlineStr"/>
      <c r="O796" s="19" t="inlineStr"/>
      <c r="P796" s="18" t="inlineStr"/>
      <c r="Q796" s="19" t="inlineStr"/>
      <c r="R796" s="18" t="inlineStr"/>
      <c r="S796" s="20" t="inlineStr"/>
      <c r="T796" s="6" t="n">
        <v>69</v>
      </c>
      <c r="U796" s="5" t="inlineStr">
        <is>
          <t>마더스제약 / 메모엠연질캡슐 | 씨엠지제약 / 엘카르닌정 | 알리코제약 / 다이제틴정</t>
        </is>
      </c>
      <c r="V796" s="21">
        <f>HYPERLINK("https://dart.fss.or.kr/dsaf001/main.do?rcpNo=20240318000263", "공시열람")</f>
        <v/>
      </c>
    </row>
    <row r="797">
      <c r="A797" s="5" t="inlineStr">
        <is>
          <t>코스텍시스</t>
        </is>
      </c>
      <c r="B797" s="6" t="inlineStr">
        <is>
          <t>355150</t>
        </is>
      </c>
      <c r="C797" s="6" t="inlineStr">
        <is>
          <t>2025Q4</t>
        </is>
      </c>
      <c r="D797" s="6" t="inlineStr">
        <is>
          <t>20260318</t>
        </is>
      </c>
      <c r="E797" s="16" t="n">
        <v>7396</v>
      </c>
      <c r="F797" s="16" t="n">
        <v>6169</v>
      </c>
      <c r="G797" s="16" t="n">
        <v>1227</v>
      </c>
      <c r="H797" s="6" t="inlineStr"/>
      <c r="I797" s="17" t="n">
        <v>-63.8</v>
      </c>
      <c r="J797" s="18" t="n">
        <v>8953</v>
      </c>
      <c r="K797" s="19" t="n">
        <v>10252</v>
      </c>
      <c r="L797" s="18" t="n">
        <v>11707</v>
      </c>
      <c r="M797" s="19" t="n">
        <v>6418</v>
      </c>
      <c r="N797" s="18" t="n">
        <v>2079</v>
      </c>
      <c r="O797" s="19" t="n">
        <v>755</v>
      </c>
      <c r="P797" s="18" t="n">
        <v>3385</v>
      </c>
      <c r="Q797" s="19" t="n">
        <v>1227</v>
      </c>
      <c r="R797" s="18" t="inlineStr"/>
      <c r="S797" s="20" t="inlineStr"/>
      <c r="T797" s="6" t="n">
        <v>4</v>
      </c>
      <c r="U797" s="5" t="inlineStr">
        <is>
          <t>OM780 / 2025.09.23 / 2026.03.1 | OM780 / 2025.07.07 / 2026.03.1 | OM780 / 2025.02.10 / 2026.03.1</t>
        </is>
      </c>
      <c r="V797" s="21">
        <f>HYPERLINK("https://dart.fss.or.kr/dsaf001/main.do?rcpNo=20260318000866", "공시열람")</f>
        <v/>
      </c>
    </row>
    <row r="798">
      <c r="A798" s="5" t="inlineStr">
        <is>
          <t>크라우드웍스</t>
        </is>
      </c>
      <c r="B798" s="6" t="inlineStr">
        <is>
          <t>355390</t>
        </is>
      </c>
      <c r="C798" s="6" t="inlineStr">
        <is>
          <t>2026Q2</t>
        </is>
      </c>
      <c r="D798" s="6" t="inlineStr">
        <is>
          <t>20260814</t>
        </is>
      </c>
      <c r="E798" s="16" t="n">
        <v>10636</v>
      </c>
      <c r="F798" s="16" t="n">
        <v>7344</v>
      </c>
      <c r="G798" s="16" t="n">
        <v>3292</v>
      </c>
      <c r="H798" s="6" t="inlineStr">
        <is>
          <t>개,백만원</t>
        </is>
      </c>
      <c r="I798" s="17" t="n">
        <v>2.5</v>
      </c>
      <c r="J798" s="18" t="n">
        <v>6226</v>
      </c>
      <c r="K798" s="19" t="n">
        <v>7914</v>
      </c>
      <c r="L798" s="18" t="n">
        <v>7577</v>
      </c>
      <c r="M798" s="19" t="n">
        <v>3221</v>
      </c>
      <c r="N798" s="18" t="n">
        <v>3445</v>
      </c>
      <c r="O798" s="19" t="n">
        <v>3943</v>
      </c>
      <c r="P798" s="18" t="n">
        <v>5911</v>
      </c>
      <c r="Q798" s="19" t="n">
        <v>3212</v>
      </c>
      <c r="R798" s="18" t="n">
        <v>3212</v>
      </c>
      <c r="S798" s="20" t="n">
        <v>3292</v>
      </c>
      <c r="T798" s="6" t="n">
        <v>7</v>
      </c>
      <c r="U798" s="5" t="inlineStr">
        <is>
          <t>Enterprise AI Solution / 주1) | LLM Data / 주1) | AI Data / 주1)</t>
        </is>
      </c>
      <c r="V798" s="21">
        <f>HYPERLINK("https://dart.fss.or.kr/dsaf001/main.do?rcpNo=20260814001178", "공시열람")</f>
        <v/>
      </c>
    </row>
    <row r="799">
      <c r="A799" s="5" t="inlineStr">
        <is>
          <t>티엘비</t>
        </is>
      </c>
      <c r="B799" s="6" t="inlineStr">
        <is>
          <t>356860</t>
        </is>
      </c>
      <c r="C799" s="6" t="inlineStr">
        <is>
          <t>2026Q2</t>
        </is>
      </c>
      <c r="D799" s="6" t="inlineStr">
        <is>
          <t>20260814</t>
        </is>
      </c>
      <c r="E799" s="16" t="n">
        <v>2959</v>
      </c>
      <c r="F799" s="16" t="n">
        <v>1641</v>
      </c>
      <c r="G799" s="16" t="n">
        <v>1318</v>
      </c>
      <c r="H799" s="6" t="inlineStr">
        <is>
          <t>억원</t>
        </is>
      </c>
      <c r="I799" s="17" t="n">
        <v>144.5</v>
      </c>
      <c r="J799" s="18" t="n">
        <v>140</v>
      </c>
      <c r="K799" s="19" t="n">
        <v>178</v>
      </c>
      <c r="L799" s="18" t="n">
        <v>158</v>
      </c>
      <c r="M799" s="19" t="n">
        <v>130</v>
      </c>
      <c r="N799" s="18" t="n">
        <v>362</v>
      </c>
      <c r="O799" s="19" t="n">
        <v>442</v>
      </c>
      <c r="P799" s="18" t="n">
        <v>445</v>
      </c>
      <c r="Q799" s="19" t="n">
        <v>526</v>
      </c>
      <c r="R799" s="18" t="n">
        <v>539</v>
      </c>
      <c r="S799" s="20" t="n">
        <v>1318</v>
      </c>
      <c r="T799" s="6" t="n">
        <v>1</v>
      </c>
      <c r="U799" s="5" t="inlineStr">
        <is>
          <t>인쇄회로기판 / 2026.01.01~2026.06.30</t>
        </is>
      </c>
      <c r="V799" s="21">
        <f>HYPERLINK("https://dart.fss.or.kr/dsaf001/main.do?rcpNo=20260814000485", "공시열람")</f>
        <v/>
      </c>
    </row>
    <row r="800">
      <c r="A800" s="5" t="inlineStr">
        <is>
          <t>싸이버원</t>
        </is>
      </c>
      <c r="B800" s="6" t="inlineStr">
        <is>
          <t>356890</t>
        </is>
      </c>
      <c r="C800" s="6" t="inlineStr">
        <is>
          <t>2025Q1</t>
        </is>
      </c>
      <c r="D800" s="6" t="inlineStr">
        <is>
          <t>20250514</t>
        </is>
      </c>
      <c r="E800" s="16" t="n">
        <v>13849</v>
      </c>
      <c r="F800" s="16" t="n">
        <v>4368</v>
      </c>
      <c r="G800" s="16" t="n">
        <v>9481</v>
      </c>
      <c r="H800" s="6" t="inlineStr">
        <is>
          <t>백만원</t>
        </is>
      </c>
      <c r="I800" s="17" t="n">
        <v>33.4</v>
      </c>
      <c r="J800" s="18" t="n">
        <v>8235</v>
      </c>
      <c r="K800" s="19" t="n">
        <v>10145</v>
      </c>
      <c r="L800" s="18" t="n">
        <v>8608</v>
      </c>
      <c r="M800" s="19" t="n">
        <v>7108</v>
      </c>
      <c r="N800" s="18" t="n">
        <v>9481</v>
      </c>
      <c r="O800" s="19" t="inlineStr"/>
      <c r="P800" s="18" t="inlineStr"/>
      <c r="Q800" s="19" t="inlineStr"/>
      <c r="R800" s="18" t="inlineStr"/>
      <c r="S800" s="20" t="inlineStr"/>
      <c r="T800" s="6" t="n">
        <v>3</v>
      </c>
      <c r="U800" s="5" t="inlineStr">
        <is>
          <t>보안컨설팅 용역 / 2025.03.07 / 2025.1 | 클라우드 운영 / 2024.04.01 / 2027.03 | 보안컨설팅 용역 / 2024.01.01 / 2026.1</t>
        </is>
      </c>
      <c r="V800" s="21">
        <f>HYPERLINK("https://dart.fss.or.kr/dsaf001/main.do?rcpNo=20250514001216", "공시열람")</f>
        <v/>
      </c>
    </row>
    <row r="801">
      <c r="A801" s="5" t="inlineStr">
        <is>
          <t>씨엔알리서치</t>
        </is>
      </c>
      <c r="B801" s="6" t="inlineStr">
        <is>
          <t>359090</t>
        </is>
      </c>
      <c r="C801" s="6" t="inlineStr">
        <is>
          <t>2026Q2</t>
        </is>
      </c>
      <c r="D801" s="6" t="inlineStr">
        <is>
          <t>20260814</t>
        </is>
      </c>
      <c r="E801" s="16" t="n">
        <v>370486</v>
      </c>
      <c r="F801" s="16" t="n">
        <v>210425</v>
      </c>
      <c r="G801" s="16" t="n">
        <v>160061</v>
      </c>
      <c r="H801" s="6" t="inlineStr">
        <is>
          <t>백만원</t>
        </is>
      </c>
      <c r="I801" s="17" t="n">
        <v>7.1</v>
      </c>
      <c r="J801" s="18" t="n">
        <v>145157</v>
      </c>
      <c r="K801" s="19" t="n">
        <v>152409</v>
      </c>
      <c r="L801" s="18" t="n">
        <v>151856</v>
      </c>
      <c r="M801" s="19" t="n">
        <v>154569</v>
      </c>
      <c r="N801" s="18" t="n">
        <v>160868</v>
      </c>
      <c r="O801" s="19" t="n">
        <v>153206</v>
      </c>
      <c r="P801" s="18" t="n">
        <v>148944</v>
      </c>
      <c r="Q801" s="19" t="n">
        <v>151038</v>
      </c>
      <c r="R801" s="18" t="n">
        <v>149422</v>
      </c>
      <c r="S801" s="20" t="n">
        <v>160061</v>
      </c>
      <c r="T801" s="6" t="n">
        <v>0</v>
      </c>
      <c r="U801" s="5" t="inlineStr"/>
      <c r="V801" s="21">
        <f>HYPERLINK("https://dart.fss.or.kr/dsaf001/main.do?rcpNo=20260814001641", "공시열람")</f>
        <v/>
      </c>
    </row>
    <row r="802">
      <c r="A802" s="5" t="inlineStr">
        <is>
          <t>탑머티리얼</t>
        </is>
      </c>
      <c r="B802" s="6" t="inlineStr">
        <is>
          <t>360070</t>
        </is>
      </c>
      <c r="C802" s="6" t="inlineStr">
        <is>
          <t>2026Q2</t>
        </is>
      </c>
      <c r="D802" s="6" t="inlineStr">
        <is>
          <t>20260814</t>
        </is>
      </c>
      <c r="E802" s="16" t="n">
        <v>240113958</v>
      </c>
      <c r="F802" s="16" t="n">
        <v>195334760</v>
      </c>
      <c r="G802" s="16" t="n">
        <v>55223846</v>
      </c>
      <c r="H802" s="6" t="inlineStr">
        <is>
          <t>천원</t>
        </is>
      </c>
      <c r="I802" s="17" t="n">
        <v>15.7</v>
      </c>
      <c r="J802" s="18" t="n">
        <v>75108043</v>
      </c>
      <c r="K802" s="19" t="n">
        <v>98673944</v>
      </c>
      <c r="L802" s="18" t="n">
        <v>59906801</v>
      </c>
      <c r="M802" s="19" t="n">
        <v>38902313</v>
      </c>
      <c r="N802" s="18" t="n">
        <v>39469802</v>
      </c>
      <c r="O802" s="19" t="n">
        <v>37185938</v>
      </c>
      <c r="P802" s="18" t="n">
        <v>30863438</v>
      </c>
      <c r="Q802" s="19" t="n">
        <v>37222316</v>
      </c>
      <c r="R802" s="18" t="n">
        <v>47741532</v>
      </c>
      <c r="S802" s="20" t="n">
        <v>55223846</v>
      </c>
      <c r="T802" s="6" t="n">
        <v>1</v>
      </c>
      <c r="U802" s="5" t="inlineStr">
        <is>
          <t>2차전지시스템엔지니어링 / -</t>
        </is>
      </c>
      <c r="V802" s="21">
        <f>HYPERLINK("https://dart.fss.or.kr/dsaf001/main.do?rcpNo=20260814004277", "공시열람")</f>
        <v/>
      </c>
    </row>
    <row r="803">
      <c r="A803" s="5" t="inlineStr">
        <is>
          <t>코셈</t>
        </is>
      </c>
      <c r="B803" s="6" t="inlineStr">
        <is>
          <t>360350</t>
        </is>
      </c>
      <c r="C803" s="6" t="inlineStr">
        <is>
          <t>2026Q2</t>
        </is>
      </c>
      <c r="D803" s="6" t="inlineStr">
        <is>
          <t>20260814</t>
        </is>
      </c>
      <c r="E803" s="16" t="inlineStr"/>
      <c r="F803" s="16" t="inlineStr"/>
      <c r="G803" s="16" t="n">
        <v>1776.2</v>
      </c>
      <c r="H803" s="6" t="inlineStr">
        <is>
          <t>백만원</t>
        </is>
      </c>
      <c r="I803" s="17" t="n">
        <v>54.6</v>
      </c>
      <c r="J803" s="18" t="n">
        <v>1463.1</v>
      </c>
      <c r="K803" s="19" t="n">
        <v>1467.5</v>
      </c>
      <c r="L803" s="18" t="n">
        <v>2643.3</v>
      </c>
      <c r="M803" s="19" t="n">
        <v>1278.5</v>
      </c>
      <c r="N803" s="18" t="n">
        <v>1261.4</v>
      </c>
      <c r="O803" s="19" t="n">
        <v>726.6</v>
      </c>
      <c r="P803" s="18" t="n">
        <v>1535.4</v>
      </c>
      <c r="Q803" s="19" t="n">
        <v>972.9</v>
      </c>
      <c r="R803" s="18" t="n">
        <v>1148.9</v>
      </c>
      <c r="S803" s="20" t="n">
        <v>1776.2</v>
      </c>
      <c r="T803" s="6" t="n">
        <v>19</v>
      </c>
      <c r="U803" s="5" t="inlineStr">
        <is>
          <t>IJ사 / CX시리즈 / 2026-05-20 | SB사 / EM시리즈 / 2026-06-16 | TR대학교 / EM시리즈 / 2026-05-25</t>
        </is>
      </c>
      <c r="V803" s="21">
        <f>HYPERLINK("https://dart.fss.or.kr/dsaf001/main.do?rcpNo=20260814001928", "공시열람")</f>
        <v/>
      </c>
    </row>
    <row r="804">
      <c r="A804" s="5" t="inlineStr">
        <is>
          <t>제노코</t>
        </is>
      </c>
      <c r="B804" s="6" t="inlineStr">
        <is>
          <t>361390</t>
        </is>
      </c>
      <c r="C804" s="6" t="inlineStr">
        <is>
          <t>2026Q2</t>
        </is>
      </c>
      <c r="D804" s="6" t="inlineStr">
        <is>
          <t>20260814</t>
        </is>
      </c>
      <c r="E804" s="16" t="n">
        <v>183312</v>
      </c>
      <c r="F804" s="16" t="n">
        <v>118819</v>
      </c>
      <c r="G804" s="16" t="n">
        <v>64492</v>
      </c>
      <c r="H804" s="6" t="inlineStr">
        <is>
          <t>백만원</t>
        </is>
      </c>
      <c r="I804" s="17" t="n">
        <v>-5.8</v>
      </c>
      <c r="J804" s="18" t="n">
        <v>97312790</v>
      </c>
      <c r="K804" s="19" t="n">
        <v>98527556</v>
      </c>
      <c r="L804" s="18" t="n">
        <v>105139348</v>
      </c>
      <c r="M804" s="19" t="n">
        <v>93242557</v>
      </c>
      <c r="N804" s="18" t="n">
        <v>93673409</v>
      </c>
      <c r="O804" s="19" t="n">
        <v>89997</v>
      </c>
      <c r="P804" s="18" t="n">
        <v>82149293</v>
      </c>
      <c r="Q804" s="19" t="n">
        <v>63572</v>
      </c>
      <c r="R804" s="18" t="n">
        <v>68487</v>
      </c>
      <c r="S804" s="20" t="n">
        <v>64492</v>
      </c>
      <c r="T804" s="6" t="n">
        <v>4</v>
      </c>
      <c r="U804" s="5" t="inlineStr">
        <is>
          <t>위성통신 / 2016년 / ~2028년 | 핵심부품 등 / 2021년 / ~2030년 | 항공전자 등 / 2019년 / ~2031년</t>
        </is>
      </c>
      <c r="V804" s="21">
        <f>HYPERLINK("https://dart.fss.or.kr/dsaf001/main.do?rcpNo=20260814000659", "공시열람")</f>
        <v/>
      </c>
    </row>
    <row r="805">
      <c r="A805" s="5" t="inlineStr">
        <is>
          <t>티와이홀딩스</t>
        </is>
      </c>
      <c r="B805" s="6" t="inlineStr">
        <is>
          <t>363280</t>
        </is>
      </c>
      <c r="C805" s="6" t="inlineStr">
        <is>
          <t>2024Q3</t>
        </is>
      </c>
      <c r="D805" s="6" t="inlineStr">
        <is>
          <t>20241114</t>
        </is>
      </c>
      <c r="E805" s="16" t="inlineStr"/>
      <c r="F805" s="16" t="n">
        <v>24483448702</v>
      </c>
      <c r="G805" s="16" t="n">
        <v>16332763222</v>
      </c>
      <c r="H805" s="6" t="inlineStr">
        <is>
          <t>천원</t>
        </is>
      </c>
      <c r="I805" s="17" t="n">
        <v>-7.8</v>
      </c>
      <c r="J805" s="18" t="n">
        <v>18879296934</v>
      </c>
      <c r="K805" s="19" t="n">
        <v>17707786106</v>
      </c>
      <c r="L805" s="18" t="n">
        <v>16332763222</v>
      </c>
      <c r="M805" s="19" t="inlineStr"/>
      <c r="N805" s="18" t="inlineStr"/>
      <c r="O805" s="19" t="inlineStr"/>
      <c r="P805" s="18" t="inlineStr"/>
      <c r="Q805" s="19" t="inlineStr"/>
      <c r="R805" s="18" t="inlineStr"/>
      <c r="S805" s="20" t="inlineStr"/>
      <c r="T805" s="6" t="n">
        <v>135</v>
      </c>
      <c r="U805" s="5" t="inlineStr">
        <is>
          <t>합계 - 전체 | 건축사업본부 - 국내 | 토목환경사업본부-전체</t>
        </is>
      </c>
      <c r="V805" s="21">
        <f>HYPERLINK("https://dart.fss.or.kr/dsaf001/main.do?rcpNo=20241114002955", "공시열람")</f>
        <v/>
      </c>
    </row>
    <row r="806">
      <c r="A806" s="5" t="inlineStr">
        <is>
          <t>에이아이코리아</t>
        </is>
      </c>
      <c r="B806" s="6" t="inlineStr">
        <is>
          <t>364950</t>
        </is>
      </c>
      <c r="C806" s="6" t="inlineStr">
        <is>
          <t>2025Q4</t>
        </is>
      </c>
      <c r="D806" s="6" t="inlineStr">
        <is>
          <t>20260313</t>
        </is>
      </c>
      <c r="E806" s="16" t="inlineStr"/>
      <c r="F806" s="16" t="inlineStr"/>
      <c r="G806" s="16" t="n">
        <v>634446</v>
      </c>
      <c r="H806" s="6" t="inlineStr">
        <is>
          <t>천원</t>
        </is>
      </c>
      <c r="I806" s="17" t="n">
        <v>-95.09999999999999</v>
      </c>
      <c r="J806" s="18" t="inlineStr"/>
      <c r="K806" s="19" t="inlineStr"/>
      <c r="L806" s="18" t="inlineStr"/>
      <c r="M806" s="19" t="inlineStr"/>
      <c r="N806" s="18" t="inlineStr"/>
      <c r="O806" s="19" t="n">
        <v>16606163</v>
      </c>
      <c r="P806" s="18" t="n">
        <v>12900287</v>
      </c>
      <c r="Q806" s="19" t="n">
        <v>634446</v>
      </c>
      <c r="R806" s="18" t="inlineStr"/>
      <c r="S806" s="20" t="inlineStr"/>
      <c r="T806" s="6" t="n">
        <v>1</v>
      </c>
      <c r="U806" s="5" t="inlineStr">
        <is>
          <t>동일알루미늄 청주공장 신축공사(소방) / 2025-07</t>
        </is>
      </c>
      <c r="V806" s="21">
        <f>HYPERLINK("https://dart.fss.or.kr/dsaf001/main.do?rcpNo=20260313001213", "공시열람")</f>
        <v/>
      </c>
    </row>
    <row r="807">
      <c r="A807" s="5" t="inlineStr">
        <is>
          <t>에스와이스틸텍</t>
        </is>
      </c>
      <c r="B807" s="6" t="inlineStr">
        <is>
          <t>365330</t>
        </is>
      </c>
      <c r="C807" s="6" t="inlineStr">
        <is>
          <t>2026Q2</t>
        </is>
      </c>
      <c r="D807" s="6" t="inlineStr">
        <is>
          <t>20260814</t>
        </is>
      </c>
      <c r="E807" s="16" t="n">
        <v>84986415</v>
      </c>
      <c r="F807" s="16" t="inlineStr"/>
      <c r="G807" s="16" t="n">
        <v>58149665</v>
      </c>
      <c r="H807" s="6" t="inlineStr">
        <is>
          <t>천㎡,천원</t>
        </is>
      </c>
      <c r="I807" s="17" t="n">
        <v>43.9</v>
      </c>
      <c r="J807" s="18" t="n">
        <v>64512846</v>
      </c>
      <c r="K807" s="19" t="n">
        <v>56887936</v>
      </c>
      <c r="L807" s="18" t="n">
        <v>56091469</v>
      </c>
      <c r="M807" s="19" t="n">
        <v>32436031</v>
      </c>
      <c r="N807" s="18" t="n">
        <v>39422856</v>
      </c>
      <c r="O807" s="19" t="n">
        <v>40863398</v>
      </c>
      <c r="P807" s="18" t="n">
        <v>28886919</v>
      </c>
      <c r="Q807" s="19" t="n">
        <v>37433656</v>
      </c>
      <c r="R807" s="18" t="n">
        <v>40398240</v>
      </c>
      <c r="S807" s="20" t="n">
        <v>58149665</v>
      </c>
      <c r="T807" s="6" t="n">
        <v>22</v>
      </c>
      <c r="U807" s="5" t="inlineStr">
        <is>
          <t>기타 / - | 현대건설(주) / 더현대광주 신축공사 / 2026년7월 | 한화건설 / (1-2공구)서울역북부 1-2공구 / 20</t>
        </is>
      </c>
      <c r="V807" s="21">
        <f>HYPERLINK("https://dart.fss.or.kr/dsaf001/main.do?rcpNo=20260814003676", "공시열람")</f>
        <v/>
      </c>
    </row>
    <row r="808">
      <c r="A808" s="5" t="inlineStr">
        <is>
          <t>레몬헬스케어</t>
        </is>
      </c>
      <c r="B808" s="6" t="inlineStr">
        <is>
          <t>365660</t>
        </is>
      </c>
      <c r="C808" s="6" t="inlineStr">
        <is>
          <t>2026Q2</t>
        </is>
      </c>
      <c r="D808" s="6" t="inlineStr">
        <is>
          <t>20260814</t>
        </is>
      </c>
      <c r="E808" s="16" t="n">
        <v>16424453</v>
      </c>
      <c r="F808" s="16" t="n">
        <v>4959383</v>
      </c>
      <c r="G808" s="16" t="n">
        <v>11465069</v>
      </c>
      <c r="H808" s="6" t="inlineStr">
        <is>
          <t>천원</t>
        </is>
      </c>
      <c r="I808" s="17" t="inlineStr"/>
      <c r="J808" s="18" t="inlineStr"/>
      <c r="K808" s="19" t="inlineStr"/>
      <c r="L808" s="18" t="inlineStr"/>
      <c r="M808" s="19" t="inlineStr"/>
      <c r="N808" s="18" t="inlineStr"/>
      <c r="O808" s="19" t="inlineStr"/>
      <c r="P808" s="18" t="inlineStr"/>
      <c r="Q808" s="19" t="inlineStr"/>
      <c r="R808" s="18" t="inlineStr"/>
      <c r="S808" s="20" t="n">
        <v>11465069</v>
      </c>
      <c r="T808" s="6" t="n">
        <v>2</v>
      </c>
      <c r="U808" s="5" t="inlineStr">
        <is>
          <t>LDB-E | LDB-H</t>
        </is>
      </c>
      <c r="V808" s="21">
        <f>HYPERLINK("https://dart.fss.or.kr/dsaf001/main.do?rcpNo=20260814002913", "공시열람")</f>
        <v/>
      </c>
    </row>
    <row r="809">
      <c r="A809" s="5" t="inlineStr">
        <is>
          <t>플래티어</t>
        </is>
      </c>
      <c r="B809" s="6" t="inlineStr">
        <is>
          <t>367000</t>
        </is>
      </c>
      <c r="C809" s="6" t="inlineStr">
        <is>
          <t>2026Q2</t>
        </is>
      </c>
      <c r="D809" s="6" t="inlineStr">
        <is>
          <t>20260814</t>
        </is>
      </c>
      <c r="E809" s="16" t="inlineStr"/>
      <c r="F809" s="16" t="n">
        <v>18976</v>
      </c>
      <c r="G809" s="16" t="n">
        <v>10453</v>
      </c>
      <c r="H809" s="6" t="inlineStr">
        <is>
          <t>백만원</t>
        </is>
      </c>
      <c r="I809" s="17" t="n">
        <v>41</v>
      </c>
      <c r="J809" s="18" t="n">
        <v>5746</v>
      </c>
      <c r="K809" s="19" t="n">
        <v>5245</v>
      </c>
      <c r="L809" s="18" t="n">
        <v>5720</v>
      </c>
      <c r="M809" s="19" t="n">
        <v>2597</v>
      </c>
      <c r="N809" s="18" t="n">
        <v>19782</v>
      </c>
      <c r="O809" s="19" t="n">
        <v>13739</v>
      </c>
      <c r="P809" s="18" t="n">
        <v>8309</v>
      </c>
      <c r="Q809" s="19" t="n">
        <v>5657</v>
      </c>
      <c r="R809" s="18" t="n">
        <v>7412</v>
      </c>
      <c r="S809" s="20" t="n">
        <v>10453</v>
      </c>
      <c r="T809" s="6" t="n">
        <v>3</v>
      </c>
      <c r="U809" s="5" t="inlineStr">
        <is>
          <t>AI 커머스 | 디지털 전환 | AI CX</t>
        </is>
      </c>
      <c r="V809" s="21">
        <f>HYPERLINK("https://dart.fss.or.kr/dsaf001/main.do?rcpNo=20260814002629", "공시열람")</f>
        <v/>
      </c>
    </row>
    <row r="810">
      <c r="A810" s="5" t="inlineStr">
        <is>
          <t>파이버프로</t>
        </is>
      </c>
      <c r="B810" s="6" t="inlineStr">
        <is>
          <t>368770</t>
        </is>
      </c>
      <c r="C810" s="6" t="inlineStr">
        <is>
          <t>2026Q1</t>
        </is>
      </c>
      <c r="D810" s="6" t="inlineStr">
        <is>
          <t>20260511</t>
        </is>
      </c>
      <c r="E810" s="16" t="n">
        <v>55707</v>
      </c>
      <c r="F810" s="16" t="n">
        <v>22078</v>
      </c>
      <c r="G810" s="16" t="n">
        <v>33629</v>
      </c>
      <c r="H810" s="6" t="inlineStr">
        <is>
          <t>백만원,천$</t>
        </is>
      </c>
      <c r="I810" s="17" t="n">
        <v>-7.2</v>
      </c>
      <c r="J810" s="18" t="n">
        <v>27354</v>
      </c>
      <c r="K810" s="19" t="n">
        <v>44043</v>
      </c>
      <c r="L810" s="18" t="n">
        <v>43306</v>
      </c>
      <c r="M810" s="19" t="n">
        <v>43306</v>
      </c>
      <c r="N810" s="18" t="n">
        <v>36629</v>
      </c>
      <c r="O810" s="19" t="n">
        <v>42788</v>
      </c>
      <c r="P810" s="18" t="n">
        <v>38257</v>
      </c>
      <c r="Q810" s="19" t="n">
        <v>36249</v>
      </c>
      <c r="R810" s="18" t="n">
        <v>33629</v>
      </c>
      <c r="S810" s="20" t="inlineStr"/>
      <c r="T810" s="6" t="n">
        <v>1</v>
      </c>
      <c r="U810" s="5" t="inlineStr">
        <is>
          <t>관성측정기 외 / '23년~ '26년. / -</t>
        </is>
      </c>
      <c r="V810" s="21">
        <f>HYPERLINK("https://dart.fss.or.kr/dsaf001/main.do?rcpNo=20260511000209", "공시열람")</f>
        <v/>
      </c>
    </row>
    <row r="811">
      <c r="A811" s="5" t="inlineStr">
        <is>
          <t>퓨런티어</t>
        </is>
      </c>
      <c r="B811" s="6" t="inlineStr">
        <is>
          <t>370090</t>
        </is>
      </c>
      <c r="C811" s="6" t="inlineStr">
        <is>
          <t>2026Q2</t>
        </is>
      </c>
      <c r="D811" s="6" t="inlineStr">
        <is>
          <t>20260813</t>
        </is>
      </c>
      <c r="E811" s="16" t="n">
        <v>18396303080</v>
      </c>
      <c r="F811" s="16" t="n">
        <v>12009554809</v>
      </c>
      <c r="G811" s="16" t="n">
        <v>6386748271</v>
      </c>
      <c r="H811" s="6" t="inlineStr">
        <is>
          <t>원</t>
        </is>
      </c>
      <c r="I811" s="17" t="n">
        <v>81194258.90000001</v>
      </c>
      <c r="J811" s="18" t="n">
        <v>8966</v>
      </c>
      <c r="K811" s="19" t="n">
        <v>4614</v>
      </c>
      <c r="L811" s="18" t="n">
        <v>3665</v>
      </c>
      <c r="M811" s="19" t="n">
        <v>5995</v>
      </c>
      <c r="N811" s="18" t="n">
        <v>5990</v>
      </c>
      <c r="O811" s="19" t="n">
        <v>5992</v>
      </c>
      <c r="P811" s="18" t="n">
        <v>6155</v>
      </c>
      <c r="Q811" s="19" t="n">
        <v>7872</v>
      </c>
      <c r="R811" s="18" t="n">
        <v>7866</v>
      </c>
      <c r="S811" s="20" t="n">
        <v>6386748271</v>
      </c>
      <c r="T811" s="6" t="n">
        <v>3</v>
      </c>
      <c r="U811" s="5" t="inlineStr">
        <is>
          <t>기타 장비 / 2025~ / 2026~ | 전장용 장비 / 2025~ / 2026~ | PC,광원등 / 2025~ / 2026~</t>
        </is>
      </c>
      <c r="V811" s="21">
        <f>HYPERLINK("https://dart.fss.or.kr/dsaf001/main.do?rcpNo=20260813001157", "공시열람")</f>
        <v/>
      </c>
    </row>
    <row r="812">
      <c r="A812" s="5" t="inlineStr">
        <is>
          <t>윤성에프앤씨</t>
        </is>
      </c>
      <c r="B812" s="6" t="inlineStr">
        <is>
          <t>372170</t>
        </is>
      </c>
      <c r="C812" s="6" t="inlineStr">
        <is>
          <t>2026Q2</t>
        </is>
      </c>
      <c r="D812" s="6" t="inlineStr">
        <is>
          <t>20260814</t>
        </is>
      </c>
      <c r="E812" s="16" t="n">
        <v>274420</v>
      </c>
      <c r="F812" s="16" t="n">
        <v>81735</v>
      </c>
      <c r="G812" s="16" t="n">
        <v>192685</v>
      </c>
      <c r="H812" s="6" t="inlineStr">
        <is>
          <t>백만원</t>
        </is>
      </c>
      <c r="I812" s="17" t="n">
        <v>-8.1</v>
      </c>
      <c r="J812" s="18" t="n">
        <v>252626</v>
      </c>
      <c r="K812" s="19" t="n">
        <v>300161</v>
      </c>
      <c r="L812" s="18" t="n">
        <v>286681</v>
      </c>
      <c r="M812" s="19" t="n">
        <v>238188</v>
      </c>
      <c r="N812" s="18" t="n">
        <v>228592</v>
      </c>
      <c r="O812" s="19" t="n">
        <v>194682</v>
      </c>
      <c r="P812" s="18" t="n">
        <v>189016</v>
      </c>
      <c r="Q812" s="19" t="n">
        <v>218676</v>
      </c>
      <c r="R812" s="18" t="n">
        <v>209671</v>
      </c>
      <c r="S812" s="20" t="n">
        <v>192685</v>
      </c>
      <c r="T812" s="6" t="n">
        <v>1</v>
      </c>
      <c r="U812" s="5" t="inlineStr">
        <is>
          <t>믹싱장비 및 시스템 / -</t>
        </is>
      </c>
      <c r="V812" s="21">
        <f>HYPERLINK("https://dart.fss.or.kr/dsaf001/main.do?rcpNo=20260814000641", "공시열람")</f>
        <v/>
      </c>
    </row>
    <row r="813">
      <c r="A813" s="5" t="inlineStr">
        <is>
          <t>아이티아이즈</t>
        </is>
      </c>
      <c r="B813" s="6" t="inlineStr">
        <is>
          <t>372800</t>
        </is>
      </c>
      <c r="C813" s="6" t="inlineStr">
        <is>
          <t>2026Q2</t>
        </is>
      </c>
      <c r="D813" s="6" t="inlineStr">
        <is>
          <t>20260814</t>
        </is>
      </c>
      <c r="E813" s="16" t="n">
        <v>116472</v>
      </c>
      <c r="F813" s="16" t="n">
        <v>64638</v>
      </c>
      <c r="G813" s="16" t="n">
        <v>51834</v>
      </c>
      <c r="H813" s="6" t="inlineStr">
        <is>
          <t>백만원</t>
        </is>
      </c>
      <c r="I813" s="17" t="n">
        <v>67.59999999999999</v>
      </c>
      <c r="J813" s="18" t="n">
        <v>49616</v>
      </c>
      <c r="K813" s="19" t="n">
        <v>47487</v>
      </c>
      <c r="L813" s="18" t="n">
        <v>48765</v>
      </c>
      <c r="M813" s="19" t="n">
        <v>66734</v>
      </c>
      <c r="N813" s="18" t="n">
        <v>55729</v>
      </c>
      <c r="O813" s="19" t="n">
        <v>44280</v>
      </c>
      <c r="P813" s="18" t="n">
        <v>35435</v>
      </c>
      <c r="Q813" s="19" t="n">
        <v>34711</v>
      </c>
      <c r="R813" s="18" t="n">
        <v>30929</v>
      </c>
      <c r="S813" s="20" t="n">
        <v>51834</v>
      </c>
      <c r="T813" s="6" t="n">
        <v>21</v>
      </c>
      <c r="U813" s="5" t="inlineStr">
        <is>
          <t>2026~2029년도 전력시장운영시스템 유지관리 위탁용 | 신용보증재단 및 신보중앙회 정보시스템 통합유지보수 /  | 기타 / 2022.06.01 / 2029.12.04</t>
        </is>
      </c>
      <c r="V813" s="21">
        <f>HYPERLINK("https://dart.fss.or.kr/dsaf001/main.do?rcpNo=20260814003419", "공시열람")</f>
        <v/>
      </c>
    </row>
    <row r="814">
      <c r="A814" s="5" t="inlineStr">
        <is>
          <t>한컴라이프케어</t>
        </is>
      </c>
      <c r="B814" s="6" t="inlineStr">
        <is>
          <t>372910</t>
        </is>
      </c>
      <c r="C814" s="6" t="inlineStr">
        <is>
          <t>2025Q1</t>
        </is>
      </c>
      <c r="D814" s="6" t="inlineStr">
        <is>
          <t>20250512</t>
        </is>
      </c>
      <c r="E814" s="16" t="n">
        <v>93929</v>
      </c>
      <c r="F814" s="16" t="inlineStr"/>
      <c r="G814" s="16" t="n">
        <v>93929</v>
      </c>
      <c r="H814" s="6" t="inlineStr">
        <is>
          <t>개,백만원</t>
        </is>
      </c>
      <c r="I814" s="17" t="n">
        <v>7.2</v>
      </c>
      <c r="J814" s="18" t="n">
        <v>116585</v>
      </c>
      <c r="K814" s="19" t="n">
        <v>108259</v>
      </c>
      <c r="L814" s="18" t="n">
        <v>98588</v>
      </c>
      <c r="M814" s="19" t="n">
        <v>87636</v>
      </c>
      <c r="N814" s="18" t="n">
        <v>93929</v>
      </c>
      <c r="O814" s="19" t="inlineStr"/>
      <c r="P814" s="18" t="inlineStr"/>
      <c r="Q814" s="19" t="inlineStr"/>
      <c r="R814" s="18" t="inlineStr"/>
      <c r="S814" s="20" t="inlineStr"/>
      <c r="T814" s="6" t="n">
        <v>5</v>
      </c>
      <c r="U814" s="5" t="inlineStr">
        <is>
          <t>지상레이저 표적지시기 2차 사업 / 2023.06.23 | 23년 예비군 교전훈련장비체계 / 2023.07.12  | 기갑/기계화 중대급 교전훈련체계 연구개발 / 2024.</t>
        </is>
      </c>
      <c r="V814" s="21">
        <f>HYPERLINK("https://dart.fss.or.kr/dsaf001/main.do?rcpNo=20250512000052", "공시열람")</f>
        <v/>
      </c>
    </row>
    <row r="815">
      <c r="A815" s="5" t="inlineStr">
        <is>
          <t>엠아이큐브솔루션</t>
        </is>
      </c>
      <c r="B815" s="6" t="inlineStr">
        <is>
          <t>373170</t>
        </is>
      </c>
      <c r="C815" s="6" t="inlineStr">
        <is>
          <t>2026Q2</t>
        </is>
      </c>
      <c r="D815" s="6" t="inlineStr">
        <is>
          <t>20260814</t>
        </is>
      </c>
      <c r="E815" s="16" t="n">
        <v>36684348</v>
      </c>
      <c r="F815" s="16" t="n">
        <v>24959327</v>
      </c>
      <c r="G815" s="16" t="n">
        <v>11725021</v>
      </c>
      <c r="H815" s="6" t="inlineStr">
        <is>
          <t>천원</t>
        </is>
      </c>
      <c r="I815" s="17" t="n">
        <v>2.3</v>
      </c>
      <c r="J815" s="18" t="n">
        <v>13718864</v>
      </c>
      <c r="K815" s="19" t="n">
        <v>11491924</v>
      </c>
      <c r="L815" s="18" t="n">
        <v>10636548</v>
      </c>
      <c r="M815" s="19" t="n">
        <v>7716711</v>
      </c>
      <c r="N815" s="18" t="n">
        <v>11923582</v>
      </c>
      <c r="O815" s="19" t="n">
        <v>11834</v>
      </c>
      <c r="P815" s="18" t="n">
        <v>9573750</v>
      </c>
      <c r="Q815" s="19" t="n">
        <v>5866654</v>
      </c>
      <c r="R815" s="18" t="n">
        <v>11462098</v>
      </c>
      <c r="S815" s="20" t="n">
        <v>11725021</v>
      </c>
      <c r="T815" s="6" t="n">
        <v>1</v>
      </c>
      <c r="U815" s="5" t="inlineStr">
        <is>
          <t>IT서비스 및 SW매출 / -</t>
        </is>
      </c>
      <c r="V815" s="21">
        <f>HYPERLINK("https://dart.fss.or.kr/dsaf001/main.do?rcpNo=20260814003216", "공시열람")</f>
        <v/>
      </c>
    </row>
    <row r="816">
      <c r="A816" s="5" t="inlineStr">
        <is>
          <t>DL이앤씨</t>
        </is>
      </c>
      <c r="B816" s="6" t="inlineStr">
        <is>
          <t>375500</t>
        </is>
      </c>
      <c r="C816" s="6" t="inlineStr">
        <is>
          <t>2026Q2</t>
        </is>
      </c>
      <c r="D816" s="6" t="inlineStr">
        <is>
          <t>20260814</t>
        </is>
      </c>
      <c r="E816" s="16" t="n">
        <v>40867535</v>
      </c>
      <c r="F816" s="16" t="n">
        <v>15227906</v>
      </c>
      <c r="G816" s="16" t="n">
        <v>25639629</v>
      </c>
      <c r="H816" s="6" t="inlineStr">
        <is>
          <t>백만원</t>
        </is>
      </c>
      <c r="I816" s="17" t="n">
        <v>15.4</v>
      </c>
      <c r="J816" s="18" t="n">
        <v>21748252</v>
      </c>
      <c r="K816" s="19" t="n">
        <v>21553212</v>
      </c>
      <c r="L816" s="18" t="n">
        <v>21322311</v>
      </c>
      <c r="M816" s="19" t="n">
        <v>21872078</v>
      </c>
      <c r="N816" s="18" t="n">
        <v>21652989</v>
      </c>
      <c r="O816" s="19" t="n">
        <v>20621363</v>
      </c>
      <c r="P816" s="18" t="n">
        <v>20570366</v>
      </c>
      <c r="Q816" s="19" t="n">
        <v>22436982</v>
      </c>
      <c r="R816" s="18" t="n">
        <v>22225195</v>
      </c>
      <c r="S816" s="20" t="n">
        <v>25639629</v>
      </c>
      <c r="T816" s="6" t="n">
        <v>114</v>
      </c>
      <c r="U816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16" s="21">
        <f>HYPERLINK("https://dart.fss.or.kr/dsaf001/main.do?rcpNo=20260814003712", "공시열람")</f>
        <v/>
      </c>
    </row>
    <row r="817">
      <c r="A817" s="5" t="inlineStr">
        <is>
          <t>노을</t>
        </is>
      </c>
      <c r="B817" s="6" t="inlineStr">
        <is>
          <t>376930</t>
        </is>
      </c>
      <c r="C817" s="6" t="inlineStr">
        <is>
          <t>2026Q2</t>
        </is>
      </c>
      <c r="D817" s="6" t="inlineStr">
        <is>
          <t>20260813</t>
        </is>
      </c>
      <c r="E817" s="16" t="n">
        <v>26057</v>
      </c>
      <c r="F817" s="16" t="n">
        <v>4886</v>
      </c>
      <c r="G817" s="16" t="n">
        <v>21172</v>
      </c>
      <c r="H817" s="6" t="inlineStr">
        <is>
          <t>백만원</t>
        </is>
      </c>
      <c r="I817" s="17" t="n">
        <v>-2.9</v>
      </c>
      <c r="J817" s="18" t="n">
        <v>12160</v>
      </c>
      <c r="K817" s="19" t="n">
        <v>11903</v>
      </c>
      <c r="L817" s="18" t="n">
        <v>11731</v>
      </c>
      <c r="M817" s="19" t="n">
        <v>13878</v>
      </c>
      <c r="N817" s="18" t="n">
        <v>20818</v>
      </c>
      <c r="O817" s="19" t="n">
        <v>22382</v>
      </c>
      <c r="P817" s="18" t="n">
        <v>22516</v>
      </c>
      <c r="Q817" s="19" t="n">
        <v>21923</v>
      </c>
      <c r="R817" s="18" t="n">
        <v>21799</v>
      </c>
      <c r="S817" s="20" t="n">
        <v>21172</v>
      </c>
      <c r="T817" s="6" t="n">
        <v>11</v>
      </c>
      <c r="U817" s="5" t="inlineStr">
        <is>
          <t>miLab™ 디바이스 및 카트리지 / 2023-08-0 | miLab™ 디바이스 및 카트리지 / 2025-02-2 | miLab™ 디바이스 및 카트리지 / 2024-11-0</t>
        </is>
      </c>
      <c r="V817" s="21">
        <f>HYPERLINK("https://dart.fss.or.kr/dsaf001/main.do?rcpNo=20260812000889", "공시열람")</f>
        <v/>
      </c>
    </row>
    <row r="818">
      <c r="A818" s="5" t="inlineStr">
        <is>
          <t>비트맥스</t>
        </is>
      </c>
      <c r="B818" s="6" t="inlineStr">
        <is>
          <t>377030</t>
        </is>
      </c>
      <c r="C818" s="6" t="inlineStr">
        <is>
          <t>2025Q1</t>
        </is>
      </c>
      <c r="D818" s="6" t="inlineStr">
        <is>
          <t>20250515</t>
        </is>
      </c>
      <c r="E818" s="16" t="n">
        <v>496</v>
      </c>
      <c r="F818" s="16" t="inlineStr"/>
      <c r="G818" s="16" t="n">
        <v>496</v>
      </c>
      <c r="H818" s="6" t="inlineStr">
        <is>
          <t>백만원</t>
        </is>
      </c>
      <c r="I818" s="17" t="n">
        <v>-94.7</v>
      </c>
      <c r="J818" s="18" t="n">
        <v>10823</v>
      </c>
      <c r="K818" s="19" t="n">
        <v>11630</v>
      </c>
      <c r="L818" s="18" t="n">
        <v>9529</v>
      </c>
      <c r="M818" s="19" t="n">
        <v>9443</v>
      </c>
      <c r="N818" s="18" t="n">
        <v>496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IT서비스 / ㈜아이엘포유 / 시스템구축 및 운영 유지</t>
        </is>
      </c>
      <c r="V818" s="21">
        <f>HYPERLINK("https://dart.fss.or.kr/dsaf001/main.do?rcpNo=20250515001562", "공시열람")</f>
        <v/>
      </c>
    </row>
    <row r="819">
      <c r="A819" s="5" t="inlineStr">
        <is>
          <t>이지트로닉스</t>
        </is>
      </c>
      <c r="B819" s="6" t="inlineStr">
        <is>
          <t>377330</t>
        </is>
      </c>
      <c r="C819" s="6" t="inlineStr">
        <is>
          <t>2026Q2</t>
        </is>
      </c>
      <c r="D819" s="6" t="inlineStr">
        <is>
          <t>20260814</t>
        </is>
      </c>
      <c r="E819" s="16" t="n">
        <v>9495</v>
      </c>
      <c r="F819" s="16" t="n">
        <v>4905</v>
      </c>
      <c r="G819" s="16" t="n">
        <v>4590</v>
      </c>
      <c r="H819" s="6" t="inlineStr">
        <is>
          <t>백만원</t>
        </is>
      </c>
      <c r="I819" s="17" t="n">
        <v>-38.7</v>
      </c>
      <c r="J819" s="18" t="n">
        <v>2886</v>
      </c>
      <c r="K819" s="19" t="n">
        <v>5024</v>
      </c>
      <c r="L819" s="18" t="n">
        <v>12497</v>
      </c>
      <c r="M819" s="19" t="n">
        <v>3039</v>
      </c>
      <c r="N819" s="18" t="n">
        <v>5157</v>
      </c>
      <c r="O819" s="19" t="n">
        <v>3361</v>
      </c>
      <c r="P819" s="18" t="n">
        <v>3325</v>
      </c>
      <c r="Q819" s="19" t="n">
        <v>4939</v>
      </c>
      <c r="R819" s="18" t="n">
        <v>7486</v>
      </c>
      <c r="S819" s="20" t="n">
        <v>4590</v>
      </c>
      <c r="T819" s="6" t="n">
        <v>1</v>
      </c>
      <c r="U819" s="5" t="inlineStr">
        <is>
          <t>전력변환장치(제품) 외 / 2026년</t>
        </is>
      </c>
      <c r="V819" s="21">
        <f>HYPERLINK("https://dart.fss.or.kr/dsaf001/main.do?rcpNo=20260814002509", "공시열람")</f>
        <v/>
      </c>
    </row>
    <row r="820">
      <c r="A820" s="5" t="inlineStr">
        <is>
          <t>마음AI</t>
        </is>
      </c>
      <c r="B820" s="6" t="inlineStr">
        <is>
          <t>377480</t>
        </is>
      </c>
      <c r="C820" s="6" t="inlineStr">
        <is>
          <t>2026Q2</t>
        </is>
      </c>
      <c r="D820" s="6" t="inlineStr">
        <is>
          <t>20260814</t>
        </is>
      </c>
      <c r="E820" s="16" t="n">
        <v>4015317</v>
      </c>
      <c r="F820" s="16" t="n">
        <v>1598358</v>
      </c>
      <c r="G820" s="16" t="n">
        <v>2416959</v>
      </c>
      <c r="H820" s="6" t="inlineStr">
        <is>
          <t>천원</t>
        </is>
      </c>
      <c r="I820" s="17" t="n">
        <v>2218.6</v>
      </c>
      <c r="J820" s="18" t="n">
        <v>1395846</v>
      </c>
      <c r="K820" s="19" t="n">
        <v>1943692</v>
      </c>
      <c r="L820" s="18" t="n">
        <v>1619015</v>
      </c>
      <c r="M820" s="19" t="n">
        <v>518080</v>
      </c>
      <c r="N820" s="18" t="n">
        <v>673648</v>
      </c>
      <c r="O820" s="19" t="n">
        <v>1229587</v>
      </c>
      <c r="P820" s="18" t="n">
        <v>774501</v>
      </c>
      <c r="Q820" s="19" t="n">
        <v>2646480</v>
      </c>
      <c r="R820" s="18" t="n">
        <v>104240</v>
      </c>
      <c r="S820" s="20" t="n">
        <v>2416959</v>
      </c>
      <c r="T820" s="6" t="n">
        <v>14</v>
      </c>
      <c r="U820" s="5" t="inlineStr">
        <is>
          <t>두산밥캣 로더 무인화 / 두산밥캣 | LIG NEX1 3팀 기뢰전 해양무인체계 통합지휘통제  | 한화에어로스페이스 K10 무인화 / 한화에어로스페이스㈜</t>
        </is>
      </c>
      <c r="V820" s="21">
        <f>HYPERLINK("https://dart.fss.or.kr/dsaf001/main.do?rcpNo=20260814002855", "공시열람")</f>
        <v/>
      </c>
    </row>
    <row r="821">
      <c r="A821" s="5" t="inlineStr">
        <is>
          <t>필에너지</t>
        </is>
      </c>
      <c r="B821" s="6" t="inlineStr">
        <is>
          <t>378340</t>
        </is>
      </c>
      <c r="C821" s="6" t="inlineStr">
        <is>
          <t>2026Q2</t>
        </is>
      </c>
      <c r="D821" s="6" t="inlineStr">
        <is>
          <t>20260814</t>
        </is>
      </c>
      <c r="E821" s="16" t="n">
        <v>99387</v>
      </c>
      <c r="F821" s="16" t="n">
        <v>4129</v>
      </c>
      <c r="G821" s="16" t="n">
        <v>95258</v>
      </c>
      <c r="H821" s="6" t="inlineStr">
        <is>
          <t>백만원</t>
        </is>
      </c>
      <c r="I821" s="17" t="n">
        <v>16.4</v>
      </c>
      <c r="J821" s="18" t="n">
        <v>291171</v>
      </c>
      <c r="K821" s="19" t="n">
        <v>199885</v>
      </c>
      <c r="L821" s="18" t="n">
        <v>148244</v>
      </c>
      <c r="M821" s="19" t="n">
        <v>79163</v>
      </c>
      <c r="N821" s="18" t="n">
        <v>82878</v>
      </c>
      <c r="O821" s="19" t="n">
        <v>62162</v>
      </c>
      <c r="P821" s="18" t="n">
        <v>64638</v>
      </c>
      <c r="Q821" s="19" t="n">
        <v>73666</v>
      </c>
      <c r="R821" s="18" t="n">
        <v>81832</v>
      </c>
      <c r="S821" s="20" t="n">
        <v>95258</v>
      </c>
      <c r="T821" s="6" t="n">
        <v>1</v>
      </c>
      <c r="U821" s="5" t="inlineStr">
        <is>
          <t>이차전지 공정장비 / -</t>
        </is>
      </c>
      <c r="V821" s="21">
        <f>HYPERLINK("https://dart.fss.or.kr/dsaf001/main.do?rcpNo=20260814002628", "공시열람")</f>
        <v/>
      </c>
    </row>
    <row r="822">
      <c r="A822" s="5" t="inlineStr">
        <is>
          <t>이성씨엔아이</t>
        </is>
      </c>
      <c r="B822" s="6" t="inlineStr">
        <is>
          <t>379390</t>
        </is>
      </c>
      <c r="C822" s="6" t="inlineStr">
        <is>
          <t>2025Q4</t>
        </is>
      </c>
      <c r="D822" s="6" t="inlineStr">
        <is>
          <t>20260323</t>
        </is>
      </c>
      <c r="E822" s="16" t="n">
        <v>40691</v>
      </c>
      <c r="F822" s="16" t="n">
        <v>23305</v>
      </c>
      <c r="G822" s="16" t="n">
        <v>17386</v>
      </c>
      <c r="H822" s="6" t="inlineStr">
        <is>
          <t>백만원,천USD</t>
        </is>
      </c>
      <c r="I822" s="17" t="n">
        <v>4.6</v>
      </c>
      <c r="J822" s="18" t="inlineStr"/>
      <c r="K822" s="19" t="inlineStr"/>
      <c r="L822" s="18" t="inlineStr"/>
      <c r="M822" s="19" t="n">
        <v>16617</v>
      </c>
      <c r="N822" s="18" t="inlineStr"/>
      <c r="O822" s="19" t="inlineStr"/>
      <c r="P822" s="18" t="inlineStr"/>
      <c r="Q822" s="19" t="n">
        <v>17386</v>
      </c>
      <c r="R822" s="18" t="inlineStr"/>
      <c r="S822" s="20" t="inlineStr"/>
      <c r="T822" s="6" t="n">
        <v>5</v>
      </c>
      <c r="U822" s="5" t="inlineStr">
        <is>
          <t>교전훈련체계 / - | 운송 물류주선 사업 / - | 원자력 / -</t>
        </is>
      </c>
      <c r="V822" s="21">
        <f>HYPERLINK("https://dart.fss.or.kr/dsaf001/main.do?rcpNo=20260323000676", "공시열람")</f>
        <v/>
      </c>
    </row>
    <row r="823">
      <c r="A823" s="5" t="inlineStr">
        <is>
          <t>옵티코어</t>
        </is>
      </c>
      <c r="B823" s="6" t="inlineStr">
        <is>
          <t>380540</t>
        </is>
      </c>
      <c r="C823" s="6" t="inlineStr">
        <is>
          <t>2026Q2</t>
        </is>
      </c>
      <c r="D823" s="6" t="inlineStr">
        <is>
          <t>20260814</t>
        </is>
      </c>
      <c r="E823" s="16" t="n">
        <v>17859</v>
      </c>
      <c r="F823" s="16" t="n">
        <v>14317</v>
      </c>
      <c r="G823" s="16" t="n">
        <v>3543</v>
      </c>
      <c r="H823" s="6" t="inlineStr">
        <is>
          <t>EA,백만원</t>
        </is>
      </c>
      <c r="I823" s="17" t="n">
        <v>25.7</v>
      </c>
      <c r="J823" s="18" t="n">
        <v>2542</v>
      </c>
      <c r="K823" s="19" t="n">
        <v>3422</v>
      </c>
      <c r="L823" s="18" t="n">
        <v>6104</v>
      </c>
      <c r="M823" s="19" t="n">
        <v>1603</v>
      </c>
      <c r="N823" s="18" t="n">
        <v>837</v>
      </c>
      <c r="O823" s="19" t="n">
        <v>1859</v>
      </c>
      <c r="P823" s="18" t="n">
        <v>9151</v>
      </c>
      <c r="Q823" s="19" t="n">
        <v>10808</v>
      </c>
      <c r="R823" s="18" t="n">
        <v>2819</v>
      </c>
      <c r="S823" s="20" t="n">
        <v>3543</v>
      </c>
      <c r="T823" s="6" t="n">
        <v>2</v>
      </c>
      <c r="U823" s="5" t="inlineStr">
        <is>
          <t>광트랜시버 / - | 기타</t>
        </is>
      </c>
      <c r="V823" s="21">
        <f>HYPERLINK("https://dart.fss.or.kr/dsaf001/main.do?rcpNo=20260814003643", "공시열람")</f>
        <v/>
      </c>
    </row>
    <row r="824">
      <c r="A824" s="5" t="inlineStr">
        <is>
          <t>뉴로핏</t>
        </is>
      </c>
      <c r="B824" s="6" t="inlineStr">
        <is>
          <t>380550</t>
        </is>
      </c>
      <c r="C824" s="6" t="inlineStr">
        <is>
          <t>2026Q2</t>
        </is>
      </c>
      <c r="D824" s="6" t="inlineStr">
        <is>
          <t>20260814</t>
        </is>
      </c>
      <c r="E824" s="16" t="n">
        <v>2310528</v>
      </c>
      <c r="F824" s="16" t="inlineStr"/>
      <c r="G824" s="16" t="n">
        <v>1141644</v>
      </c>
      <c r="H824" s="6" t="inlineStr">
        <is>
          <t>천원</t>
        </is>
      </c>
      <c r="I824" s="17" t="n">
        <v>2.4</v>
      </c>
      <c r="J824" s="18" t="inlineStr"/>
      <c r="K824" s="19" t="inlineStr"/>
      <c r="L824" s="18" t="inlineStr"/>
      <c r="M824" s="19" t="inlineStr"/>
      <c r="N824" s="18" t="inlineStr"/>
      <c r="O824" s="19" t="n">
        <v>1386125</v>
      </c>
      <c r="P824" s="18" t="n">
        <v>1146114</v>
      </c>
      <c r="Q824" s="19" t="n">
        <v>1161535</v>
      </c>
      <c r="R824" s="18" t="n">
        <v>1114642</v>
      </c>
      <c r="S824" s="20" t="n">
        <v>1141644</v>
      </c>
      <c r="T824" s="6" t="n">
        <v>38</v>
      </c>
      <c r="U824" s="5" t="inlineStr">
        <is>
          <t>Imaging CRO | Imaging CRO | Neurophet AQUA</t>
        </is>
      </c>
      <c r="V824" s="21">
        <f>HYPERLINK("https://dart.fss.or.kr/dsaf001/main.do?rcpNo=20260814002605", "공시열람")</f>
        <v/>
      </c>
    </row>
    <row r="825">
      <c r="A825" s="5" t="inlineStr">
        <is>
          <t>지앤비에스 에코</t>
        </is>
      </c>
      <c r="B825" s="6" t="inlineStr">
        <is>
          <t>382800</t>
        </is>
      </c>
      <c r="C825" s="6" t="inlineStr">
        <is>
          <t>2025Q1</t>
        </is>
      </c>
      <c r="D825" s="6" t="inlineStr">
        <is>
          <t>20250530</t>
        </is>
      </c>
      <c r="E825" s="16" t="inlineStr"/>
      <c r="F825" s="16" t="inlineStr"/>
      <c r="G825" s="16" t="n">
        <v>9169</v>
      </c>
      <c r="H825" s="6" t="inlineStr">
        <is>
          <t>백만원</t>
        </is>
      </c>
      <c r="I825" s="17" t="n">
        <v>-27.5</v>
      </c>
      <c r="J825" s="18" t="n">
        <v>6300</v>
      </c>
      <c r="K825" s="19" t="n">
        <v>2761</v>
      </c>
      <c r="L825" s="18" t="n">
        <v>2373</v>
      </c>
      <c r="M825" s="19" t="n">
        <v>12648</v>
      </c>
      <c r="N825" s="18" t="n">
        <v>9169</v>
      </c>
      <c r="O825" s="19" t="inlineStr"/>
      <c r="P825" s="18" t="inlineStr"/>
      <c r="Q825" s="19" t="inlineStr"/>
      <c r="R825" s="18" t="inlineStr"/>
      <c r="S825" s="20" t="inlineStr"/>
      <c r="T825" s="6" t="n">
        <v>1</v>
      </c>
      <c r="U825" s="5" t="inlineStr">
        <is>
          <t>SCRUBBER 외 / -</t>
        </is>
      </c>
      <c r="V825" s="21">
        <f>HYPERLINK("https://dart.fss.or.kr/dsaf001/main.do?rcpNo=20250530001989", "공시열람")</f>
        <v/>
      </c>
    </row>
    <row r="826">
      <c r="A826" s="5" t="inlineStr">
        <is>
          <t>원준</t>
        </is>
      </c>
      <c r="B826" s="6" t="inlineStr">
        <is>
          <t>382840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121812</v>
      </c>
      <c r="F826" s="16" t="n">
        <v>71639</v>
      </c>
      <c r="G826" s="16" t="n">
        <v>50173</v>
      </c>
      <c r="H826" s="6" t="inlineStr">
        <is>
          <t>백만원</t>
        </is>
      </c>
      <c r="I826" s="17" t="n">
        <v>3.3</v>
      </c>
      <c r="J826" s="18" t="n">
        <v>246010</v>
      </c>
      <c r="K826" s="19" t="n">
        <v>198246</v>
      </c>
      <c r="L826" s="18" t="n">
        <v>178613</v>
      </c>
      <c r="M826" s="19" t="n">
        <v>147154</v>
      </c>
      <c r="N826" s="18" t="n">
        <v>53005</v>
      </c>
      <c r="O826" s="19" t="n">
        <v>48866</v>
      </c>
      <c r="P826" s="18" t="n">
        <v>47606</v>
      </c>
      <c r="Q826" s="19" t="n">
        <v>48218</v>
      </c>
      <c r="R826" s="18" t="n">
        <v>48589</v>
      </c>
      <c r="S826" s="20" t="n">
        <v>50173</v>
      </c>
      <c r="T826" s="6" t="n">
        <v>1</v>
      </c>
      <c r="U826" s="5" t="inlineStr">
        <is>
          <t>열처리 장비 및 공정설비 / -</t>
        </is>
      </c>
      <c r="V826" s="21">
        <f>HYPERLINK("https://dart.fss.or.kr/dsaf001/main.do?rcpNo=20260814003223", "공시열람")</f>
        <v/>
      </c>
    </row>
    <row r="827">
      <c r="A827" s="5" t="inlineStr">
        <is>
          <t>범한퓨얼셀</t>
        </is>
      </c>
      <c r="B827" s="6" t="inlineStr">
        <is>
          <t>382900</t>
        </is>
      </c>
      <c r="C827" s="6" t="inlineStr">
        <is>
          <t>2026Q2</t>
        </is>
      </c>
      <c r="D827" s="6" t="inlineStr">
        <is>
          <t>20260814</t>
        </is>
      </c>
      <c r="E827" s="16" t="n">
        <v>87645</v>
      </c>
      <c r="F827" s="16" t="n">
        <v>26574</v>
      </c>
      <c r="G827" s="16" t="n">
        <v>61071</v>
      </c>
      <c r="H827" s="6" t="inlineStr">
        <is>
          <t>백만원</t>
        </is>
      </c>
      <c r="I827" s="17" t="n">
        <v>-19.5</v>
      </c>
      <c r="J827" s="18" t="n">
        <v>3382</v>
      </c>
      <c r="K827" s="19" t="n">
        <v>2971</v>
      </c>
      <c r="L827" s="18" t="n">
        <v>2560</v>
      </c>
      <c r="M827" s="19" t="n">
        <v>12934</v>
      </c>
      <c r="N827" s="18" t="n">
        <v>12667</v>
      </c>
      <c r="O827" s="19" t="n">
        <v>13550</v>
      </c>
      <c r="P827" s="18" t="n">
        <v>76263</v>
      </c>
      <c r="Q827" s="19" t="n">
        <v>67853</v>
      </c>
      <c r="R827" s="18" t="n">
        <v>75879</v>
      </c>
      <c r="S827" s="20" t="n">
        <v>61071</v>
      </c>
      <c r="T827" s="6" t="n">
        <v>1</v>
      </c>
      <c r="U827" s="5" t="inlineStr">
        <is>
          <t xml:space="preserve">수소충전소 / '21.07.23~'26.04.29 / </t>
        </is>
      </c>
      <c r="V827" s="21">
        <f>HYPERLINK("https://dart.fss.or.kr/dsaf001/main.do?rcpNo=20260814003724", "공시열람")</f>
        <v/>
      </c>
    </row>
    <row r="828">
      <c r="A828" s="5" t="inlineStr">
        <is>
          <t>에코프로에이치엔</t>
        </is>
      </c>
      <c r="B828" s="6" t="inlineStr">
        <is>
          <t>383310</t>
        </is>
      </c>
      <c r="C828" s="6" t="inlineStr">
        <is>
          <t>2026Q2</t>
        </is>
      </c>
      <c r="D828" s="6" t="inlineStr">
        <is>
          <t>20260814</t>
        </is>
      </c>
      <c r="E828" s="16" t="n">
        <v>162441</v>
      </c>
      <c r="F828" s="16" t="n">
        <v>79411</v>
      </c>
      <c r="G828" s="16" t="n">
        <v>83030</v>
      </c>
      <c r="H828" s="6" t="inlineStr">
        <is>
          <t>백만원</t>
        </is>
      </c>
      <c r="I828" s="17" t="n">
        <v>-7.5</v>
      </c>
      <c r="J828" s="18" t="n">
        <v>129684</v>
      </c>
      <c r="K828" s="19" t="n">
        <v>105484</v>
      </c>
      <c r="L828" s="18" t="n">
        <v>89347</v>
      </c>
      <c r="M828" s="19" t="n">
        <v>77099</v>
      </c>
      <c r="N828" s="18" t="n">
        <v>72058</v>
      </c>
      <c r="O828" s="19" t="n">
        <v>78334</v>
      </c>
      <c r="P828" s="18" t="n">
        <v>82744</v>
      </c>
      <c r="Q828" s="19" t="n">
        <v>64269</v>
      </c>
      <c r="R828" s="18" t="n">
        <v>89753</v>
      </c>
      <c r="S828" s="20" t="n">
        <v>83030</v>
      </c>
      <c r="T828" s="6" t="n">
        <v>5</v>
      </c>
      <c r="U828" s="5" t="inlineStr">
        <is>
          <t>온실가스 감축 솔루션 / ~2026.06.30 / - | 미세먼지 저감 솔루션 / ~2026.06.30 / - | 클린룸 케미컬 필터 / ~2026.06.30 / -</t>
        </is>
      </c>
      <c r="V828" s="21">
        <f>HYPERLINK("https://dart.fss.or.kr/dsaf001/main.do?rcpNo=20260814001912", "공시열람")</f>
        <v/>
      </c>
    </row>
    <row r="829">
      <c r="A829" s="5" t="inlineStr">
        <is>
          <t>디티앤씨알오</t>
        </is>
      </c>
      <c r="B829" s="6" t="inlineStr">
        <is>
          <t>383930</t>
        </is>
      </c>
      <c r="C829" s="6" t="inlineStr">
        <is>
          <t>2026Q2</t>
        </is>
      </c>
      <c r="D829" s="6" t="inlineStr">
        <is>
          <t>20260814</t>
        </is>
      </c>
      <c r="E829" s="16" t="n">
        <v>113413974</v>
      </c>
      <c r="F829" s="16" t="n">
        <v>57221612</v>
      </c>
      <c r="G829" s="16" t="n">
        <v>56192362</v>
      </c>
      <c r="H829" s="6" t="inlineStr">
        <is>
          <t>천원</t>
        </is>
      </c>
      <c r="I829" s="17" t="n">
        <v>8.6</v>
      </c>
      <c r="J829" s="18" t="n">
        <v>39874739</v>
      </c>
      <c r="K829" s="19" t="n">
        <v>42712496</v>
      </c>
      <c r="L829" s="18" t="n">
        <v>42739514</v>
      </c>
      <c r="M829" s="19" t="n">
        <v>47914244</v>
      </c>
      <c r="N829" s="18" t="n">
        <v>44770378</v>
      </c>
      <c r="O829" s="19" t="n">
        <v>48764533</v>
      </c>
      <c r="P829" s="18" t="n">
        <v>49558403</v>
      </c>
      <c r="Q829" s="19" t="n">
        <v>51756226</v>
      </c>
      <c r="R829" s="18" t="n">
        <v>51756226</v>
      </c>
      <c r="S829" s="20" t="n">
        <v>56192362</v>
      </c>
      <c r="T829" s="6" t="n">
        <v>4</v>
      </c>
      <c r="U829" s="5" t="inlineStr">
        <is>
          <t>임상사업부 / - | 안전성센터 / - | 효능평가센터 / -</t>
        </is>
      </c>
      <c r="V829" s="21">
        <f>HYPERLINK("https://dart.fss.or.kr/dsaf001/main.do?rcpNo=20260814003017", "공시열람")</f>
        <v/>
      </c>
    </row>
    <row r="830">
      <c r="A830" s="5" t="inlineStr">
        <is>
          <t>지투파워</t>
        </is>
      </c>
      <c r="B830" s="6" t="inlineStr">
        <is>
          <t>388050</t>
        </is>
      </c>
      <c r="C830" s="6" t="inlineStr">
        <is>
          <t>2026Q2</t>
        </is>
      </c>
      <c r="D830" s="6" t="inlineStr">
        <is>
          <t>20260930</t>
        </is>
      </c>
      <c r="E830" s="16" t="n">
        <v>114135</v>
      </c>
      <c r="F830" s="16" t="inlineStr"/>
      <c r="G830" s="16" t="n">
        <v>114135</v>
      </c>
      <c r="H830" s="6" t="inlineStr">
        <is>
          <t>백만원</t>
        </is>
      </c>
      <c r="I830" s="17" t="n">
        <v>6.8</v>
      </c>
      <c r="J830" s="18" t="n">
        <v>55747</v>
      </c>
      <c r="K830" s="19" t="n">
        <v>71115</v>
      </c>
      <c r="L830" s="18" t="n">
        <v>80667</v>
      </c>
      <c r="M830" s="19" t="n">
        <v>76880</v>
      </c>
      <c r="N830" s="18" t="n">
        <v>120348</v>
      </c>
      <c r="O830" s="19" t="n">
        <v>129623</v>
      </c>
      <c r="P830" s="18" t="n">
        <v>128156</v>
      </c>
      <c r="Q830" s="19" t="n">
        <v>115314</v>
      </c>
      <c r="R830" s="18" t="n">
        <v>106896</v>
      </c>
      <c r="S830" s="20" t="n">
        <v>114135</v>
      </c>
      <c r="T830" s="6" t="n">
        <v>5</v>
      </c>
      <c r="U830" s="5" t="inlineStr">
        <is>
          <t xml:space="preserve">수배전반 / 2022-04-06 ~2026-06-30  | 태양광 / 2023-06-23 ~ 2026-06-30  | ESS / 2024-08-28 ~ 2026-06-01 </t>
        </is>
      </c>
      <c r="V830" s="21">
        <f>HYPERLINK("https://dart.fss.or.kr/dsaf001/main.do?rcpNo=20260930000636", "공시열람")</f>
        <v/>
      </c>
    </row>
    <row r="831">
      <c r="A831" s="5" t="inlineStr">
        <is>
          <t>유일로보틱스</t>
        </is>
      </c>
      <c r="B831" s="6" t="inlineStr">
        <is>
          <t>388720</t>
        </is>
      </c>
      <c r="C831" s="6" t="inlineStr">
        <is>
          <t>2026Q2</t>
        </is>
      </c>
      <c r="D831" s="6" t="inlineStr">
        <is>
          <t>20260814</t>
        </is>
      </c>
      <c r="E831" s="16" t="n">
        <v>11120</v>
      </c>
      <c r="F831" s="16" t="inlineStr"/>
      <c r="G831" s="16" t="n">
        <v>11120</v>
      </c>
      <c r="H831" s="6" t="inlineStr">
        <is>
          <t>백만원</t>
        </is>
      </c>
      <c r="I831" s="17" t="n">
        <v>87.7</v>
      </c>
      <c r="J831" s="18" t="inlineStr"/>
      <c r="K831" s="19" t="inlineStr"/>
      <c r="L831" s="18" t="inlineStr"/>
      <c r="M831" s="19" t="inlineStr"/>
      <c r="N831" s="18" t="inlineStr"/>
      <c r="O831" s="19" t="inlineStr"/>
      <c r="P831" s="18" t="inlineStr"/>
      <c r="Q831" s="19" t="n">
        <v>5925</v>
      </c>
      <c r="R831" s="18" t="n">
        <v>5925</v>
      </c>
      <c r="S831" s="20" t="n">
        <v>11120</v>
      </c>
      <c r="T831" s="6" t="n">
        <v>2</v>
      </c>
      <c r="U831" s="5" t="inlineStr">
        <is>
          <t>진공기상건조로 제4호기, 제5호기 / 2026.02.1 | 신공장 자동화 구축 (물류자동화+MES시스템) / 20</t>
        </is>
      </c>
      <c r="V831" s="21">
        <f>HYPERLINK("https://dart.fss.or.kr/dsaf001/main.do?rcpNo=20260814002610", "공시열람")</f>
        <v/>
      </c>
    </row>
    <row r="832">
      <c r="A832" s="5" t="inlineStr">
        <is>
          <t>라이콤</t>
        </is>
      </c>
      <c r="B832" s="6" t="inlineStr">
        <is>
          <t>388790</t>
        </is>
      </c>
      <c r="C832" s="6" t="inlineStr">
        <is>
          <t>2026Q2</t>
        </is>
      </c>
      <c r="D832" s="6" t="inlineStr">
        <is>
          <t>20260814</t>
        </is>
      </c>
      <c r="E832" s="16" t="n">
        <v>26337</v>
      </c>
      <c r="F832" s="16" t="n">
        <v>7224</v>
      </c>
      <c r="G832" s="16" t="n">
        <v>19115</v>
      </c>
      <c r="H832" s="6" t="inlineStr">
        <is>
          <t>백만원</t>
        </is>
      </c>
      <c r="I832" s="17" t="n">
        <v>78.2</v>
      </c>
      <c r="J832" s="18" t="n">
        <v>5099</v>
      </c>
      <c r="K832" s="19" t="n">
        <v>4345</v>
      </c>
      <c r="L832" s="18" t="n">
        <v>5331</v>
      </c>
      <c r="M832" s="19" t="n">
        <v>4706</v>
      </c>
      <c r="N832" s="18" t="n">
        <v>3180</v>
      </c>
      <c r="O832" s="19" t="n">
        <v>3902</v>
      </c>
      <c r="P832" s="18" t="n">
        <v>10200</v>
      </c>
      <c r="Q832" s="19" t="n">
        <v>6583</v>
      </c>
      <c r="R832" s="18" t="n">
        <v>10726</v>
      </c>
      <c r="S832" s="20" t="n">
        <v>19115</v>
      </c>
      <c r="T832" s="6" t="n">
        <v>4</v>
      </c>
      <c r="U832" s="5" t="inlineStr">
        <is>
          <t>광증폭기 / - | 광섬유레이저 / - | 광중계기 / -</t>
        </is>
      </c>
      <c r="V832" s="21">
        <f>HYPERLINK("https://dart.fss.or.kr/dsaf001/main.do?rcpNo=20260814001795", "공시열람")</f>
        <v/>
      </c>
    </row>
    <row r="833">
      <c r="A833" s="5" t="inlineStr">
        <is>
          <t>자람테크놀로지</t>
        </is>
      </c>
      <c r="B833" s="6" t="inlineStr">
        <is>
          <t>389020</t>
        </is>
      </c>
      <c r="C833" s="6" t="inlineStr">
        <is>
          <t>2026Q2</t>
        </is>
      </c>
      <c r="D833" s="6" t="inlineStr">
        <is>
          <t>20260929</t>
        </is>
      </c>
      <c r="E833" s="16" t="inlineStr"/>
      <c r="F833" s="16" t="inlineStr"/>
      <c r="G833" s="16" t="n">
        <v>24178</v>
      </c>
      <c r="H833" s="6" t="inlineStr">
        <is>
          <t>백만원</t>
        </is>
      </c>
      <c r="I833" s="17" t="n">
        <v>-7.8</v>
      </c>
      <c r="J833" s="18" t="n">
        <v>12805</v>
      </c>
      <c r="K833" s="19" t="n">
        <v>10508</v>
      </c>
      <c r="L833" s="18" t="n">
        <v>6926</v>
      </c>
      <c r="M833" s="19" t="n">
        <v>5184</v>
      </c>
      <c r="N833" s="18" t="n">
        <v>4820</v>
      </c>
      <c r="O833" s="19" t="n">
        <v>5080</v>
      </c>
      <c r="P833" s="18" t="n">
        <v>4927</v>
      </c>
      <c r="Q833" s="19" t="n">
        <v>27886</v>
      </c>
      <c r="R833" s="18" t="n">
        <v>26228</v>
      </c>
      <c r="S833" s="20" t="n">
        <v>24178</v>
      </c>
      <c r="T833" s="6" t="n">
        <v>2</v>
      </c>
      <c r="U833" s="5" t="inlineStr">
        <is>
          <t>N社 등 / XGSPON 및 개발비 | B社 등 / 광트랜시버</t>
        </is>
      </c>
      <c r="V833" s="21">
        <f>HYPERLINK("https://dart.fss.or.kr/dsaf001/main.do?rcpNo=20260929000500", "공시열람")</f>
        <v/>
      </c>
    </row>
    <row r="834">
      <c r="A834" s="5" t="inlineStr">
        <is>
          <t>포바이포</t>
        </is>
      </c>
      <c r="B834" s="6" t="inlineStr">
        <is>
          <t>389140</t>
        </is>
      </c>
      <c r="C834" s="6" t="inlineStr">
        <is>
          <t>2026Q2</t>
        </is>
      </c>
      <c r="D834" s="6" t="inlineStr">
        <is>
          <t>20260814</t>
        </is>
      </c>
      <c r="E834" s="16" t="n">
        <v>14444</v>
      </c>
      <c r="F834" s="16" t="n">
        <v>8143</v>
      </c>
      <c r="G834" s="16" t="n">
        <v>6301</v>
      </c>
      <c r="H834" s="6" t="inlineStr">
        <is>
          <t>백만원</t>
        </is>
      </c>
      <c r="I834" s="17" t="n">
        <v>-37.2</v>
      </c>
      <c r="J834" s="18" t="inlineStr"/>
      <c r="K834" s="19" t="inlineStr"/>
      <c r="L834" s="18" t="inlineStr"/>
      <c r="M834" s="19" t="inlineStr"/>
      <c r="N834" s="18" t="inlineStr"/>
      <c r="O834" s="19" t="n">
        <v>11660</v>
      </c>
      <c r="P834" s="18" t="n">
        <v>12417</v>
      </c>
      <c r="Q834" s="19" t="n">
        <v>12343</v>
      </c>
      <c r="R834" s="18" t="n">
        <v>10029</v>
      </c>
      <c r="S834" s="20" t="n">
        <v>6301</v>
      </c>
      <c r="T834" s="6" t="n">
        <v>5</v>
      </c>
      <c r="U834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34" s="21">
        <f>HYPERLINK("https://dart.fss.or.kr/dsaf001/main.do?rcpNo=20260814002740", "공시열람")</f>
        <v/>
      </c>
    </row>
    <row r="835">
      <c r="A835" s="5" t="inlineStr">
        <is>
          <t>대명에너지</t>
        </is>
      </c>
      <c r="B835" s="6" t="inlineStr">
        <is>
          <t>389260</t>
        </is>
      </c>
      <c r="C835" s="6" t="inlineStr">
        <is>
          <t>2026Q2</t>
        </is>
      </c>
      <c r="D835" s="6" t="inlineStr">
        <is>
          <t>20260814</t>
        </is>
      </c>
      <c r="E835" s="16" t="n">
        <v>693698738</v>
      </c>
      <c r="F835" s="16" t="n">
        <v>238515675</v>
      </c>
      <c r="G835" s="16" t="n">
        <v>455183064</v>
      </c>
      <c r="H835" s="6" t="inlineStr">
        <is>
          <t>천원</t>
        </is>
      </c>
      <c r="I835" s="17" t="n">
        <v>292895.4</v>
      </c>
      <c r="J835" s="18" t="n">
        <v>266114002</v>
      </c>
      <c r="K835" s="19" t="n">
        <v>239306177</v>
      </c>
      <c r="L835" s="18" t="n">
        <v>223076312</v>
      </c>
      <c r="M835" s="19" t="n">
        <v>210571971</v>
      </c>
      <c r="N835" s="18" t="n">
        <v>201797290</v>
      </c>
      <c r="O835" s="19" t="n">
        <v>284434629</v>
      </c>
      <c r="P835" s="18" t="n">
        <v>251950525</v>
      </c>
      <c r="Q835" s="19" t="n">
        <v>238608268</v>
      </c>
      <c r="R835" s="18" t="n">
        <v>155355</v>
      </c>
      <c r="S835" s="20" t="n">
        <v>455183064</v>
      </c>
      <c r="T835" s="6" t="n">
        <v>45</v>
      </c>
      <c r="U835" s="5" t="inlineStr">
        <is>
          <t>개발 / 2026.02.05 / 2029.03.01 | 개발 / 2026.03.18 / 2027.03.31 | 운영 / 2021.07.23 / 2043.06.26</t>
        </is>
      </c>
      <c r="V835" s="21">
        <f>HYPERLINK("https://dart.fss.or.kr/dsaf001/main.do?rcpNo=20260814000931", "공시열람")</f>
        <v/>
      </c>
    </row>
    <row r="836">
      <c r="A836" s="5" t="inlineStr">
        <is>
          <t>인벤티지랩</t>
        </is>
      </c>
      <c r="B836" s="6" t="inlineStr">
        <is>
          <t>389470</t>
        </is>
      </c>
      <c r="C836" s="6" t="inlineStr">
        <is>
          <t>2026Q2</t>
        </is>
      </c>
      <c r="D836" s="6" t="inlineStr">
        <is>
          <t>20260826</t>
        </is>
      </c>
      <c r="E836" s="16" t="n">
        <v>6891</v>
      </c>
      <c r="F836" s="16" t="n">
        <v>6457</v>
      </c>
      <c r="G836" s="16" t="n">
        <v>434</v>
      </c>
      <c r="H836" s="6" t="inlineStr">
        <is>
          <t>백만원</t>
        </is>
      </c>
      <c r="I836" s="17" t="n">
        <v>-32.4</v>
      </c>
      <c r="J836" s="18" t="inlineStr"/>
      <c r="K836" s="19" t="inlineStr"/>
      <c r="L836" s="18" t="inlineStr"/>
      <c r="M836" s="19" t="inlineStr"/>
      <c r="N836" s="18" t="inlineStr"/>
      <c r="O836" s="19" t="n">
        <v>6891</v>
      </c>
      <c r="P836" s="18" t="n">
        <v>6891</v>
      </c>
      <c r="Q836" s="19" t="n">
        <v>4627</v>
      </c>
      <c r="R836" s="18" t="n">
        <v>642</v>
      </c>
      <c r="S836" s="20" t="n">
        <v>434</v>
      </c>
      <c r="T836" s="6" t="n">
        <v>1</v>
      </c>
      <c r="U836" s="5" t="inlineStr">
        <is>
          <t>장기지속형 주사제 제조설비구축 / 2026.02.</t>
        </is>
      </c>
      <c r="V836" s="21">
        <f>HYPERLINK("https://dart.fss.or.kr/dsaf001/main.do?rcpNo=20260826000836", "공시열람")</f>
        <v/>
      </c>
    </row>
    <row r="837">
      <c r="A837" s="5" t="inlineStr">
        <is>
          <t>에스비비테크</t>
        </is>
      </c>
      <c r="B837" s="6" t="inlineStr">
        <is>
          <t>389500</t>
        </is>
      </c>
      <c r="C837" s="6" t="inlineStr">
        <is>
          <t>2026Q2</t>
        </is>
      </c>
      <c r="D837" s="6" t="inlineStr">
        <is>
          <t>20260814</t>
        </is>
      </c>
      <c r="E837" s="16" t="n">
        <v>15400</v>
      </c>
      <c r="F837" s="16" t="n">
        <v>4284</v>
      </c>
      <c r="G837" s="16" t="n">
        <v>11116</v>
      </c>
      <c r="H837" s="6" t="inlineStr">
        <is>
          <t>백만원</t>
        </is>
      </c>
      <c r="I837" s="17" t="n">
        <v>-1.5</v>
      </c>
      <c r="J837" s="18" t="n">
        <v>5263</v>
      </c>
      <c r="K837" s="19" t="n">
        <v>9186</v>
      </c>
      <c r="L837" s="18" t="n">
        <v>4474</v>
      </c>
      <c r="M837" s="19" t="n">
        <v>7772</v>
      </c>
      <c r="N837" s="18" t="n">
        <v>7633</v>
      </c>
      <c r="O837" s="19" t="n">
        <v>7571</v>
      </c>
      <c r="P837" s="18" t="n">
        <v>7530</v>
      </c>
      <c r="Q837" s="19" t="n">
        <v>10069</v>
      </c>
      <c r="R837" s="18" t="n">
        <v>11280</v>
      </c>
      <c r="S837" s="20" t="n">
        <v>11116</v>
      </c>
      <c r="T837" s="6" t="n">
        <v>1</v>
      </c>
      <c r="U837" s="5" t="inlineStr">
        <is>
          <t>감속기 / 2024.01 ~ 2026.06 / 2024</t>
        </is>
      </c>
      <c r="V837" s="21">
        <f>HYPERLINK("https://dart.fss.or.kr/dsaf001/main.do?rcpNo=20260814000984", "공시열람")</f>
        <v/>
      </c>
    </row>
    <row r="838">
      <c r="A838" s="5" t="inlineStr">
        <is>
          <t>토마토시스템</t>
        </is>
      </c>
      <c r="B838" s="6" t="inlineStr">
        <is>
          <t>393210</t>
        </is>
      </c>
      <c r="C838" s="6" t="inlineStr">
        <is>
          <t>2026Q2</t>
        </is>
      </c>
      <c r="D838" s="6" t="inlineStr">
        <is>
          <t>20260812</t>
        </is>
      </c>
      <c r="E838" s="16" t="n">
        <v>45381687</v>
      </c>
      <c r="F838" s="16" t="inlineStr"/>
      <c r="G838" s="16" t="n">
        <v>18414317</v>
      </c>
      <c r="H838" s="6" t="inlineStr">
        <is>
          <t>천원</t>
        </is>
      </c>
      <c r="I838" s="17" t="n">
        <v>-22.1</v>
      </c>
      <c r="J838" s="18" t="n">
        <v>11517922</v>
      </c>
      <c r="K838" s="19" t="n">
        <v>8361159</v>
      </c>
      <c r="L838" s="18" t="n">
        <v>6117139</v>
      </c>
      <c r="M838" s="19" t="n">
        <v>19477998</v>
      </c>
      <c r="N838" s="18" t="n">
        <v>19239044</v>
      </c>
      <c r="O838" s="19" t="n">
        <v>17557845</v>
      </c>
      <c r="P838" s="18" t="n">
        <v>29956698</v>
      </c>
      <c r="Q838" s="19" t="n">
        <v>27622934</v>
      </c>
      <c r="R838" s="18" t="n">
        <v>23638058</v>
      </c>
      <c r="S838" s="20" t="n">
        <v>18414317</v>
      </c>
      <c r="T838" s="6" t="n">
        <v>10</v>
      </c>
      <c r="U838" s="5" t="inlineStr">
        <is>
          <t>기타 / - | 원광대학교 / 2025-09-25 / 2027-09-1 | 서울대학교 / 2024-12-30 / 2028-02-2</t>
        </is>
      </c>
      <c r="V838" s="21">
        <f>HYPERLINK("https://dart.fss.or.kr/dsaf001/main.do?rcpNo=20260812000435", "공시열람")</f>
        <v/>
      </c>
    </row>
    <row r="839">
      <c r="A839" s="5" t="inlineStr">
        <is>
          <t>쓰리빌리언</t>
        </is>
      </c>
      <c r="B839" s="6" t="inlineStr">
        <is>
          <t>394800</t>
        </is>
      </c>
      <c r="C839" s="6" t="inlineStr">
        <is>
          <t>2026Q2</t>
        </is>
      </c>
      <c r="D839" s="6" t="inlineStr">
        <is>
          <t>20260813</t>
        </is>
      </c>
      <c r="E839" s="16" t="n">
        <v>2631818</v>
      </c>
      <c r="F839" s="16" t="n">
        <v>916601</v>
      </c>
      <c r="G839" s="16" t="n">
        <v>1715217</v>
      </c>
      <c r="H839" s="6" t="inlineStr">
        <is>
          <t>건,천원</t>
        </is>
      </c>
      <c r="I839" s="17" t="n">
        <v>376.4</v>
      </c>
      <c r="J839" s="18" t="inlineStr"/>
      <c r="K839" s="19" t="inlineStr"/>
      <c r="L839" s="18" t="inlineStr"/>
      <c r="M839" s="19" t="inlineStr"/>
      <c r="N839" s="18" t="n">
        <v>654545</v>
      </c>
      <c r="O839" s="19" t="n">
        <v>208636</v>
      </c>
      <c r="P839" s="18" t="n">
        <v>486819</v>
      </c>
      <c r="Q839" s="19" t="n">
        <v>306819</v>
      </c>
      <c r="R839" s="18" t="n">
        <v>360000</v>
      </c>
      <c r="S839" s="20" t="n">
        <v>1715217</v>
      </c>
      <c r="T839" s="6" t="n">
        <v>3</v>
      </c>
      <c r="U839" s="5" t="inlineStr">
        <is>
          <t>전장유전체 염기서열기반 신생아 선별검사 / 2026.0 | 전장유전체 염기서열 분석 / 2026.04.09 / 2 | 급성 중증 신생아 희귀질환 진단 / 2025.07.01</t>
        </is>
      </c>
      <c r="V839" s="21">
        <f>HYPERLINK("https://dart.fss.or.kr/dsaf001/main.do?rcpNo=20260813000733", "공시열람")</f>
        <v/>
      </c>
    </row>
    <row r="840">
      <c r="A840" s="5" t="inlineStr">
        <is>
          <t>세아메카닉스</t>
        </is>
      </c>
      <c r="B840" s="6" t="inlineStr">
        <is>
          <t>396300</t>
        </is>
      </c>
      <c r="C840" s="6" t="inlineStr">
        <is>
          <t>2026Q2</t>
        </is>
      </c>
      <c r="D840" s="6" t="inlineStr">
        <is>
          <t>20260813</t>
        </is>
      </c>
      <c r="E840" s="16" t="inlineStr"/>
      <c r="F840" s="16" t="inlineStr"/>
      <c r="G840" s="16" t="n">
        <v>577539</v>
      </c>
      <c r="H840" s="6" t="inlineStr">
        <is>
          <t>백만원</t>
        </is>
      </c>
      <c r="I840" s="17" t="n">
        <v>-5.6</v>
      </c>
      <c r="J840" s="18" t="n">
        <v>553975</v>
      </c>
      <c r="K840" s="19" t="n">
        <v>461535</v>
      </c>
      <c r="L840" s="18" t="n">
        <v>467737</v>
      </c>
      <c r="M840" s="19" t="n">
        <v>555070</v>
      </c>
      <c r="N840" s="18" t="n">
        <v>727579</v>
      </c>
      <c r="O840" s="19" t="n">
        <v>708425</v>
      </c>
      <c r="P840" s="18" t="n">
        <v>705298</v>
      </c>
      <c r="Q840" s="19" t="n">
        <v>611844</v>
      </c>
      <c r="R840" s="18" t="n">
        <v>611910</v>
      </c>
      <c r="S840" s="20" t="n">
        <v>577539</v>
      </c>
      <c r="T840" s="6" t="n">
        <v>1</v>
      </c>
      <c r="U840" s="5" t="inlineStr">
        <is>
          <t>자동차부품 / -</t>
        </is>
      </c>
      <c r="V840" s="21">
        <f>HYPERLINK("https://dart.fss.or.kr/dsaf001/main.do?rcpNo=20260813001552", "공시열람")</f>
        <v/>
      </c>
    </row>
    <row r="841">
      <c r="A841" s="5" t="inlineStr">
        <is>
          <t>에스지헬스케어</t>
        </is>
      </c>
      <c r="B841" s="6" t="inlineStr">
        <is>
          <t>398120</t>
        </is>
      </c>
      <c r="C841" s="6" t="inlineStr">
        <is>
          <t>2026Q2</t>
        </is>
      </c>
      <c r="D841" s="6" t="inlineStr">
        <is>
          <t>20260831</t>
        </is>
      </c>
      <c r="E841" s="16" t="n">
        <v>14269</v>
      </c>
      <c r="F841" s="16" t="n">
        <v>12842</v>
      </c>
      <c r="G841" s="16" t="n">
        <v>1427</v>
      </c>
      <c r="H841" s="6" t="inlineStr">
        <is>
          <t>백만</t>
        </is>
      </c>
      <c r="I841" s="17" t="n">
        <v>-27</v>
      </c>
      <c r="J841" s="18" t="inlineStr"/>
      <c r="K841" s="19" t="inlineStr"/>
      <c r="L841" s="18" t="inlineStr"/>
      <c r="M841" s="19" t="n">
        <v>1909.5</v>
      </c>
      <c r="N841" s="18" t="n">
        <v>1448</v>
      </c>
      <c r="O841" s="19" t="n">
        <v>13257</v>
      </c>
      <c r="P841" s="18" t="n">
        <v>12987</v>
      </c>
      <c r="Q841" s="19" t="n">
        <v>3442</v>
      </c>
      <c r="R841" s="18" t="n">
        <v>1954</v>
      </c>
      <c r="S841" s="20" t="n">
        <v>1427</v>
      </c>
      <c r="T841" s="6" t="n">
        <v>2</v>
      </c>
      <c r="U841" s="5" t="inlineStr">
        <is>
          <t>Jumong GeneralC-arm 외2 / 2025. | 의료기자재 / 2025.08.29 / 2026.10.3</t>
        </is>
      </c>
      <c r="V841" s="21">
        <f>HYPERLINK("https://dart.fss.or.kr/dsaf001/main.do?rcpNo=20260831001202", "공시열람")</f>
        <v/>
      </c>
    </row>
    <row r="842">
      <c r="A842" s="5" t="inlineStr">
        <is>
          <t>가온칩스</t>
        </is>
      </c>
      <c r="B842" s="6" t="inlineStr">
        <is>
          <t>399720</t>
        </is>
      </c>
      <c r="C842" s="6" t="inlineStr">
        <is>
          <t>2026Q2</t>
        </is>
      </c>
      <c r="D842" s="6" t="inlineStr">
        <is>
          <t>20260814</t>
        </is>
      </c>
      <c r="E842" s="16" t="n">
        <v>151279</v>
      </c>
      <c r="F842" s="16" t="inlineStr"/>
      <c r="G842" s="16" t="n">
        <v>76412</v>
      </c>
      <c r="H842" s="6" t="inlineStr">
        <is>
          <t>백만원</t>
        </is>
      </c>
      <c r="I842" s="17" t="n">
        <v>52</v>
      </c>
      <c r="J842" s="18" t="inlineStr"/>
      <c r="K842" s="19" t="inlineStr"/>
      <c r="L842" s="18" t="inlineStr"/>
      <c r="M842" s="19" t="inlineStr"/>
      <c r="N842" s="18" t="inlineStr"/>
      <c r="O842" s="19" t="n">
        <v>25003</v>
      </c>
      <c r="P842" s="18" t="n">
        <v>34747</v>
      </c>
      <c r="Q842" s="19" t="n">
        <v>61051</v>
      </c>
      <c r="R842" s="18" t="n">
        <v>50267</v>
      </c>
      <c r="S842" s="20" t="n">
        <v>76412</v>
      </c>
      <c r="T842" s="6" t="n">
        <v>5</v>
      </c>
      <c r="U842" s="5" t="inlineStr">
        <is>
          <t>주문형 반도체 설계 개발 / 2026-06-10 / 2 | 주문형 반도체 설계 개발 / 2025-10-29 / 2 | 주문형 반도체 설계 개발 / 2025-12-26 / 2</t>
        </is>
      </c>
      <c r="V842" s="21">
        <f>HYPERLINK("https://dart.fss.or.kr/dsaf001/main.do?rcpNo=20260814003050", "공시열람")</f>
        <v/>
      </c>
    </row>
    <row r="843">
      <c r="A843" s="5" t="inlineStr">
        <is>
          <t>코난테크놀로지</t>
        </is>
      </c>
      <c r="B843" s="6" t="inlineStr">
        <is>
          <t>402030</t>
        </is>
      </c>
      <c r="C843" s="6" t="inlineStr">
        <is>
          <t>2026Q2</t>
        </is>
      </c>
      <c r="D843" s="6" t="inlineStr">
        <is>
          <t>20260814</t>
        </is>
      </c>
      <c r="E843" s="16" t="inlineStr"/>
      <c r="F843" s="16" t="inlineStr"/>
      <c r="G843" s="16" t="n">
        <v>22501</v>
      </c>
      <c r="H843" s="6" t="inlineStr">
        <is>
          <t>백만원</t>
        </is>
      </c>
      <c r="I843" s="17" t="n">
        <v>853</v>
      </c>
      <c r="J843" s="18" t="n">
        <v>5286</v>
      </c>
      <c r="K843" s="19" t="n">
        <v>5676</v>
      </c>
      <c r="L843" s="18" t="n">
        <v>15007</v>
      </c>
      <c r="M843" s="19" t="n">
        <v>8067</v>
      </c>
      <c r="N843" s="18" t="n">
        <v>4379</v>
      </c>
      <c r="O843" s="19" t="n">
        <v>7487</v>
      </c>
      <c r="P843" s="18" t="n">
        <v>18434</v>
      </c>
      <c r="Q843" s="19" t="n">
        <v>14077</v>
      </c>
      <c r="R843" s="18" t="n">
        <v>2361</v>
      </c>
      <c r="S843" s="20" t="n">
        <v>22501</v>
      </c>
      <c r="T843" s="6" t="n">
        <v>1</v>
      </c>
      <c r="U843" s="5" t="inlineStr"/>
      <c r="V843" s="21">
        <f>HYPERLINK("https://dart.fss.or.kr/dsaf001/main.do?rcpNo=20260814002288", "공시열람")</f>
        <v/>
      </c>
    </row>
    <row r="844">
      <c r="A844" s="5" t="inlineStr">
        <is>
          <t>라피치</t>
        </is>
      </c>
      <c r="B844" s="6" t="inlineStr">
        <is>
          <t>403360</t>
        </is>
      </c>
      <c r="C844" s="6" t="inlineStr">
        <is>
          <t>2026Q2</t>
        </is>
      </c>
      <c r="D844" s="6" t="inlineStr">
        <is>
          <t>20260814</t>
        </is>
      </c>
      <c r="E844" s="16" t="n">
        <v>32180</v>
      </c>
      <c r="F844" s="16" t="n">
        <v>19427</v>
      </c>
      <c r="G844" s="16" t="n">
        <v>12752</v>
      </c>
      <c r="H844" s="6" t="inlineStr">
        <is>
          <t>백만원</t>
        </is>
      </c>
      <c r="I844" s="17" t="n">
        <v>-99.5</v>
      </c>
      <c r="J844" s="18" t="inlineStr"/>
      <c r="K844" s="19" t="n">
        <v>4348331</v>
      </c>
      <c r="L844" s="18" t="inlineStr"/>
      <c r="M844" s="19" t="n">
        <v>2725658</v>
      </c>
      <c r="N844" s="18" t="inlineStr"/>
      <c r="O844" s="19" t="inlineStr"/>
      <c r="P844" s="18" t="inlineStr"/>
      <c r="Q844" s="19" t="n">
        <v>2684112</v>
      </c>
      <c r="R844" s="18" t="inlineStr"/>
      <c r="S844" s="20" t="n">
        <v>12752</v>
      </c>
      <c r="T844" s="6" t="n">
        <v>6</v>
      </c>
      <c r="U844" s="5" t="inlineStr">
        <is>
          <t>AI 인프라(국내) / 진행중 | AI 인프라(국내) / 진행중 | ConvAI / 진행중</t>
        </is>
      </c>
      <c r="V844" s="21">
        <f>HYPERLINK("https://dart.fss.or.kr/dsaf001/main.do?rcpNo=20260814001610", "공시열람")</f>
        <v/>
      </c>
    </row>
    <row r="845">
      <c r="A845" s="5" t="inlineStr">
        <is>
          <t>아이엘로보틱스</t>
        </is>
      </c>
      <c r="B845" s="6" t="inlineStr">
        <is>
          <t>403810</t>
        </is>
      </c>
      <c r="C845" s="6" t="inlineStr">
        <is>
          <t>2025Q4</t>
        </is>
      </c>
      <c r="D845" s="6" t="inlineStr">
        <is>
          <t>20260320</t>
        </is>
      </c>
      <c r="E845" s="16" t="n">
        <v>3738</v>
      </c>
      <c r="F845" s="16" t="n">
        <v>134</v>
      </c>
      <c r="G845" s="16" t="n">
        <v>3604</v>
      </c>
      <c r="H845" s="6" t="inlineStr">
        <is>
          <t>백만원</t>
        </is>
      </c>
      <c r="I845" s="17" t="n">
        <v>-3.6</v>
      </c>
      <c r="J845" s="18" t="inlineStr"/>
      <c r="K845" s="19" t="inlineStr"/>
      <c r="L845" s="18" t="inlineStr"/>
      <c r="M845" s="19" t="n">
        <v>3738</v>
      </c>
      <c r="N845" s="18" t="inlineStr"/>
      <c r="O845" s="19" t="inlineStr"/>
      <c r="P845" s="18" t="inlineStr"/>
      <c r="Q845" s="19" t="n">
        <v>3604</v>
      </c>
      <c r="R845" s="18" t="inlineStr"/>
      <c r="S845" s="20" t="inlineStr"/>
      <c r="T845" s="6" t="n">
        <v>3</v>
      </c>
      <c r="U845" s="5" t="inlineStr">
        <is>
          <t>미세먼지 측정 보안등 / - | 터널등 제어 시스템 / - | IoT 제어 시스템 / -</t>
        </is>
      </c>
      <c r="V845" s="21">
        <f>HYPERLINK("https://dart.fss.or.kr/dsaf001/main.do?rcpNo=20260320001132", "공시열람")</f>
        <v/>
      </c>
    </row>
    <row r="846">
      <c r="A846" s="5" t="inlineStr">
        <is>
          <t>제일엠앤에스</t>
        </is>
      </c>
      <c r="B846" s="6" t="inlineStr">
        <is>
          <t>412540</t>
        </is>
      </c>
      <c r="C846" s="6" t="inlineStr">
        <is>
          <t>2026Q2</t>
        </is>
      </c>
      <c r="D846" s="6" t="inlineStr">
        <is>
          <t>20260814</t>
        </is>
      </c>
      <c r="E846" s="16" t="n">
        <v>421407</v>
      </c>
      <c r="F846" s="16" t="n">
        <v>127076</v>
      </c>
      <c r="G846" s="16" t="n">
        <v>294331</v>
      </c>
      <c r="H846" s="6" t="inlineStr">
        <is>
          <t>백만원</t>
        </is>
      </c>
      <c r="I846" s="17" t="n">
        <v>-25.4</v>
      </c>
      <c r="J846" s="18" t="inlineStr"/>
      <c r="K846" s="19" t="n">
        <v>289130</v>
      </c>
      <c r="L846" s="18" t="n">
        <v>338297</v>
      </c>
      <c r="M846" s="19" t="n">
        <v>579212</v>
      </c>
      <c r="N846" s="18" t="n">
        <v>278268</v>
      </c>
      <c r="O846" s="19" t="n">
        <v>248229</v>
      </c>
      <c r="P846" s="18" t="n">
        <v>393928</v>
      </c>
      <c r="Q846" s="19" t="n">
        <v>393120</v>
      </c>
      <c r="R846" s="18" t="n">
        <v>394291</v>
      </c>
      <c r="S846" s="20" t="n">
        <v>294331</v>
      </c>
      <c r="T846" s="6" t="n">
        <v>1</v>
      </c>
      <c r="U846" s="5" t="inlineStr">
        <is>
          <t>믹싱장비 및 믹싱시스템 / -</t>
        </is>
      </c>
      <c r="V846" s="21">
        <f>HYPERLINK("https://dart.fss.or.kr/dsaf001/main.do?rcpNo=20260814000819", "공시열람")</f>
        <v/>
      </c>
    </row>
    <row r="847">
      <c r="A847" s="5" t="inlineStr">
        <is>
          <t>티엘엔지니어링</t>
        </is>
      </c>
      <c r="B847" s="6" t="inlineStr">
        <is>
          <t>413300</t>
        </is>
      </c>
      <c r="C847" s="6" t="inlineStr">
        <is>
          <t>2025Q4</t>
        </is>
      </c>
      <c r="D847" s="6" t="inlineStr">
        <is>
          <t>20260323</t>
        </is>
      </c>
      <c r="E847" s="16" t="n">
        <v>7533807754</v>
      </c>
      <c r="F847" s="16" t="inlineStr"/>
      <c r="G847" s="16" t="n">
        <v>1633785854</v>
      </c>
      <c r="H847" s="6" t="inlineStr">
        <is>
          <t>원</t>
        </is>
      </c>
      <c r="I847" s="17" t="n">
        <v>-51.8</v>
      </c>
      <c r="J847" s="18" t="inlineStr"/>
      <c r="K847" s="19" t="inlineStr"/>
      <c r="L847" s="18" t="inlineStr"/>
      <c r="M847" s="19" t="n">
        <v>3388457253</v>
      </c>
      <c r="N847" s="18" t="inlineStr"/>
      <c r="O847" s="19" t="inlineStr"/>
      <c r="P847" s="18" t="inlineStr"/>
      <c r="Q847" s="19" t="n">
        <v>1633785854</v>
      </c>
      <c r="R847" s="18" t="inlineStr"/>
      <c r="S847" s="20" t="inlineStr"/>
      <c r="T847" s="6" t="n">
        <v>28</v>
      </c>
      <c r="U847" s="5" t="inlineStr">
        <is>
          <t>N / 2025-11-24 | AA / 2026-01-12 | BB / 2026-01-05</t>
        </is>
      </c>
      <c r="V847" s="21">
        <f>HYPERLINK("https://dart.fss.or.kr/dsaf001/main.do?rcpNo=20260323000750", "공시열람")</f>
        <v/>
      </c>
    </row>
    <row r="848">
      <c r="A848" s="5" t="inlineStr">
        <is>
          <t>비아이매트릭스</t>
        </is>
      </c>
      <c r="B848" s="6" t="inlineStr">
        <is>
          <t>413640</t>
        </is>
      </c>
      <c r="C848" s="6" t="inlineStr">
        <is>
          <t>2026Q2</t>
        </is>
      </c>
      <c r="D848" s="6" t="inlineStr">
        <is>
          <t>20260814</t>
        </is>
      </c>
      <c r="E848" s="16" t="n">
        <v>49635</v>
      </c>
      <c r="F848" s="16" t="inlineStr"/>
      <c r="G848" s="16" t="n">
        <v>13868</v>
      </c>
      <c r="H848" s="6" t="inlineStr">
        <is>
          <t>백만원</t>
        </is>
      </c>
      <c r="I848" s="17" t="n">
        <v>3.1</v>
      </c>
      <c r="J848" s="18" t="n">
        <v>3855</v>
      </c>
      <c r="K848" s="19" t="n">
        <v>3850</v>
      </c>
      <c r="L848" s="18" t="n">
        <v>6956</v>
      </c>
      <c r="M848" s="19" t="n">
        <v>7435</v>
      </c>
      <c r="N848" s="18" t="n">
        <v>10173</v>
      </c>
      <c r="O848" s="19" t="n">
        <v>10234</v>
      </c>
      <c r="P848" s="18" t="n">
        <v>10543</v>
      </c>
      <c r="Q848" s="19" t="n">
        <v>11651</v>
      </c>
      <c r="R848" s="18" t="n">
        <v>13447</v>
      </c>
      <c r="S848" s="20" t="n">
        <v>13868</v>
      </c>
      <c r="T848" s="6" t="n">
        <v>9</v>
      </c>
      <c r="U848" s="5" t="inlineStr">
        <is>
          <t>비아이매트릭스 / 기타 / - | 비아이매트릭스 / 솔루션 외 / 2026-06-01 / | 비아이매트릭스 / 솔루션 / 2026-03-27 / 2</t>
        </is>
      </c>
      <c r="V848" s="21">
        <f>HYPERLINK("https://dart.fss.or.kr/dsaf001/main.do?rcpNo=20260814003267", "공시열람")</f>
        <v/>
      </c>
    </row>
    <row r="849">
      <c r="A849" s="5" t="inlineStr">
        <is>
          <t>니어스랩</t>
        </is>
      </c>
      <c r="B849" s="6" t="inlineStr">
        <is>
          <t>417030</t>
        </is>
      </c>
      <c r="C849" s="6" t="inlineStr">
        <is>
          <t>2026Q2</t>
        </is>
      </c>
      <c r="D849" s="6" t="inlineStr">
        <is>
          <t>20260828</t>
        </is>
      </c>
      <c r="E849" s="16" t="n">
        <v>6490</v>
      </c>
      <c r="F849" s="16" t="inlineStr"/>
      <c r="G849" s="16" t="n">
        <v>5922</v>
      </c>
      <c r="H849" s="6" t="inlineStr">
        <is>
          <t>백만원</t>
        </is>
      </c>
      <c r="I849" s="17" t="inlineStr"/>
      <c r="J849" s="18" t="inlineStr"/>
      <c r="K849" s="19" t="inlineStr"/>
      <c r="L849" s="18" t="inlineStr"/>
      <c r="M849" s="19" t="inlineStr"/>
      <c r="N849" s="18" t="inlineStr"/>
      <c r="O849" s="19" t="inlineStr"/>
      <c r="P849" s="18" t="inlineStr"/>
      <c r="Q849" s="19" t="inlineStr"/>
      <c r="R849" s="18" t="inlineStr"/>
      <c r="S849" s="20" t="n">
        <v>5922</v>
      </c>
      <c r="T849" s="6" t="n">
        <v>10</v>
      </c>
      <c r="U849" s="5" t="inlineStr">
        <is>
          <t>국내 A사 / KAiDEN 시제품 개발 / 2026-0 | 기타 / 풍력발전기 점검솔루션 / 계약일 | UAE A사 / XAiDEN 교육훈련 서비스 / 202</t>
        </is>
      </c>
      <c r="V849" s="21">
        <f>HYPERLINK("https://dart.fss.or.kr/dsaf001/main.do?rcpNo=20260828000598", "공시열람")</f>
        <v/>
      </c>
    </row>
    <row r="850">
      <c r="A850" s="5" t="inlineStr">
        <is>
          <t>오브젠</t>
        </is>
      </c>
      <c r="B850" s="6" t="inlineStr">
        <is>
          <t>417860</t>
        </is>
      </c>
      <c r="C850" s="6" t="inlineStr">
        <is>
          <t>2026Q2</t>
        </is>
      </c>
      <c r="D850" s="6" t="inlineStr">
        <is>
          <t>20260814</t>
        </is>
      </c>
      <c r="E850" s="16" t="n">
        <v>52960</v>
      </c>
      <c r="F850" s="16" t="n">
        <v>25600</v>
      </c>
      <c r="G850" s="16" t="n">
        <v>27360</v>
      </c>
      <c r="H850" s="6" t="inlineStr">
        <is>
          <t>백만원</t>
        </is>
      </c>
      <c r="I850" s="17" t="n">
        <v>22.4</v>
      </c>
      <c r="J850" s="18" t="n">
        <v>5993</v>
      </c>
      <c r="K850" s="19" t="n">
        <v>9936</v>
      </c>
      <c r="L850" s="18" t="n">
        <v>7903</v>
      </c>
      <c r="M850" s="19" t="n">
        <v>16262</v>
      </c>
      <c r="N850" s="18" t="n">
        <v>14409</v>
      </c>
      <c r="O850" s="19" t="n">
        <v>10682</v>
      </c>
      <c r="P850" s="18" t="n">
        <v>7948</v>
      </c>
      <c r="Q850" s="19" t="n">
        <v>12172145</v>
      </c>
      <c r="R850" s="18" t="n">
        <v>22355</v>
      </c>
      <c r="S850" s="20" t="n">
        <v>27360</v>
      </c>
      <c r="T850" s="6" t="n">
        <v>7</v>
      </c>
      <c r="U850" s="5" t="inlineStr">
        <is>
          <t>데이터 분석 플랫폼 사업부문 / 용역 / - | 고객 데이터&amp; 경험관리 플랫폼(CDXP+) 사업부문 / | 데이터 분석 플랫폼 사업부문 / 유지보수 / -</t>
        </is>
      </c>
      <c r="V850" s="21">
        <f>HYPERLINK("https://dart.fss.or.kr/dsaf001/main.do?rcpNo=20260814003882", "공시열람")</f>
        <v/>
      </c>
    </row>
    <row r="851">
      <c r="A851" s="5" t="inlineStr">
        <is>
          <t>제이오</t>
        </is>
      </c>
      <c r="B851" s="6" t="inlineStr">
        <is>
          <t>418550</t>
        </is>
      </c>
      <c r="C851" s="6" t="inlineStr">
        <is>
          <t>2026Q2</t>
        </is>
      </c>
      <c r="D851" s="6" t="inlineStr">
        <is>
          <t>20260814</t>
        </is>
      </c>
      <c r="E851" s="16" t="n">
        <v>92030314</v>
      </c>
      <c r="F851" s="16" t="inlineStr"/>
      <c r="G851" s="16" t="n">
        <v>13111428</v>
      </c>
      <c r="H851" s="6" t="inlineStr">
        <is>
          <t>천원</t>
        </is>
      </c>
      <c r="I851" s="17" t="n">
        <v>267.8</v>
      </c>
      <c r="J851" s="18" t="n">
        <v>52816834</v>
      </c>
      <c r="K851" s="19" t="n">
        <v>39991099</v>
      </c>
      <c r="L851" s="18" t="n">
        <v>23146090</v>
      </c>
      <c r="M851" s="19" t="n">
        <v>10964569</v>
      </c>
      <c r="N851" s="18" t="n">
        <v>20946902</v>
      </c>
      <c r="O851" s="19" t="n">
        <v>16110238</v>
      </c>
      <c r="P851" s="18" t="n">
        <v>8177068</v>
      </c>
      <c r="Q851" s="19" t="n">
        <v>5511204</v>
      </c>
      <c r="R851" s="18" t="n">
        <v>3565238</v>
      </c>
      <c r="S851" s="20" t="n">
        <v>13111428</v>
      </c>
      <c r="T851" s="6" t="n">
        <v>1</v>
      </c>
      <c r="U851" s="5" t="inlineStr">
        <is>
          <t>국내 / 에코프로머티리얼즈 등 / 플랜트공사 외</t>
        </is>
      </c>
      <c r="V851" s="21">
        <f>HYPERLINK("https://dart.fss.or.kr/dsaf001/main.do?rcpNo=20260814001514", "공시열람")</f>
        <v/>
      </c>
    </row>
    <row r="852">
      <c r="A852" s="5" t="inlineStr">
        <is>
          <t>E8</t>
        </is>
      </c>
      <c r="B852" s="6" t="inlineStr">
        <is>
          <t>418620</t>
        </is>
      </c>
      <c r="C852" s="6" t="inlineStr">
        <is>
          <t>2026Q2</t>
        </is>
      </c>
      <c r="D852" s="6" t="inlineStr">
        <is>
          <t>20260814</t>
        </is>
      </c>
      <c r="E852" s="16" t="n">
        <v>11540115</v>
      </c>
      <c r="F852" s="16" t="inlineStr"/>
      <c r="G852" s="16" t="n">
        <v>7406797</v>
      </c>
      <c r="H852" s="6" t="inlineStr">
        <is>
          <t>천원</t>
        </is>
      </c>
      <c r="I852" s="17" t="n">
        <v>-6.5</v>
      </c>
      <c r="J852" s="18" t="n">
        <v>6973600</v>
      </c>
      <c r="K852" s="19" t="n">
        <v>6583</v>
      </c>
      <c r="L852" s="18" t="n">
        <v>6876946</v>
      </c>
      <c r="M852" s="19" t="n">
        <v>6703241</v>
      </c>
      <c r="N852" s="18" t="n">
        <v>6450193</v>
      </c>
      <c r="O852" s="19" t="n">
        <v>6417667</v>
      </c>
      <c r="P852" s="18" t="n">
        <v>7252909</v>
      </c>
      <c r="Q852" s="19" t="n">
        <v>7161634</v>
      </c>
      <c r="R852" s="18" t="n">
        <v>7919338</v>
      </c>
      <c r="S852" s="20" t="n">
        <v>7406797</v>
      </c>
      <c r="T852" s="6" t="n">
        <v>2</v>
      </c>
      <c r="U852" s="5" t="inlineStr">
        <is>
          <t>용역 | 서비스</t>
        </is>
      </c>
      <c r="V852" s="21">
        <f>HYPERLINK("https://dart.fss.or.kr/dsaf001/main.do?rcpNo=20260814002560", "공시열람")</f>
        <v/>
      </c>
    </row>
    <row r="853">
      <c r="A853" s="5" t="inlineStr">
        <is>
          <t>삼기에너지솔루션즈</t>
        </is>
      </c>
      <c r="B853" s="6" t="inlineStr">
        <is>
          <t>419050</t>
        </is>
      </c>
      <c r="C853" s="6" t="inlineStr">
        <is>
          <t>2026Q2</t>
        </is>
      </c>
      <c r="D853" s="6" t="inlineStr">
        <is>
          <t>20260813</t>
        </is>
      </c>
      <c r="E853" s="16" t="n">
        <v>535943</v>
      </c>
      <c r="F853" s="16" t="n">
        <v>433448</v>
      </c>
      <c r="G853" s="16" t="n">
        <v>146838</v>
      </c>
      <c r="H853" s="6" t="inlineStr">
        <is>
          <t>백만원</t>
        </is>
      </c>
      <c r="I853" s="17" t="n">
        <v>-11.8</v>
      </c>
      <c r="J853" s="18" t="n">
        <v>859330924</v>
      </c>
      <c r="K853" s="19" t="n">
        <v>847035043</v>
      </c>
      <c r="L853" s="18" t="n">
        <v>830674207</v>
      </c>
      <c r="M853" s="19" t="n">
        <v>279496</v>
      </c>
      <c r="N853" s="18" t="n">
        <v>266391</v>
      </c>
      <c r="O853" s="19" t="n">
        <v>257201</v>
      </c>
      <c r="P853" s="18" t="n">
        <v>257201</v>
      </c>
      <c r="Q853" s="19" t="n">
        <v>181246</v>
      </c>
      <c r="R853" s="18" t="n">
        <v>166559</v>
      </c>
      <c r="S853" s="20" t="n">
        <v>146838</v>
      </c>
      <c r="T853" s="6" t="n">
        <v>4</v>
      </c>
      <c r="U853" s="5" t="inlineStr">
        <is>
          <t>End-Plate | End-Plate | End-Plate</t>
        </is>
      </c>
      <c r="V853" s="21">
        <f>HYPERLINK("https://dart.fss.or.kr/dsaf001/main.do?rcpNo=20260813000643", "공시열람")</f>
        <v/>
      </c>
    </row>
    <row r="854">
      <c r="A854" s="5" t="inlineStr">
        <is>
          <t>산돌</t>
        </is>
      </c>
      <c r="B854" s="6" t="inlineStr">
        <is>
          <t>419120</t>
        </is>
      </c>
      <c r="C854" s="6" t="inlineStr">
        <is>
          <t>2026Q2</t>
        </is>
      </c>
      <c r="D854" s="6" t="inlineStr">
        <is>
          <t>20260814</t>
        </is>
      </c>
      <c r="E854" s="16" t="n">
        <v>3362535620</v>
      </c>
      <c r="F854" s="16" t="inlineStr"/>
      <c r="G854" s="16" t="n">
        <v>1629888881</v>
      </c>
      <c r="H854" s="6" t="inlineStr">
        <is>
          <t>연결,원</t>
        </is>
      </c>
      <c r="I854" s="17" t="n">
        <v>-17.1</v>
      </c>
      <c r="J854" s="18" t="n">
        <v>252200000</v>
      </c>
      <c r="K854" s="19" t="n">
        <v>264198488</v>
      </c>
      <c r="L854" s="18" t="n">
        <v>520200046</v>
      </c>
      <c r="M854" s="19" t="n">
        <v>1493318867</v>
      </c>
      <c r="N854" s="18" t="n">
        <v>2255671606</v>
      </c>
      <c r="O854" s="19" t="n">
        <v>2393741288</v>
      </c>
      <c r="P854" s="18" t="n">
        <v>2121142108</v>
      </c>
      <c r="Q854" s="19" t="n">
        <v>2556153560</v>
      </c>
      <c r="R854" s="18" t="n">
        <v>1965102545</v>
      </c>
      <c r="S854" s="20" t="n">
        <v>1629888881</v>
      </c>
      <c r="T854" s="6" t="n">
        <v>1</v>
      </c>
      <c r="U854" s="5" t="inlineStr">
        <is>
          <t>커스텀폰트</t>
        </is>
      </c>
      <c r="V854" s="21">
        <f>HYPERLINK("https://dart.fss.or.kr/dsaf001/main.do?rcpNo=20260814000109", "공시열람")</f>
        <v/>
      </c>
    </row>
    <row r="855">
      <c r="A855" s="5" t="inlineStr">
        <is>
          <t>기가비스</t>
        </is>
      </c>
      <c r="B855" s="6" t="inlineStr">
        <is>
          <t>420770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inlineStr"/>
      <c r="G855" s="16" t="n">
        <v>65266</v>
      </c>
      <c r="H855" s="6" t="inlineStr">
        <is>
          <t>백만원</t>
        </is>
      </c>
      <c r="I855" s="17" t="n">
        <v>251.4</v>
      </c>
      <c r="J855" s="18" t="inlineStr"/>
      <c r="K855" s="19" t="inlineStr"/>
      <c r="L855" s="18" t="inlineStr"/>
      <c r="M855" s="19" t="inlineStr"/>
      <c r="N855" s="18" t="n">
        <v>33402</v>
      </c>
      <c r="O855" s="19" t="n">
        <v>34423</v>
      </c>
      <c r="P855" s="18" t="n">
        <v>34604</v>
      </c>
      <c r="Q855" s="19" t="n">
        <v>13566</v>
      </c>
      <c r="R855" s="18" t="n">
        <v>18575</v>
      </c>
      <c r="S855" s="20" t="n">
        <v>65266</v>
      </c>
      <c r="T855" s="6" t="n">
        <v>1</v>
      </c>
      <c r="U855" s="5" t="inlineStr">
        <is>
          <t>반도체 기판 검사 및 수리장비</t>
        </is>
      </c>
      <c r="V855" s="21">
        <f>HYPERLINK("https://dart.fss.or.kr/dsaf001/main.do?rcpNo=20260814003218", "공시열람")</f>
        <v/>
      </c>
    </row>
    <row r="856">
      <c r="A856" s="5" t="inlineStr">
        <is>
          <t>벨로크</t>
        </is>
      </c>
      <c r="B856" s="6" t="inlineStr">
        <is>
          <t>424760</t>
        </is>
      </c>
      <c r="C856" s="6" t="inlineStr">
        <is>
          <t>2026Q2</t>
        </is>
      </c>
      <c r="D856" s="6" t="inlineStr">
        <is>
          <t>20260814</t>
        </is>
      </c>
      <c r="E856" s="16" t="n">
        <v>23653</v>
      </c>
      <c r="F856" s="16" t="n">
        <v>8952</v>
      </c>
      <c r="G856" s="16" t="n">
        <v>14700</v>
      </c>
      <c r="H856" s="6" t="inlineStr">
        <is>
          <t>백만원</t>
        </is>
      </c>
      <c r="I856" s="17" t="n">
        <v>-1.2</v>
      </c>
      <c r="J856" s="18" t="n">
        <v>10016</v>
      </c>
      <c r="K856" s="19" t="n">
        <v>8613</v>
      </c>
      <c r="L856" s="18" t="n">
        <v>9280</v>
      </c>
      <c r="M856" s="19" t="n">
        <v>6130</v>
      </c>
      <c r="N856" s="18" t="n">
        <v>6069</v>
      </c>
      <c r="O856" s="19" t="n">
        <v>8753</v>
      </c>
      <c r="P856" s="18" t="n">
        <v>19064</v>
      </c>
      <c r="Q856" s="19" t="n">
        <v>14845</v>
      </c>
      <c r="R856" s="18" t="n">
        <v>14885</v>
      </c>
      <c r="S856" s="20" t="n">
        <v>14700</v>
      </c>
      <c r="T856" s="6" t="n">
        <v>2</v>
      </c>
      <c r="U856" s="5" t="inlineStr">
        <is>
          <t>보안서비스 / 주1) | 보안솔루션 / 주1)</t>
        </is>
      </c>
      <c r="V856" s="21">
        <f>HYPERLINK("https://dart.fss.or.kr/dsaf001/main.do?rcpNo=20260814002442", "공시열람")</f>
        <v/>
      </c>
    </row>
    <row r="857">
      <c r="A857" s="5" t="inlineStr">
        <is>
          <t>스마트레이더시스템</t>
        </is>
      </c>
      <c r="B857" s="6" t="inlineStr">
        <is>
          <t>424960</t>
        </is>
      </c>
      <c r="C857" s="6" t="inlineStr">
        <is>
          <t>2023Q4</t>
        </is>
      </c>
      <c r="D857" s="6" t="inlineStr">
        <is>
          <t>20240320</t>
        </is>
      </c>
      <c r="E857" s="16" t="n">
        <v>2505</v>
      </c>
      <c r="F857" s="16" t="n">
        <v>473</v>
      </c>
      <c r="G857" s="16" t="n">
        <v>2032</v>
      </c>
      <c r="H857" s="6" t="inlineStr"/>
      <c r="I857" s="17" t="inlineStr"/>
      <c r="J857" s="18" t="inlineStr"/>
      <c r="K857" s="19" t="inlineStr"/>
      <c r="L857" s="18" t="inlineStr"/>
      <c r="M857" s="19" t="inlineStr"/>
      <c r="N857" s="18" t="inlineStr"/>
      <c r="O857" s="19" t="inlineStr"/>
      <c r="P857" s="18" t="inlineStr"/>
      <c r="Q857" s="19" t="inlineStr"/>
      <c r="R857" s="18" t="inlineStr"/>
      <c r="S857" s="20" t="inlineStr"/>
      <c r="T857" s="6" t="n">
        <v>6</v>
      </c>
      <c r="U857" s="5" t="inlineStr">
        <is>
          <t>비모빌리티 / 스마트시티 / 2023~ | 비모빌리티 / 산업 / 2023~ | 모빌리티 / 특수장비차 / 2023~</t>
        </is>
      </c>
      <c r="V857" s="21">
        <f>HYPERLINK("https://dart.fss.or.kr/dsaf001/main.do?rcpNo=20240320001173", "공시열람")</f>
        <v/>
      </c>
    </row>
    <row r="858">
      <c r="A858" s="5" t="inlineStr">
        <is>
          <t>케이쓰리아이</t>
        </is>
      </c>
      <c r="B858" s="6" t="inlineStr">
        <is>
          <t>431190</t>
        </is>
      </c>
      <c r="C858" s="6" t="inlineStr">
        <is>
          <t>2026Q2</t>
        </is>
      </c>
      <c r="D858" s="6" t="inlineStr">
        <is>
          <t>20260813</t>
        </is>
      </c>
      <c r="E858" s="16" t="n">
        <v>7103</v>
      </c>
      <c r="F858" s="16" t="n">
        <v>6103</v>
      </c>
      <c r="G858" s="16" t="n">
        <v>7783</v>
      </c>
      <c r="H858" s="6" t="inlineStr">
        <is>
          <t>백만원</t>
        </is>
      </c>
      <c r="I858" s="17" t="n">
        <v>30.7</v>
      </c>
      <c r="J858" s="18" t="inlineStr"/>
      <c r="K858" s="19" t="inlineStr"/>
      <c r="L858" s="18" t="n">
        <v>5952</v>
      </c>
      <c r="M858" s="19" t="n">
        <v>4677</v>
      </c>
      <c r="N858" s="18" t="n">
        <v>3230</v>
      </c>
      <c r="O858" s="19" t="n">
        <v>7058</v>
      </c>
      <c r="P858" s="18" t="n">
        <v>8413</v>
      </c>
      <c r="Q858" s="19" t="n">
        <v>6783</v>
      </c>
      <c r="R858" s="18" t="n">
        <v>5955</v>
      </c>
      <c r="S858" s="20" t="n">
        <v>7783</v>
      </c>
      <c r="T858" s="6" t="n">
        <v>2</v>
      </c>
      <c r="U858" s="5" t="inlineStr">
        <is>
          <t>XR 사업 / - | 디지털트윈 및 기타 / -</t>
        </is>
      </c>
      <c r="V858" s="21">
        <f>HYPERLINK("https://dart.fss.or.kr/dsaf001/main.do?rcpNo=20260813001741", "공시열람")</f>
        <v/>
      </c>
    </row>
    <row r="859">
      <c r="A859" s="5" t="inlineStr">
        <is>
          <t>와이랩</t>
        </is>
      </c>
      <c r="B859" s="6" t="inlineStr">
        <is>
          <t>432430</t>
        </is>
      </c>
      <c r="C859" s="6" t="inlineStr">
        <is>
          <t>2026Q2</t>
        </is>
      </c>
      <c r="D859" s="6" t="inlineStr">
        <is>
          <t>20260814</t>
        </is>
      </c>
      <c r="E859" s="16" t="n">
        <v>5600000</v>
      </c>
      <c r="F859" s="16" t="inlineStr"/>
      <c r="G859" s="16" t="n">
        <v>5600000</v>
      </c>
      <c r="H859" s="6" t="inlineStr">
        <is>
          <t>천원</t>
        </is>
      </c>
      <c r="I859" s="17" t="n">
        <v>0</v>
      </c>
      <c r="J859" s="18" t="inlineStr"/>
      <c r="K859" s="19" t="inlineStr"/>
      <c r="L859" s="18" t="inlineStr"/>
      <c r="M859" s="19" t="inlineStr"/>
      <c r="N859" s="18" t="inlineStr"/>
      <c r="O859" s="19" t="n">
        <v>5600000</v>
      </c>
      <c r="P859" s="18" t="n">
        <v>5600000</v>
      </c>
      <c r="Q859" s="19" t="n">
        <v>5600000</v>
      </c>
      <c r="R859" s="18" t="n">
        <v>5600000</v>
      </c>
      <c r="S859" s="20" t="n">
        <v>5600000</v>
      </c>
      <c r="T859" s="6" t="n">
        <v>1</v>
      </c>
      <c r="U859" s="5" t="inlineStr">
        <is>
          <t>드라마 제작 대행 계약 / 2024-06-28 / 20</t>
        </is>
      </c>
      <c r="V859" s="21">
        <f>HYPERLINK("https://dart.fss.or.kr/dsaf001/main.do?rcpNo=20260814001850", "공시열람")</f>
        <v/>
      </c>
    </row>
    <row r="860">
      <c r="A860" s="5" t="inlineStr">
        <is>
          <t>버넥트</t>
        </is>
      </c>
      <c r="B860" s="6" t="inlineStr">
        <is>
          <t>438700</t>
        </is>
      </c>
      <c r="C860" s="6" t="inlineStr">
        <is>
          <t>2026Q2</t>
        </is>
      </c>
      <c r="D860" s="6" t="inlineStr">
        <is>
          <t>20260814</t>
        </is>
      </c>
      <c r="E860" s="16" t="n">
        <v>1038</v>
      </c>
      <c r="F860" s="16" t="n">
        <v>727</v>
      </c>
      <c r="G860" s="16" t="n">
        <v>311</v>
      </c>
      <c r="H860" s="6" t="inlineStr"/>
      <c r="I860" s="17" t="n">
        <v>-65.90000000000001</v>
      </c>
      <c r="J860" s="18" t="n">
        <v>1032</v>
      </c>
      <c r="K860" s="19" t="n">
        <v>874</v>
      </c>
      <c r="L860" s="18" t="n">
        <v>835</v>
      </c>
      <c r="M860" s="19" t="n">
        <v>558</v>
      </c>
      <c r="N860" s="18" t="n">
        <v>764</v>
      </c>
      <c r="O860" s="19" t="n">
        <v>1274</v>
      </c>
      <c r="P860" s="18" t="n">
        <v>1061</v>
      </c>
      <c r="Q860" s="19" t="n">
        <v>892</v>
      </c>
      <c r="R860" s="18" t="n">
        <v>912</v>
      </c>
      <c r="S860" s="20" t="n">
        <v>311</v>
      </c>
      <c r="T860" s="6" t="n">
        <v>5</v>
      </c>
      <c r="U860" s="5" t="inlineStr">
        <is>
          <t>D / 라이선스 / 2026.01.19 | E / 솔루션 / 2026.06.04 | B / 솔루션 / 2026.01.14</t>
        </is>
      </c>
      <c r="V860" s="21">
        <f>HYPERLINK("https://dart.fss.or.kr/dsaf001/main.do?rcpNo=20260814002340", "공시열람")</f>
        <v/>
      </c>
    </row>
    <row r="861">
      <c r="A861" s="5" t="inlineStr">
        <is>
          <t>대한조선</t>
        </is>
      </c>
      <c r="B861" s="6" t="inlineStr">
        <is>
          <t>439260</t>
        </is>
      </c>
      <c r="C861" s="6" t="inlineStr">
        <is>
          <t>2026Q2</t>
        </is>
      </c>
      <c r="D861" s="6" t="inlineStr">
        <is>
          <t>20260814</t>
        </is>
      </c>
      <c r="E861" s="16" t="inlineStr"/>
      <c r="F861" s="16" t="n">
        <v>657618</v>
      </c>
      <c r="G861" s="16" t="n">
        <v>2366510</v>
      </c>
      <c r="H861" s="6" t="inlineStr">
        <is>
          <t>척,백만원</t>
        </is>
      </c>
      <c r="I861" s="17" t="n">
        <v>39.7</v>
      </c>
      <c r="J861" s="18" t="inlineStr"/>
      <c r="K861" s="19" t="inlineStr"/>
      <c r="L861" s="18" t="inlineStr"/>
      <c r="M861" s="19" t="inlineStr"/>
      <c r="N861" s="18" t="inlineStr"/>
      <c r="O861" s="19" t="n">
        <v>1821580</v>
      </c>
      <c r="P861" s="18" t="n">
        <v>1572066</v>
      </c>
      <c r="Q861" s="19" t="n">
        <v>1723129</v>
      </c>
      <c r="R861" s="18" t="n">
        <v>1694146</v>
      </c>
      <c r="S861" s="20" t="n">
        <v>2366510</v>
      </c>
      <c r="T861" s="6" t="n">
        <v>1</v>
      </c>
      <c r="U861" s="5" t="inlineStr">
        <is>
          <t>선박 / 26년 6월 30일까지 / -</t>
        </is>
      </c>
      <c r="V861" s="21">
        <f>HYPERLINK("https://dart.fss.or.kr/dsaf001/main.do?rcpNo=20260814001422", "공시열람")</f>
        <v/>
      </c>
    </row>
    <row r="862">
      <c r="A862" s="5" t="inlineStr">
        <is>
          <t>파두</t>
        </is>
      </c>
      <c r="B862" s="6" t="inlineStr">
        <is>
          <t>440110</t>
        </is>
      </c>
      <c r="C862" s="6" t="inlineStr">
        <is>
          <t>2026Q2</t>
        </is>
      </c>
      <c r="D862" s="6" t="inlineStr">
        <is>
          <t>20260813</t>
        </is>
      </c>
      <c r="E862" s="16" t="n">
        <v>205625</v>
      </c>
      <c r="F862" s="16" t="n">
        <v>13870</v>
      </c>
      <c r="G862" s="16" t="n">
        <v>191755</v>
      </c>
      <c r="H862" s="6" t="inlineStr">
        <is>
          <t>천USD</t>
        </is>
      </c>
      <c r="I862" s="17" t="n">
        <v>65</v>
      </c>
      <c r="J862" s="18" t="inlineStr"/>
      <c r="K862" s="19" t="n">
        <v>13985</v>
      </c>
      <c r="L862" s="18" t="n">
        <v>17671</v>
      </c>
      <c r="M862" s="19" t="n">
        <v>28971</v>
      </c>
      <c r="N862" s="18" t="n">
        <v>24070</v>
      </c>
      <c r="O862" s="19" t="n">
        <v>6292</v>
      </c>
      <c r="P862" s="18" t="n">
        <v>20675</v>
      </c>
      <c r="Q862" s="19" t="n">
        <v>69906</v>
      </c>
      <c r="R862" s="18" t="n">
        <v>116208</v>
      </c>
      <c r="S862" s="20" t="n">
        <v>191755</v>
      </c>
      <c r="T862" s="6" t="n">
        <v>11</v>
      </c>
      <c r="U862" s="5" t="inlineStr">
        <is>
          <t>SSD 컨트롤러 (주1) / 2026.05.05 / 2 | SSD 완제품 (주1) / 2025.11.04 / 20 | SSD 컨트롤러 / 2026.05.28 / 2026.1</t>
        </is>
      </c>
      <c r="V862" s="21">
        <f>HYPERLINK("https://dart.fss.or.kr/dsaf001/main.do?rcpNo=20260813001260", "공시열람")</f>
        <v/>
      </c>
    </row>
    <row r="863">
      <c r="A863" s="5" t="inlineStr">
        <is>
          <t>오픈놀</t>
        </is>
      </c>
      <c r="B863" s="6" t="inlineStr">
        <is>
          <t>440320</t>
        </is>
      </c>
      <c r="C863" s="6" t="inlineStr">
        <is>
          <t>2026Q2</t>
        </is>
      </c>
      <c r="D863" s="6" t="inlineStr">
        <is>
          <t>20260812</t>
        </is>
      </c>
      <c r="E863" s="16" t="n">
        <v>63805</v>
      </c>
      <c r="F863" s="16" t="n">
        <v>39285</v>
      </c>
      <c r="G863" s="16" t="n">
        <v>24520</v>
      </c>
      <c r="H863" s="6" t="inlineStr">
        <is>
          <t>백만원</t>
        </is>
      </c>
      <c r="I863" s="17" t="n">
        <v>-17.6</v>
      </c>
      <c r="J863" s="18" t="n">
        <v>17333</v>
      </c>
      <c r="K863" s="19" t="n">
        <v>13782</v>
      </c>
      <c r="L863" s="18" t="n">
        <v>8543</v>
      </c>
      <c r="M863" s="19" t="n">
        <v>626</v>
      </c>
      <c r="N863" s="18" t="n">
        <v>17577</v>
      </c>
      <c r="O863" s="19" t="n">
        <v>17477</v>
      </c>
      <c r="P863" s="18" t="n">
        <v>9512</v>
      </c>
      <c r="Q863" s="19" t="n">
        <v>5995</v>
      </c>
      <c r="R863" s="18" t="n">
        <v>29769</v>
      </c>
      <c r="S863" s="20" t="n">
        <v>24520</v>
      </c>
      <c r="T863" s="6" t="n">
        <v>1</v>
      </c>
      <c r="U863" s="5" t="inlineStr">
        <is>
          <t xml:space="preserve">미니인턴 및 플랫폼서비스 등 / 수주과업에 따라 다름 </t>
        </is>
      </c>
      <c r="V863" s="21">
        <f>HYPERLINK("https://dart.fss.or.kr/dsaf001/main.do?rcpNo=20260812000706", "공시열람")</f>
        <v/>
      </c>
    </row>
    <row r="864">
      <c r="A864" s="5" t="inlineStr">
        <is>
          <t>HD현대마린솔루션</t>
        </is>
      </c>
      <c r="B864" s="6" t="inlineStr">
        <is>
          <t>443060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n">
        <v>50122</v>
      </c>
      <c r="G864" s="16" t="n">
        <v>206776</v>
      </c>
      <c r="H864" s="6" t="inlineStr">
        <is>
          <t>백만원</t>
        </is>
      </c>
      <c r="I864" s="17" t="n">
        <v>-7.7</v>
      </c>
      <c r="J864" s="18" t="inlineStr"/>
      <c r="K864" s="19" t="n">
        <v>212169</v>
      </c>
      <c r="L864" s="18" t="n">
        <v>208069</v>
      </c>
      <c r="M864" s="19" t="n">
        <v>189745</v>
      </c>
      <c r="N864" s="18" t="n">
        <v>166251</v>
      </c>
      <c r="O864" s="19" t="n">
        <v>198690</v>
      </c>
      <c r="P864" s="18" t="n">
        <v>245057</v>
      </c>
      <c r="Q864" s="19" t="n">
        <v>230592</v>
      </c>
      <c r="R864" s="18" t="n">
        <v>224108</v>
      </c>
      <c r="S864" s="20" t="n">
        <v>206776</v>
      </c>
      <c r="T864" s="6" t="n">
        <v>1</v>
      </c>
      <c r="U864" s="5" t="inlineStr">
        <is>
          <t>친환경솔루션(FSRU, FSU, EPLO, EGCS 등</t>
        </is>
      </c>
      <c r="V864" s="21">
        <f>HYPERLINK("https://dart.fss.or.kr/dsaf001/main.do?rcpNo=20260814001752", "공시열람")</f>
        <v/>
      </c>
    </row>
    <row r="865">
      <c r="A865" s="5" t="inlineStr">
        <is>
          <t>에스피소프트</t>
        </is>
      </c>
      <c r="B865" s="6" t="inlineStr">
        <is>
          <t>443670</t>
        </is>
      </c>
      <c r="C865" s="6" t="inlineStr">
        <is>
          <t>2026Q2</t>
        </is>
      </c>
      <c r="D865" s="6" t="inlineStr">
        <is>
          <t>20260813</t>
        </is>
      </c>
      <c r="E865" s="16" t="n">
        <v>3407554637</v>
      </c>
      <c r="F865" s="16" t="n">
        <v>1946409832</v>
      </c>
      <c r="G865" s="16" t="n">
        <v>1461144805</v>
      </c>
      <c r="H865" s="6" t="inlineStr">
        <is>
          <t>원</t>
        </is>
      </c>
      <c r="I865" s="17" t="n">
        <v>-15.2</v>
      </c>
      <c r="J865" s="18" t="n">
        <v>233127200</v>
      </c>
      <c r="K865" s="19" t="n">
        <v>281341222</v>
      </c>
      <c r="L865" s="18" t="n">
        <v>725537324</v>
      </c>
      <c r="M865" s="19" t="n">
        <v>587056645</v>
      </c>
      <c r="N865" s="18" t="n">
        <v>771439808</v>
      </c>
      <c r="O865" s="19" t="n">
        <v>735886927</v>
      </c>
      <c r="P865" s="18" t="n">
        <v>1244237864</v>
      </c>
      <c r="Q865" s="19" t="n">
        <v>1656260847</v>
      </c>
      <c r="R865" s="18" t="n">
        <v>1723488129</v>
      </c>
      <c r="S865" s="20" t="n">
        <v>1461144805</v>
      </c>
      <c r="T865" s="6" t="n">
        <v>3</v>
      </c>
      <c r="U865" s="5" t="inlineStr">
        <is>
          <t>M365 / - | SPLA / - | 라이선스 / -</t>
        </is>
      </c>
      <c r="V865" s="21">
        <f>HYPERLINK("https://dart.fss.or.kr/dsaf001/main.do?rcpNo=20260813001182", "공시열람")</f>
        <v/>
      </c>
    </row>
    <row r="866">
      <c r="A866" s="5" t="inlineStr">
        <is>
          <t>심플랫폼</t>
        </is>
      </c>
      <c r="B866" s="6" t="inlineStr">
        <is>
          <t>444530</t>
        </is>
      </c>
      <c r="C866" s="6" t="inlineStr">
        <is>
          <t>2026Q2</t>
        </is>
      </c>
      <c r="D866" s="6" t="inlineStr">
        <is>
          <t>20260814</t>
        </is>
      </c>
      <c r="E866" s="16" t="n">
        <v>8009183</v>
      </c>
      <c r="F866" s="16" t="inlineStr"/>
      <c r="G866" s="16" t="n">
        <v>5291531</v>
      </c>
      <c r="H866" s="6" t="inlineStr">
        <is>
          <t>천원</t>
        </is>
      </c>
      <c r="I866" s="17" t="n">
        <v>45.4</v>
      </c>
      <c r="J866" s="18" t="inlineStr"/>
      <c r="K866" s="19" t="inlineStr"/>
      <c r="L866" s="18" t="inlineStr"/>
      <c r="M866" s="19" t="inlineStr"/>
      <c r="N866" s="18" t="inlineStr"/>
      <c r="O866" s="19" t="inlineStr"/>
      <c r="P866" s="18" t="n">
        <v>3467214</v>
      </c>
      <c r="Q866" s="19" t="n">
        <v>707420</v>
      </c>
      <c r="R866" s="18" t="n">
        <v>3638291</v>
      </c>
      <c r="S866" s="20" t="n">
        <v>5291531</v>
      </c>
      <c r="T866" s="6" t="n">
        <v>1</v>
      </c>
      <c r="U866" s="5" t="inlineStr">
        <is>
          <t>NUBISON AX</t>
        </is>
      </c>
      <c r="V866" s="21">
        <f>HYPERLINK("https://dart.fss.or.kr/dsaf001/main.do?rcpNo=20260814002308", "공시열람")</f>
        <v/>
      </c>
    </row>
    <row r="867">
      <c r="A867" s="5" t="inlineStr">
        <is>
          <t>에이직랜드</t>
        </is>
      </c>
      <c r="B867" s="6" t="inlineStr">
        <is>
          <t>445090</t>
        </is>
      </c>
      <c r="C867" s="6" t="inlineStr">
        <is>
          <t>2026Q2</t>
        </is>
      </c>
      <c r="D867" s="6" t="inlineStr">
        <is>
          <t>20260814</t>
        </is>
      </c>
      <c r="E867" s="16" t="n">
        <v>179082</v>
      </c>
      <c r="F867" s="16" t="n">
        <v>16510</v>
      </c>
      <c r="G867" s="16" t="n">
        <v>61821</v>
      </c>
      <c r="H867" s="6" t="inlineStr">
        <is>
          <t>백만원</t>
        </is>
      </c>
      <c r="I867" s="17" t="n">
        <v>-29.6</v>
      </c>
      <c r="J867" s="18" t="n">
        <v>93489</v>
      </c>
      <c r="K867" s="19" t="inlineStr"/>
      <c r="L867" s="18" t="inlineStr"/>
      <c r="M867" s="19" t="n">
        <v>62757</v>
      </c>
      <c r="N867" s="18" t="n">
        <v>64207</v>
      </c>
      <c r="O867" s="19" t="inlineStr"/>
      <c r="P867" s="18" t="n">
        <v>84994</v>
      </c>
      <c r="Q867" s="19" t="n">
        <v>100686</v>
      </c>
      <c r="R867" s="18" t="n">
        <v>87824</v>
      </c>
      <c r="S867" s="20" t="n">
        <v>61821</v>
      </c>
      <c r="T867" s="6" t="n">
        <v>7</v>
      </c>
      <c r="U867" s="5" t="inlineStr">
        <is>
          <t>주문형 반도체 설계 / 2024.11.01 / 2026 | 주문형 반도체 설계 / 2025.05.27 / 2027 | 양산 계약 / 2026.01.08 / 2026.12.3</t>
        </is>
      </c>
      <c r="V867" s="21">
        <f>HYPERLINK("https://dart.fss.or.kr/dsaf001/main.do?rcpNo=20260814000520", "공시열람")</f>
        <v/>
      </c>
    </row>
    <row r="868">
      <c r="A868" s="5" t="inlineStr">
        <is>
          <t>큐리옥스바이오시스템즈</t>
        </is>
      </c>
      <c r="B868" s="6" t="inlineStr">
        <is>
          <t>445680</t>
        </is>
      </c>
      <c r="C868" s="6" t="inlineStr">
        <is>
          <t>2026Q2</t>
        </is>
      </c>
      <c r="D868" s="6" t="inlineStr">
        <is>
          <t>20260814</t>
        </is>
      </c>
      <c r="E868" s="16" t="n">
        <v>3532</v>
      </c>
      <c r="F868" s="16" t="n">
        <v>619</v>
      </c>
      <c r="G868" s="16" t="n">
        <v>2913</v>
      </c>
      <c r="H868" s="6" t="inlineStr">
        <is>
          <t>대,백만원</t>
        </is>
      </c>
      <c r="I868" s="17" t="n">
        <v>0</v>
      </c>
      <c r="J868" s="18" t="n">
        <v>2643056640</v>
      </c>
      <c r="K868" s="19" t="n">
        <v>2643056640</v>
      </c>
      <c r="L868" s="18" t="n">
        <v>2643056640</v>
      </c>
      <c r="M868" s="19" t="n">
        <v>2643</v>
      </c>
      <c r="N868" s="18" t="n">
        <v>2643</v>
      </c>
      <c r="O868" s="19" t="n">
        <v>3454</v>
      </c>
      <c r="P868" s="18" t="n">
        <v>2934</v>
      </c>
      <c r="Q868" s="19" t="n">
        <v>2913</v>
      </c>
      <c r="R868" s="18" t="n">
        <v>2913</v>
      </c>
      <c r="S868" s="20" t="n">
        <v>2913</v>
      </c>
      <c r="T868" s="6" t="n">
        <v>1</v>
      </c>
      <c r="U868" s="5" t="inlineStr">
        <is>
          <t>Laminar Wash HT 2000 시스템/Lamin</t>
        </is>
      </c>
      <c r="V868" s="21">
        <f>HYPERLINK("https://dart.fss.or.kr/dsaf001/main.do?rcpNo=20260814004125", "공시열람")</f>
        <v/>
      </c>
    </row>
    <row r="869">
      <c r="A869" s="5" t="inlineStr">
        <is>
          <t>에코아이</t>
        </is>
      </c>
      <c r="B869" s="6" t="inlineStr">
        <is>
          <t>448280</t>
        </is>
      </c>
      <c r="C869" s="6" t="inlineStr">
        <is>
          <t>2026Q2</t>
        </is>
      </c>
      <c r="D869" s="6" t="inlineStr">
        <is>
          <t>20260814</t>
        </is>
      </c>
      <c r="E869" s="16" t="n">
        <v>2825303</v>
      </c>
      <c r="F869" s="16" t="n">
        <v>6999</v>
      </c>
      <c r="G869" s="16" t="n">
        <v>8480</v>
      </c>
      <c r="H869" s="6" t="inlineStr">
        <is>
          <t>톤,백만원</t>
        </is>
      </c>
      <c r="I869" s="17" t="n">
        <v>0</v>
      </c>
      <c r="J869" s="18" t="n">
        <v>8476</v>
      </c>
      <c r="K869" s="19" t="n">
        <v>8476</v>
      </c>
      <c r="L869" s="18" t="n">
        <v>8476</v>
      </c>
      <c r="M869" s="19" t="n">
        <v>8476</v>
      </c>
      <c r="N869" s="18" t="n">
        <v>8476</v>
      </c>
      <c r="O869" s="19" t="n">
        <v>8480</v>
      </c>
      <c r="P869" s="18" t="n">
        <v>8480</v>
      </c>
      <c r="Q869" s="19" t="n">
        <v>8480</v>
      </c>
      <c r="R869" s="18" t="n">
        <v>8480</v>
      </c>
      <c r="S869" s="20" t="n">
        <v>8480</v>
      </c>
      <c r="T869" s="6" t="n">
        <v>11</v>
      </c>
      <c r="U869" s="5" t="inlineStr">
        <is>
          <t>방글라데시 / 쿡스토브 / i-KOC / 2019-09 | 미얀마 / 쿡스토브 / i-KOC / 2020-02-2 | 미얀마 / 쿡스토브 / i-KOC / 2020-02-2</t>
        </is>
      </c>
      <c r="V869" s="21">
        <f>HYPERLINK("https://dart.fss.or.kr/dsaf001/main.do?rcpNo=20260814000143", "공시열람")</f>
        <v/>
      </c>
    </row>
    <row r="870">
      <c r="A870" s="5" t="inlineStr">
        <is>
          <t>한국피아이엠</t>
        </is>
      </c>
      <c r="B870" s="6" t="inlineStr">
        <is>
          <t>448900</t>
        </is>
      </c>
      <c r="C870" s="6" t="inlineStr">
        <is>
          <t>2026Q2</t>
        </is>
      </c>
      <c r="D870" s="6" t="inlineStr">
        <is>
          <t>20260814</t>
        </is>
      </c>
      <c r="E870" s="16" t="n">
        <v>48337998</v>
      </c>
      <c r="F870" s="16" t="n">
        <v>5920553</v>
      </c>
      <c r="G870" s="16" t="n">
        <v>42417445</v>
      </c>
      <c r="H870" s="6" t="inlineStr">
        <is>
          <t>천원</t>
        </is>
      </c>
      <c r="I870" s="17" t="n">
        <v>7.4</v>
      </c>
      <c r="J870" s="18" t="inlineStr"/>
      <c r="K870" s="19" t="inlineStr"/>
      <c r="L870" s="18" t="inlineStr"/>
      <c r="M870" s="19" t="n">
        <v>27015058</v>
      </c>
      <c r="N870" s="18" t="n">
        <v>31114346</v>
      </c>
      <c r="O870" s="19" t="n">
        <v>35687974</v>
      </c>
      <c r="P870" s="18" t="n">
        <v>35516371</v>
      </c>
      <c r="Q870" s="19" t="n">
        <v>39811667</v>
      </c>
      <c r="R870" s="18" t="n">
        <v>39492025</v>
      </c>
      <c r="S870" s="20" t="n">
        <v>42417445</v>
      </c>
      <c r="T870" s="6" t="n">
        <v>10</v>
      </c>
      <c r="U870" s="5" t="inlineStr">
        <is>
          <t>V / 수시 | M / 수시 | A / 수시</t>
        </is>
      </c>
      <c r="V870" s="21">
        <f>HYPERLINK("https://dart.fss.or.kr/dsaf001/main.do?rcpNo=20260814004093", "공시열람")</f>
        <v/>
      </c>
    </row>
    <row r="871">
      <c r="A871" s="5" t="inlineStr">
        <is>
          <t>인스웨이브</t>
        </is>
      </c>
      <c r="B871" s="6" t="inlineStr">
        <is>
          <t>450520</t>
        </is>
      </c>
      <c r="C871" s="6" t="inlineStr">
        <is>
          <t>2026Q2</t>
        </is>
      </c>
      <c r="D871" s="6" t="inlineStr">
        <is>
          <t>20260813</t>
        </is>
      </c>
      <c r="E871" s="16" t="n">
        <v>57030</v>
      </c>
      <c r="F871" s="16" t="n">
        <v>12916</v>
      </c>
      <c r="G871" s="16" t="n">
        <v>44114</v>
      </c>
      <c r="H871" s="6" t="inlineStr">
        <is>
          <t>백만원</t>
        </is>
      </c>
      <c r="I871" s="17" t="n">
        <v>39.9</v>
      </c>
      <c r="J871" s="18" t="n">
        <v>8064</v>
      </c>
      <c r="K871" s="19" t="n">
        <v>7103</v>
      </c>
      <c r="L871" s="18" t="n">
        <v>14142</v>
      </c>
      <c r="M871" s="19" t="n">
        <v>12212</v>
      </c>
      <c r="N871" s="18" t="n">
        <v>12176</v>
      </c>
      <c r="O871" s="19" t="n">
        <v>10862</v>
      </c>
      <c r="P871" s="18" t="n">
        <v>13744</v>
      </c>
      <c r="Q871" s="19" t="n">
        <v>20855</v>
      </c>
      <c r="R871" s="18" t="n">
        <v>31529</v>
      </c>
      <c r="S871" s="20" t="n">
        <v>44114</v>
      </c>
      <c r="T871" s="6" t="n">
        <v>4</v>
      </c>
      <c r="U871" s="5" t="inlineStr">
        <is>
          <t>농협은행 계정계 차세대 (프로젝트 NEO) / 2026 | 기타 | 코어뱅킹현대화_웹단말전환 / 2026-06-01 / 2</t>
        </is>
      </c>
      <c r="V871" s="21">
        <f>HYPERLINK("https://dart.fss.or.kr/dsaf001/main.do?rcpNo=20260813001397", "공시열람")</f>
        <v/>
      </c>
    </row>
    <row r="872">
      <c r="A872" s="5" t="inlineStr">
        <is>
          <t>아이엠티</t>
        </is>
      </c>
      <c r="B872" s="6" t="inlineStr">
        <is>
          <t>451220</t>
        </is>
      </c>
      <c r="C872" s="6" t="inlineStr">
        <is>
          <t>2026Q2</t>
        </is>
      </c>
      <c r="D872" s="6" t="inlineStr">
        <is>
          <t>20260814</t>
        </is>
      </c>
      <c r="E872" s="16" t="n">
        <v>1280000</v>
      </c>
      <c r="F872" s="16" t="inlineStr"/>
      <c r="G872" s="16" t="n">
        <v>1280000</v>
      </c>
      <c r="H872" s="6" t="inlineStr">
        <is>
          <t>대,USD</t>
        </is>
      </c>
      <c r="I872" s="17" t="n">
        <v>0</v>
      </c>
      <c r="J872" s="18" t="inlineStr"/>
      <c r="K872" s="19" t="inlineStr"/>
      <c r="L872" s="18" t="inlineStr"/>
      <c r="M872" s="19" t="n">
        <v>1295000</v>
      </c>
      <c r="N872" s="18" t="n">
        <v>1295000</v>
      </c>
      <c r="O872" s="19" t="n">
        <v>2625000</v>
      </c>
      <c r="P872" s="18" t="n">
        <v>2742000</v>
      </c>
      <c r="Q872" s="19" t="n">
        <v>2742000</v>
      </c>
      <c r="R872" s="18" t="n">
        <v>1280000</v>
      </c>
      <c r="S872" s="20" t="n">
        <v>1280000</v>
      </c>
      <c r="T872" s="6" t="n">
        <v>1</v>
      </c>
      <c r="U872" s="5" t="inlineStr">
        <is>
          <t>HBM용 Wafer 세정장비 / 2025-09-02 /</t>
        </is>
      </c>
      <c r="V872" s="21">
        <f>HYPERLINK("https://dart.fss.or.kr/dsaf001/main.do?rcpNo=20260814001618", "공시열람")</f>
        <v/>
      </c>
    </row>
    <row r="873">
      <c r="A873" s="5" t="inlineStr">
        <is>
          <t>컨텍</t>
        </is>
      </c>
      <c r="B873" s="6" t="inlineStr">
        <is>
          <t>451760</t>
        </is>
      </c>
      <c r="C873" s="6" t="inlineStr">
        <is>
          <t>2026Q2</t>
        </is>
      </c>
      <c r="D873" s="6" t="inlineStr">
        <is>
          <t>20260814</t>
        </is>
      </c>
      <c r="E873" s="16" t="inlineStr"/>
      <c r="F873" s="16" t="inlineStr"/>
      <c r="G873" s="16" t="n">
        <v>32777553</v>
      </c>
      <c r="H873" s="6" t="inlineStr">
        <is>
          <t>천원</t>
        </is>
      </c>
      <c r="I873" s="17" t="n">
        <v>-51.8</v>
      </c>
      <c r="J873" s="18" t="n">
        <v>26019</v>
      </c>
      <c r="K873" s="19" t="n">
        <v>21362334</v>
      </c>
      <c r="L873" s="18" t="n">
        <v>70717698</v>
      </c>
      <c r="M873" s="19" t="n">
        <v>70647949</v>
      </c>
      <c r="N873" s="18" t="n">
        <v>70225551</v>
      </c>
      <c r="O873" s="19" t="n">
        <v>58061079</v>
      </c>
      <c r="P873" s="18" t="n">
        <v>56043528</v>
      </c>
      <c r="Q873" s="19" t="n">
        <v>63004833</v>
      </c>
      <c r="R873" s="18" t="n">
        <v>68071376</v>
      </c>
      <c r="S873" s="20" t="n">
        <v>32777553</v>
      </c>
      <c r="T873" s="6" t="n">
        <v>4</v>
      </c>
      <c r="U873" s="5" t="inlineStr">
        <is>
          <t>위성제조 및 서비스 솔루션 | 기 타 | 지상국솔루션 / -</t>
        </is>
      </c>
      <c r="V873" s="21">
        <f>HYPERLINK("https://dart.fss.or.kr/dsaf001/main.do?rcpNo=20260814001522", "공시열람")</f>
        <v/>
      </c>
    </row>
    <row r="874">
      <c r="A874" s="5" t="inlineStr">
        <is>
          <t>제이엔비</t>
        </is>
      </c>
      <c r="B874" s="6" t="inlineStr">
        <is>
          <t>452160</t>
        </is>
      </c>
      <c r="C874" s="6" t="inlineStr">
        <is>
          <t>2024Q1</t>
        </is>
      </c>
      <c r="D874" s="6" t="inlineStr">
        <is>
          <t>20240514</t>
        </is>
      </c>
      <c r="E874" s="16" t="inlineStr"/>
      <c r="F874" s="16" t="inlineStr"/>
      <c r="G874" s="16" t="n">
        <v>1773800</v>
      </c>
      <c r="H874" s="6" t="inlineStr">
        <is>
          <t>USD</t>
        </is>
      </c>
      <c r="I874" s="17" t="n">
        <v>0</v>
      </c>
      <c r="J874" s="18" t="n">
        <v>1773800</v>
      </c>
      <c r="K874" s="19" t="inlineStr"/>
      <c r="L874" s="18" t="inlineStr"/>
      <c r="M874" s="19" t="inlineStr"/>
      <c r="N874" s="18" t="inlineStr"/>
      <c r="O874" s="19" t="inlineStr"/>
      <c r="P874" s="18" t="inlineStr"/>
      <c r="Q874" s="19" t="inlineStr"/>
      <c r="R874" s="18" t="inlineStr"/>
      <c r="S874" s="20" t="inlineStr"/>
      <c r="T874" s="6" t="n">
        <v>1</v>
      </c>
      <c r="U874" s="5" t="inlineStr">
        <is>
          <t>통화선물환 / 중소기업은행</t>
        </is>
      </c>
      <c r="V874" s="21">
        <f>HYPERLINK("https://dart.fss.or.kr/dsaf001/main.do?rcpNo=20240514001502", "공시열람")</f>
        <v/>
      </c>
    </row>
    <row r="875">
      <c r="A875" s="5" t="inlineStr">
        <is>
          <t>한빛레이저</t>
        </is>
      </c>
      <c r="B875" s="6" t="inlineStr">
        <is>
          <t>452190</t>
        </is>
      </c>
      <c r="C875" s="6" t="inlineStr">
        <is>
          <t>2026Q2</t>
        </is>
      </c>
      <c r="D875" s="6" t="inlineStr">
        <is>
          <t>20260813</t>
        </is>
      </c>
      <c r="E875" s="16" t="inlineStr"/>
      <c r="F875" s="16" t="inlineStr"/>
      <c r="G875" s="16" t="n">
        <v>11569483</v>
      </c>
      <c r="H875" s="6" t="inlineStr">
        <is>
          <t>천원</t>
        </is>
      </c>
      <c r="I875" s="17" t="n">
        <v>-4.5</v>
      </c>
      <c r="J875" s="18" t="n">
        <v>13255538</v>
      </c>
      <c r="K875" s="19" t="n">
        <v>14992788</v>
      </c>
      <c r="L875" s="18" t="n">
        <v>12317390</v>
      </c>
      <c r="M875" s="19" t="n">
        <v>12297801</v>
      </c>
      <c r="N875" s="18" t="n">
        <v>18611946</v>
      </c>
      <c r="O875" s="19" t="n">
        <v>14920180</v>
      </c>
      <c r="P875" s="18" t="n">
        <v>15709023</v>
      </c>
      <c r="Q875" s="19" t="n">
        <v>10190703</v>
      </c>
      <c r="R875" s="18" t="n">
        <v>12109195</v>
      </c>
      <c r="S875" s="20" t="n">
        <v>11569483</v>
      </c>
      <c r="T875" s="6" t="n">
        <v>0</v>
      </c>
      <c r="U875" s="5" t="inlineStr"/>
      <c r="V875" s="21">
        <f>HYPERLINK("https://dart.fss.or.kr/dsaf001/main.do?rcpNo=20260813001626", "공시열람")</f>
        <v/>
      </c>
    </row>
    <row r="876">
      <c r="A876" s="5" t="inlineStr">
        <is>
          <t>민테크</t>
        </is>
      </c>
      <c r="B876" s="6" t="inlineStr">
        <is>
          <t>452200</t>
        </is>
      </c>
      <c r="C876" s="6" t="inlineStr">
        <is>
          <t>2026Q2</t>
        </is>
      </c>
      <c r="D876" s="6" t="inlineStr">
        <is>
          <t>20260814</t>
        </is>
      </c>
      <c r="E876" s="16" t="n">
        <v>5486</v>
      </c>
      <c r="F876" s="16" t="n">
        <v>3143</v>
      </c>
      <c r="G876" s="16" t="n">
        <v>2343</v>
      </c>
      <c r="H876" s="6" t="inlineStr">
        <is>
          <t>백만원</t>
        </is>
      </c>
      <c r="I876" s="17" t="n">
        <v>-19.2</v>
      </c>
      <c r="J876" s="18" t="inlineStr"/>
      <c r="K876" s="19" t="n">
        <v>11595</v>
      </c>
      <c r="L876" s="18" t="n">
        <v>11535</v>
      </c>
      <c r="M876" s="19" t="n">
        <v>13841</v>
      </c>
      <c r="N876" s="18" t="n">
        <v>14035</v>
      </c>
      <c r="O876" s="19" t="n">
        <v>17366</v>
      </c>
      <c r="P876" s="18" t="n">
        <v>9319</v>
      </c>
      <c r="Q876" s="19" t="n">
        <v>3917</v>
      </c>
      <c r="R876" s="18" t="n">
        <v>2901</v>
      </c>
      <c r="S876" s="20" t="n">
        <v>2343</v>
      </c>
      <c r="T876" s="6" t="n">
        <v>3</v>
      </c>
      <c r="U876" s="5" t="inlineStr">
        <is>
          <t>기타 / - | 배터리 진단시스템 / - | 충방전검사장비 / -</t>
        </is>
      </c>
      <c r="V876" s="21">
        <f>HYPERLINK("https://dart.fss.or.kr/dsaf001/main.do?rcpNo=20260814002464", "공시열람")</f>
        <v/>
      </c>
    </row>
    <row r="877">
      <c r="A877" s="5" t="inlineStr">
        <is>
          <t>피아이이</t>
        </is>
      </c>
      <c r="B877" s="6" t="inlineStr">
        <is>
          <t>452450</t>
        </is>
      </c>
      <c r="C877" s="6" t="inlineStr">
        <is>
          <t>2026Q2</t>
        </is>
      </c>
      <c r="D877" s="6" t="inlineStr">
        <is>
          <t>20260813</t>
        </is>
      </c>
      <c r="E877" s="16" t="n">
        <v>44944443</v>
      </c>
      <c r="F877" s="16" t="n">
        <v>14691076</v>
      </c>
      <c r="G877" s="16" t="n">
        <v>30253367</v>
      </c>
      <c r="H877" s="6" t="inlineStr">
        <is>
          <t>천원</t>
        </is>
      </c>
      <c r="I877" s="17" t="n">
        <v>-21</v>
      </c>
      <c r="J877" s="18" t="inlineStr"/>
      <c r="K877" s="19" t="inlineStr"/>
      <c r="L877" s="18" t="inlineStr"/>
      <c r="M877" s="19" t="n">
        <v>29345690821</v>
      </c>
      <c r="N877" s="18" t="n">
        <v>29458734</v>
      </c>
      <c r="O877" s="19" t="n">
        <v>28596758</v>
      </c>
      <c r="P877" s="18" t="n">
        <v>31483810</v>
      </c>
      <c r="Q877" s="19" t="n">
        <v>24862774</v>
      </c>
      <c r="R877" s="18" t="n">
        <v>38319372</v>
      </c>
      <c r="S877" s="20" t="n">
        <v>30253367</v>
      </c>
      <c r="T877" s="6" t="n">
        <v>2</v>
      </c>
      <c r="U877" s="5" t="inlineStr">
        <is>
          <t>비전 및 장비 솔루션 | 기타</t>
        </is>
      </c>
      <c r="V877" s="21">
        <f>HYPERLINK("https://dart.fss.or.kr/dsaf001/main.do?rcpNo=20260813001351", "공시열람")</f>
        <v/>
      </c>
    </row>
    <row r="878">
      <c r="A878" s="5" t="inlineStr">
        <is>
          <t>두산로보틱스</t>
        </is>
      </c>
      <c r="B878" s="6" t="inlineStr">
        <is>
          <t>454910</t>
        </is>
      </c>
      <c r="C878" s="6" t="inlineStr">
        <is>
          <t>2026Q1</t>
        </is>
      </c>
      <c r="D878" s="6" t="inlineStr">
        <is>
          <t>20260515</t>
        </is>
      </c>
      <c r="E878" s="16" t="n">
        <v>18100</v>
      </c>
      <c r="F878" s="16" t="n">
        <v>4553</v>
      </c>
      <c r="G878" s="16" t="n">
        <v>13547</v>
      </c>
      <c r="H878" s="6" t="inlineStr">
        <is>
          <t>USD천</t>
        </is>
      </c>
      <c r="I878" s="17" t="n">
        <v>-9</v>
      </c>
      <c r="J878" s="18" t="inlineStr"/>
      <c r="K878" s="19" t="inlineStr"/>
      <c r="L878" s="18" t="inlineStr"/>
      <c r="M878" s="19" t="inlineStr"/>
      <c r="N878" s="18" t="inlineStr"/>
      <c r="O878" s="19" t="inlineStr"/>
      <c r="P878" s="18" t="n">
        <v>9343</v>
      </c>
      <c r="Q878" s="19" t="n">
        <v>14884</v>
      </c>
      <c r="R878" s="18" t="n">
        <v>13547</v>
      </c>
      <c r="S878" s="20" t="inlineStr"/>
      <c r="T878" s="6" t="n">
        <v>1</v>
      </c>
      <c r="U878" s="5" t="inlineStr">
        <is>
          <t>자동화 솔루션 / EOL/CMI 등</t>
        </is>
      </c>
      <c r="V878" s="21">
        <f>HYPERLINK("https://dart.fss.or.kr/dsaf001/main.do?rcpNo=20260515001834", "공시열람")</f>
        <v/>
      </c>
    </row>
    <row r="879">
      <c r="A879" s="5" t="inlineStr">
        <is>
          <t>케이지에이</t>
        </is>
      </c>
      <c r="B879" s="6" t="inlineStr">
        <is>
          <t>455180</t>
        </is>
      </c>
      <c r="C879" s="6" t="inlineStr">
        <is>
          <t>2026Q2</t>
        </is>
      </c>
      <c r="D879" s="6" t="inlineStr">
        <is>
          <t>20260814</t>
        </is>
      </c>
      <c r="E879" s="16" t="n">
        <v>22483930</v>
      </c>
      <c r="F879" s="16" t="n">
        <v>2558748</v>
      </c>
      <c r="G879" s="16" t="n">
        <v>19925182</v>
      </c>
      <c r="H879" s="6" t="inlineStr">
        <is>
          <t>천원</t>
        </is>
      </c>
      <c r="I879" s="17" t="n">
        <v>-99.7</v>
      </c>
      <c r="J879" s="18" t="inlineStr"/>
      <c r="K879" s="19" t="inlineStr"/>
      <c r="L879" s="18" t="inlineStr"/>
      <c r="M879" s="19" t="inlineStr"/>
      <c r="N879" s="18" t="inlineStr"/>
      <c r="O879" s="19" t="inlineStr"/>
      <c r="P879" s="18" t="inlineStr"/>
      <c r="Q879" s="19" t="inlineStr"/>
      <c r="R879" s="18" t="n">
        <v>7546000000</v>
      </c>
      <c r="S879" s="20" t="n">
        <v>19925182</v>
      </c>
      <c r="T879" s="6" t="n">
        <v>2</v>
      </c>
      <c r="U879" s="5" t="inlineStr">
        <is>
          <t>2차전지 전극공정 장비 / - | 기타 / -</t>
        </is>
      </c>
      <c r="V879" s="21">
        <f>HYPERLINK("https://dart.fss.or.kr/dsaf001/main.do?rcpNo=20260814002235", "공시열람")</f>
        <v/>
      </c>
    </row>
    <row r="880">
      <c r="A880" s="5" t="inlineStr">
        <is>
          <t>아이씨티케이</t>
        </is>
      </c>
      <c r="B880" s="6" t="inlineStr">
        <is>
          <t>456010</t>
        </is>
      </c>
      <c r="C880" s="6" t="inlineStr">
        <is>
          <t>2026Q2</t>
        </is>
      </c>
      <c r="D880" s="6" t="inlineStr">
        <is>
          <t>20260814</t>
        </is>
      </c>
      <c r="E880" s="16" t="n">
        <v>14772860</v>
      </c>
      <c r="F880" s="16" t="n">
        <v>3365175</v>
      </c>
      <c r="G880" s="16" t="n">
        <v>11407685</v>
      </c>
      <c r="H880" s="6" t="inlineStr">
        <is>
          <t>천원</t>
        </is>
      </c>
      <c r="I880" s="17" t="n">
        <v>-6.3</v>
      </c>
      <c r="J880" s="18" t="n">
        <v>3710000</v>
      </c>
      <c r="K880" s="19" t="n">
        <v>3345000</v>
      </c>
      <c r="L880" s="18" t="n">
        <v>1700000</v>
      </c>
      <c r="M880" s="19" t="n">
        <v>329700</v>
      </c>
      <c r="N880" s="18" t="n">
        <v>250000</v>
      </c>
      <c r="O880" s="19" t="n">
        <v>360561</v>
      </c>
      <c r="P880" s="18" t="n">
        <v>228859</v>
      </c>
      <c r="Q880" s="19" t="n">
        <v>12761850</v>
      </c>
      <c r="R880" s="18" t="n">
        <v>12180535</v>
      </c>
      <c r="S880" s="20" t="n">
        <v>11407685</v>
      </c>
      <c r="T880" s="6" t="n">
        <v>3</v>
      </c>
      <c r="U880" s="5" t="inlineStr">
        <is>
          <t>개발용역 / 양자암호 솔루션 개발 | 개발용역 / 이동통신사 | 연구용역 / 보안기술연구소</t>
        </is>
      </c>
      <c r="V880" s="21">
        <f>HYPERLINK("https://dart.fss.or.kr/dsaf001/main.do?rcpNo=20260814003391", "공시열람")</f>
        <v/>
      </c>
    </row>
    <row r="881">
      <c r="A881" s="5" t="inlineStr">
        <is>
          <t>이엔셀</t>
        </is>
      </c>
      <c r="B881" s="6" t="inlineStr">
        <is>
          <t>456070</t>
        </is>
      </c>
      <c r="C881" s="6" t="inlineStr">
        <is>
          <t>2026Q2</t>
        </is>
      </c>
      <c r="D881" s="6" t="inlineStr">
        <is>
          <t>20260814</t>
        </is>
      </c>
      <c r="E881" s="16" t="n">
        <v>14676</v>
      </c>
      <c r="F881" s="16" t="n">
        <v>5491</v>
      </c>
      <c r="G881" s="16" t="n">
        <v>9185</v>
      </c>
      <c r="H881" s="6" t="inlineStr">
        <is>
          <t>백만원</t>
        </is>
      </c>
      <c r="I881" s="17" t="n">
        <v>19.6</v>
      </c>
      <c r="J881" s="18" t="inlineStr"/>
      <c r="K881" s="19" t="inlineStr"/>
      <c r="L881" s="18" t="n">
        <v>9202</v>
      </c>
      <c r="M881" s="19" t="n">
        <v>4014</v>
      </c>
      <c r="N881" s="18" t="n">
        <v>3858</v>
      </c>
      <c r="O881" s="19" t="n">
        <v>5047</v>
      </c>
      <c r="P881" s="18" t="n">
        <v>9101</v>
      </c>
      <c r="Q881" s="19" t="n">
        <v>8001</v>
      </c>
      <c r="R881" s="18" t="n">
        <v>7681</v>
      </c>
      <c r="S881" s="20" t="n">
        <v>9185</v>
      </c>
      <c r="T881" s="6" t="n">
        <v>1</v>
      </c>
      <c r="U881" s="5" t="inlineStr">
        <is>
          <t>CDMO / 2023년~ (계약별 상이) / ~2029</t>
        </is>
      </c>
      <c r="V881" s="21">
        <f>HYPERLINK("https://dart.fss.or.kr/dsaf001/main.do?rcpNo=20260814003945", "공시열람")</f>
        <v/>
      </c>
    </row>
    <row r="882">
      <c r="A882" s="5" t="inlineStr">
        <is>
          <t>우진엔텍</t>
        </is>
      </c>
      <c r="B882" s="6" t="inlineStr">
        <is>
          <t>457550</t>
        </is>
      </c>
      <c r="C882" s="6" t="inlineStr">
        <is>
          <t>2026Q2</t>
        </is>
      </c>
      <c r="D882" s="6" t="inlineStr">
        <is>
          <t>20260814</t>
        </is>
      </c>
      <c r="E882" s="16" t="n">
        <v>167239</v>
      </c>
      <c r="F882" s="16" t="n">
        <v>146153</v>
      </c>
      <c r="G882" s="16" t="n">
        <v>21086</v>
      </c>
      <c r="H882" s="6" t="inlineStr">
        <is>
          <t>백만원</t>
        </is>
      </c>
      <c r="I882" s="17" t="n">
        <v>-17.8</v>
      </c>
      <c r="J882" s="18" t="n">
        <v>50044</v>
      </c>
      <c r="K882" s="19" t="n">
        <v>40484</v>
      </c>
      <c r="L882" s="18" t="n">
        <v>53494</v>
      </c>
      <c r="M882" s="19" t="n">
        <v>45661</v>
      </c>
      <c r="N882" s="18" t="n">
        <v>43724</v>
      </c>
      <c r="O882" s="19" t="n">
        <v>36259</v>
      </c>
      <c r="P882" s="18" t="n">
        <v>32608</v>
      </c>
      <c r="Q882" s="19" t="n">
        <v>26383</v>
      </c>
      <c r="R882" s="18" t="n">
        <v>25641</v>
      </c>
      <c r="S882" s="20" t="n">
        <v>21086</v>
      </c>
      <c r="T882" s="6" t="n">
        <v>9</v>
      </c>
      <c r="U882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82" s="21">
        <f>HYPERLINK("https://dart.fss.or.kr/dsaf001/main.do?rcpNo=20260814000513", "공시열람")</f>
        <v/>
      </c>
    </row>
    <row r="883">
      <c r="A883" s="5" t="inlineStr">
        <is>
          <t>나우로보틱스</t>
        </is>
      </c>
      <c r="B883" s="6" t="inlineStr">
        <is>
          <t>459510</t>
        </is>
      </c>
      <c r="C883" s="6" t="inlineStr">
        <is>
          <t>2025Q4</t>
        </is>
      </c>
      <c r="D883" s="6" t="inlineStr">
        <is>
          <t>20260323</t>
        </is>
      </c>
      <c r="E883" s="16" t="inlineStr"/>
      <c r="F883" s="16" t="inlineStr"/>
      <c r="G883" s="16" t="n">
        <v>723234</v>
      </c>
      <c r="H883" s="6" t="inlineStr">
        <is>
          <t>천원</t>
        </is>
      </c>
      <c r="I883" s="17" t="inlineStr"/>
      <c r="J883" s="18" t="inlineStr"/>
      <c r="K883" s="19" t="inlineStr"/>
      <c r="L883" s="18" t="inlineStr"/>
      <c r="M883" s="19" t="inlineStr"/>
      <c r="N883" s="18" t="inlineStr"/>
      <c r="O883" s="19" t="inlineStr"/>
      <c r="P883" s="18" t="inlineStr"/>
      <c r="Q883" s="19" t="n">
        <v>723234</v>
      </c>
      <c r="R883" s="18" t="inlineStr"/>
      <c r="S883" s="20" t="inlineStr"/>
      <c r="T883" s="6" t="n">
        <v>1</v>
      </c>
      <c r="U883" s="5" t="inlineStr">
        <is>
          <t>주문제작 방식 산업용로봇 / -</t>
        </is>
      </c>
      <c r="V883" s="21">
        <f>HYPERLINK("https://dart.fss.or.kr/dsaf001/main.do?rcpNo=20260323000990", "공시열람")</f>
        <v/>
      </c>
    </row>
    <row r="884">
      <c r="A884" s="5" t="inlineStr">
        <is>
          <t>아이빔테크놀로지</t>
        </is>
      </c>
      <c r="B884" s="6" t="inlineStr">
        <is>
          <t>460470</t>
        </is>
      </c>
      <c r="C884" s="6" t="inlineStr">
        <is>
          <t>2026Q2</t>
        </is>
      </c>
      <c r="D884" s="6" t="inlineStr">
        <is>
          <t>20260813</t>
        </is>
      </c>
      <c r="E884" s="16" t="n">
        <v>301837</v>
      </c>
      <c r="F884" s="16" t="inlineStr"/>
      <c r="G884" s="16" t="n">
        <v>301837</v>
      </c>
      <c r="H884" s="6" t="inlineStr">
        <is>
          <t>천원</t>
        </is>
      </c>
      <c r="I884" s="17" t="n">
        <v>-83</v>
      </c>
      <c r="J884" s="18" t="inlineStr"/>
      <c r="K884" s="19" t="n">
        <v>782352</v>
      </c>
      <c r="L884" s="18" t="n">
        <v>647060</v>
      </c>
      <c r="M884" s="19" t="n">
        <v>525603</v>
      </c>
      <c r="N884" s="18" t="n">
        <v>572245</v>
      </c>
      <c r="O884" s="19" t="n">
        <v>880989</v>
      </c>
      <c r="P884" s="18" t="n">
        <v>532362</v>
      </c>
      <c r="Q884" s="19" t="n">
        <v>711083</v>
      </c>
      <c r="R884" s="18" t="n">
        <v>1772405</v>
      </c>
      <c r="S884" s="20" t="n">
        <v>301837</v>
      </c>
      <c r="T884" s="6" t="n">
        <v>8</v>
      </c>
      <c r="U884" s="5" t="inlineStr">
        <is>
          <t>CRO서비스 / 2025-03-18 / 2026년 예정 | CRO서비스 / 2026-06-05 / 2026년 예정 | CRO서비스 / 2026-05-26 / 2026년 예정</t>
        </is>
      </c>
      <c r="V884" s="21">
        <f>HYPERLINK("https://dart.fss.or.kr/dsaf001/main.do?rcpNo=20260813000688", "공시열람")</f>
        <v/>
      </c>
    </row>
    <row r="885">
      <c r="A885" s="5" t="inlineStr">
        <is>
          <t>동국제강</t>
        </is>
      </c>
      <c r="B885" s="6" t="inlineStr">
        <is>
          <t>460860</t>
        </is>
      </c>
      <c r="C885" s="6" t="inlineStr">
        <is>
          <t>2026Q2</t>
        </is>
      </c>
      <c r="D885" s="6" t="inlineStr">
        <is>
          <t>20260814</t>
        </is>
      </c>
      <c r="E885" s="16" t="n">
        <v>699010</v>
      </c>
      <c r="F885" s="16" t="n">
        <v>87896</v>
      </c>
      <c r="G885" s="16" t="n">
        <v>611114</v>
      </c>
      <c r="H885" s="6" t="inlineStr">
        <is>
          <t>톤,백만원</t>
        </is>
      </c>
      <c r="I885" s="17" t="n">
        <v>-5.3</v>
      </c>
      <c r="J885" s="18" t="n">
        <v>86719</v>
      </c>
      <c r="K885" s="19" t="n">
        <v>239931</v>
      </c>
      <c r="L885" s="18" t="n">
        <v>198900</v>
      </c>
      <c r="M885" s="19" t="n">
        <v>140695</v>
      </c>
      <c r="N885" s="18" t="n">
        <v>109957</v>
      </c>
      <c r="O885" s="19" t="n">
        <v>58781</v>
      </c>
      <c r="P885" s="18" t="n">
        <v>19179</v>
      </c>
      <c r="Q885" s="19" t="n">
        <v>668827</v>
      </c>
      <c r="R885" s="18" t="n">
        <v>645314</v>
      </c>
      <c r="S885" s="20" t="n">
        <v>611114</v>
      </c>
      <c r="T885" s="6" t="n">
        <v>1</v>
      </c>
      <c r="U885" s="5" t="inlineStr">
        <is>
          <t>이형철근 / 조달청 / 2025.10.29</t>
        </is>
      </c>
      <c r="V885" s="21">
        <f>HYPERLINK("https://dart.fss.or.kr/dsaf001/main.do?rcpNo=20260814001702", "공시열람")</f>
        <v/>
      </c>
    </row>
    <row r="886">
      <c r="A886" s="5" t="inlineStr">
        <is>
          <t>현대힘스</t>
        </is>
      </c>
      <c r="B886" s="6" t="inlineStr">
        <is>
          <t>460930</t>
        </is>
      </c>
      <c r="C886" s="6" t="inlineStr">
        <is>
          <t>2026Q2</t>
        </is>
      </c>
      <c r="D886" s="6" t="inlineStr">
        <is>
          <t>20260813</t>
        </is>
      </c>
      <c r="E886" s="16" t="n">
        <v>202343</v>
      </c>
      <c r="F886" s="16" t="n">
        <v>152481</v>
      </c>
      <c r="G886" s="16" t="n">
        <v>49862</v>
      </c>
      <c r="H886" s="6" t="inlineStr">
        <is>
          <t>백만원</t>
        </is>
      </c>
      <c r="I886" s="17" t="n">
        <v>-13.5</v>
      </c>
      <c r="J886" s="18" t="n">
        <v>38283</v>
      </c>
      <c r="K886" s="19" t="n">
        <v>36280</v>
      </c>
      <c r="L886" s="18" t="n">
        <v>34724</v>
      </c>
      <c r="M886" s="19" t="n">
        <v>35684</v>
      </c>
      <c r="N886" s="18" t="n">
        <v>41194</v>
      </c>
      <c r="O886" s="19" t="n">
        <v>60520</v>
      </c>
      <c r="P886" s="18" t="n">
        <v>54815</v>
      </c>
      <c r="Q886" s="19" t="n">
        <v>65375</v>
      </c>
      <c r="R886" s="18" t="n">
        <v>57628</v>
      </c>
      <c r="S886" s="20" t="n">
        <v>49862</v>
      </c>
      <c r="T886" s="6" t="n">
        <v>4</v>
      </c>
      <c r="U886" s="5" t="inlineStr">
        <is>
          <t>블록 / '26.06.30까지 / - | 항만크레인 / '26.06.30까지 / - | 배관/철의장 / '26.06.30까지 / -</t>
        </is>
      </c>
      <c r="V886" s="21">
        <f>HYPERLINK("https://dart.fss.or.kr/dsaf001/main.do?rcpNo=20260813000095", "공시열람")</f>
        <v/>
      </c>
    </row>
    <row r="887">
      <c r="A887" s="5" t="inlineStr">
        <is>
          <t>이노스페이스</t>
        </is>
      </c>
      <c r="B887" s="6" t="inlineStr">
        <is>
          <t>462350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11750</v>
      </c>
      <c r="F887" s="16" t="n">
        <v>5827</v>
      </c>
      <c r="G887" s="16" t="n">
        <v>5923</v>
      </c>
      <c r="H887" s="6" t="inlineStr">
        <is>
          <t>백만원</t>
        </is>
      </c>
      <c r="I887" s="17" t="n">
        <v>-27.3</v>
      </c>
      <c r="J887" s="18" t="n">
        <v>12608</v>
      </c>
      <c r="K887" s="19" t="n">
        <v>14149</v>
      </c>
      <c r="L887" s="18" t="n">
        <v>14932</v>
      </c>
      <c r="M887" s="19" t="n">
        <v>16204</v>
      </c>
      <c r="N887" s="18" t="n">
        <v>14389</v>
      </c>
      <c r="O887" s="19" t="n">
        <v>14432</v>
      </c>
      <c r="P887" s="18" t="n">
        <v>7374</v>
      </c>
      <c r="Q887" s="19" t="n">
        <v>9065</v>
      </c>
      <c r="R887" s="18" t="n">
        <v>8148</v>
      </c>
      <c r="S887" s="20" t="n">
        <v>5923</v>
      </c>
      <c r="T887" s="6" t="n">
        <v>2</v>
      </c>
      <c r="U887" s="5" t="inlineStr">
        <is>
          <t>모의 발사체 공급계약 / 2025년 / 2025년 ~  | 재사용 기술 시연체 유공압 엄빌리컬 위탁 개발 계약 /</t>
        </is>
      </c>
      <c r="V887" s="21">
        <f>HYPERLINK("https://dart.fss.or.kr/dsaf001/main.do?rcpNo=20260814003448", "공시열람")</f>
        <v/>
      </c>
    </row>
    <row r="888">
      <c r="A888" s="5" t="inlineStr">
        <is>
          <t>라메디텍</t>
        </is>
      </c>
      <c r="B888" s="6" t="inlineStr">
        <is>
          <t>462510</t>
        </is>
      </c>
      <c r="C888" s="6" t="inlineStr">
        <is>
          <t>2025Q1</t>
        </is>
      </c>
      <c r="D888" s="6" t="inlineStr">
        <is>
          <t>20250514</t>
        </is>
      </c>
      <c r="E888" s="16" t="n">
        <v>1493379</v>
      </c>
      <c r="F888" s="16" t="n">
        <v>1391379</v>
      </c>
      <c r="G888" s="16" t="n">
        <v>102000</v>
      </c>
      <c r="H888" s="6" t="inlineStr">
        <is>
          <t>천원</t>
        </is>
      </c>
      <c r="I888" s="17" t="n">
        <v>51.7</v>
      </c>
      <c r="J888" s="18" t="inlineStr"/>
      <c r="K888" s="19" t="n">
        <v>749000</v>
      </c>
      <c r="L888" s="18" t="n">
        <v>433000</v>
      </c>
      <c r="M888" s="19" t="n">
        <v>67244</v>
      </c>
      <c r="N888" s="18" t="n">
        <v>102000</v>
      </c>
      <c r="O888" s="19" t="inlineStr"/>
      <c r="P888" s="18" t="inlineStr"/>
      <c r="Q888" s="19" t="inlineStr"/>
      <c r="R888" s="18" t="inlineStr"/>
      <c r="S888" s="20" t="inlineStr"/>
      <c r="T888" s="6" t="n">
        <v>1</v>
      </c>
      <c r="U888" s="5" t="inlineStr">
        <is>
          <t>레이저 미용기기 / 2025-01-02 / 2025-0</t>
        </is>
      </c>
      <c r="V888" s="21">
        <f>HYPERLINK("https://dart.fss.or.kr/dsaf001/main.do?rcpNo=20250514000373", "공시열람")</f>
        <v/>
      </c>
    </row>
    <row r="889">
      <c r="A889" s="5" t="inlineStr">
        <is>
          <t>조선내화</t>
        </is>
      </c>
      <c r="B889" s="6" t="inlineStr">
        <is>
          <t>462520</t>
        </is>
      </c>
      <c r="C889" s="6" t="inlineStr">
        <is>
          <t>2023Q4</t>
        </is>
      </c>
      <c r="D889" s="6" t="inlineStr">
        <is>
          <t>20240315</t>
        </is>
      </c>
      <c r="E889" s="16" t="inlineStr"/>
      <c r="F889" s="16" t="inlineStr"/>
      <c r="G889" s="16" t="n">
        <v>49000000</v>
      </c>
      <c r="H889" s="6" t="inlineStr">
        <is>
          <t>천원</t>
        </is>
      </c>
      <c r="I889" s="17" t="inlineStr"/>
      <c r="J889" s="18" t="inlineStr"/>
      <c r="K889" s="19" t="inlineStr"/>
      <c r="L889" s="18" t="inlineStr"/>
      <c r="M889" s="19" t="inlineStr"/>
      <c r="N889" s="18" t="inlineStr"/>
      <c r="O889" s="19" t="inlineStr"/>
      <c r="P889" s="18" t="inlineStr"/>
      <c r="Q889" s="19" t="inlineStr"/>
      <c r="R889" s="18" t="inlineStr"/>
      <c r="S889" s="20" t="inlineStr"/>
      <c r="T889" s="6" t="n">
        <v>1</v>
      </c>
      <c r="U889" s="5" t="inlineStr">
        <is>
          <t>국내플랜트공사 / -</t>
        </is>
      </c>
      <c r="V889" s="21">
        <f>HYPERLINK("https://dart.fss.or.kr/dsaf001/main.do?rcpNo=20240315000658", "공시열람")</f>
        <v/>
      </c>
    </row>
    <row r="890">
      <c r="A890" s="5" t="inlineStr">
        <is>
          <t>에스오에스랩</t>
        </is>
      </c>
      <c r="B890" s="6" t="inlineStr">
        <is>
          <t>464080</t>
        </is>
      </c>
      <c r="C890" s="6" t="inlineStr">
        <is>
          <t>2026Q2</t>
        </is>
      </c>
      <c r="D890" s="6" t="inlineStr">
        <is>
          <t>20260814</t>
        </is>
      </c>
      <c r="E890" s="16" t="n">
        <v>2240</v>
      </c>
      <c r="F890" s="16" t="inlineStr"/>
      <c r="G890" s="16" t="n">
        <v>1808</v>
      </c>
      <c r="H890" s="6" t="inlineStr">
        <is>
          <t>백만원</t>
        </is>
      </c>
      <c r="I890" s="17" t="n">
        <v>203.4</v>
      </c>
      <c r="J890" s="18" t="inlineStr"/>
      <c r="K890" s="19" t="n">
        <v>2986</v>
      </c>
      <c r="L890" s="18" t="n">
        <v>2247</v>
      </c>
      <c r="M890" s="19" t="n">
        <v>2038</v>
      </c>
      <c r="N890" s="18" t="n">
        <v>2674</v>
      </c>
      <c r="O890" s="19" t="n">
        <v>1503</v>
      </c>
      <c r="P890" s="18" t="n">
        <v>1503</v>
      </c>
      <c r="Q890" s="19" t="n">
        <v>370</v>
      </c>
      <c r="R890" s="18" t="n">
        <v>596</v>
      </c>
      <c r="S890" s="20" t="n">
        <v>1808</v>
      </c>
      <c r="T890" s="6" t="n">
        <v>7</v>
      </c>
      <c r="U890" s="5" t="inlineStr">
        <is>
          <t>인프라 / 스마트시티 / E사 / ML / 2026-0 | 인프라 / 기타 / E사 / 2023-08-16 | 모빌리티 / 로보틱스 / C사 / GL / 2026-0</t>
        </is>
      </c>
      <c r="V890" s="21">
        <f>HYPERLINK("https://dart.fss.or.kr/dsaf001/main.do?rcpNo=20260814003376", "공시열람")</f>
        <v/>
      </c>
    </row>
    <row r="891">
      <c r="A891" s="5" t="inlineStr">
        <is>
          <t>닷밀</t>
        </is>
      </c>
      <c r="B891" s="6" t="inlineStr">
        <is>
          <t>464580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27443</v>
      </c>
      <c r="F891" s="16" t="n">
        <v>24763</v>
      </c>
      <c r="G891" s="16" t="n">
        <v>2680</v>
      </c>
      <c r="H891" s="6" t="inlineStr">
        <is>
          <t>백만원</t>
        </is>
      </c>
      <c r="I891" s="17" t="n">
        <v>-59.8</v>
      </c>
      <c r="J891" s="18" t="inlineStr"/>
      <c r="K891" s="19" t="inlineStr"/>
      <c r="L891" s="18" t="inlineStr"/>
      <c r="M891" s="19" t="n">
        <v>7371</v>
      </c>
      <c r="N891" s="18" t="n">
        <v>8263</v>
      </c>
      <c r="O891" s="19" t="n">
        <v>9922</v>
      </c>
      <c r="P891" s="18" t="n">
        <v>1378</v>
      </c>
      <c r="Q891" s="19" t="n">
        <v>9012</v>
      </c>
      <c r="R891" s="18" t="n">
        <v>6669</v>
      </c>
      <c r="S891" s="20" t="n">
        <v>2680</v>
      </c>
      <c r="T891" s="6" t="n">
        <v>7</v>
      </c>
      <c r="U891" s="5" t="inlineStr">
        <is>
          <t>프로젝트 4 / 2025.06.20 / 2027.06. | 프로젝트 5 / 2025.12.24 / 2026.11. | 프로젝트 6 / 2025.12.29 / 2026.12.</t>
        </is>
      </c>
      <c r="V891" s="21">
        <f>HYPERLINK("https://dart.fss.or.kr/dsaf001/main.do?rcpNo=20260814000901", "공시열람")</f>
        <v/>
      </c>
    </row>
    <row r="892">
      <c r="A892" s="5" t="inlineStr">
        <is>
          <t>인스피언</t>
        </is>
      </c>
      <c r="B892" s="6" t="inlineStr">
        <is>
          <t>465480</t>
        </is>
      </c>
      <c r="C892" s="6" t="inlineStr">
        <is>
          <t>2026Q2</t>
        </is>
      </c>
      <c r="D892" s="6" t="inlineStr">
        <is>
          <t>20260813</t>
        </is>
      </c>
      <c r="E892" s="16" t="n">
        <v>17672576</v>
      </c>
      <c r="F892" s="16" t="inlineStr"/>
      <c r="G892" s="16" t="n">
        <v>8634035</v>
      </c>
      <c r="H892" s="6" t="inlineStr">
        <is>
          <t>건,천원</t>
        </is>
      </c>
      <c r="I892" s="17" t="n">
        <v>-4.5</v>
      </c>
      <c r="J892" s="18" t="inlineStr"/>
      <c r="K892" s="19" t="inlineStr"/>
      <c r="L892" s="18" t="inlineStr"/>
      <c r="M892" s="19" t="n">
        <v>8523195</v>
      </c>
      <c r="N892" s="18" t="n">
        <v>11527551</v>
      </c>
      <c r="O892" s="19" t="n">
        <v>10814854</v>
      </c>
      <c r="P892" s="18" t="n">
        <v>10676233</v>
      </c>
      <c r="Q892" s="19" t="n">
        <v>7686628</v>
      </c>
      <c r="R892" s="18" t="n">
        <v>9040396</v>
      </c>
      <c r="S892" s="20" t="n">
        <v>8634035</v>
      </c>
      <c r="T892" s="6" t="n">
        <v>7</v>
      </c>
      <c r="U892" s="5" t="inlineStr">
        <is>
          <t>솔루션 사업 / SW/HW | 솔루션 사업 / 유지보수 | 컨설팅 사업 / SM</t>
        </is>
      </c>
      <c r="V892" s="21">
        <f>HYPERLINK("https://dart.fss.or.kr/dsaf001/main.do?rcpNo=20260813001070", "공시열람")</f>
        <v/>
      </c>
    </row>
    <row r="893">
      <c r="A893" s="5" t="inlineStr">
        <is>
          <t>이노테크</t>
        </is>
      </c>
      <c r="B893" s="6" t="inlineStr">
        <is>
          <t>469610</t>
        </is>
      </c>
      <c r="C893" s="6" t="inlineStr">
        <is>
          <t>2026Q2</t>
        </is>
      </c>
      <c r="D893" s="6" t="inlineStr">
        <is>
          <t>20260811</t>
        </is>
      </c>
      <c r="E893" s="16" t="n">
        <v>3841</v>
      </c>
      <c r="F893" s="16" t="n">
        <v>602</v>
      </c>
      <c r="G893" s="16" t="n">
        <v>3239</v>
      </c>
      <c r="H893" s="6" t="inlineStr">
        <is>
          <t>백만원</t>
        </is>
      </c>
      <c r="I893" s="17" t="n">
        <v>-14.2</v>
      </c>
      <c r="J893" s="18" t="inlineStr"/>
      <c r="K893" s="19" t="inlineStr"/>
      <c r="L893" s="18" t="inlineStr"/>
      <c r="M893" s="19" t="inlineStr"/>
      <c r="N893" s="18" t="inlineStr"/>
      <c r="O893" s="19" t="inlineStr"/>
      <c r="P893" s="18" t="n">
        <v>3355830.98</v>
      </c>
      <c r="Q893" s="19" t="n">
        <v>3352366663</v>
      </c>
      <c r="R893" s="18" t="n">
        <v>3774</v>
      </c>
      <c r="S893" s="20" t="n">
        <v>3239</v>
      </c>
      <c r="T893" s="6" t="n">
        <v>3</v>
      </c>
      <c r="U893" s="5" t="inlineStr">
        <is>
          <t>디스플레이 | 반도체 | 기타</t>
        </is>
      </c>
      <c r="V893" s="21">
        <f>HYPERLINK("https://dart.fss.or.kr/dsaf001/main.do?rcpNo=20260811000295", "공시열람")</f>
        <v/>
      </c>
    </row>
    <row r="894">
      <c r="A894" s="5" t="inlineStr">
        <is>
          <t>아이비젼웍스</t>
        </is>
      </c>
      <c r="B894" s="6" t="inlineStr">
        <is>
          <t>469750</t>
        </is>
      </c>
      <c r="C894" s="6" t="inlineStr">
        <is>
          <t>2026Q2</t>
        </is>
      </c>
      <c r="D894" s="6" t="inlineStr">
        <is>
          <t>20260929</t>
        </is>
      </c>
      <c r="E894" s="16" t="n">
        <v>11579</v>
      </c>
      <c r="F894" s="16" t="n">
        <v>1742</v>
      </c>
      <c r="G894" s="16" t="n">
        <v>9508</v>
      </c>
      <c r="H894" s="6" t="inlineStr">
        <is>
          <t>백만원</t>
        </is>
      </c>
      <c r="I894" s="17" t="n">
        <v>45.4</v>
      </c>
      <c r="J894" s="18" t="inlineStr"/>
      <c r="K894" s="19" t="inlineStr"/>
      <c r="L894" s="18" t="n">
        <v>9175</v>
      </c>
      <c r="M894" s="19" t="n">
        <v>10423</v>
      </c>
      <c r="N894" s="18" t="n">
        <v>10744</v>
      </c>
      <c r="O894" s="19" t="n">
        <v>16645</v>
      </c>
      <c r="P894" s="18" t="n">
        <v>8244</v>
      </c>
      <c r="Q894" s="19" t="n">
        <v>7077</v>
      </c>
      <c r="R894" s="18" t="n">
        <v>6538</v>
      </c>
      <c r="S894" s="20" t="n">
        <v>9508</v>
      </c>
      <c r="T894" s="6" t="n">
        <v>1</v>
      </c>
      <c r="U894" s="5" t="inlineStr">
        <is>
          <t>이차전지검사시스템</t>
        </is>
      </c>
      <c r="V894" s="21">
        <f>HYPERLINK("https://dart.fss.or.kr/dsaf001/main.do?rcpNo=20260929000426", "공시열람")</f>
        <v/>
      </c>
    </row>
    <row r="895">
      <c r="A895" s="5" t="inlineStr">
        <is>
          <t>루미르</t>
        </is>
      </c>
      <c r="B895" s="6" t="inlineStr">
        <is>
          <t>474170</t>
        </is>
      </c>
      <c r="C895" s="6" t="inlineStr">
        <is>
          <t>2026Q2</t>
        </is>
      </c>
      <c r="D895" s="6" t="inlineStr">
        <is>
          <t>20260814</t>
        </is>
      </c>
      <c r="E895" s="16" t="n">
        <v>30992654</v>
      </c>
      <c r="F895" s="16" t="n">
        <v>26537861</v>
      </c>
      <c r="G895" s="16" t="n">
        <v>4454793</v>
      </c>
      <c r="H895" s="6" t="inlineStr">
        <is>
          <t>천원</t>
        </is>
      </c>
      <c r="I895" s="17" t="n">
        <v>-37.1</v>
      </c>
      <c r="J895" s="18" t="inlineStr"/>
      <c r="K895" s="19" t="inlineStr"/>
      <c r="L895" s="18" t="inlineStr"/>
      <c r="M895" s="19" t="n">
        <v>13201090</v>
      </c>
      <c r="N895" s="18" t="n">
        <v>11992186</v>
      </c>
      <c r="O895" s="19" t="n">
        <v>11103409</v>
      </c>
      <c r="P895" s="18" t="n">
        <v>8775404</v>
      </c>
      <c r="Q895" s="19" t="n">
        <v>7471105</v>
      </c>
      <c r="R895" s="18" t="n">
        <v>7083658</v>
      </c>
      <c r="S895" s="20" t="n">
        <v>4454793</v>
      </c>
      <c r="T895" s="6" t="n">
        <v>1</v>
      </c>
      <c r="U895" s="5" t="inlineStr">
        <is>
          <t>위성제조 분야</t>
        </is>
      </c>
      <c r="V895" s="21">
        <f>HYPERLINK("https://dart.fss.or.kr/dsaf001/main.do?rcpNo=20260814002463", "공시열람")</f>
        <v/>
      </c>
    </row>
    <row r="896">
      <c r="A896" s="5" t="inlineStr">
        <is>
          <t>SK이터닉스</t>
        </is>
      </c>
      <c r="B896" s="6" t="inlineStr">
        <is>
          <t>475150</t>
        </is>
      </c>
      <c r="C896" s="6" t="inlineStr">
        <is>
          <t>2026Q2</t>
        </is>
      </c>
      <c r="D896" s="6" t="inlineStr">
        <is>
          <t>20260813</t>
        </is>
      </c>
      <c r="E896" s="16" t="n">
        <v>614961</v>
      </c>
      <c r="F896" s="16" t="n">
        <v>385443</v>
      </c>
      <c r="G896" s="16" t="n">
        <v>229518</v>
      </c>
      <c r="H896" s="6" t="inlineStr">
        <is>
          <t>백만원</t>
        </is>
      </c>
      <c r="I896" s="17" t="n">
        <v>-49.6</v>
      </c>
      <c r="J896" s="18" t="n">
        <v>506429</v>
      </c>
      <c r="K896" s="19" t="n">
        <v>504048</v>
      </c>
      <c r="L896" s="18" t="n">
        <v>727912</v>
      </c>
      <c r="M896" s="19" t="n">
        <v>598423</v>
      </c>
      <c r="N896" s="18" t="n">
        <v>587955</v>
      </c>
      <c r="O896" s="19" t="n">
        <v>561909</v>
      </c>
      <c r="P896" s="18" t="n">
        <v>638702</v>
      </c>
      <c r="Q896" s="19" t="n">
        <v>457876</v>
      </c>
      <c r="R896" s="18" t="n">
        <v>455070</v>
      </c>
      <c r="S896" s="20" t="n">
        <v>229518</v>
      </c>
      <c r="T896" s="6" t="n">
        <v>4</v>
      </c>
      <c r="U896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96" s="21">
        <f>HYPERLINK("https://dart.fss.or.kr/dsaf001/main.do?rcpNo=20260813000561", "공시열람")</f>
        <v/>
      </c>
    </row>
    <row r="897">
      <c r="A897" s="5" t="inlineStr">
        <is>
          <t>엔알비</t>
        </is>
      </c>
      <c r="B897" s="6" t="inlineStr">
        <is>
          <t>475230</t>
        </is>
      </c>
      <c r="C897" s="6" t="inlineStr">
        <is>
          <t>2026Q2</t>
        </is>
      </c>
      <c r="D897" s="6" t="inlineStr">
        <is>
          <t>20260814</t>
        </is>
      </c>
      <c r="E897" s="16" t="n">
        <v>194985</v>
      </c>
      <c r="F897" s="16" t="n">
        <v>53989</v>
      </c>
      <c r="G897" s="16" t="n">
        <v>140996</v>
      </c>
      <c r="H897" s="6" t="inlineStr">
        <is>
          <t>백만원,%</t>
        </is>
      </c>
      <c r="I897" s="17" t="n">
        <v>-2.8</v>
      </c>
      <c r="J897" s="18" t="inlineStr"/>
      <c r="K897" s="19" t="inlineStr"/>
      <c r="L897" s="18" t="inlineStr"/>
      <c r="M897" s="19" t="inlineStr"/>
      <c r="N897" s="18" t="inlineStr"/>
      <c r="O897" s="19" t="n">
        <v>152323</v>
      </c>
      <c r="P897" s="18" t="n">
        <v>160603</v>
      </c>
      <c r="Q897" s="19" t="inlineStr"/>
      <c r="R897" s="18" t="n">
        <v>145000</v>
      </c>
      <c r="S897" s="20" t="n">
        <v>140996</v>
      </c>
      <c r="T897" s="6" t="n">
        <v>2</v>
      </c>
      <c r="U897" s="5" t="inlineStr">
        <is>
          <t>주거시설 | 교육시설</t>
        </is>
      </c>
      <c r="V897" s="21">
        <f>HYPERLINK("https://dart.fss.or.kr/dsaf001/main.do?rcpNo=20260814001087", "공시열람")</f>
        <v/>
      </c>
    </row>
    <row r="898">
      <c r="A898" s="5" t="inlineStr">
        <is>
          <t>씨메스로보틱스</t>
        </is>
      </c>
      <c r="B898" s="6" t="inlineStr">
        <is>
          <t>475400</t>
        </is>
      </c>
      <c r="C898" s="6" t="inlineStr">
        <is>
          <t>2026Q2</t>
        </is>
      </c>
      <c r="D898" s="6" t="inlineStr">
        <is>
          <t>20260813</t>
        </is>
      </c>
      <c r="E898" s="16" t="inlineStr"/>
      <c r="F898" s="16" t="inlineStr"/>
      <c r="G898" s="16" t="n">
        <v>22552014</v>
      </c>
      <c r="H898" s="6" t="inlineStr">
        <is>
          <t>천원</t>
        </is>
      </c>
      <c r="I898" s="17" t="n">
        <v>143.9</v>
      </c>
      <c r="J898" s="18" t="inlineStr"/>
      <c r="K898" s="19" t="inlineStr"/>
      <c r="L898" s="18" t="inlineStr"/>
      <c r="M898" s="19" t="n">
        <v>7021</v>
      </c>
      <c r="N898" s="18" t="n">
        <v>7127971</v>
      </c>
      <c r="O898" s="19" t="n">
        <v>7559603</v>
      </c>
      <c r="P898" s="18" t="n">
        <v>10912070</v>
      </c>
      <c r="Q898" s="19" t="n">
        <v>9796130</v>
      </c>
      <c r="R898" s="18" t="n">
        <v>9245848</v>
      </c>
      <c r="S898" s="20" t="n">
        <v>22552014</v>
      </c>
      <c r="T898" s="6" t="n">
        <v>0</v>
      </c>
      <c r="U898" s="5" t="inlineStr"/>
      <c r="V898" s="21">
        <f>HYPERLINK("https://dart.fss.or.kr/dsaf001/main.do?rcpNo=20260813000340", "공시열람")</f>
        <v/>
      </c>
    </row>
    <row r="899">
      <c r="A899" s="5" t="inlineStr">
        <is>
          <t>키스트론</t>
        </is>
      </c>
      <c r="B899" s="6" t="inlineStr">
        <is>
          <t>475430</t>
        </is>
      </c>
      <c r="C899" s="6" t="inlineStr">
        <is>
          <t>2025Q3</t>
        </is>
      </c>
      <c r="D899" s="6" t="inlineStr">
        <is>
          <t>20251114</t>
        </is>
      </c>
      <c r="E899" s="16" t="n">
        <v>61298</v>
      </c>
      <c r="F899" s="16" t="n">
        <v>47915</v>
      </c>
      <c r="G899" s="16" t="n">
        <v>13383</v>
      </c>
      <c r="H899" s="6" t="inlineStr">
        <is>
          <t>톤,백만원</t>
        </is>
      </c>
      <c r="I899" s="17" t="n">
        <v>94.7</v>
      </c>
      <c r="J899" s="18" t="inlineStr"/>
      <c r="K899" s="19" t="inlineStr"/>
      <c r="L899" s="18" t="inlineStr"/>
      <c r="M899" s="19" t="inlineStr"/>
      <c r="N899" s="18" t="inlineStr"/>
      <c r="O899" s="19" t="n">
        <v>6875</v>
      </c>
      <c r="P899" s="18" t="n">
        <v>13383</v>
      </c>
      <c r="Q899" s="19" t="inlineStr"/>
      <c r="R899" s="18" t="inlineStr"/>
      <c r="S899" s="20" t="inlineStr"/>
      <c r="T899" s="6" t="n">
        <v>2</v>
      </c>
      <c r="U899" s="5" t="inlineStr">
        <is>
          <t>전자부품용 | 케이블용</t>
        </is>
      </c>
      <c r="V899" s="21">
        <f>HYPERLINK("https://dart.fss.or.kr/dsaf001/main.do?rcpNo=20251114001576", "공시열람")</f>
        <v/>
      </c>
    </row>
    <row r="900">
      <c r="A900" s="5" t="inlineStr">
        <is>
          <t>에이럭스</t>
        </is>
      </c>
      <c r="B900" s="6" t="inlineStr">
        <is>
          <t>475580</t>
        </is>
      </c>
      <c r="C900" s="6" t="inlineStr">
        <is>
          <t>2026Q2</t>
        </is>
      </c>
      <c r="D900" s="6" t="inlineStr">
        <is>
          <t>20260814</t>
        </is>
      </c>
      <c r="E900" s="16" t="n">
        <v>2593962</v>
      </c>
      <c r="F900" s="16" t="n">
        <v>381146640</v>
      </c>
      <c r="G900" s="16" t="n">
        <v>2212815</v>
      </c>
      <c r="H900" s="6" t="inlineStr">
        <is>
          <t>건,천원</t>
        </is>
      </c>
      <c r="I900" s="17" t="n">
        <v>-14.7</v>
      </c>
      <c r="J900" s="18" t="inlineStr"/>
      <c r="K900" s="19" t="inlineStr"/>
      <c r="L900" s="18" t="inlineStr"/>
      <c r="M900" s="19" t="n">
        <v>2512817</v>
      </c>
      <c r="N900" s="18" t="n">
        <v>3964234</v>
      </c>
      <c r="O900" s="19" t="n">
        <v>2358111</v>
      </c>
      <c r="P900" s="18" t="n">
        <v>1917027</v>
      </c>
      <c r="Q900" s="19" t="n">
        <v>2343761</v>
      </c>
      <c r="R900" s="18" t="n">
        <v>2593962</v>
      </c>
      <c r="S900" s="20" t="n">
        <v>2212815</v>
      </c>
      <c r="T900" s="6" t="n">
        <v>6</v>
      </c>
      <c r="U900" s="5" t="inlineStr">
        <is>
          <t>로보링크주식회사 / 드론 / 2026-08-07 / 2 | 로보링크주식회사 / 드론 / 2026-01-07 / 2 | 로보링크주식회사 / 드론 / 2026-07-13 / 2</t>
        </is>
      </c>
      <c r="V900" s="21">
        <f>HYPERLINK("https://dart.fss.or.kr/dsaf001/main.do?rcpNo=20260814002568", "공시열람")</f>
        <v/>
      </c>
    </row>
    <row r="901">
      <c r="A901" s="5" t="inlineStr">
        <is>
          <t>토모큐브</t>
        </is>
      </c>
      <c r="B901" s="6" t="inlineStr">
        <is>
          <t>475960</t>
        </is>
      </c>
      <c r="C901" s="6" t="inlineStr">
        <is>
          <t>2026Q2</t>
        </is>
      </c>
      <c r="D901" s="6" t="inlineStr">
        <is>
          <t>20260814</t>
        </is>
      </c>
      <c r="E901" s="16" t="n">
        <v>4879</v>
      </c>
      <c r="F901" s="16" t="inlineStr"/>
      <c r="G901" s="16" t="n">
        <v>2006</v>
      </c>
      <c r="H901" s="6" t="inlineStr">
        <is>
          <t>백만원</t>
        </is>
      </c>
      <c r="I901" s="17" t="n">
        <v>-43.6</v>
      </c>
      <c r="J901" s="18" t="inlineStr"/>
      <c r="K901" s="19" t="inlineStr"/>
      <c r="L901" s="18" t="inlineStr"/>
      <c r="M901" s="19" t="inlineStr"/>
      <c r="N901" s="18" t="inlineStr"/>
      <c r="O901" s="19" t="n">
        <v>1731</v>
      </c>
      <c r="P901" s="18" t="n">
        <v>2535</v>
      </c>
      <c r="Q901" s="19" t="n">
        <v>1422</v>
      </c>
      <c r="R901" s="18" t="n">
        <v>3555</v>
      </c>
      <c r="S901" s="20" t="n">
        <v>2006</v>
      </c>
      <c r="T901" s="6" t="n">
        <v>1</v>
      </c>
      <c r="U901" s="5" t="inlineStr">
        <is>
          <t>HT 제품군 등</t>
        </is>
      </c>
      <c r="V901" s="21">
        <f>HYPERLINK("https://dart.fss.or.kr/dsaf001/main.do?rcpNo=20260814001367", "공시열람")</f>
        <v/>
      </c>
    </row>
    <row r="902">
      <c r="A902" s="5" t="inlineStr">
        <is>
          <t>오가노이드사이언스</t>
        </is>
      </c>
      <c r="B902" s="6" t="inlineStr">
        <is>
          <t>476040</t>
        </is>
      </c>
      <c r="C902" s="6" t="inlineStr">
        <is>
          <t>2026Q2</t>
        </is>
      </c>
      <c r="D902" s="6" t="inlineStr">
        <is>
          <t>20260814</t>
        </is>
      </c>
      <c r="E902" s="16" t="n">
        <v>422525882</v>
      </c>
      <c r="F902" s="16" t="n">
        <v>162313417</v>
      </c>
      <c r="G902" s="16" t="n">
        <v>260212465</v>
      </c>
      <c r="H902" s="6" t="inlineStr">
        <is>
          <t>원</t>
        </is>
      </c>
      <c r="I902" s="17" t="n">
        <v>66.59999999999999</v>
      </c>
      <c r="J902" s="18" t="inlineStr"/>
      <c r="K902" s="19" t="inlineStr"/>
      <c r="L902" s="18" t="inlineStr"/>
      <c r="M902" s="19" t="inlineStr"/>
      <c r="N902" s="18" t="inlineStr"/>
      <c r="O902" s="19" t="n">
        <v>620345026</v>
      </c>
      <c r="P902" s="18" t="n">
        <v>279593635</v>
      </c>
      <c r="Q902" s="19" t="n">
        <v>88671815</v>
      </c>
      <c r="R902" s="18" t="n">
        <v>156184575</v>
      </c>
      <c r="S902" s="20" t="n">
        <v>260212465</v>
      </c>
      <c r="T902" s="6" t="n">
        <v>10</v>
      </c>
      <c r="U902" s="5" t="inlineStr">
        <is>
          <t>약물평가 / 2026-02-01 / 2028-02-01 | 약물평가 / 2026-05-05 / 2026-12-31 | 약물평가 / 2026-05-01 / 2027-02-28</t>
        </is>
      </c>
      <c r="V902" s="21">
        <f>HYPERLINK("https://dart.fss.or.kr/dsaf001/main.do?rcpNo=20260814002513", "공시열람")</f>
        <v/>
      </c>
    </row>
    <row r="903">
      <c r="A903" s="5" t="inlineStr">
        <is>
          <t>M83</t>
        </is>
      </c>
      <c r="B903" s="6" t="inlineStr">
        <is>
          <t>476080</t>
        </is>
      </c>
      <c r="C903" s="6" t="inlineStr">
        <is>
          <t>2026Q2</t>
        </is>
      </c>
      <c r="D903" s="6" t="inlineStr">
        <is>
          <t>20260813</t>
        </is>
      </c>
      <c r="E903" s="16" t="n">
        <v>21588</v>
      </c>
      <c r="F903" s="16" t="n">
        <v>8873</v>
      </c>
      <c r="G903" s="16" t="n">
        <v>12715</v>
      </c>
      <c r="H903" s="6" t="inlineStr">
        <is>
          <t>백만원</t>
        </is>
      </c>
      <c r="I903" s="17" t="n">
        <v>11.6</v>
      </c>
      <c r="J903" s="18" t="inlineStr"/>
      <c r="K903" s="19" t="inlineStr"/>
      <c r="L903" s="18" t="n">
        <v>6546</v>
      </c>
      <c r="M903" s="19" t="n">
        <v>3246</v>
      </c>
      <c r="N903" s="18" t="n">
        <v>1234</v>
      </c>
      <c r="O903" s="19" t="n">
        <v>4987</v>
      </c>
      <c r="P903" s="18" t="n">
        <v>4013</v>
      </c>
      <c r="Q903" s="19" t="n">
        <v>3821</v>
      </c>
      <c r="R903" s="18" t="n">
        <v>11390</v>
      </c>
      <c r="S903" s="20" t="n">
        <v>12715</v>
      </c>
      <c r="T903" s="6" t="n">
        <v>3</v>
      </c>
      <c r="U903" s="5" t="inlineStr">
        <is>
          <t>VFX 용역(주3) / 2026년 03월 26일. /  | VFX 용역 / 2026년 06월 29일 / 최종 납품 | J(가제) VFX 용역(주4) / 2025년 06월 0</t>
        </is>
      </c>
      <c r="V903" s="21">
        <f>HYPERLINK("https://dart.fss.or.kr/dsaf001/main.do?rcpNo=20260813000320", "공시열람")</f>
        <v/>
      </c>
    </row>
    <row r="904">
      <c r="A904" s="5" t="inlineStr">
        <is>
          <t>마키나락스</t>
        </is>
      </c>
      <c r="B904" s="6" t="inlineStr">
        <is>
          <t>477850</t>
        </is>
      </c>
      <c r="C904" s="6" t="inlineStr">
        <is>
          <t>2026Q2</t>
        </is>
      </c>
      <c r="D904" s="6" t="inlineStr">
        <is>
          <t>20260814</t>
        </is>
      </c>
      <c r="E904" s="16" t="n">
        <v>23687</v>
      </c>
      <c r="F904" s="16" t="n">
        <v>8884</v>
      </c>
      <c r="G904" s="16" t="n">
        <v>14777</v>
      </c>
      <c r="H904" s="6" t="inlineStr">
        <is>
          <t>백만원</t>
        </is>
      </c>
      <c r="I904" s="17" t="n">
        <v>-100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inlineStr"/>
      <c r="Q904" s="19" t="inlineStr"/>
      <c r="R904" s="18" t="n">
        <v>15191903640</v>
      </c>
      <c r="S904" s="20" t="n">
        <v>14777</v>
      </c>
      <c r="T904" s="6" t="n">
        <v>3</v>
      </c>
      <c r="U904" s="5" t="inlineStr">
        <is>
          <t>AI 연구개발 / 특화 AI 솔루션 연구개발 | AI 운영체제 / AI 솔루션 공급 | AI 운영체제 / AI OS (Runway)</t>
        </is>
      </c>
      <c r="V904" s="21">
        <f>HYPERLINK("https://dart.fss.or.kr/dsaf001/main.do?rcpNo=20260814001400", "공시열람")</f>
        <v/>
      </c>
    </row>
    <row r="905">
      <c r="A905" s="5" t="inlineStr">
        <is>
          <t>나라스페이스테크놀로지</t>
        </is>
      </c>
      <c r="B905" s="6" t="inlineStr">
        <is>
          <t>478340</t>
        </is>
      </c>
      <c r="C905" s="6" t="inlineStr">
        <is>
          <t>2026Q2</t>
        </is>
      </c>
      <c r="D905" s="6" t="inlineStr">
        <is>
          <t>20260814</t>
        </is>
      </c>
      <c r="E905" s="16" t="n">
        <v>43128614</v>
      </c>
      <c r="F905" s="16" t="inlineStr"/>
      <c r="G905" s="16" t="n">
        <v>28605889</v>
      </c>
      <c r="H905" s="6" t="inlineStr">
        <is>
          <t>천원</t>
        </is>
      </c>
      <c r="I905" s="17" t="n">
        <v>46.1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19815524</v>
      </c>
      <c r="Q905" s="19" t="n">
        <v>17637906</v>
      </c>
      <c r="R905" s="18" t="n">
        <v>19583035</v>
      </c>
      <c r="S905" s="20" t="n">
        <v>28605889</v>
      </c>
      <c r="T905" s="6" t="n">
        <v>11</v>
      </c>
      <c r="U905" s="5" t="inlineStr">
        <is>
          <t>위성제조 분야 / 2026-06-19 / 2030-07 | 위성영상 분야 등 / 2025-05-26 / 2029- | 위성제조 분야 / 2024-11-07 / 2028-12</t>
        </is>
      </c>
      <c r="V905" s="21">
        <f>HYPERLINK("https://dart.fss.or.kr/dsaf001/main.do?rcpNo=20260814002537", "공시열람")</f>
        <v/>
      </c>
    </row>
    <row r="906">
      <c r="A906" s="5" t="inlineStr">
        <is>
          <t>씨케이솔루션</t>
        </is>
      </c>
      <c r="B906" s="6" t="inlineStr">
        <is>
          <t>480370</t>
        </is>
      </c>
      <c r="C906" s="6" t="inlineStr">
        <is>
          <t>2026Q2</t>
        </is>
      </c>
      <c r="D906" s="6" t="inlineStr">
        <is>
          <t>20260814</t>
        </is>
      </c>
      <c r="E906" s="16" t="n">
        <v>660947</v>
      </c>
      <c r="F906" s="16" t="n">
        <v>407631</v>
      </c>
      <c r="G906" s="16" t="n">
        <v>253316</v>
      </c>
      <c r="H906" s="6" t="inlineStr">
        <is>
          <t>백만원</t>
        </is>
      </c>
      <c r="I906" s="17" t="n">
        <v>19.5</v>
      </c>
      <c r="J906" s="18" t="inlineStr"/>
      <c r="K906" s="19" t="inlineStr"/>
      <c r="L906" s="18" t="inlineStr"/>
      <c r="M906" s="19" t="n">
        <v>252345</v>
      </c>
      <c r="N906" s="18" t="n">
        <v>202545</v>
      </c>
      <c r="O906" s="19" t="n">
        <v>192631</v>
      </c>
      <c r="P906" s="18" t="n">
        <v>250229</v>
      </c>
      <c r="Q906" s="19" t="n">
        <v>238406</v>
      </c>
      <c r="R906" s="18" t="n">
        <v>211974</v>
      </c>
      <c r="S906" s="20" t="n">
        <v>253316</v>
      </c>
      <c r="T906" s="6" t="n">
        <v>3</v>
      </c>
      <c r="U906" s="5" t="inlineStr">
        <is>
          <t>드라이룸 | 클린룸 | 기타</t>
        </is>
      </c>
      <c r="V906" s="21">
        <f>HYPERLINK("https://dart.fss.or.kr/dsaf001/main.do?rcpNo=20260814001347", "공시열람")</f>
        <v/>
      </c>
    </row>
    <row r="907">
      <c r="A907" s="5" t="inlineStr">
        <is>
          <t>삼양컴텍</t>
        </is>
      </c>
      <c r="B907" s="6" t="inlineStr">
        <is>
          <t>484590</t>
        </is>
      </c>
      <c r="C907" s="6" t="inlineStr">
        <is>
          <t>2025Q2</t>
        </is>
      </c>
      <c r="D907" s="6" t="inlineStr">
        <is>
          <t>20250822</t>
        </is>
      </c>
      <c r="E907" s="16" t="n">
        <v>281584</v>
      </c>
      <c r="F907" s="16" t="n">
        <v>65514</v>
      </c>
      <c r="G907" s="16" t="n">
        <v>216070</v>
      </c>
      <c r="H907" s="6" t="inlineStr">
        <is>
          <t>백만원</t>
        </is>
      </c>
      <c r="I907" s="17" t="inlineStr"/>
      <c r="J907" s="18" t="inlineStr"/>
      <c r="K907" s="19" t="inlineStr"/>
      <c r="L907" s="18" t="inlineStr"/>
      <c r="M907" s="19" t="inlineStr"/>
      <c r="N907" s="18" t="inlineStr"/>
      <c r="O907" s="19" t="n">
        <v>216070</v>
      </c>
      <c r="P907" s="18" t="inlineStr"/>
      <c r="Q907" s="19" t="inlineStr"/>
      <c r="R907" s="18" t="inlineStr"/>
      <c r="S907" s="20" t="inlineStr"/>
      <c r="T907" s="6" t="n">
        <v>1</v>
      </c>
      <c r="U907" s="5" t="inlineStr">
        <is>
          <t>방산부품 / 2025.06.30 / -</t>
        </is>
      </c>
      <c r="V907" s="21">
        <f>HYPERLINK("https://dart.fss.or.kr/dsaf001/main.do?rcpNo=20250822000351", "공시열람")</f>
        <v/>
      </c>
    </row>
    <row r="908">
      <c r="A908" s="5" t="inlineStr">
        <is>
          <t>엠앤씨솔루션</t>
        </is>
      </c>
      <c r="B908" s="6" t="inlineStr">
        <is>
          <t>484870</t>
        </is>
      </c>
      <c r="C908" s="6" t="inlineStr">
        <is>
          <t>2026Q2</t>
        </is>
      </c>
      <c r="D908" s="6" t="inlineStr">
        <is>
          <t>20260814</t>
        </is>
      </c>
      <c r="E908" s="16" t="n">
        <v>17788</v>
      </c>
      <c r="F908" s="16" t="n">
        <v>8457</v>
      </c>
      <c r="G908" s="16" t="n">
        <v>28938</v>
      </c>
      <c r="H908" s="6" t="inlineStr">
        <is>
          <t>억원</t>
        </is>
      </c>
      <c r="I908" s="17" t="n">
        <v>-1</v>
      </c>
      <c r="J908" s="18" t="inlineStr"/>
      <c r="K908" s="19" t="inlineStr"/>
      <c r="L908" s="18" t="inlineStr"/>
      <c r="M908" s="19" t="n">
        <v>9570</v>
      </c>
      <c r="N908" s="18" t="n">
        <v>9035</v>
      </c>
      <c r="O908" s="19" t="n">
        <v>8797</v>
      </c>
      <c r="P908" s="18" t="n">
        <v>8273</v>
      </c>
      <c r="Q908" s="19" t="n">
        <v>10037</v>
      </c>
      <c r="R908" s="18" t="n">
        <v>29229</v>
      </c>
      <c r="S908" s="20" t="n">
        <v>28938</v>
      </c>
      <c r="T908" s="6" t="n">
        <v>3</v>
      </c>
      <c r="U908" s="5" t="inlineStr">
        <is>
          <t>방산부품 / 2025.12.31 / - | 방산부품 / 2024.12.31 / - | 방산부품 / 2026.06.30 / -</t>
        </is>
      </c>
      <c r="V908" s="21">
        <f>HYPERLINK("https://dart.fss.or.kr/dsaf001/main.do?rcpNo=20260814000987", "공시열람")</f>
        <v/>
      </c>
    </row>
    <row r="909">
      <c r="A909" s="5" t="inlineStr">
        <is>
          <t>노타</t>
        </is>
      </c>
      <c r="B909" s="6" t="inlineStr">
        <is>
          <t>486990</t>
        </is>
      </c>
      <c r="C909" s="6" t="inlineStr">
        <is>
          <t>2026Q2</t>
        </is>
      </c>
      <c r="D909" s="6" t="inlineStr">
        <is>
          <t>20260814</t>
        </is>
      </c>
      <c r="E909" s="16" t="inlineStr"/>
      <c r="F909" s="16" t="n">
        <v>7407957</v>
      </c>
      <c r="G909" s="16" t="n">
        <v>11600415</v>
      </c>
      <c r="H909" s="6" t="inlineStr">
        <is>
          <t>천원</t>
        </is>
      </c>
      <c r="I909" s="17" t="n">
        <v>-4.3</v>
      </c>
      <c r="J909" s="18" t="inlineStr"/>
      <c r="K909" s="19" t="inlineStr"/>
      <c r="L909" s="18" t="inlineStr"/>
      <c r="M909" s="19" t="inlineStr"/>
      <c r="N909" s="18" t="inlineStr"/>
      <c r="O909" s="19" t="inlineStr"/>
      <c r="P909" s="18" t="n">
        <v>9228051</v>
      </c>
      <c r="Q909" s="19" t="n">
        <v>1090864</v>
      </c>
      <c r="R909" s="18" t="n">
        <v>12123360</v>
      </c>
      <c r="S909" s="20" t="n">
        <v>11600415</v>
      </c>
      <c r="T909" s="6" t="n">
        <v>2</v>
      </c>
      <c r="U909" s="5" t="inlineStr">
        <is>
          <t>플랫폼 / 6건 | 솔루션 / 33건</t>
        </is>
      </c>
      <c r="V909" s="21">
        <f>HYPERLINK("https://dart.fss.or.kr/dsaf001/main.do?rcpNo=20260814003297", "공시열람")</f>
        <v/>
      </c>
    </row>
    <row r="910">
      <c r="A910" s="5" t="inlineStr">
        <is>
          <t>케이앤에스아이앤씨</t>
        </is>
      </c>
      <c r="B910" s="6" t="inlineStr">
        <is>
          <t>487400</t>
        </is>
      </c>
      <c r="C910" s="6" t="inlineStr">
        <is>
          <t>2026Q2</t>
        </is>
      </c>
      <c r="D910" s="6" t="inlineStr">
        <is>
          <t>20260814</t>
        </is>
      </c>
      <c r="E910" s="16" t="inlineStr"/>
      <c r="F910" s="16" t="inlineStr"/>
      <c r="G910" s="16" t="n">
        <v>33999743</v>
      </c>
      <c r="H910" s="6" t="inlineStr">
        <is>
          <t>천원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n">
        <v>33999743</v>
      </c>
      <c r="T910" s="6" t="n">
        <v>5</v>
      </c>
      <c r="U910" s="5" t="inlineStr">
        <is>
          <t>A고객사 / 군용 VSAT | B고객사 / 군용 VSAT | C고객사 / 상용 VSAT</t>
        </is>
      </c>
      <c r="V910" s="21">
        <f>HYPERLINK("https://dart.fss.or.kr/dsaf001/main.do?rcpNo=20260814000925", "공시열람")</f>
        <v/>
      </c>
    </row>
    <row r="911">
      <c r="A911" s="5" t="inlineStr">
        <is>
          <t>에스투더블유</t>
        </is>
      </c>
      <c r="B911" s="6" t="inlineStr">
        <is>
          <t>488280</t>
        </is>
      </c>
      <c r="C911" s="6" t="inlineStr">
        <is>
          <t>2026Q2</t>
        </is>
      </c>
      <c r="D911" s="6" t="inlineStr">
        <is>
          <t>20260813</t>
        </is>
      </c>
      <c r="E911" s="16" t="n">
        <v>11195</v>
      </c>
      <c r="F911" s="16" t="n">
        <v>5844</v>
      </c>
      <c r="G911" s="16" t="n">
        <v>5351</v>
      </c>
      <c r="H911" s="6" t="inlineStr">
        <is>
          <t>백만원</t>
        </is>
      </c>
      <c r="I911" s="17" t="n">
        <v>-9</v>
      </c>
      <c r="J911" s="18" t="inlineStr"/>
      <c r="K911" s="19" t="inlineStr"/>
      <c r="L911" s="18" t="inlineStr"/>
      <c r="M911" s="19" t="inlineStr"/>
      <c r="N911" s="18" t="inlineStr"/>
      <c r="O911" s="19" t="inlineStr"/>
      <c r="P911" s="18" t="n">
        <v>6544</v>
      </c>
      <c r="Q911" s="19" t="n">
        <v>5825</v>
      </c>
      <c r="R911" s="18" t="n">
        <v>5881</v>
      </c>
      <c r="S911" s="20" t="n">
        <v>5351</v>
      </c>
      <c r="T911" s="6" t="n">
        <v>1</v>
      </c>
      <c r="U911" s="5" t="inlineStr">
        <is>
          <t>서비스</t>
        </is>
      </c>
      <c r="V911" s="21">
        <f>HYPERLINK("https://dart.fss.or.kr/dsaf001/main.do?rcpNo=20260813001570", "공시열람")</f>
        <v/>
      </c>
    </row>
    <row r="912">
      <c r="A912" s="5" t="inlineStr">
        <is>
          <t>비츠로넥스텍</t>
        </is>
      </c>
      <c r="B912" s="6" t="inlineStr">
        <is>
          <t>488900</t>
        </is>
      </c>
      <c r="C912" s="6" t="inlineStr">
        <is>
          <t>2026Q1</t>
        </is>
      </c>
      <c r="D912" s="6" t="inlineStr">
        <is>
          <t>20260515</t>
        </is>
      </c>
      <c r="E912" s="16" t="n">
        <v>137393</v>
      </c>
      <c r="F912" s="16" t="n">
        <v>71658</v>
      </c>
      <c r="G912" s="16" t="n">
        <v>65735</v>
      </c>
      <c r="H912" s="6" t="inlineStr">
        <is>
          <t>백만원</t>
        </is>
      </c>
      <c r="I912" s="17" t="inlineStr"/>
      <c r="J912" s="18" t="inlineStr"/>
      <c r="K912" s="19" t="inlineStr"/>
      <c r="L912" s="18" t="inlineStr"/>
      <c r="M912" s="19" t="inlineStr"/>
      <c r="N912" s="18" t="inlineStr"/>
      <c r="O912" s="19" t="inlineStr"/>
      <c r="P912" s="18" t="inlineStr"/>
      <c r="Q912" s="19" t="inlineStr"/>
      <c r="R912" s="18" t="n">
        <v>65735</v>
      </c>
      <c r="S912" s="20" t="inlineStr"/>
      <c r="T912" s="6" t="n">
        <v>1</v>
      </c>
      <c r="U912" s="5" t="inlineStr">
        <is>
          <t>연소기외 / -</t>
        </is>
      </c>
      <c r="V912" s="21">
        <f>HYPERLINK("https://dart.fss.or.kr/dsaf001/main.do?rcpNo=20260515002341", "공시열람")</f>
        <v/>
      </c>
    </row>
    <row r="913">
      <c r="A913" s="5" t="inlineStr">
        <is>
          <t>한화비전</t>
        </is>
      </c>
      <c r="B913" s="6" t="inlineStr">
        <is>
          <t>489790</t>
        </is>
      </c>
      <c r="C913" s="6" t="inlineStr">
        <is>
          <t>2026Q2</t>
        </is>
      </c>
      <c r="D913" s="6" t="inlineStr">
        <is>
          <t>20260813</t>
        </is>
      </c>
      <c r="E913" s="16" t="n">
        <v>29459</v>
      </c>
      <c r="F913" s="16" t="n">
        <v>16154</v>
      </c>
      <c r="G913" s="16" t="n">
        <v>13305</v>
      </c>
      <c r="H913" s="6" t="inlineStr">
        <is>
          <t>백만원</t>
        </is>
      </c>
      <c r="I913" s="17" t="n">
        <v>-14</v>
      </c>
      <c r="J913" s="18" t="inlineStr"/>
      <c r="K913" s="19" t="inlineStr"/>
      <c r="L913" s="18" t="n">
        <v>44966</v>
      </c>
      <c r="M913" s="19" t="n">
        <v>41331</v>
      </c>
      <c r="N913" s="18" t="n">
        <v>27365</v>
      </c>
      <c r="O913" s="19" t="n">
        <v>40652</v>
      </c>
      <c r="P913" s="18" t="n">
        <v>29986</v>
      </c>
      <c r="Q913" s="19" t="n">
        <v>22106</v>
      </c>
      <c r="R913" s="18" t="n">
        <v>15476</v>
      </c>
      <c r="S913" s="20" t="n">
        <v>13305</v>
      </c>
      <c r="T913" s="6" t="n">
        <v>1</v>
      </c>
      <c r="U913" s="5" t="inlineStr">
        <is>
          <t>CCTV설치공사 등 / -</t>
        </is>
      </c>
      <c r="V913" s="21">
        <f>HYPERLINK("https://dart.fss.or.kr/dsaf001/main.do?rcpNo=20260813001301", "공시열람")</f>
        <v/>
      </c>
    </row>
    <row r="914">
      <c r="A914" s="5" t="inlineStr">
        <is>
          <t>지에프아이</t>
        </is>
      </c>
      <c r="B914" s="6" t="inlineStr">
        <is>
          <t>493330</t>
        </is>
      </c>
      <c r="C914" s="6" t="inlineStr">
        <is>
          <t>2026Q2</t>
        </is>
      </c>
      <c r="D914" s="6" t="inlineStr">
        <is>
          <t>20260813</t>
        </is>
      </c>
      <c r="E914" s="16" t="n">
        <v>1088896</v>
      </c>
      <c r="F914" s="16" t="n">
        <v>1088896</v>
      </c>
      <c r="G914" s="16" t="n">
        <v>0</v>
      </c>
      <c r="H914" s="6" t="inlineStr">
        <is>
          <t>천원</t>
        </is>
      </c>
      <c r="I914" s="17" t="n">
        <v>-100</v>
      </c>
      <c r="J914" s="18" t="inlineStr"/>
      <c r="K914" s="19" t="inlineStr"/>
      <c r="L914" s="18" t="inlineStr"/>
      <c r="M914" s="19" t="inlineStr"/>
      <c r="N914" s="18" t="inlineStr"/>
      <c r="O914" s="19" t="inlineStr"/>
      <c r="P914" s="18" t="n">
        <v>663499</v>
      </c>
      <c r="Q914" s="19" t="n">
        <v>552241</v>
      </c>
      <c r="R914" s="18" t="n">
        <v>80864</v>
      </c>
      <c r="S914" s="20" t="n">
        <v>0</v>
      </c>
      <c r="T914" s="6" t="n">
        <v>2</v>
      </c>
      <c r="U914" s="5" t="inlineStr">
        <is>
          <t>국내 ESS 직분사 확대적용 300MWh_13차 / - | 국내 소규모 ESS Site 직분사 / - / 2026</t>
        </is>
      </c>
      <c r="V914" s="21">
        <f>HYPERLINK("https://dart.fss.or.kr/dsaf001/main.do?rcpNo=20260813000372", "공시열람")</f>
        <v/>
      </c>
    </row>
    <row r="915">
      <c r="A915" s="5" t="inlineStr">
        <is>
          <t>유비씨</t>
        </is>
      </c>
      <c r="B915" s="6" t="inlineStr">
        <is>
          <t>495810</t>
        </is>
      </c>
      <c r="C915" s="6" t="inlineStr">
        <is>
          <t>2025Q4</t>
        </is>
      </c>
      <c r="D915" s="6" t="inlineStr">
        <is>
          <t>20260323</t>
        </is>
      </c>
      <c r="E915" s="16" t="n">
        <v>1942940</v>
      </c>
      <c r="F915" s="16" t="n">
        <v>1160275</v>
      </c>
      <c r="G915" s="16" t="n">
        <v>782665</v>
      </c>
      <c r="H915" s="6" t="inlineStr">
        <is>
          <t>천원</t>
        </is>
      </c>
      <c r="I915" s="17" t="n">
        <v>28.2</v>
      </c>
      <c r="J915" s="18" t="inlineStr"/>
      <c r="K915" s="19" t="inlineStr"/>
      <c r="L915" s="18" t="inlineStr"/>
      <c r="M915" s="19" t="n">
        <v>610375</v>
      </c>
      <c r="N915" s="18" t="inlineStr"/>
      <c r="O915" s="19" t="inlineStr"/>
      <c r="P915" s="18" t="inlineStr"/>
      <c r="Q915" s="19" t="n">
        <v>782665</v>
      </c>
      <c r="R915" s="18" t="inlineStr"/>
      <c r="S915" s="20" t="inlineStr"/>
      <c r="T915" s="6" t="n">
        <v>13</v>
      </c>
      <c r="U915" s="5" t="inlineStr">
        <is>
          <t>On-Premise DT / 2025-08-11 / 2 | On-Premise DT / 2025-10-15 / 2 | On-Premise DT / 2024-12-26 / 2</t>
        </is>
      </c>
      <c r="V915" s="21">
        <f>HYPERLINK("https://dart.fss.or.kr/dsaf001/main.do?rcpNo=20260323000238", "공시열람")</f>
        <v/>
      </c>
    </row>
    <row r="916">
      <c r="A916" s="5" t="inlineStr">
        <is>
          <t>본시스템즈</t>
        </is>
      </c>
      <c r="B916" s="6" t="inlineStr">
        <is>
          <t>496320</t>
        </is>
      </c>
      <c r="C916" s="6" t="inlineStr">
        <is>
          <t>2025Q4</t>
        </is>
      </c>
      <c r="D916" s="6" t="inlineStr">
        <is>
          <t>20260804</t>
        </is>
      </c>
      <c r="E916" s="16" t="inlineStr"/>
      <c r="F916" s="16" t="inlineStr"/>
      <c r="G916" s="16" t="n">
        <v>1221466</v>
      </c>
      <c r="H916" s="6" t="inlineStr">
        <is>
          <t>천원</t>
        </is>
      </c>
      <c r="I916" s="17" t="n">
        <v>-43.4</v>
      </c>
      <c r="J916" s="18" t="inlineStr"/>
      <c r="K916" s="19" t="inlineStr"/>
      <c r="L916" s="18" t="inlineStr"/>
      <c r="M916" s="19" t="n">
        <v>2156946</v>
      </c>
      <c r="N916" s="18" t="inlineStr"/>
      <c r="O916" s="19" t="inlineStr"/>
      <c r="P916" s="18" t="inlineStr"/>
      <c r="Q916" s="19" t="n">
        <v>1221466</v>
      </c>
      <c r="R916" s="18" t="inlineStr"/>
      <c r="S916" s="20" t="inlineStr"/>
      <c r="T916" s="6" t="n">
        <v>1</v>
      </c>
      <c r="U916" s="5" t="inlineStr">
        <is>
          <t>건설공사</t>
        </is>
      </c>
      <c r="V916" s="21">
        <f>HYPERLINK("https://dart.fss.or.kr/dsaf001/main.do?rcpNo=20260804000177", "공시열람")</f>
        <v/>
      </c>
    </row>
    <row r="917">
      <c r="A917" s="5" t="inlineStr">
        <is>
          <t>크리스탈신소재</t>
        </is>
      </c>
      <c r="B917" s="6" t="inlineStr">
        <is>
          <t>900250</t>
        </is>
      </c>
      <c r="C917" s="6" t="inlineStr">
        <is>
          <t>2023Q4</t>
        </is>
      </c>
      <c r="D917" s="6" t="inlineStr">
        <is>
          <t>20240422</t>
        </is>
      </c>
      <c r="E917" s="16" t="n">
        <v>52000000</v>
      </c>
      <c r="F917" s="16" t="n">
        <v>23200000</v>
      </c>
      <c r="G917" s="16" t="n">
        <v>28800000</v>
      </c>
      <c r="H917" s="6" t="inlineStr">
        <is>
          <t>kg,RMB</t>
        </is>
      </c>
      <c r="I917" s="17" t="inlineStr"/>
      <c r="J917" s="18" t="inlineStr"/>
      <c r="K917" s="19" t="inlineStr"/>
      <c r="L917" s="18" t="inlineStr"/>
      <c r="M917" s="19" t="inlineStr"/>
      <c r="N917" s="18" t="inlineStr"/>
      <c r="O917" s="19" t="inlineStr"/>
      <c r="P917" s="18" t="inlineStr"/>
      <c r="Q917" s="19" t="inlineStr"/>
      <c r="R917" s="18" t="inlineStr"/>
      <c r="S917" s="20" t="inlineStr"/>
      <c r="T917" s="6" t="n">
        <v>2</v>
      </c>
      <c r="U917" s="5" t="inlineStr">
        <is>
          <t>그래핀 파우더 / 2023.08.29 / 2024.03 | 그래핀 파우더 / 2023.10.18 / 2024.02</t>
        </is>
      </c>
      <c r="V917" s="21">
        <f>HYPERLINK("https://dart.fss.or.kr/dsaf001/main.do?rcpNo=20240422000050", "공시열람")</f>
        <v/>
      </c>
    </row>
    <row r="918">
      <c r="A918" s="5" t="inlineStr">
        <is>
          <t>오가닉티코스메틱</t>
        </is>
      </c>
      <c r="B918" s="6" t="inlineStr">
        <is>
          <t>900300</t>
        </is>
      </c>
      <c r="C918" s="6" t="inlineStr">
        <is>
          <t>2026Q2</t>
        </is>
      </c>
      <c r="D918" s="6" t="inlineStr">
        <is>
          <t>20260831</t>
        </is>
      </c>
      <c r="E918" s="16" t="n">
        <v>409698532</v>
      </c>
      <c r="F918" s="16" t="n">
        <v>409698532</v>
      </c>
      <c r="G918" s="16" t="n">
        <v>0</v>
      </c>
      <c r="H918" s="6" t="inlineStr">
        <is>
          <t>CNY</t>
        </is>
      </c>
      <c r="I918" s="17" t="inlineStr"/>
      <c r="J918" s="18" t="n">
        <v>0</v>
      </c>
      <c r="K918" s="19" t="n">
        <v>0</v>
      </c>
      <c r="L918" s="18" t="n">
        <v>0</v>
      </c>
      <c r="M918" s="19" t="n">
        <v>0</v>
      </c>
      <c r="N918" s="18" t="n">
        <v>0</v>
      </c>
      <c r="O918" s="19" t="n">
        <v>0</v>
      </c>
      <c r="P918" s="18" t="n">
        <v>0</v>
      </c>
      <c r="Q918" s="19" t="n">
        <v>0</v>
      </c>
      <c r="R918" s="18" t="n">
        <v>0</v>
      </c>
      <c r="S918" s="20" t="n">
        <v>0</v>
      </c>
      <c r="T918" s="6" t="n">
        <v>8</v>
      </c>
      <c r="U918" s="5" t="inlineStr">
        <is>
          <t>클렌징 화장품 / 2026.03.03~2026.06.3 | 여름용 화장품 / 2026.03.03~2026.06.3 | 기능성 화장품 / 2026.03.03~2026.06.3</t>
        </is>
      </c>
      <c r="V918" s="21">
        <f>HYPERLINK("https://dart.fss.or.kr/dsaf001/main.do?rcpNo=20260831001530", "공시열람")</f>
        <v/>
      </c>
    </row>
    <row r="919">
      <c r="A919" s="5" t="inlineStr">
        <is>
          <t>컬러레이</t>
        </is>
      </c>
      <c r="B919" s="6" t="inlineStr">
        <is>
          <t>900310</t>
        </is>
      </c>
      <c r="C919" s="6" t="inlineStr">
        <is>
          <t>2026Q2</t>
        </is>
      </c>
      <c r="D919" s="6" t="inlineStr">
        <is>
          <t>20260825</t>
        </is>
      </c>
      <c r="E919" s="16" t="n">
        <v>17388650</v>
      </c>
      <c r="F919" s="16" t="inlineStr"/>
      <c r="G919" s="16" t="n">
        <v>17635917</v>
      </c>
      <c r="H919" s="6" t="inlineStr">
        <is>
          <t>RMB</t>
        </is>
      </c>
      <c r="I919" s="17" t="n">
        <v>0</v>
      </c>
      <c r="J919" s="18" t="n">
        <v>18915869</v>
      </c>
      <c r="K919" s="19" t="n">
        <v>18915869</v>
      </c>
      <c r="L919" s="18" t="n">
        <v>18915869</v>
      </c>
      <c r="M919" s="19" t="n">
        <v>18915869</v>
      </c>
      <c r="N919" s="18" t="n">
        <v>17571498</v>
      </c>
      <c r="O919" s="19" t="n">
        <v>17571498</v>
      </c>
      <c r="P919" s="18" t="n">
        <v>17571498</v>
      </c>
      <c r="Q919" s="19" t="n">
        <v>17571498</v>
      </c>
      <c r="R919" s="18" t="n">
        <v>17635917</v>
      </c>
      <c r="S919" s="20" t="n">
        <v>17635917</v>
      </c>
      <c r="T919" s="6" t="n">
        <v>10</v>
      </c>
      <c r="U919" s="5" t="inlineStr">
        <is>
          <t>골든시리즈 | 실버화이트시리즈 | 색조컬러시리즈</t>
        </is>
      </c>
      <c r="V919" s="21">
        <f>HYPERLINK("https://dart.fss.or.kr/dsaf001/main.do?rcpNo=20260825000446", "공시열람")</f>
        <v/>
      </c>
    </row>
    <row r="920">
      <c r="A920" s="5" t="inlineStr">
        <is>
          <t>윙입푸드</t>
        </is>
      </c>
      <c r="B920" s="6" t="inlineStr">
        <is>
          <t>900340</t>
        </is>
      </c>
      <c r="C920" s="6" t="inlineStr">
        <is>
          <t>2026Q2</t>
        </is>
      </c>
      <c r="D920" s="6" t="inlineStr">
        <is>
          <t>20260831</t>
        </is>
      </c>
      <c r="E920" s="16" t="n">
        <v>436831792</v>
      </c>
      <c r="F920" s="16" t="n">
        <v>436831792</v>
      </c>
      <c r="G920" s="16" t="n">
        <v>0</v>
      </c>
      <c r="H920" s="6" t="inlineStr">
        <is>
          <t>KG,RMB</t>
        </is>
      </c>
      <c r="I920" s="17" t="inlineStr"/>
      <c r="J920" s="18" t="n">
        <v>0</v>
      </c>
      <c r="K920" s="19" t="n">
        <v>0</v>
      </c>
      <c r="L920" s="18" t="n">
        <v>0</v>
      </c>
      <c r="M920" s="19" t="n">
        <v>0</v>
      </c>
      <c r="N920" s="18" t="n">
        <v>0</v>
      </c>
      <c r="O920" s="19" t="n">
        <v>0</v>
      </c>
      <c r="P920" s="18" t="n">
        <v>0</v>
      </c>
      <c r="Q920" s="19" t="n">
        <v>0</v>
      </c>
      <c r="R920" s="18" t="n">
        <v>0</v>
      </c>
      <c r="S920" s="20" t="n">
        <v>0</v>
      </c>
      <c r="T920" s="6" t="n">
        <v>3</v>
      </c>
      <c r="U920" s="5" t="inlineStr">
        <is>
          <t>전통식품 / 2026.01.01~2026.06.30 | 간편식품 / 2026.01.01~2026.06.30 | 냉동식품 / 2026.01.01~2026.06.30</t>
        </is>
      </c>
      <c r="V920" s="21">
        <f>HYPERLINK("https://dart.fss.or.kr/dsaf001/main.do?rcpNo=20260831001473", "공시열람")</f>
        <v/>
      </c>
    </row>
    <row r="921">
      <c r="A921" s="5" t="inlineStr">
        <is>
          <t>프레스티지바이오파마</t>
        </is>
      </c>
      <c r="B921" s="6" t="inlineStr">
        <is>
          <t>950210</t>
        </is>
      </c>
      <c r="C921" s="6" t="inlineStr">
        <is>
          <t>2026Q2</t>
        </is>
      </c>
      <c r="D921" s="6" t="inlineStr">
        <is>
          <t>20260923</t>
        </is>
      </c>
      <c r="E921" s="16" t="n">
        <v>33539987</v>
      </c>
      <c r="F921" s="16" t="n">
        <v>14208431</v>
      </c>
      <c r="G921" s="16" t="n">
        <v>9722962</v>
      </c>
      <c r="H921" s="6" t="inlineStr">
        <is>
          <t>USD</t>
        </is>
      </c>
      <c r="I921" s="17" t="n">
        <v>1028.7</v>
      </c>
      <c r="J921" s="18" t="n">
        <v>136320000</v>
      </c>
      <c r="K921" s="19" t="n">
        <v>136320000</v>
      </c>
      <c r="L921" s="18" t="n">
        <v>136320000</v>
      </c>
      <c r="M921" s="19" t="n">
        <v>141071840</v>
      </c>
      <c r="N921" s="18" t="n">
        <v>141321730</v>
      </c>
      <c r="O921" s="19" t="n">
        <v>149592656</v>
      </c>
      <c r="P921" s="18" t="n">
        <v>13171629</v>
      </c>
      <c r="Q921" s="19" t="n">
        <v>48008</v>
      </c>
      <c r="R921" s="18" t="n">
        <v>861413</v>
      </c>
      <c r="S921" s="20" t="n">
        <v>9722962</v>
      </c>
      <c r="T921" s="6" t="n">
        <v>5</v>
      </c>
      <c r="U921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21" s="21">
        <f>HYPERLINK("https://dart.fss.or.kr/dsaf001/main.do?rcpNo=20260923000252", "공시열람")</f>
        <v/>
      </c>
    </row>
  </sheetData>
  <autoFilter ref="A1:V9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2026-10-15T12:35:36Z</dcterms:created>
  <dcterms:modified xmlns:dcterms="http://purl.org/dc/terms/" xmlns:xsi="http://www.w3.org/2001/XMLSchema-instance" xsi:type="dcterms:W3CDTF">2026-10-15T12:35:40Z</dcterms:modified>
</cp:coreProperties>
</file>