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'실적(종목별)'!$A$1:$AP$2667</definedName>
    <definedName name="_xlnm._FilterDatabase" localSheetId="1" hidden="1">'수주잔고'!$A$1:$V$921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>
        <is>
          <t>2025Q4</t>
        </is>
      </c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14" t="n">
        <v>12289</v>
      </c>
      <c r="AE62" s="15" t="n">
        <v>1428</v>
      </c>
      <c r="AF62" s="15" t="n">
        <v>1699</v>
      </c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14" t="n">
        <v>4211408</v>
      </c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14" t="n">
        <v>847837</v>
      </c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n">
        <v>22</v>
      </c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252999996</v>
      </c>
      <c r="AK150" s="12" t="n">
        <v>13495638</v>
      </c>
      <c r="AL150" s="12" t="n">
        <v>14468220</v>
      </c>
      <c r="AM150" s="13" t="n">
        <v>133565.8</v>
      </c>
      <c r="AN150" s="13" t="n">
        <v>165315.7</v>
      </c>
      <c r="AO150" s="13" t="n">
        <v>185050.7</v>
      </c>
      <c r="AP150" s="13" t="n">
        <v>131218.8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14" t="n">
        <v>28492432</v>
      </c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n">
        <v>-12</v>
      </c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14" t="n">
        <v>7344164</v>
      </c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14" t="n">
        <v>1120606</v>
      </c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n">
        <v>18.9</v>
      </c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14" t="n">
        <v>1215063</v>
      </c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n">
        <v>4.1</v>
      </c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n">
        <v>8543</v>
      </c>
      <c r="AK1901" s="12" t="n">
        <v>-2284</v>
      </c>
      <c r="AL1901" s="12" t="n">
        <v>-9427</v>
      </c>
      <c r="AM1901" s="13" t="n">
        <v>-7.8</v>
      </c>
      <c r="AN1901" s="13" t="n">
        <v>-30.7</v>
      </c>
      <c r="AO1901" s="13" t="n">
        <v>-9.1</v>
      </c>
      <c r="AP1901" s="13" t="n">
        <v>12.3</v>
      </c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나무AX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11" t="n">
        <v>11796</v>
      </c>
      <c r="AK2026" s="12" t="n">
        <v>524</v>
      </c>
      <c r="AL2026" s="12" t="n">
        <v>483</v>
      </c>
      <c r="AM2026" s="13" t="n">
        <v>-1.5</v>
      </c>
      <c r="AN2026" s="13" t="inlineStr"/>
      <c r="AO2026" s="13" t="n">
        <v>130.8</v>
      </c>
      <c r="AP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11" t="n">
        <v>22409333</v>
      </c>
      <c r="AK2027" s="12" t="n">
        <v>4124621</v>
      </c>
      <c r="AL2027" s="12" t="n">
        <v>3173128</v>
      </c>
      <c r="AM2027" s="13" t="n">
        <v>14.3</v>
      </c>
      <c r="AN2027" s="13" t="n">
        <v>30.2</v>
      </c>
      <c r="AO2027" s="13" t="n">
        <v>45.5</v>
      </c>
      <c r="AP2027" s="13" t="n">
        <v>262.2</v>
      </c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11" t="n">
        <v>1141813</v>
      </c>
      <c r="AK2028" s="12" t="n">
        <v>287035</v>
      </c>
      <c r="AL2028" s="12" t="n">
        <v>206139</v>
      </c>
      <c r="AM2028" s="13" t="n">
        <v>10.2</v>
      </c>
      <c r="AN2028" s="13" t="n">
        <v>26</v>
      </c>
      <c r="AO2028" s="13" t="n">
        <v>11.1</v>
      </c>
      <c r="AP2028" s="13" t="n">
        <v>37.2</v>
      </c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2026Q2</t>
        </is>
      </c>
      <c r="E2029" s="6" t="inlineStr">
        <is>
          <t>2023Q4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11" t="n">
        <v>2434171</v>
      </c>
      <c r="AK2029" s="12" t="n">
        <v>248884</v>
      </c>
      <c r="AL2029" s="12" t="n">
        <v>180695</v>
      </c>
      <c r="AM2029" s="13" t="n">
        <v>5.6</v>
      </c>
      <c r="AN2029" s="13" t="n">
        <v>151.5</v>
      </c>
      <c r="AO2029" s="13" t="n">
        <v>30.5</v>
      </c>
      <c r="AP2029" s="13" t="n">
        <v>521.5</v>
      </c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11" t="n">
        <v>447475</v>
      </c>
      <c r="AK2030" s="12" t="n">
        <v>7090</v>
      </c>
      <c r="AL2030" s="12" t="n">
        <v>7232</v>
      </c>
      <c r="AM2030" s="13" t="n">
        <v>-17.4</v>
      </c>
      <c r="AN2030" s="13" t="n">
        <v>32.9</v>
      </c>
      <c r="AO2030" s="13" t="n">
        <v>-63.8</v>
      </c>
      <c r="AP2030" s="13" t="n">
        <v>145.2</v>
      </c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11" t="n">
        <v>12723</v>
      </c>
      <c r="AK2031" s="12" t="n">
        <v>-470</v>
      </c>
      <c r="AL2031" s="12" t="n">
        <v>581</v>
      </c>
      <c r="AM2031" s="13" t="n">
        <v>-35.7</v>
      </c>
      <c r="AN2031" s="13" t="n">
        <v>-54.2</v>
      </c>
      <c r="AO2031" s="13" t="n">
        <v>-132</v>
      </c>
      <c r="AP2031" s="13" t="n">
        <v>-155.6</v>
      </c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11" t="n">
        <v>15120</v>
      </c>
      <c r="AK2032" s="12" t="n">
        <v>1495</v>
      </c>
      <c r="AL2032" s="12" t="n">
        <v>6313</v>
      </c>
      <c r="AM2032" s="13" t="n">
        <v>49.9</v>
      </c>
      <c r="AN2032" s="13" t="n">
        <v>-2.6</v>
      </c>
      <c r="AO2032" s="13" t="n">
        <v>252.6</v>
      </c>
      <c r="AP2032" s="13" t="n">
        <v>6.8</v>
      </c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11" t="n">
        <v>45048</v>
      </c>
      <c r="AK2033" s="12" t="n">
        <v>2257</v>
      </c>
      <c r="AL2033" s="12" t="n">
        <v>4958</v>
      </c>
      <c r="AM2033" s="13" t="n">
        <v>-1.7</v>
      </c>
      <c r="AN2033" s="13" t="n">
        <v>-8.1</v>
      </c>
      <c r="AO2033" s="13" t="n">
        <v>11.3</v>
      </c>
      <c r="AP2033" s="13" t="n">
        <v>-34.7</v>
      </c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11" t="n">
        <v>480005</v>
      </c>
      <c r="AK2034" s="12" t="n">
        <v>20405</v>
      </c>
      <c r="AL2034" s="12" t="n">
        <v>16279</v>
      </c>
      <c r="AM2034" s="13" t="n">
        <v>2.2</v>
      </c>
      <c r="AN2034" s="13" t="n">
        <v>4.8</v>
      </c>
      <c r="AO2034" s="13" t="n">
        <v>8.6</v>
      </c>
      <c r="AP2034" s="13" t="n">
        <v>64.40000000000001</v>
      </c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11" t="n">
        <v>162829</v>
      </c>
      <c r="AK2035" s="12" t="n">
        <v>37110</v>
      </c>
      <c r="AL2035" s="12" t="n">
        <v>32975</v>
      </c>
      <c r="AM2035" s="13" t="n">
        <v>15.3</v>
      </c>
      <c r="AN2035" s="13" t="n">
        <v>20.8</v>
      </c>
      <c r="AO2035" s="13" t="n">
        <v>92.40000000000001</v>
      </c>
      <c r="AP2035" s="13" t="n">
        <v>93.2</v>
      </c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11" t="n">
        <v>3731</v>
      </c>
      <c r="AK2036" s="12" t="n">
        <v>106</v>
      </c>
      <c r="AL2036" s="12" t="n">
        <v>695</v>
      </c>
      <c r="AM2036" s="13" t="n">
        <v>56.2</v>
      </c>
      <c r="AN2036" s="13" t="n">
        <v>23.7</v>
      </c>
      <c r="AO2036" s="13" t="n">
        <v>-50.7</v>
      </c>
      <c r="AP2036" s="13" t="n">
        <v>135.8</v>
      </c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11" t="n">
        <v>3368</v>
      </c>
      <c r="AK2037" s="12" t="n">
        <v>-1325</v>
      </c>
      <c r="AL2037" s="12" t="n">
        <v>-3871</v>
      </c>
      <c r="AM2037" s="13" t="n">
        <v>-25.8</v>
      </c>
      <c r="AN2037" s="13" t="n">
        <v>18.8</v>
      </c>
      <c r="AO2037" s="13" t="n">
        <v>25.3</v>
      </c>
      <c r="AP2037" s="13" t="n">
        <v>66.8</v>
      </c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11" t="n">
        <v>9838</v>
      </c>
      <c r="AK2038" s="12" t="n">
        <v>-1227</v>
      </c>
      <c r="AL2038" s="12" t="n">
        <v>7609</v>
      </c>
      <c r="AM2038" s="13" t="n">
        <v>23.4</v>
      </c>
      <c r="AN2038" s="13" t="n">
        <v>15.1</v>
      </c>
      <c r="AO2038" s="13" t="n">
        <v>30.9</v>
      </c>
      <c r="AP2038" s="13" t="n">
        <v>-1364.9</v>
      </c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11" t="n">
        <v>28362</v>
      </c>
      <c r="AK2039" s="12" t="n">
        <v>7</v>
      </c>
      <c r="AL2039" s="12" t="n">
        <v>7765</v>
      </c>
      <c r="AM2039" s="13" t="n">
        <v>9.699999999999999</v>
      </c>
      <c r="AN2039" s="13" t="n">
        <v>11.1</v>
      </c>
      <c r="AO2039" s="13" t="n">
        <v>126.9</v>
      </c>
      <c r="AP2039" s="13" t="n">
        <v>-96.59999999999999</v>
      </c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11" t="n">
        <v>893586</v>
      </c>
      <c r="AK2040" s="12" t="n">
        <v>132572</v>
      </c>
      <c r="AL2040" s="12" t="n">
        <v>86595</v>
      </c>
      <c r="AM2040" s="13" t="n">
        <v>-4</v>
      </c>
      <c r="AN2040" s="13" t="n">
        <v>15</v>
      </c>
      <c r="AO2040" s="13" t="n">
        <v>-19.9</v>
      </c>
      <c r="AP2040" s="13" t="n">
        <v>9.199999999999999</v>
      </c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11" t="n">
        <v>9464</v>
      </c>
      <c r="AK2041" s="12" t="n">
        <v>-2680</v>
      </c>
      <c r="AL2041" s="12" t="n">
        <v>-2402</v>
      </c>
      <c r="AM2041" s="13" t="n">
        <v>84</v>
      </c>
      <c r="AN2041" s="13" t="n">
        <v>80</v>
      </c>
      <c r="AO2041" s="13" t="n">
        <v>11.1</v>
      </c>
      <c r="AP2041" s="13" t="n">
        <v>-32.1</v>
      </c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11" t="n">
        <v>25882</v>
      </c>
      <c r="AK2042" s="12" t="n">
        <v>-646</v>
      </c>
      <c r="AL2042" s="12" t="n">
        <v>966</v>
      </c>
      <c r="AM2042" s="13" t="n">
        <v>-4.6</v>
      </c>
      <c r="AN2042" s="13" t="n">
        <v>41.2</v>
      </c>
      <c r="AO2042" s="13" t="n">
        <v>68.2</v>
      </c>
      <c r="AP2042" s="13" t="n">
        <v>76.7</v>
      </c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11" t="n">
        <v>146604</v>
      </c>
      <c r="AK2043" s="12" t="n">
        <v>-7044</v>
      </c>
      <c r="AL2043" s="12" t="n">
        <v>-6675</v>
      </c>
      <c r="AM2043" s="13" t="n">
        <v>12.5</v>
      </c>
      <c r="AN2043" s="13" t="n">
        <v>6.5</v>
      </c>
      <c r="AO2043" s="13" t="n">
        <v>-1785.2</v>
      </c>
      <c r="AP2043" s="13" t="n">
        <v>-250.4</v>
      </c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11" t="n">
        <v>34351</v>
      </c>
      <c r="AK2044" s="12" t="n">
        <v>6262</v>
      </c>
      <c r="AL2044" s="12" t="n">
        <v>360</v>
      </c>
      <c r="AM2044" s="13" t="n">
        <v>-1.5</v>
      </c>
      <c r="AN2044" s="13" t="n">
        <v>72.2</v>
      </c>
      <c r="AO2044" s="13" t="n">
        <v>-16.5</v>
      </c>
      <c r="AP2044" s="13" t="n">
        <v>20.9</v>
      </c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2026Q2</t>
        </is>
      </c>
      <c r="E2045" s="6" t="inlineStr">
        <is>
          <t>2023Q4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11" t="n">
        <v>1117552</v>
      </c>
      <c r="AK2045" s="12" t="n">
        <v>103652</v>
      </c>
      <c r="AL2045" s="12" t="n">
        <v>52743</v>
      </c>
      <c r="AM2045" s="13" t="n">
        <v>38.5</v>
      </c>
      <c r="AN2045" s="13" t="n">
        <v>45.5</v>
      </c>
      <c r="AO2045" s="13" t="n">
        <v>202.3</v>
      </c>
      <c r="AP2045" s="13" t="n">
        <v>209.9</v>
      </c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11" t="n">
        <v>108667</v>
      </c>
      <c r="AK2046" s="12" t="n">
        <v>10449</v>
      </c>
      <c r="AL2046" s="12" t="n">
        <v>18022</v>
      </c>
      <c r="AM2046" s="13" t="n">
        <v>14.2</v>
      </c>
      <c r="AN2046" s="13" t="n">
        <v>-2.5</v>
      </c>
      <c r="AO2046" s="13" t="n">
        <v>-38.1</v>
      </c>
      <c r="AP2046" s="13" t="n">
        <v>-53</v>
      </c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11" t="n">
        <v>360298</v>
      </c>
      <c r="AK2047" s="12" t="n">
        <v>-73103</v>
      </c>
      <c r="AL2047" s="12" t="n">
        <v>-67544</v>
      </c>
      <c r="AM2047" s="13" t="n">
        <v>-14.8</v>
      </c>
      <c r="AN2047" s="13" t="n">
        <v>17.7</v>
      </c>
      <c r="AO2047" s="13" t="n">
        <v>-226.9</v>
      </c>
      <c r="AP2047" s="13" t="n">
        <v>-72.90000000000001</v>
      </c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11" t="n">
        <v>131481</v>
      </c>
      <c r="AK2048" s="12" t="n">
        <v>17047</v>
      </c>
      <c r="AL2048" s="12" t="n">
        <v>13566</v>
      </c>
      <c r="AM2048" s="13" t="n">
        <v>40.9</v>
      </c>
      <c r="AN2048" s="13" t="n">
        <v>9.5</v>
      </c>
      <c r="AO2048" s="13" t="n">
        <v>3654.8</v>
      </c>
      <c r="AP2048" s="13" t="n">
        <v>22</v>
      </c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11" t="n">
        <v>12716</v>
      </c>
      <c r="AK2049" s="12" t="n">
        <v>2861</v>
      </c>
      <c r="AL2049" s="12" t="n">
        <v>991</v>
      </c>
      <c r="AM2049" s="13" t="n">
        <v>7.6</v>
      </c>
      <c r="AN2049" s="13" t="n">
        <v>14.2</v>
      </c>
      <c r="AO2049" s="13" t="n">
        <v>-1.7</v>
      </c>
      <c r="AP2049" s="13" t="n">
        <v>49.1</v>
      </c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11" t="n">
        <v>17652</v>
      </c>
      <c r="AK2050" s="12" t="n">
        <v>1844</v>
      </c>
      <c r="AL2050" s="12" t="n">
        <v>1340</v>
      </c>
      <c r="AM2050" s="13" t="n">
        <v>26.4</v>
      </c>
      <c r="AN2050" s="13" t="n">
        <v>98.90000000000001</v>
      </c>
      <c r="AO2050" s="13" t="n">
        <v>289.9</v>
      </c>
      <c r="AP2050" s="13" t="n">
        <v>96.59999999999999</v>
      </c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11" t="n">
        <v>28474</v>
      </c>
      <c r="AK2051" s="12" t="n">
        <v>1184</v>
      </c>
      <c r="AL2051" s="12" t="n">
        <v>334</v>
      </c>
      <c r="AM2051" s="13" t="n">
        <v>-2.6</v>
      </c>
      <c r="AN2051" s="13" t="n">
        <v>31.9</v>
      </c>
      <c r="AO2051" s="13" t="n">
        <v>443.1</v>
      </c>
      <c r="AP2051" s="13" t="n">
        <v>165.7</v>
      </c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11" t="n">
        <v>2164</v>
      </c>
      <c r="AK2052" s="12" t="n">
        <v>-844</v>
      </c>
      <c r="AL2052" s="12" t="n">
        <v>-963</v>
      </c>
      <c r="AM2052" s="13" t="n">
        <v>-11.5</v>
      </c>
      <c r="AN2052" s="13" t="n">
        <v>-53.4</v>
      </c>
      <c r="AO2052" s="13" t="n">
        <v>-83.5</v>
      </c>
      <c r="AP2052" s="13" t="n">
        <v>-387.9</v>
      </c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11" t="n">
        <v>2315</v>
      </c>
      <c r="AK2053" s="12" t="n">
        <v>-606</v>
      </c>
      <c r="AL2053" s="12" t="n">
        <v>-779</v>
      </c>
      <c r="AM2053" s="13" t="n">
        <v>32.1</v>
      </c>
      <c r="AN2053" s="13" t="n">
        <v>-26.2</v>
      </c>
      <c r="AO2053" s="13" t="n">
        <v>52.4</v>
      </c>
      <c r="AP2053" s="13" t="n">
        <v>-20300</v>
      </c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11" t="inlineStr"/>
      <c r="AK2054" s="12" t="n">
        <v>-868</v>
      </c>
      <c r="AL2054" s="12" t="n">
        <v>-2147</v>
      </c>
      <c r="AM2054" s="13" t="inlineStr"/>
      <c r="AN2054" s="13" t="inlineStr"/>
      <c r="AO2054" s="13" t="n">
        <v>50.3</v>
      </c>
      <c r="AP2054" s="13" t="n">
        <v>64.7</v>
      </c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11" t="n">
        <v>3798</v>
      </c>
      <c r="AK2055" s="12" t="n">
        <v>-1793</v>
      </c>
      <c r="AL2055" s="12" t="n">
        <v>-3179</v>
      </c>
      <c r="AM2055" s="13" t="n">
        <v>14.1</v>
      </c>
      <c r="AN2055" s="13" t="n">
        <v>15.1</v>
      </c>
      <c r="AO2055" s="13" t="n">
        <v>6.1</v>
      </c>
      <c r="AP2055" s="13" t="n">
        <v>-23</v>
      </c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11" t="n">
        <v>1629</v>
      </c>
      <c r="AK2056" s="12" t="n">
        <v>-2060</v>
      </c>
      <c r="AL2056" s="12" t="n">
        <v>-1726</v>
      </c>
      <c r="AM2056" s="13" t="n">
        <v>-30.3</v>
      </c>
      <c r="AN2056" s="13" t="n">
        <v>-13</v>
      </c>
      <c r="AO2056" s="13" t="n">
        <v>-292.9</v>
      </c>
      <c r="AP2056" s="13" t="n">
        <v>-248.8</v>
      </c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11" t="n">
        <v>9918</v>
      </c>
      <c r="AK2057" s="12" t="n">
        <v>323</v>
      </c>
      <c r="AL2057" s="12" t="n">
        <v>863</v>
      </c>
      <c r="AM2057" s="13" t="n">
        <v>-0.7</v>
      </c>
      <c r="AN2057" s="13" t="n">
        <v>16.2</v>
      </c>
      <c r="AO2057" s="13" t="n">
        <v>198.5</v>
      </c>
      <c r="AP2057" s="13" t="n">
        <v>-42.1</v>
      </c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11" t="n">
        <v>12314</v>
      </c>
      <c r="AK2058" s="12" t="n">
        <v>-2028</v>
      </c>
      <c r="AL2058" s="12" t="n">
        <v>-597</v>
      </c>
      <c r="AM2058" s="13" t="n">
        <v>35.9</v>
      </c>
      <c r="AN2058" s="13" t="n">
        <v>97.90000000000001</v>
      </c>
      <c r="AO2058" s="13" t="n">
        <v>-29.4</v>
      </c>
      <c r="AP2058" s="13" t="n">
        <v>1.4</v>
      </c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11" t="n">
        <v>116646</v>
      </c>
      <c r="AK2059" s="12" t="n">
        <v>7093</v>
      </c>
      <c r="AL2059" s="12" t="n">
        <v>5190</v>
      </c>
      <c r="AM2059" s="13" t="n">
        <v>129.3</v>
      </c>
      <c r="AN2059" s="13" t="n">
        <v>109.4</v>
      </c>
      <c r="AO2059" s="13" t="n">
        <v>86.59999999999999</v>
      </c>
      <c r="AP2059" s="13" t="n">
        <v>214</v>
      </c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11" t="n">
        <v>51003</v>
      </c>
      <c r="AK2060" s="12" t="n">
        <v>-3813</v>
      </c>
      <c r="AL2060" s="12" t="n">
        <v>-2808</v>
      </c>
      <c r="AM2060" s="13" t="n">
        <v>25.1</v>
      </c>
      <c r="AN2060" s="13" t="n">
        <v>54.1</v>
      </c>
      <c r="AO2060" s="13" t="n">
        <v>-11.8</v>
      </c>
      <c r="AP2060" s="13" t="n">
        <v>-231.9</v>
      </c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11" t="n">
        <v>767533</v>
      </c>
      <c r="AK2061" s="12" t="n">
        <v>190553</v>
      </c>
      <c r="AL2061" s="12" t="n">
        <v>141530</v>
      </c>
      <c r="AM2061" s="13" t="n">
        <v>29.4</v>
      </c>
      <c r="AN2061" s="13" t="n">
        <v>134.2</v>
      </c>
      <c r="AO2061" s="13" t="n">
        <v>25.1</v>
      </c>
      <c r="AP2061" s="13" t="n">
        <v>125.4</v>
      </c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11" t="n">
        <v>15966</v>
      </c>
      <c r="AK2062" s="12" t="n">
        <v>-1893</v>
      </c>
      <c r="AL2062" s="12" t="n">
        <v>-3516</v>
      </c>
      <c r="AM2062" s="13" t="n">
        <v>18.4</v>
      </c>
      <c r="AN2062" s="13" t="n">
        <v>-10.2</v>
      </c>
      <c r="AO2062" s="13" t="n">
        <v>27.5</v>
      </c>
      <c r="AP2062" s="13" t="n">
        <v>56.1</v>
      </c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14" t="n">
        <v>323924</v>
      </c>
      <c r="AH2063" s="10" t="n">
        <v>32402</v>
      </c>
      <c r="AI2063" s="10" t="n">
        <v>33206</v>
      </c>
      <c r="AJ2063" s="14" t="n">
        <v>327014</v>
      </c>
      <c r="AK2063" s="12" t="n">
        <v>26970</v>
      </c>
      <c r="AL2063" s="12" t="n">
        <v>26870</v>
      </c>
      <c r="AM2063" s="13" t="n">
        <v>1</v>
      </c>
      <c r="AN2063" s="13" t="inlineStr"/>
      <c r="AO2063" s="13" t="n">
        <v>-16.8</v>
      </c>
      <c r="AP2063" s="13" t="n">
        <v>-61.4</v>
      </c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11" t="n">
        <v>2794</v>
      </c>
      <c r="AK2064" s="12" t="n">
        <v>-2061</v>
      </c>
      <c r="AL2064" s="12" t="n">
        <v>-2132</v>
      </c>
      <c r="AM2064" s="13" t="n">
        <v>-16.9</v>
      </c>
      <c r="AN2064" s="13" t="n">
        <v>-42.5</v>
      </c>
      <c r="AO2064" s="13" t="n">
        <v>-5.5</v>
      </c>
      <c r="AP2064" s="13" t="n">
        <v>-79.8</v>
      </c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11" t="n">
        <v>1155748</v>
      </c>
      <c r="AK2065" s="12" t="n">
        <v>64709</v>
      </c>
      <c r="AL2065" s="12" t="n">
        <v>36082</v>
      </c>
      <c r="AM2065" s="13" t="n">
        <v>12.5</v>
      </c>
      <c r="AN2065" s="13" t="n">
        <v>8.6</v>
      </c>
      <c r="AO2065" s="13" t="n">
        <v>80.8</v>
      </c>
      <c r="AP2065" s="13" t="n">
        <v>88.5</v>
      </c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11" t="n">
        <v>37206</v>
      </c>
      <c r="AK2066" s="12" t="n">
        <v>6080</v>
      </c>
      <c r="AL2066" s="12" t="n">
        <v>2630</v>
      </c>
      <c r="AM2066" s="13" t="n">
        <v>12.1</v>
      </c>
      <c r="AN2066" s="13" t="n">
        <v>19.1</v>
      </c>
      <c r="AO2066" s="13" t="n">
        <v>43.1</v>
      </c>
      <c r="AP2066" s="13" t="n">
        <v>40</v>
      </c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11" t="n">
        <v>112689</v>
      </c>
      <c r="AK2067" s="12" t="n">
        <v>23522</v>
      </c>
      <c r="AL2067" s="12" t="n">
        <v>21111</v>
      </c>
      <c r="AM2067" s="13" t="n">
        <v>-27.8</v>
      </c>
      <c r="AN2067" s="13" t="n">
        <v>15.5</v>
      </c>
      <c r="AO2067" s="13" t="n">
        <v>-32.4</v>
      </c>
      <c r="AP2067" s="13" t="n">
        <v>51.2</v>
      </c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11" t="n">
        <v>2426816</v>
      </c>
      <c r="AK2068" s="12" t="n">
        <v>84852</v>
      </c>
      <c r="AL2068" s="12" t="n">
        <v>56830</v>
      </c>
      <c r="AM2068" s="13" t="n">
        <v>14.5</v>
      </c>
      <c r="AN2068" s="13" t="n">
        <v>6</v>
      </c>
      <c r="AO2068" s="13" t="n">
        <v>122.7</v>
      </c>
      <c r="AP2068" s="13" t="n">
        <v>22.2</v>
      </c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11" t="n">
        <v>71102</v>
      </c>
      <c r="AK2069" s="12" t="n">
        <v>5908</v>
      </c>
      <c r="AL2069" s="12" t="n">
        <v>4185</v>
      </c>
      <c r="AM2069" s="13" t="inlineStr"/>
      <c r="AN2069" s="13" t="inlineStr"/>
      <c r="AO2069" s="13" t="inlineStr"/>
      <c r="AP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11" t="n">
        <v>84211</v>
      </c>
      <c r="AK2070" s="12" t="n">
        <v>1799</v>
      </c>
      <c r="AL2070" s="12" t="n">
        <v>1171</v>
      </c>
      <c r="AM2070" s="13" t="n">
        <v>15.7</v>
      </c>
      <c r="AN2070" s="13" t="n">
        <v>49.4</v>
      </c>
      <c r="AO2070" s="13" t="n">
        <v>122.4</v>
      </c>
      <c r="AP2070" s="13" t="n">
        <v>822.6</v>
      </c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11" t="n">
        <v>58382</v>
      </c>
      <c r="AK2071" s="12" t="n">
        <v>-7405</v>
      </c>
      <c r="AL2071" s="12" t="n">
        <v>-7745</v>
      </c>
      <c r="AM2071" s="13" t="n">
        <v>46.7</v>
      </c>
      <c r="AN2071" s="13" t="n">
        <v>21.4</v>
      </c>
      <c r="AO2071" s="13" t="n">
        <v>-612</v>
      </c>
      <c r="AP2071" s="13" t="n">
        <v>-3658.9</v>
      </c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11" t="n">
        <v>408</v>
      </c>
      <c r="AK2072" s="12" t="n">
        <v>-1053</v>
      </c>
      <c r="AL2072" s="12" t="n">
        <v>-1324</v>
      </c>
      <c r="AM2072" s="13" t="n">
        <v>10.3</v>
      </c>
      <c r="AN2072" s="13" t="n">
        <v>131.8</v>
      </c>
      <c r="AO2072" s="13" t="n">
        <v>-4.1</v>
      </c>
      <c r="AP2072" s="13" t="n">
        <v>-11.4</v>
      </c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11" t="n">
        <v>318272</v>
      </c>
      <c r="AK2073" s="12" t="n">
        <v>54024</v>
      </c>
      <c r="AL2073" s="12" t="n">
        <v>42771</v>
      </c>
      <c r="AM2073" s="13" t="n">
        <v>16.6</v>
      </c>
      <c r="AN2073" s="13" t="n">
        <v>8.199999999999999</v>
      </c>
      <c r="AO2073" s="13" t="n">
        <v>31</v>
      </c>
      <c r="AP2073" s="13" t="n">
        <v>29.5</v>
      </c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11" t="n">
        <v>745120</v>
      </c>
      <c r="AK2074" s="12" t="n">
        <v>32349</v>
      </c>
      <c r="AL2074" s="12" t="n">
        <v>6806</v>
      </c>
      <c r="AM2074" s="13" t="n">
        <v>13.6</v>
      </c>
      <c r="AN2074" s="13" t="n">
        <v>24.8</v>
      </c>
      <c r="AO2074" s="13" t="n">
        <v>271.3</v>
      </c>
      <c r="AP2074" s="13" t="n">
        <v>3459.2</v>
      </c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11" t="n">
        <v>9526</v>
      </c>
      <c r="AK2075" s="12" t="n">
        <v>-151</v>
      </c>
      <c r="AL2075" s="12" t="n">
        <v>23205</v>
      </c>
      <c r="AM2075" s="13" t="n">
        <v>-14.6</v>
      </c>
      <c r="AN2075" s="13" t="n">
        <v>-21.3</v>
      </c>
      <c r="AO2075" s="13" t="n">
        <v>-586.4</v>
      </c>
      <c r="AP2075" s="13" t="n">
        <v>-107</v>
      </c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11" t="n">
        <v>8593</v>
      </c>
      <c r="AK2076" s="12" t="n">
        <v>79</v>
      </c>
      <c r="AL2076" s="12" t="n">
        <v>2599</v>
      </c>
      <c r="AM2076" s="13" t="n">
        <v>0.8</v>
      </c>
      <c r="AN2076" s="13" t="n">
        <v>7.2</v>
      </c>
      <c r="AO2076" s="13" t="n">
        <v>187.8</v>
      </c>
      <c r="AP2076" s="13" t="n">
        <v>131.6</v>
      </c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11" t="n">
        <v>2305</v>
      </c>
      <c r="AK2077" s="12" t="n">
        <v>-1041</v>
      </c>
      <c r="AL2077" s="12" t="n">
        <v>-3501</v>
      </c>
      <c r="AM2077" s="13" t="n">
        <v>16.6</v>
      </c>
      <c r="AN2077" s="13" t="n">
        <v>482.1</v>
      </c>
      <c r="AO2077" s="13" t="n">
        <v>22.9</v>
      </c>
      <c r="AP2077" s="13" t="n">
        <v>21.2</v>
      </c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11" t="n">
        <v>274496</v>
      </c>
      <c r="AK2078" s="12" t="n">
        <v>12378</v>
      </c>
      <c r="AL2078" s="12" t="n">
        <v>8673</v>
      </c>
      <c r="AM2078" s="13" t="n">
        <v>-2.4</v>
      </c>
      <c r="AN2078" s="13" t="n">
        <v>-2.2</v>
      </c>
      <c r="AO2078" s="13" t="n">
        <v>27.1</v>
      </c>
      <c r="AP2078" s="13" t="n">
        <v>54.3</v>
      </c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11" t="n">
        <v>760</v>
      </c>
      <c r="AK2079" s="12" t="n">
        <v>-2207</v>
      </c>
      <c r="AL2079" s="12" t="n">
        <v>-2071</v>
      </c>
      <c r="AM2079" s="13" t="n">
        <v>170.5</v>
      </c>
      <c r="AN2079" s="13" t="n">
        <v>1848.7</v>
      </c>
      <c r="AO2079" s="13" t="n">
        <v>37.5</v>
      </c>
      <c r="AP2079" s="13" t="n">
        <v>40.7</v>
      </c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11" t="n">
        <v>14325</v>
      </c>
      <c r="AK2080" s="12" t="n">
        <v>-584</v>
      </c>
      <c r="AL2080" s="12" t="n">
        <v>-13795</v>
      </c>
      <c r="AM2080" s="13" t="n">
        <v>4.7</v>
      </c>
      <c r="AN2080" s="13" t="n">
        <v>-4.7</v>
      </c>
      <c r="AO2080" s="13" t="n">
        <v>-198.8</v>
      </c>
      <c r="AP2080" s="13" t="n">
        <v>-128</v>
      </c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11" t="inlineStr"/>
      <c r="AK2081" s="12" t="n">
        <v>-2200</v>
      </c>
      <c r="AL2081" s="12" t="n">
        <v>-5477</v>
      </c>
      <c r="AM2081" s="13" t="inlineStr"/>
      <c r="AN2081" s="13" t="inlineStr"/>
      <c r="AO2081" s="13" t="n">
        <v>-7.2</v>
      </c>
      <c r="AP2081" s="13" t="n">
        <v>52.7</v>
      </c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11" t="n">
        <v>3941</v>
      </c>
      <c r="AK2082" s="12" t="n">
        <v>-733</v>
      </c>
      <c r="AL2082" s="12" t="n">
        <v>568</v>
      </c>
      <c r="AM2082" s="13" t="n">
        <v>62.2</v>
      </c>
      <c r="AN2082" s="13" t="n">
        <v>-15.2</v>
      </c>
      <c r="AO2082" s="13" t="n">
        <v>74.09999999999999</v>
      </c>
      <c r="AP2082" s="13" t="n">
        <v>50.5</v>
      </c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11" t="n">
        <v>6534</v>
      </c>
      <c r="AK2083" s="12" t="n">
        <v>-1437</v>
      </c>
      <c r="AL2083" s="12" t="n">
        <v>-9486</v>
      </c>
      <c r="AM2083" s="13" t="n">
        <v>48.9</v>
      </c>
      <c r="AN2083" s="13" t="n">
        <v>78.2</v>
      </c>
      <c r="AO2083" s="13" t="n">
        <v>36.5</v>
      </c>
      <c r="AP2083" s="13" t="n">
        <v>9.699999999999999</v>
      </c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11" t="n">
        <v>19285</v>
      </c>
      <c r="AK2084" s="12" t="n">
        <v>1652</v>
      </c>
      <c r="AL2084" s="12" t="n">
        <v>1785</v>
      </c>
      <c r="AM2084" s="13" t="n">
        <v>-5</v>
      </c>
      <c r="AN2084" s="13" t="n">
        <v>-15.9</v>
      </c>
      <c r="AO2084" s="13" t="n">
        <v>93.7</v>
      </c>
      <c r="AP2084" s="13" t="n">
        <v>129.1</v>
      </c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11" t="inlineStr"/>
      <c r="AK2085" s="12" t="inlineStr"/>
      <c r="AL2085" s="12" t="inlineStr"/>
      <c r="AM2085" s="13" t="inlineStr"/>
      <c r="AN2085" s="13" t="inlineStr"/>
      <c r="AO2085" s="13" t="inlineStr"/>
      <c r="AP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11" t="n">
        <v>6555</v>
      </c>
      <c r="AK2086" s="12" t="n">
        <v>-2835</v>
      </c>
      <c r="AL2086" s="12" t="n">
        <v>-3023</v>
      </c>
      <c r="AM2086" s="13" t="n">
        <v>-29.5</v>
      </c>
      <c r="AN2086" s="13" t="n">
        <v>-15.9</v>
      </c>
      <c r="AO2086" s="13" t="n">
        <v>49</v>
      </c>
      <c r="AP2086" s="13" t="n">
        <v>66.3</v>
      </c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11" t="n">
        <v>7749</v>
      </c>
      <c r="AK2087" s="12" t="n">
        <v>-707</v>
      </c>
      <c r="AL2087" s="12" t="n">
        <v>43324</v>
      </c>
      <c r="AM2087" s="13" t="n">
        <v>49.3</v>
      </c>
      <c r="AN2087" s="13" t="n">
        <v>-3.6</v>
      </c>
      <c r="AO2087" s="13" t="n">
        <v>78.90000000000001</v>
      </c>
      <c r="AP2087" s="13" t="n">
        <v>71.7</v>
      </c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11" t="n">
        <v>4666</v>
      </c>
      <c r="AK2088" s="12" t="n">
        <v>-1207</v>
      </c>
      <c r="AL2088" s="12" t="n">
        <v>1409</v>
      </c>
      <c r="AM2088" s="13" t="n">
        <v>59.2</v>
      </c>
      <c r="AN2088" s="13" t="n">
        <v>-30.3</v>
      </c>
      <c r="AO2088" s="13" t="n">
        <v>27.1</v>
      </c>
      <c r="AP2088" s="13" t="n">
        <v>-61.1</v>
      </c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11" t="n">
        <v>101924</v>
      </c>
      <c r="AK2089" s="12" t="n">
        <v>4063</v>
      </c>
      <c r="AL2089" s="12" t="n">
        <v>4800</v>
      </c>
      <c r="AM2089" s="13" t="n">
        <v>4</v>
      </c>
      <c r="AN2089" s="13" t="n">
        <v>14.7</v>
      </c>
      <c r="AO2089" s="13" t="n">
        <v>-21.8</v>
      </c>
      <c r="AP2089" s="13" t="n">
        <v>-33.7</v>
      </c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11" t="n">
        <v>8825</v>
      </c>
      <c r="AK2090" s="12" t="n">
        <v>881</v>
      </c>
      <c r="AL2090" s="12" t="n">
        <v>1035</v>
      </c>
      <c r="AM2090" s="13" t="n">
        <v>69.2</v>
      </c>
      <c r="AN2090" s="13" t="n">
        <v>-15.9</v>
      </c>
      <c r="AO2090" s="13" t="n">
        <v>151.4</v>
      </c>
      <c r="AP2090" s="13" t="n">
        <v>-51</v>
      </c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11" t="n">
        <v>7619</v>
      </c>
      <c r="AK2091" s="12" t="n">
        <v>-7876</v>
      </c>
      <c r="AL2091" s="12" t="n">
        <v>-7155</v>
      </c>
      <c r="AM2091" s="13" t="n">
        <v>468.6</v>
      </c>
      <c r="AN2091" s="13" t="n">
        <v>917.2</v>
      </c>
      <c r="AO2091" s="13" t="n">
        <v>-493.5</v>
      </c>
      <c r="AP2091" s="13" t="n">
        <v>-694.8</v>
      </c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11" t="n">
        <v>147976</v>
      </c>
      <c r="AK2092" s="12" t="n">
        <v>10049</v>
      </c>
      <c r="AL2092" s="12" t="n">
        <v>10492</v>
      </c>
      <c r="AM2092" s="13" t="n">
        <v>28</v>
      </c>
      <c r="AN2092" s="13" t="n">
        <v>24.6</v>
      </c>
      <c r="AO2092" s="13" t="n">
        <v>13.6</v>
      </c>
      <c r="AP2092" s="13" t="n">
        <v>22</v>
      </c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11" t="n">
        <v>4241</v>
      </c>
      <c r="AK2093" s="12" t="n">
        <v>1126</v>
      </c>
      <c r="AL2093" s="12" t="n">
        <v>-2694</v>
      </c>
      <c r="AM2093" s="13" t="n">
        <v>57.1</v>
      </c>
      <c r="AN2093" s="13" t="n">
        <v>33.7</v>
      </c>
      <c r="AO2093" s="13" t="n">
        <v>465.6</v>
      </c>
      <c r="AP2093" s="13" t="n">
        <v>54.7</v>
      </c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11" t="n">
        <v>38785</v>
      </c>
      <c r="AK2094" s="12" t="n">
        <v>8580</v>
      </c>
      <c r="AL2094" s="12" t="n">
        <v>-28123</v>
      </c>
      <c r="AM2094" s="13" t="n">
        <v>28</v>
      </c>
      <c r="AN2094" s="13" t="n">
        <v>88.5</v>
      </c>
      <c r="AO2094" s="13" t="n">
        <v>43</v>
      </c>
      <c r="AP2094" s="13" t="n">
        <v>3602</v>
      </c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11" t="n">
        <v>4172</v>
      </c>
      <c r="AK2095" s="12" t="n">
        <v>-950</v>
      </c>
      <c r="AL2095" s="12" t="n">
        <v>-4835</v>
      </c>
      <c r="AM2095" s="13" t="n">
        <v>33.5</v>
      </c>
      <c r="AN2095" s="13" t="n">
        <v>-32.8</v>
      </c>
      <c r="AO2095" s="13" t="n">
        <v>69.09999999999999</v>
      </c>
      <c r="AP2095" s="13" t="n">
        <v>-284.5</v>
      </c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11" t="n">
        <v>2310</v>
      </c>
      <c r="AK2096" s="12" t="n">
        <v>-2077</v>
      </c>
      <c r="AL2096" s="12" t="n">
        <v>-2290</v>
      </c>
      <c r="AM2096" s="13" t="n">
        <v>102.8</v>
      </c>
      <c r="AN2096" s="13" t="n">
        <v>13.7</v>
      </c>
      <c r="AO2096" s="13" t="n">
        <v>-11.6</v>
      </c>
      <c r="AP2096" s="13" t="n">
        <v>26</v>
      </c>
    </row>
    <row r="2097">
      <c r="A2097" s="5" t="inlineStr">
        <is>
          <t>아리바이오홀딩스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11" t="n">
        <v>10652</v>
      </c>
      <c r="AK2097" s="12" t="n">
        <v>-2754</v>
      </c>
      <c r="AL2097" s="12" t="n">
        <v>11161</v>
      </c>
      <c r="AM2097" s="13" t="n">
        <v>44.7</v>
      </c>
      <c r="AN2097" s="13" t="n">
        <v>9.1</v>
      </c>
      <c r="AO2097" s="13" t="n">
        <v>10</v>
      </c>
      <c r="AP2097" s="13" t="n">
        <v>1.6</v>
      </c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11" t="n">
        <v>12912</v>
      </c>
      <c r="AK2098" s="12" t="n">
        <v>-3636</v>
      </c>
      <c r="AL2098" s="12" t="n">
        <v>-5899</v>
      </c>
      <c r="AM2098" s="13" t="n">
        <v>-23.7</v>
      </c>
      <c r="AN2098" s="13" t="n">
        <v>-50.9</v>
      </c>
      <c r="AO2098" s="13" t="n">
        <v>48.2</v>
      </c>
      <c r="AP2098" s="13" t="n">
        <v>-56.5</v>
      </c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11" t="n">
        <v>52553</v>
      </c>
      <c r="AK2099" s="12" t="n">
        <v>-404</v>
      </c>
      <c r="AL2099" s="12" t="n">
        <v>1667</v>
      </c>
      <c r="AM2099" s="13" t="n">
        <v>8</v>
      </c>
      <c r="AN2099" s="13" t="n">
        <v>-9.800000000000001</v>
      </c>
      <c r="AO2099" s="13" t="n">
        <v>17</v>
      </c>
      <c r="AP2099" s="13" t="n">
        <v>-114.6</v>
      </c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11" t="inlineStr"/>
      <c r="AK2100" s="12" t="n">
        <v>-1899</v>
      </c>
      <c r="AL2100" s="12" t="n">
        <v>-2295</v>
      </c>
      <c r="AM2100" s="13" t="inlineStr"/>
      <c r="AN2100" s="13" t="inlineStr"/>
      <c r="AO2100" s="13" t="n">
        <v>3.5</v>
      </c>
      <c r="AP2100" s="13" t="n">
        <v>-366.6</v>
      </c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11" t="n">
        <v>2392</v>
      </c>
      <c r="AK2101" s="12" t="n">
        <v>-3083</v>
      </c>
      <c r="AL2101" s="12" t="n">
        <v>-4255</v>
      </c>
      <c r="AM2101" s="13" t="n">
        <v>238.3</v>
      </c>
      <c r="AN2101" s="13" t="n">
        <v>291.5</v>
      </c>
      <c r="AO2101" s="13" t="n">
        <v>-107.2</v>
      </c>
      <c r="AP2101" s="13" t="n">
        <v>-98.90000000000001</v>
      </c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11" t="n">
        <v>1559</v>
      </c>
      <c r="AK2102" s="12" t="n">
        <v>-477</v>
      </c>
      <c r="AL2102" s="12" t="n">
        <v>-739</v>
      </c>
      <c r="AM2102" s="13" t="n">
        <v>-44.8</v>
      </c>
      <c r="AN2102" s="13" t="n">
        <v>806.4</v>
      </c>
      <c r="AO2102" s="13" t="n">
        <v>28.8</v>
      </c>
      <c r="AP2102" s="13" t="n">
        <v>69.2</v>
      </c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11" t="n">
        <v>60904</v>
      </c>
      <c r="AK2103" s="12" t="n">
        <v>7286</v>
      </c>
      <c r="AL2103" s="12" t="n">
        <v>8450</v>
      </c>
      <c r="AM2103" s="13" t="n">
        <v>-2.2</v>
      </c>
      <c r="AN2103" s="13" t="n">
        <v>5.2</v>
      </c>
      <c r="AO2103" s="13" t="n">
        <v>2.5</v>
      </c>
      <c r="AP2103" s="13" t="n">
        <v>21</v>
      </c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11" t="n">
        <v>75021</v>
      </c>
      <c r="AK2104" s="12" t="n">
        <v>-23026</v>
      </c>
      <c r="AL2104" s="12" t="n">
        <v>-56956</v>
      </c>
      <c r="AM2104" s="13" t="n">
        <v>-9.5</v>
      </c>
      <c r="AN2104" s="13" t="n">
        <v>-35.2</v>
      </c>
      <c r="AO2104" s="13" t="n">
        <v>9.6</v>
      </c>
      <c r="AP2104" s="13" t="n">
        <v>-167.3</v>
      </c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11" t="n">
        <v>8829</v>
      </c>
      <c r="AK2105" s="12" t="n">
        <v>5057</v>
      </c>
      <c r="AL2105" s="12" t="n">
        <v>3928</v>
      </c>
      <c r="AM2105" s="13" t="n">
        <v>31</v>
      </c>
      <c r="AN2105" s="13" t="n">
        <v>606.5</v>
      </c>
      <c r="AO2105" s="13" t="n">
        <v>1520.8</v>
      </c>
      <c r="AP2105" s="13" t="n">
        <v>288.7</v>
      </c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11" t="n">
        <v>1603</v>
      </c>
      <c r="AK2106" s="12" t="n">
        <v>-3575</v>
      </c>
      <c r="AL2106" s="12" t="n">
        <v>1116</v>
      </c>
      <c r="AM2106" s="13" t="n">
        <v>67.5</v>
      </c>
      <c r="AN2106" s="13" t="n">
        <v>42.9</v>
      </c>
      <c r="AO2106" s="13" t="n">
        <v>41.3</v>
      </c>
      <c r="AP2106" s="13" t="n">
        <v>13.6</v>
      </c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11" t="n">
        <v>44890</v>
      </c>
      <c r="AK2107" s="12" t="n">
        <v>25268</v>
      </c>
      <c r="AL2107" s="12" t="n">
        <v>2739</v>
      </c>
      <c r="AM2107" s="13" t="inlineStr"/>
      <c r="AN2107" s="13" t="n">
        <v>8.699999999999999</v>
      </c>
      <c r="AO2107" s="13" t="inlineStr"/>
      <c r="AP2107" s="13" t="n">
        <v>-7.6</v>
      </c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11" t="n">
        <v>124</v>
      </c>
      <c r="AK2108" s="12" t="n">
        <v>-2377</v>
      </c>
      <c r="AL2108" s="12" t="n">
        <v>-5516</v>
      </c>
      <c r="AM2108" s="13" t="n">
        <v>26.5</v>
      </c>
      <c r="AN2108" s="13" t="n">
        <v>-86.59999999999999</v>
      </c>
      <c r="AO2108" s="13" t="n">
        <v>29.8</v>
      </c>
      <c r="AP2108" s="13" t="n">
        <v>80.2</v>
      </c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11" t="n">
        <v>6006</v>
      </c>
      <c r="AK2109" s="12" t="n">
        <v>-854</v>
      </c>
      <c r="AL2109" s="12" t="n">
        <v>-204</v>
      </c>
      <c r="AM2109" s="13" t="n">
        <v>81.2</v>
      </c>
      <c r="AN2109" s="13" t="n">
        <v>641.5</v>
      </c>
      <c r="AO2109" s="13" t="n">
        <v>59</v>
      </c>
      <c r="AP2109" s="13" t="n">
        <v>35</v>
      </c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11" t="n">
        <v>17959</v>
      </c>
      <c r="AK2110" s="12" t="n">
        <v>4958</v>
      </c>
      <c r="AL2110" s="12" t="n">
        <v>13198</v>
      </c>
      <c r="AM2110" s="13" t="n">
        <v>12.2</v>
      </c>
      <c r="AN2110" s="13" t="n">
        <v>7.4</v>
      </c>
      <c r="AO2110" s="13" t="n">
        <v>10.9</v>
      </c>
      <c r="AP2110" s="13" t="n">
        <v>6.3</v>
      </c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11" t="n">
        <v>1198</v>
      </c>
      <c r="AK2111" s="12" t="n">
        <v>-1606</v>
      </c>
      <c r="AL2111" s="12" t="n">
        <v>-1603</v>
      </c>
      <c r="AM2111" s="13" t="n">
        <v>164.5</v>
      </c>
      <c r="AN2111" s="13" t="n">
        <v>81.5</v>
      </c>
      <c r="AO2111" s="13" t="n">
        <v>-79.59999999999999</v>
      </c>
      <c r="AP2111" s="13" t="n">
        <v>-49.7</v>
      </c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2026Q2</t>
        </is>
      </c>
      <c r="E2112" s="6" t="inlineStr">
        <is>
          <t>2023Q4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11" t="n">
        <v>914640</v>
      </c>
      <c r="AK2112" s="12" t="n">
        <v>122719</v>
      </c>
      <c r="AL2112" s="12" t="n">
        <v>83712</v>
      </c>
      <c r="AM2112" s="13" t="n">
        <v>35.7</v>
      </c>
      <c r="AN2112" s="13" t="n">
        <v>-21.4</v>
      </c>
      <c r="AO2112" s="13" t="n">
        <v>53.1</v>
      </c>
      <c r="AP2112" s="13" t="n">
        <v>52.9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11" t="n">
        <v>29152</v>
      </c>
      <c r="AK2113" s="12" t="n">
        <v>2011</v>
      </c>
      <c r="AL2113" s="12" t="n">
        <v>-8999</v>
      </c>
      <c r="AM2113" s="13" t="n">
        <v>25.3</v>
      </c>
      <c r="AN2113" s="13" t="n">
        <v>74.3</v>
      </c>
      <c r="AO2113" s="13" t="n">
        <v>-54.5</v>
      </c>
      <c r="AP2113" s="13" t="n">
        <v>-46.6</v>
      </c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11" t="n">
        <v>7851</v>
      </c>
      <c r="AK2114" s="12" t="n">
        <v>288</v>
      </c>
      <c r="AL2114" s="12" t="n">
        <v>2897</v>
      </c>
      <c r="AM2114" s="13" t="n">
        <v>9.9</v>
      </c>
      <c r="AN2114" s="13" t="n">
        <v>48.2</v>
      </c>
      <c r="AO2114" s="13" t="n">
        <v>-37.4</v>
      </c>
      <c r="AP2114" s="13" t="n">
        <v>269.2</v>
      </c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11" t="n">
        <v>37804</v>
      </c>
      <c r="AK2115" s="12" t="n">
        <v>3417</v>
      </c>
      <c r="AL2115" s="12" t="n">
        <v>3165</v>
      </c>
      <c r="AM2115" s="13" t="n">
        <v>31.1</v>
      </c>
      <c r="AN2115" s="13" t="n">
        <v>18.2</v>
      </c>
      <c r="AO2115" s="13" t="n">
        <v>87.09999999999999</v>
      </c>
      <c r="AP2115" s="13" t="n">
        <v>23.4</v>
      </c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11" t="n">
        <v>17597</v>
      </c>
      <c r="AK2116" s="12" t="n">
        <v>3428</v>
      </c>
      <c r="AL2116" s="12" t="n">
        <v>2298</v>
      </c>
      <c r="AM2116" s="13" t="n">
        <v>6.3</v>
      </c>
      <c r="AN2116" s="13" t="n">
        <v>152.3</v>
      </c>
      <c r="AO2116" s="13" t="n">
        <v>28.1</v>
      </c>
      <c r="AP2116" s="13" t="n">
        <v>147</v>
      </c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11" t="n">
        <v>10171</v>
      </c>
      <c r="AK2117" s="12" t="n">
        <v>-503</v>
      </c>
      <c r="AL2117" s="12" t="n">
        <v>16954</v>
      </c>
      <c r="AM2117" s="13" t="n">
        <v>-30.8</v>
      </c>
      <c r="AN2117" s="13" t="n">
        <v>-66.09999999999999</v>
      </c>
      <c r="AO2117" s="13" t="n">
        <v>55.6</v>
      </c>
      <c r="AP2117" s="13" t="n">
        <v>-113.2</v>
      </c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11" t="n">
        <v>871289</v>
      </c>
      <c r="AK2118" s="12" t="n">
        <v>170771</v>
      </c>
      <c r="AL2118" s="12" t="n">
        <v>155952</v>
      </c>
      <c r="AM2118" s="13" t="n">
        <v>48.4</v>
      </c>
      <c r="AN2118" s="13" t="n">
        <v>41.2</v>
      </c>
      <c r="AO2118" s="13" t="n">
        <v>61550.2</v>
      </c>
      <c r="AP2118" s="13" t="n">
        <v>1998.7</v>
      </c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11" t="n">
        <v>2416151</v>
      </c>
      <c r="AK2119" s="12" t="n">
        <v>188762</v>
      </c>
      <c r="AL2119" s="12" t="n">
        <v>123916</v>
      </c>
      <c r="AM2119" s="13" t="n">
        <v>15.4</v>
      </c>
      <c r="AN2119" s="13" t="n">
        <v>27.9</v>
      </c>
      <c r="AO2119" s="13" t="n">
        <v>118.9</v>
      </c>
      <c r="AP2119" s="13" t="n">
        <v>157.5</v>
      </c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11" t="n">
        <v>1686978</v>
      </c>
      <c r="AK2120" s="12" t="n">
        <v>264286</v>
      </c>
      <c r="AL2120" s="12" t="n">
        <v>171741</v>
      </c>
      <c r="AM2120" s="13" t="n">
        <v>24.2</v>
      </c>
      <c r="AN2120" s="13" t="n">
        <v>10.6</v>
      </c>
      <c r="AO2120" s="13" t="n">
        <v>73.5</v>
      </c>
      <c r="AP2120" s="13" t="n">
        <v>60.9</v>
      </c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11" t="n">
        <v>952698</v>
      </c>
      <c r="AK2121" s="12" t="n">
        <v>77593</v>
      </c>
      <c r="AL2121" s="12" t="n">
        <v>45193</v>
      </c>
      <c r="AM2121" s="13" t="n">
        <v>14.9</v>
      </c>
      <c r="AN2121" s="13" t="n">
        <v>13</v>
      </c>
      <c r="AO2121" s="13" t="n">
        <v>125.5</v>
      </c>
      <c r="AP2121" s="13" t="n">
        <v>32.1</v>
      </c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11" t="n">
        <v>11991</v>
      </c>
      <c r="AK2122" s="12" t="n">
        <v>-986</v>
      </c>
      <c r="AL2122" s="12" t="n">
        <v>-3943</v>
      </c>
      <c r="AM2122" s="13" t="n">
        <v>-21.3</v>
      </c>
      <c r="AN2122" s="13" t="n">
        <v>1776.5</v>
      </c>
      <c r="AO2122" s="13" t="n">
        <v>33.5</v>
      </c>
      <c r="AP2122" s="13" t="n">
        <v>-9.199999999999999</v>
      </c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11" t="n">
        <v>19704</v>
      </c>
      <c r="AK2123" s="12" t="n">
        <v>-16810</v>
      </c>
      <c r="AL2123" s="12" t="n">
        <v>-15002</v>
      </c>
      <c r="AM2123" s="13" t="n">
        <v>50</v>
      </c>
      <c r="AN2123" s="13" t="n">
        <v>-74</v>
      </c>
      <c r="AO2123" s="13" t="n">
        <v>2.4</v>
      </c>
      <c r="AP2123" s="13" t="n">
        <v>-141.3</v>
      </c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11" t="n">
        <v>95559</v>
      </c>
      <c r="AK2124" s="12" t="n">
        <v>-1786</v>
      </c>
      <c r="AL2124" s="12" t="n">
        <v>2154</v>
      </c>
      <c r="AM2124" s="13" t="n">
        <v>-15.3</v>
      </c>
      <c r="AN2124" s="13" t="n">
        <v>-1.2</v>
      </c>
      <c r="AO2124" s="13" t="n">
        <v>-103.6</v>
      </c>
      <c r="AP2124" s="13" t="n">
        <v>-365.1</v>
      </c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11" t="n">
        <v>235319</v>
      </c>
      <c r="AK2125" s="12" t="n">
        <v>-35515</v>
      </c>
      <c r="AL2125" s="12" t="n">
        <v>-61757</v>
      </c>
      <c r="AM2125" s="13" t="n">
        <v>-8.699999999999999</v>
      </c>
      <c r="AN2125" s="13" t="n">
        <v>37.3</v>
      </c>
      <c r="AO2125" s="13" t="n">
        <v>-216.7</v>
      </c>
      <c r="AP2125" s="13" t="n">
        <v>-219.2</v>
      </c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11" t="inlineStr"/>
      <c r="AK2126" s="12" t="n">
        <v>2755</v>
      </c>
      <c r="AL2126" s="12" t="n">
        <v>2753</v>
      </c>
      <c r="AM2126" s="13" t="inlineStr"/>
      <c r="AN2126" s="13" t="inlineStr"/>
      <c r="AO2126" s="13" t="n">
        <v>763.9</v>
      </c>
      <c r="AP2126" s="13" t="n">
        <v>1365.4</v>
      </c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11" t="n">
        <v>5293</v>
      </c>
      <c r="AK2127" s="12" t="n">
        <v>-6370</v>
      </c>
      <c r="AL2127" s="12" t="n">
        <v>1226</v>
      </c>
      <c r="AM2127" s="13" t="n">
        <v>-35.9</v>
      </c>
      <c r="AN2127" s="13" t="n">
        <v>-69.3</v>
      </c>
      <c r="AO2127" s="13" t="n">
        <v>-74.3</v>
      </c>
      <c r="AP2127" s="13" t="n">
        <v>-108.6</v>
      </c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11" t="n">
        <v>12925</v>
      </c>
      <c r="AK2128" s="12" t="n">
        <v>1027</v>
      </c>
      <c r="AL2128" s="12" t="n">
        <v>818</v>
      </c>
      <c r="AM2128" s="13" t="n">
        <v>8.199999999999999</v>
      </c>
      <c r="AN2128" s="13" t="n">
        <v>-0.5</v>
      </c>
      <c r="AO2128" s="13" t="n">
        <v>697.1</v>
      </c>
      <c r="AP2128" s="13" t="n">
        <v>-7.7</v>
      </c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11" t="n">
        <v>2066</v>
      </c>
      <c r="AK2129" s="12" t="n">
        <v>-2502</v>
      </c>
      <c r="AL2129" s="12" t="n">
        <v>-19024</v>
      </c>
      <c r="AM2129" s="13" t="n">
        <v>-35.7</v>
      </c>
      <c r="AN2129" s="13" t="n">
        <v>-3</v>
      </c>
      <c r="AO2129" s="13" t="n">
        <v>-54.6</v>
      </c>
      <c r="AP2129" s="13" t="n">
        <v>-3.8</v>
      </c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11" t="inlineStr"/>
      <c r="AK2130" s="12" t="inlineStr"/>
      <c r="AL2130" s="12" t="inlineStr"/>
      <c r="AM2130" s="13" t="inlineStr"/>
      <c r="AN2130" s="13" t="inlineStr"/>
      <c r="AO2130" s="13" t="inlineStr"/>
      <c r="AP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11" t="n">
        <v>8106</v>
      </c>
      <c r="AK2131" s="12" t="n">
        <v>1398</v>
      </c>
      <c r="AL2131" s="12" t="n">
        <v>1556</v>
      </c>
      <c r="AM2131" s="13" t="n">
        <v>55.5</v>
      </c>
      <c r="AN2131" s="13" t="n">
        <v>-13.6</v>
      </c>
      <c r="AO2131" s="13" t="n">
        <v>2284.4</v>
      </c>
      <c r="AP2131" s="13" t="n">
        <v>-42.5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11" t="n">
        <v>64079</v>
      </c>
      <c r="AK2132" s="12" t="n">
        <v>-495</v>
      </c>
      <c r="AL2132" s="12" t="n">
        <v>140</v>
      </c>
      <c r="AM2132" s="13" t="n">
        <v>60.7</v>
      </c>
      <c r="AN2132" s="13" t="n">
        <v>0.1</v>
      </c>
      <c r="AO2132" s="13" t="n">
        <v>81.59999999999999</v>
      </c>
      <c r="AP2132" s="13" t="n">
        <v>89.09999999999999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11" t="n">
        <v>370951</v>
      </c>
      <c r="AK2133" s="12" t="n">
        <v>61562</v>
      </c>
      <c r="AL2133" s="12" t="n">
        <v>48364</v>
      </c>
      <c r="AM2133" s="13" t="n">
        <v>26.6</v>
      </c>
      <c r="AN2133" s="13" t="n">
        <v>-9</v>
      </c>
      <c r="AO2133" s="13" t="n">
        <v>261.5</v>
      </c>
      <c r="AP2133" s="13" t="n">
        <v>29.6</v>
      </c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11" t="n">
        <v>2715</v>
      </c>
      <c r="AK2134" s="12" t="n">
        <v>-839</v>
      </c>
      <c r="AL2134" s="12" t="n">
        <v>-1317</v>
      </c>
      <c r="AM2134" s="13" t="n">
        <v>-13.3</v>
      </c>
      <c r="AN2134" s="13" t="n">
        <v>-28.6</v>
      </c>
      <c r="AO2134" s="13" t="n">
        <v>-24.3</v>
      </c>
      <c r="AP2134" s="13" t="n">
        <v>28.2</v>
      </c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11" t="n">
        <v>14631</v>
      </c>
      <c r="AK2135" s="12" t="n">
        <v>-2155</v>
      </c>
      <c r="AL2135" s="12" t="n">
        <v>-2225</v>
      </c>
      <c r="AM2135" s="13" t="n">
        <v>-16.5</v>
      </c>
      <c r="AN2135" s="13" t="n">
        <v>37.8</v>
      </c>
      <c r="AO2135" s="13" t="n">
        <v>-976</v>
      </c>
      <c r="AP2135" s="13" t="n">
        <v>-317.9</v>
      </c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11" t="n">
        <v>155705</v>
      </c>
      <c r="AK2136" s="12" t="n">
        <v>-15738</v>
      </c>
      <c r="AL2136" s="12" t="n">
        <v>-14086</v>
      </c>
      <c r="AM2136" s="13" t="n">
        <v>-7.7</v>
      </c>
      <c r="AN2136" s="13" t="n">
        <v>-3.8</v>
      </c>
      <c r="AO2136" s="13" t="n">
        <v>64.7</v>
      </c>
      <c r="AP2136" s="13" t="n">
        <v>57.9</v>
      </c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11" t="n">
        <v>7369</v>
      </c>
      <c r="AK2137" s="12" t="n">
        <v>945</v>
      </c>
      <c r="AL2137" s="12" t="n">
        <v>272</v>
      </c>
      <c r="AM2137" s="13" t="n">
        <v>2.7</v>
      </c>
      <c r="AN2137" s="13" t="n">
        <v>32.7</v>
      </c>
      <c r="AO2137" s="13" t="n">
        <v>38.2</v>
      </c>
      <c r="AP2137" s="13" t="n">
        <v>3680</v>
      </c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11" t="n">
        <v>9113</v>
      </c>
      <c r="AK2138" s="12" t="n">
        <v>-1009</v>
      </c>
      <c r="AL2138" s="12" t="n">
        <v>-1116</v>
      </c>
      <c r="AM2138" s="13" t="n">
        <v>7.1</v>
      </c>
      <c r="AN2138" s="13" t="n">
        <v>-4.5</v>
      </c>
      <c r="AO2138" s="13" t="n">
        <v>-17.1</v>
      </c>
      <c r="AP2138" s="13" t="n">
        <v>54.3</v>
      </c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11" t="n">
        <v>5347</v>
      </c>
      <c r="AK2139" s="12" t="n">
        <v>1637</v>
      </c>
      <c r="AL2139" s="12" t="n">
        <v>1551</v>
      </c>
      <c r="AM2139" s="13" t="n">
        <v>39.9</v>
      </c>
      <c r="AN2139" s="13" t="n">
        <v>39.1</v>
      </c>
      <c r="AO2139" s="13" t="n">
        <v>115.4</v>
      </c>
      <c r="AP2139" s="13" t="n">
        <v>56.8</v>
      </c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11" t="n">
        <v>19185</v>
      </c>
      <c r="AK2140" s="12" t="n">
        <v>-601</v>
      </c>
      <c r="AL2140" s="12" t="n">
        <v>-385</v>
      </c>
      <c r="AM2140" s="13" t="n">
        <v>125.1</v>
      </c>
      <c r="AN2140" s="13" t="n">
        <v>-2.4</v>
      </c>
      <c r="AO2140" s="13" t="n">
        <v>83.5</v>
      </c>
      <c r="AP2140" s="13" t="n">
        <v>-267.4</v>
      </c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11" t="n">
        <v>24258</v>
      </c>
      <c r="AK2141" s="12" t="n">
        <v>22</v>
      </c>
      <c r="AL2141" s="12" t="n">
        <v>-888</v>
      </c>
      <c r="AM2141" s="13" t="n">
        <v>-26.7</v>
      </c>
      <c r="AN2141" s="13" t="n">
        <v>-30.5</v>
      </c>
      <c r="AO2141" s="13" t="n">
        <v>-99.40000000000001</v>
      </c>
      <c r="AP2141" s="13" t="n">
        <v>-99.3</v>
      </c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11" t="n">
        <v>11526</v>
      </c>
      <c r="AK2142" s="12" t="n">
        <v>-3520</v>
      </c>
      <c r="AL2142" s="12" t="n">
        <v>-3279</v>
      </c>
      <c r="AM2142" s="13" t="n">
        <v>28.9</v>
      </c>
      <c r="AN2142" s="13" t="n">
        <v>64.3</v>
      </c>
      <c r="AO2142" s="13" t="n">
        <v>27.6</v>
      </c>
      <c r="AP2142" s="13" t="n">
        <v>-7.3</v>
      </c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11" t="n">
        <v>4816</v>
      </c>
      <c r="AK2143" s="12" t="n">
        <v>-3686</v>
      </c>
      <c r="AL2143" s="12" t="n">
        <v>-6842</v>
      </c>
      <c r="AM2143" s="13" t="n">
        <v>9.5</v>
      </c>
      <c r="AN2143" s="13" t="n">
        <v>0.2</v>
      </c>
      <c r="AO2143" s="13" t="n">
        <v>-23.2</v>
      </c>
      <c r="AP2143" s="13" t="n">
        <v>-80.2</v>
      </c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11" t="n">
        <v>1669</v>
      </c>
      <c r="AK2144" s="12" t="n">
        <v>-749</v>
      </c>
      <c r="AL2144" s="12" t="n">
        <v>-1943</v>
      </c>
      <c r="AM2144" s="13" t="n">
        <v>159.6</v>
      </c>
      <c r="AN2144" s="13" t="n">
        <v>127.7</v>
      </c>
      <c r="AO2144" s="13" t="n">
        <v>49.5</v>
      </c>
      <c r="AP2144" s="13" t="n">
        <v>62.1</v>
      </c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11" t="n">
        <v>1136</v>
      </c>
      <c r="AK2145" s="12" t="n">
        <v>-5316</v>
      </c>
      <c r="AL2145" s="12" t="n">
        <v>-8069</v>
      </c>
      <c r="AM2145" s="13" t="n">
        <v>-55</v>
      </c>
      <c r="AN2145" s="13" t="n">
        <v>-64.90000000000001</v>
      </c>
      <c r="AO2145" s="13" t="n">
        <v>-35.7</v>
      </c>
      <c r="AP2145" s="13" t="n">
        <v>-152.3</v>
      </c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11" t="n">
        <v>38488</v>
      </c>
      <c r="AK2146" s="12" t="n">
        <v>288</v>
      </c>
      <c r="AL2146" s="12" t="n">
        <v>-171</v>
      </c>
      <c r="AM2146" s="13" t="n">
        <v>4.2</v>
      </c>
      <c r="AN2146" s="13" t="n">
        <v>-13.6</v>
      </c>
      <c r="AO2146" s="13" t="n">
        <v>107.5</v>
      </c>
      <c r="AP2146" s="13" t="n">
        <v>108</v>
      </c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11" t="n">
        <v>495161</v>
      </c>
      <c r="AK2147" s="12" t="n">
        <v>34935</v>
      </c>
      <c r="AL2147" s="12" t="n">
        <v>32518</v>
      </c>
      <c r="AM2147" s="13" t="n">
        <v>10.4</v>
      </c>
      <c r="AN2147" s="13" t="n">
        <v>19.4</v>
      </c>
      <c r="AO2147" s="13" t="n">
        <v>44.9</v>
      </c>
      <c r="AP2147" s="13" t="n">
        <v>66.90000000000001</v>
      </c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11" t="n">
        <v>34007</v>
      </c>
      <c r="AK2148" s="12" t="n">
        <v>2580</v>
      </c>
      <c r="AL2148" s="12" t="n">
        <v>-880</v>
      </c>
      <c r="AM2148" s="13" t="n">
        <v>144.9</v>
      </c>
      <c r="AN2148" s="13" t="n">
        <v>41.8</v>
      </c>
      <c r="AO2148" s="13" t="n">
        <v>282.6</v>
      </c>
      <c r="AP2148" s="13" t="n">
        <v>173</v>
      </c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11" t="n">
        <v>24870</v>
      </c>
      <c r="AK2149" s="12" t="n">
        <v>2763</v>
      </c>
      <c r="AL2149" s="12" t="n">
        <v>-596</v>
      </c>
      <c r="AM2149" s="13" t="n">
        <v>-1.4</v>
      </c>
      <c r="AN2149" s="13" t="n">
        <v>-14</v>
      </c>
      <c r="AO2149" s="13" t="n">
        <v>1694.2</v>
      </c>
      <c r="AP2149" s="13" t="n">
        <v>214.6</v>
      </c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11" t="n">
        <v>9931</v>
      </c>
      <c r="AK2150" s="12" t="n">
        <v>2780</v>
      </c>
      <c r="AL2150" s="12" t="n">
        <v>2801</v>
      </c>
      <c r="AM2150" s="13" t="n">
        <v>7</v>
      </c>
      <c r="AN2150" s="13" t="n">
        <v>18.3</v>
      </c>
      <c r="AO2150" s="13" t="n">
        <v>31.3</v>
      </c>
      <c r="AP2150" s="13" t="n">
        <v>46.9</v>
      </c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11" t="n">
        <v>40484</v>
      </c>
      <c r="AK2151" s="12" t="n">
        <v>1496</v>
      </c>
      <c r="AL2151" s="12" t="n">
        <v>6133</v>
      </c>
      <c r="AM2151" s="13" t="n">
        <v>16.8</v>
      </c>
      <c r="AN2151" s="13" t="n">
        <v>21.4</v>
      </c>
      <c r="AO2151" s="13" t="n">
        <v>-43.8</v>
      </c>
      <c r="AP2151" s="13" t="n">
        <v>288.9</v>
      </c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11" t="n">
        <v>2726</v>
      </c>
      <c r="AK2152" s="12" t="n">
        <v>-882</v>
      </c>
      <c r="AL2152" s="12" t="n">
        <v>-2065</v>
      </c>
      <c r="AM2152" s="13" t="n">
        <v>-1.3</v>
      </c>
      <c r="AN2152" s="13" t="n">
        <v>-36.9</v>
      </c>
      <c r="AO2152" s="13" t="n">
        <v>35.9</v>
      </c>
      <c r="AP2152" s="13" t="n">
        <v>37.4</v>
      </c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11" t="n">
        <v>1046</v>
      </c>
      <c r="AK2153" s="12" t="n">
        <v>-3982</v>
      </c>
      <c r="AL2153" s="12" t="n">
        <v>-3152</v>
      </c>
      <c r="AM2153" s="13" t="n">
        <v>-86.59999999999999</v>
      </c>
      <c r="AN2153" s="13" t="n">
        <v>-76.40000000000001</v>
      </c>
      <c r="AO2153" s="13" t="n">
        <v>-173.2</v>
      </c>
      <c r="AP2153" s="13" t="n">
        <v>-255.8</v>
      </c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11" t="n">
        <v>1250739</v>
      </c>
      <c r="AK2154" s="12" t="n">
        <v>90547</v>
      </c>
      <c r="AL2154" s="12" t="n">
        <v>69590</v>
      </c>
      <c r="AM2154" s="13" t="n">
        <v>33.7</v>
      </c>
      <c r="AN2154" s="13" t="n">
        <v>20</v>
      </c>
      <c r="AO2154" s="13" t="n">
        <v>327.6</v>
      </c>
      <c r="AP2154" s="13" t="n">
        <v>11.3</v>
      </c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11" t="n">
        <v>571</v>
      </c>
      <c r="AK2155" s="12" t="n">
        <v>-2536</v>
      </c>
      <c r="AL2155" s="12" t="n">
        <v>-2342</v>
      </c>
      <c r="AM2155" s="13" t="n">
        <v>73.59999999999999</v>
      </c>
      <c r="AN2155" s="13" t="n">
        <v>57000</v>
      </c>
      <c r="AO2155" s="13" t="n">
        <v>10.5</v>
      </c>
      <c r="AP2155" s="13" t="n">
        <v>55.2</v>
      </c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11" t="n">
        <v>23339</v>
      </c>
      <c r="AK2156" s="12" t="n">
        <v>264</v>
      </c>
      <c r="AL2156" s="12" t="inlineStr"/>
      <c r="AM2156" s="13" t="n">
        <v>184</v>
      </c>
      <c r="AN2156" s="13" t="n">
        <v>130.4</v>
      </c>
      <c r="AO2156" s="13" t="n">
        <v>-57.1</v>
      </c>
      <c r="AP2156" s="13" t="n">
        <v>127.4</v>
      </c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11" t="n">
        <v>114178</v>
      </c>
      <c r="AK2157" s="12" t="n">
        <v>1246</v>
      </c>
      <c r="AL2157" s="12" t="n">
        <v>-868</v>
      </c>
      <c r="AM2157" s="13" t="n">
        <v>4.2</v>
      </c>
      <c r="AN2157" s="13" t="n">
        <v>-7.5</v>
      </c>
      <c r="AO2157" s="13" t="n">
        <v>284.6</v>
      </c>
      <c r="AP2157" s="13" t="n">
        <v>-41.3</v>
      </c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11" t="n">
        <v>472</v>
      </c>
      <c r="AK2158" s="12" t="n">
        <v>-2642</v>
      </c>
      <c r="AL2158" s="12" t="n">
        <v>14402</v>
      </c>
      <c r="AM2158" s="13" t="n">
        <v>-23</v>
      </c>
      <c r="AN2158" s="13" t="n">
        <v>16.8</v>
      </c>
      <c r="AO2158" s="13" t="n">
        <v>-8.1</v>
      </c>
      <c r="AP2158" s="13" t="n">
        <v>-26.8</v>
      </c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11" t="n">
        <v>15091</v>
      </c>
      <c r="AK2159" s="12" t="n">
        <v>-2773</v>
      </c>
      <c r="AL2159" s="12" t="n">
        <v>-1458</v>
      </c>
      <c r="AM2159" s="13" t="n">
        <v>18.8</v>
      </c>
      <c r="AN2159" s="13" t="n">
        <v>-23.9</v>
      </c>
      <c r="AO2159" s="13" t="n">
        <v>-61</v>
      </c>
      <c r="AP2159" s="13" t="n">
        <v>-282.5</v>
      </c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11" t="n">
        <v>12043</v>
      </c>
      <c r="AK2160" s="12" t="n">
        <v>-1304</v>
      </c>
      <c r="AL2160" s="12" t="n">
        <v>20</v>
      </c>
      <c r="AM2160" s="13" t="n">
        <v>-43.2</v>
      </c>
      <c r="AN2160" s="13" t="n">
        <v>47.7</v>
      </c>
      <c r="AO2160" s="13" t="n">
        <v>-138.6</v>
      </c>
      <c r="AP2160" s="13" t="n">
        <v>35.2</v>
      </c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11" t="n">
        <v>8537</v>
      </c>
      <c r="AK2161" s="12" t="n">
        <v>3435</v>
      </c>
      <c r="AL2161" s="12" t="n">
        <v>3154</v>
      </c>
      <c r="AM2161" s="13" t="n">
        <v>-34.9</v>
      </c>
      <c r="AN2161" s="13" t="n">
        <v>24</v>
      </c>
      <c r="AO2161" s="13" t="n">
        <v>62.7</v>
      </c>
      <c r="AP2161" s="13" t="n">
        <v>30</v>
      </c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11" t="n">
        <v>32305</v>
      </c>
      <c r="AK2162" s="12" t="n">
        <v>3279</v>
      </c>
      <c r="AL2162" s="12" t="n">
        <v>1059</v>
      </c>
      <c r="AM2162" s="13" t="n">
        <v>9.1</v>
      </c>
      <c r="AN2162" s="13" t="n">
        <v>12.9</v>
      </c>
      <c r="AO2162" s="13" t="n">
        <v>35.5</v>
      </c>
      <c r="AP2162" s="13" t="n">
        <v>7.3</v>
      </c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11" t="n">
        <v>0</v>
      </c>
      <c r="AK2163" s="12" t="n">
        <v>-29298</v>
      </c>
      <c r="AL2163" s="12" t="n">
        <v>-29015</v>
      </c>
      <c r="AM2163" s="13" t="inlineStr"/>
      <c r="AN2163" s="13" t="n">
        <v>-100</v>
      </c>
      <c r="AO2163" s="13" t="n">
        <v>-33.2</v>
      </c>
      <c r="AP2163" s="13" t="n">
        <v>-188.3</v>
      </c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11" t="n">
        <v>36544</v>
      </c>
      <c r="AK2164" s="12" t="n">
        <v>3728</v>
      </c>
      <c r="AL2164" s="12" t="n">
        <v>3030</v>
      </c>
      <c r="AM2164" s="13" t="n">
        <v>10.2</v>
      </c>
      <c r="AN2164" s="13" t="n">
        <v>41.9</v>
      </c>
      <c r="AO2164" s="13" t="n">
        <v>45.7</v>
      </c>
      <c r="AP2164" s="13" t="n">
        <v>694.9</v>
      </c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11" t="n">
        <v>17374</v>
      </c>
      <c r="AK2165" s="12" t="n">
        <v>3394</v>
      </c>
      <c r="AL2165" s="12" t="n">
        <v>2890</v>
      </c>
      <c r="AM2165" s="13" t="n">
        <v>17</v>
      </c>
      <c r="AN2165" s="13" t="n">
        <v>36.4</v>
      </c>
      <c r="AO2165" s="13" t="n">
        <v>63.2</v>
      </c>
      <c r="AP2165" s="13" t="n">
        <v>190.6</v>
      </c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11" t="n">
        <v>22845</v>
      </c>
      <c r="AK2166" s="12" t="n">
        <v>3536</v>
      </c>
      <c r="AL2166" s="12" t="n">
        <v>4602</v>
      </c>
      <c r="AM2166" s="13" t="n">
        <v>19.7</v>
      </c>
      <c r="AN2166" s="13" t="n">
        <v>6.5</v>
      </c>
      <c r="AO2166" s="13" t="n">
        <v>430.9</v>
      </c>
      <c r="AP2166" s="13" t="n">
        <v>8.300000000000001</v>
      </c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11" t="n">
        <v>898</v>
      </c>
      <c r="AK2167" s="12" t="n">
        <v>-6399</v>
      </c>
      <c r="AL2167" s="12" t="n">
        <v>-6208</v>
      </c>
      <c r="AM2167" s="13" t="n">
        <v>14.7</v>
      </c>
      <c r="AN2167" s="13" t="n">
        <v>14.5</v>
      </c>
      <c r="AO2167" s="13" t="n">
        <v>-19.8</v>
      </c>
      <c r="AP2167" s="13" t="n">
        <v>8</v>
      </c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11" t="n">
        <v>6454</v>
      </c>
      <c r="AK2168" s="12" t="n">
        <v>-2632</v>
      </c>
      <c r="AL2168" s="12" t="n">
        <v>-2609</v>
      </c>
      <c r="AM2168" s="13" t="n">
        <v>51.1</v>
      </c>
      <c r="AN2168" s="13" t="n">
        <v>77</v>
      </c>
      <c r="AO2168" s="13" t="n">
        <v>-30</v>
      </c>
      <c r="AP2168" s="13" t="n">
        <v>-6.4</v>
      </c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11" t="n">
        <v>23</v>
      </c>
      <c r="AK2169" s="12" t="n">
        <v>-528</v>
      </c>
      <c r="AL2169" s="12" t="n">
        <v>-1162</v>
      </c>
      <c r="AM2169" s="13" t="n">
        <v>-95.59999999999999</v>
      </c>
      <c r="AN2169" s="13" t="n">
        <v>-98.7</v>
      </c>
      <c r="AO2169" s="13" t="n">
        <v>24.1</v>
      </c>
      <c r="AP2169" s="13" t="n">
        <v>54</v>
      </c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11" t="n">
        <v>6254</v>
      </c>
      <c r="AK2170" s="12" t="n">
        <v>-7974</v>
      </c>
      <c r="AL2170" s="12" t="n">
        <v>-42648</v>
      </c>
      <c r="AM2170" s="13" t="n">
        <v>8.199999999999999</v>
      </c>
      <c r="AN2170" s="13" t="n">
        <v>7.7</v>
      </c>
      <c r="AO2170" s="13" t="n">
        <v>-30.8</v>
      </c>
      <c r="AP2170" s="13" t="n">
        <v>-7.6</v>
      </c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11" t="n">
        <v>39770</v>
      </c>
      <c r="AK2171" s="12" t="n">
        <v>4091</v>
      </c>
      <c r="AL2171" s="12" t="n">
        <v>2970</v>
      </c>
      <c r="AM2171" s="13" t="n">
        <v>13.2</v>
      </c>
      <c r="AN2171" s="13" t="n">
        <v>11.4</v>
      </c>
      <c r="AO2171" s="13" t="n">
        <v>68.8</v>
      </c>
      <c r="AP2171" s="13" t="n">
        <v>76</v>
      </c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11" t="n">
        <v>587</v>
      </c>
      <c r="AK2172" s="12" t="n">
        <v>-681</v>
      </c>
      <c r="AL2172" s="12" t="n">
        <v>-323</v>
      </c>
      <c r="AM2172" s="13" t="n">
        <v>-32.3</v>
      </c>
      <c r="AN2172" s="13" t="n">
        <v>-67.2</v>
      </c>
      <c r="AO2172" s="13" t="n">
        <v>-69</v>
      </c>
      <c r="AP2172" s="13" t="n">
        <v>-327.8</v>
      </c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11" t="n">
        <v>1311</v>
      </c>
      <c r="AK2173" s="12" t="n">
        <v>-3297</v>
      </c>
      <c r="AL2173" s="12" t="n">
        <v>-3234</v>
      </c>
      <c r="AM2173" s="13" t="n">
        <v>267.2</v>
      </c>
      <c r="AN2173" s="13" t="n">
        <v>-64.3</v>
      </c>
      <c r="AO2173" s="13" t="n">
        <v>17.2</v>
      </c>
      <c r="AP2173" s="13" t="n">
        <v>-1315</v>
      </c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2026Q2</t>
        </is>
      </c>
      <c r="E2174" s="6" t="inlineStr">
        <is>
          <t>2023Q4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12" t="n">
        <v>1315672</v>
      </c>
      <c r="AL2174" s="12" t="n">
        <v>1026482</v>
      </c>
      <c r="AM2174" s="13" t="n">
        <v>-13.9</v>
      </c>
      <c r="AN2174" s="13" t="n">
        <v>7.4</v>
      </c>
      <c r="AO2174" s="13" t="n">
        <v>62.8</v>
      </c>
      <c r="AP2174" s="13" t="n">
        <v>18.7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11" t="n">
        <v>1936</v>
      </c>
      <c r="AK2175" s="12" t="n">
        <v>-1551</v>
      </c>
      <c r="AL2175" s="12" t="n">
        <v>-2135</v>
      </c>
      <c r="AM2175" s="13" t="n">
        <v>23.9</v>
      </c>
      <c r="AN2175" s="13" t="n">
        <v>29</v>
      </c>
      <c r="AO2175" s="13" t="n">
        <v>1.1</v>
      </c>
      <c r="AP2175" s="13" t="n">
        <v>19.3</v>
      </c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11" t="n">
        <v>7897</v>
      </c>
      <c r="AK2176" s="12" t="n">
        <v>290</v>
      </c>
      <c r="AL2176" s="12" t="n">
        <v>-131</v>
      </c>
      <c r="AM2176" s="13" t="n">
        <v>-21.6</v>
      </c>
      <c r="AN2176" s="13" t="n">
        <v>43.4</v>
      </c>
      <c r="AO2176" s="13" t="n">
        <v>-73.90000000000001</v>
      </c>
      <c r="AP2176" s="13" t="n">
        <v>142.8</v>
      </c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11" t="n">
        <v>42182</v>
      </c>
      <c r="AK2177" s="12" t="n">
        <v>-10562</v>
      </c>
      <c r="AL2177" s="12" t="n">
        <v>-18128</v>
      </c>
      <c r="AM2177" s="13" t="n">
        <v>7.8</v>
      </c>
      <c r="AN2177" s="13" t="n">
        <v>45.6</v>
      </c>
      <c r="AO2177" s="13" t="n">
        <v>-1.7</v>
      </c>
      <c r="AP2177" s="13" t="n">
        <v>-21.2</v>
      </c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11" t="n">
        <v>303337</v>
      </c>
      <c r="AK2178" s="12" t="n">
        <v>9036</v>
      </c>
      <c r="AL2178" s="12" t="n">
        <v>9852</v>
      </c>
      <c r="AM2178" s="13" t="n">
        <v>12.2</v>
      </c>
      <c r="AN2178" s="13" t="n">
        <v>-10</v>
      </c>
      <c r="AO2178" s="13" t="n">
        <v>-20.3</v>
      </c>
      <c r="AP2178" s="13" t="n">
        <v>432.3</v>
      </c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11" t="n">
        <v>76106</v>
      </c>
      <c r="AK2179" s="12" t="n">
        <v>27612</v>
      </c>
      <c r="AL2179" s="12" t="n">
        <v>24322</v>
      </c>
      <c r="AM2179" s="13" t="n">
        <v>5.5</v>
      </c>
      <c r="AN2179" s="13" t="inlineStr"/>
      <c r="AO2179" s="13" t="n">
        <v>10</v>
      </c>
      <c r="AP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11" t="n">
        <v>19429</v>
      </c>
      <c r="AK2180" s="12" t="n">
        <v>-3100</v>
      </c>
      <c r="AL2180" s="12" t="n">
        <v>-2893</v>
      </c>
      <c r="AM2180" s="13" t="n">
        <v>26.9</v>
      </c>
      <c r="AN2180" s="13" t="n">
        <v>722.6</v>
      </c>
      <c r="AO2180" s="13" t="n">
        <v>-1622.2</v>
      </c>
      <c r="AP2180" s="13" t="n">
        <v>-14190.9</v>
      </c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11" t="n">
        <v>646</v>
      </c>
      <c r="AK2181" s="12" t="n">
        <v>-4218</v>
      </c>
      <c r="AL2181" s="12" t="n">
        <v>-3808</v>
      </c>
      <c r="AM2181" s="13" t="n">
        <v>-11</v>
      </c>
      <c r="AN2181" s="13" t="n">
        <v>-28.1</v>
      </c>
      <c r="AO2181" s="13" t="n">
        <v>-4.5</v>
      </c>
      <c r="AP2181" s="13" t="n">
        <v>-22</v>
      </c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11" t="n">
        <v>5259</v>
      </c>
      <c r="AK2182" s="12" t="n">
        <v>-808</v>
      </c>
      <c r="AL2182" s="12" t="n">
        <v>757</v>
      </c>
      <c r="AM2182" s="13" t="n">
        <v>-21.8</v>
      </c>
      <c r="AN2182" s="13" t="n">
        <v>50.5</v>
      </c>
      <c r="AO2182" s="13" t="n">
        <v>1</v>
      </c>
      <c r="AP2182" s="13" t="n">
        <v>33.9</v>
      </c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11" t="n">
        <v>11882</v>
      </c>
      <c r="AK2183" s="12" t="n">
        <v>-184</v>
      </c>
      <c r="AL2183" s="12" t="n">
        <v>96</v>
      </c>
      <c r="AM2183" s="13" t="n">
        <v>10</v>
      </c>
      <c r="AN2183" s="13" t="n">
        <v>-22.3</v>
      </c>
      <c r="AO2183" s="13" t="n">
        <v>88.40000000000001</v>
      </c>
      <c r="AP2183" s="13" t="n">
        <v>70</v>
      </c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11" t="n">
        <v>11590</v>
      </c>
      <c r="AK2184" s="12" t="n">
        <v>974</v>
      </c>
      <c r="AL2184" s="12" t="n">
        <v>1045</v>
      </c>
      <c r="AM2184" s="13" t="n">
        <v>-1.3</v>
      </c>
      <c r="AN2184" s="13" t="n">
        <v>-12.9</v>
      </c>
      <c r="AO2184" s="13" t="n">
        <v>-4.3</v>
      </c>
      <c r="AP2184" s="13" t="n">
        <v>-52.4</v>
      </c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11" t="n">
        <v>4614</v>
      </c>
      <c r="AK2185" s="12" t="n">
        <v>-784</v>
      </c>
      <c r="AL2185" s="12" t="n">
        <v>548</v>
      </c>
      <c r="AM2185" s="13" t="n">
        <v>-9.300000000000001</v>
      </c>
      <c r="AN2185" s="13" t="n">
        <v>60.5</v>
      </c>
      <c r="AO2185" s="13" t="n">
        <v>-18.4</v>
      </c>
      <c r="AP2185" s="13" t="n">
        <v>52.7</v>
      </c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11" t="n">
        <v>6307</v>
      </c>
      <c r="AK2186" s="12" t="n">
        <v>-283</v>
      </c>
      <c r="AL2186" s="12" t="n">
        <v>-181</v>
      </c>
      <c r="AM2186" s="13" t="n">
        <v>17.7</v>
      </c>
      <c r="AN2186" s="13" t="n">
        <v>1.1</v>
      </c>
      <c r="AO2186" s="13" t="n">
        <v>-139.3</v>
      </c>
      <c r="AP2186" s="13" t="n">
        <v>-125.2</v>
      </c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11" t="n">
        <v>2383</v>
      </c>
      <c r="AK2187" s="12" t="n">
        <v>-162</v>
      </c>
      <c r="AL2187" s="12" t="n">
        <v>475</v>
      </c>
      <c r="AM2187" s="13" t="n">
        <v>-4.1</v>
      </c>
      <c r="AN2187" s="13" t="n">
        <v>-28.6</v>
      </c>
      <c r="AO2187" s="13" t="n">
        <v>-194.5</v>
      </c>
      <c r="AP2187" s="13" t="n">
        <v>-282</v>
      </c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11" t="n">
        <v>28450</v>
      </c>
      <c r="AK2188" s="12" t="n">
        <v>4203</v>
      </c>
      <c r="AL2188" s="12" t="n">
        <v>4603</v>
      </c>
      <c r="AM2188" s="13" t="n">
        <v>56.9</v>
      </c>
      <c r="AN2188" s="13" t="n">
        <v>66.7</v>
      </c>
      <c r="AO2188" s="13" t="n">
        <v>1029.8</v>
      </c>
      <c r="AP2188" s="13" t="n">
        <v>422.8</v>
      </c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11" t="n">
        <v>6279</v>
      </c>
      <c r="AK2189" s="12" t="n">
        <v>-3692</v>
      </c>
      <c r="AL2189" s="12" t="n">
        <v>-3563</v>
      </c>
      <c r="AM2189" s="13" t="n">
        <v>87.3</v>
      </c>
      <c r="AN2189" s="13" t="n">
        <v>43.4</v>
      </c>
      <c r="AO2189" s="13" t="n">
        <v>-15.8</v>
      </c>
      <c r="AP2189" s="13" t="n">
        <v>-46.3</v>
      </c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11" t="n">
        <v>19363</v>
      </c>
      <c r="AK2190" s="12" t="n">
        <v>3489</v>
      </c>
      <c r="AL2190" s="12" t="n">
        <v>2938</v>
      </c>
      <c r="AM2190" s="13" t="n">
        <v>51.9</v>
      </c>
      <c r="AN2190" s="13" t="n">
        <v>38.4</v>
      </c>
      <c r="AO2190" s="13" t="n">
        <v>139.6</v>
      </c>
      <c r="AP2190" s="13" t="n">
        <v>15.5</v>
      </c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11" t="n">
        <v>15323</v>
      </c>
      <c r="AK2191" s="12" t="n">
        <v>3794</v>
      </c>
      <c r="AL2191" s="12" t="n">
        <v>5335</v>
      </c>
      <c r="AM2191" s="13" t="n">
        <v>12.1</v>
      </c>
      <c r="AN2191" s="13" t="n">
        <v>28.4</v>
      </c>
      <c r="AO2191" s="13" t="n">
        <v>79.2</v>
      </c>
      <c r="AP2191" s="13" t="n">
        <v>96.5</v>
      </c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11" t="n">
        <v>100360</v>
      </c>
      <c r="AK2192" s="12" t="n">
        <v>3196</v>
      </c>
      <c r="AL2192" s="12" t="n">
        <v>11343</v>
      </c>
      <c r="AM2192" s="13" t="n">
        <v>33.9</v>
      </c>
      <c r="AN2192" s="13" t="n">
        <v>1.5</v>
      </c>
      <c r="AO2192" s="13" t="n">
        <v>599.4</v>
      </c>
      <c r="AP2192" s="13" t="n">
        <v>-28.2</v>
      </c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11" t="n">
        <v>167474</v>
      </c>
      <c r="AK2193" s="12" t="n">
        <v>50264</v>
      </c>
      <c r="AL2193" s="12" t="n">
        <v>43954</v>
      </c>
      <c r="AM2193" s="13" t="n">
        <v>6.9</v>
      </c>
      <c r="AN2193" s="13" t="n">
        <v>54.4</v>
      </c>
      <c r="AO2193" s="13" t="n">
        <v>6.5</v>
      </c>
      <c r="AP2193" s="13" t="n">
        <v>144.4</v>
      </c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11" t="n">
        <v>14108</v>
      </c>
      <c r="AK2194" s="12" t="n">
        <v>-3352</v>
      </c>
      <c r="AL2194" s="12" t="n">
        <v>-11354</v>
      </c>
      <c r="AM2194" s="13" t="n">
        <v>24.5</v>
      </c>
      <c r="AN2194" s="13" t="n">
        <v>914.2</v>
      </c>
      <c r="AO2194" s="13" t="n">
        <v>21</v>
      </c>
      <c r="AP2194" s="13" t="n">
        <v>-91</v>
      </c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11" t="n">
        <v>8964</v>
      </c>
      <c r="AK2195" s="12" t="n">
        <v>1231</v>
      </c>
      <c r="AL2195" s="12" t="n">
        <v>5115</v>
      </c>
      <c r="AM2195" s="13" t="n">
        <v>34.3</v>
      </c>
      <c r="AN2195" s="13" t="n">
        <v>9.6</v>
      </c>
      <c r="AO2195" s="13" t="n">
        <v>266.4</v>
      </c>
      <c r="AP2195" s="13" t="n">
        <v>1209</v>
      </c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11" t="n">
        <v>2527</v>
      </c>
      <c r="AK2196" s="12" t="n">
        <v>-2198</v>
      </c>
      <c r="AL2196" s="12" t="n">
        <v>-2611</v>
      </c>
      <c r="AM2196" s="13" t="n">
        <v>21.2</v>
      </c>
      <c r="AN2196" s="13" t="n">
        <v>-40.6</v>
      </c>
      <c r="AO2196" s="13" t="n">
        <v>34.6</v>
      </c>
      <c r="AP2196" s="13" t="n">
        <v>40.7</v>
      </c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11" t="n">
        <v>4477</v>
      </c>
      <c r="AK2197" s="12" t="n">
        <v>-4245</v>
      </c>
      <c r="AL2197" s="12" t="n">
        <v>-4502</v>
      </c>
      <c r="AM2197" s="13" t="n">
        <v>51.8</v>
      </c>
      <c r="AN2197" s="13" t="n">
        <v>71.3</v>
      </c>
      <c r="AO2197" s="13" t="n">
        <v>6.5</v>
      </c>
      <c r="AP2197" s="13" t="n">
        <v>-21.5</v>
      </c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11" t="n">
        <v>9325</v>
      </c>
      <c r="AK2198" s="12" t="n">
        <v>-1088</v>
      </c>
      <c r="AL2198" s="12" t="n">
        <v>-728</v>
      </c>
      <c r="AM2198" s="13" t="n">
        <v>26.1</v>
      </c>
      <c r="AN2198" s="13" t="n">
        <v>-51.6</v>
      </c>
      <c r="AO2198" s="13" t="n">
        <v>24.4</v>
      </c>
      <c r="AP2198" s="13" t="n">
        <v>-110.4</v>
      </c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2026Q2</t>
        </is>
      </c>
      <c r="E2199" s="6" t="inlineStr">
        <is>
          <t>2023Q4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11" t="n">
        <v>165037</v>
      </c>
      <c r="AK2199" s="12" t="n">
        <v>36115</v>
      </c>
      <c r="AL2199" s="12" t="n">
        <v>30745</v>
      </c>
      <c r="AM2199" s="13" t="n">
        <v>3.2</v>
      </c>
      <c r="AN2199" s="13" t="n">
        <v>23.4</v>
      </c>
      <c r="AO2199" s="13" t="n">
        <v>24.5</v>
      </c>
      <c r="AP2199" s="13" t="n">
        <v>139.8</v>
      </c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11" t="n">
        <v>16790</v>
      </c>
      <c r="AK2200" s="12" t="n">
        <v>-2646</v>
      </c>
      <c r="AL2200" s="12" t="n">
        <v>-6798</v>
      </c>
      <c r="AM2200" s="13" t="n">
        <v>20.1</v>
      </c>
      <c r="AN2200" s="13" t="n">
        <v>8.9</v>
      </c>
      <c r="AO2200" s="13" t="n">
        <v>-1.7</v>
      </c>
      <c r="AP2200" s="13" t="n">
        <v>-2135.4</v>
      </c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11" t="n">
        <v>11366</v>
      </c>
      <c r="AK2201" s="12" t="n">
        <v>-2294</v>
      </c>
      <c r="AL2201" s="12" t="n">
        <v>-3571</v>
      </c>
      <c r="AM2201" s="13" t="n">
        <v>66.8</v>
      </c>
      <c r="AN2201" s="13" t="n">
        <v>-18</v>
      </c>
      <c r="AO2201" s="13" t="n">
        <v>66.40000000000001</v>
      </c>
      <c r="AP2201" s="13" t="n">
        <v>-246.5</v>
      </c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11" t="n">
        <v>520</v>
      </c>
      <c r="AK2202" s="12" t="n">
        <v>-3347</v>
      </c>
      <c r="AL2202" s="12" t="n">
        <v>-3742</v>
      </c>
      <c r="AM2202" s="13" t="n">
        <v>26.2</v>
      </c>
      <c r="AN2202" s="13" t="n">
        <v>-51.1</v>
      </c>
      <c r="AO2202" s="13" t="n">
        <v>0.2</v>
      </c>
      <c r="AP2202" s="13" t="n">
        <v>-15.7</v>
      </c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11" t="n">
        <v>7175</v>
      </c>
      <c r="AK2203" s="12" t="n">
        <v>-1079</v>
      </c>
      <c r="AL2203" s="12" t="n">
        <v>-389</v>
      </c>
      <c r="AM2203" s="13" t="n">
        <v>-33.5</v>
      </c>
      <c r="AN2203" s="13" t="n">
        <v>187.2</v>
      </c>
      <c r="AO2203" s="13" t="n">
        <v>56.7</v>
      </c>
      <c r="AP2203" s="13" t="n">
        <v>65.59999999999999</v>
      </c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11" t="n">
        <v>30518</v>
      </c>
      <c r="AK2204" s="12" t="n">
        <v>3118</v>
      </c>
      <c r="AL2204" s="12" t="n">
        <v>3466</v>
      </c>
      <c r="AM2204" s="13" t="n">
        <v>53.6</v>
      </c>
      <c r="AN2204" s="13" t="n">
        <v>253.3</v>
      </c>
      <c r="AO2204" s="13" t="n">
        <v>453.1</v>
      </c>
      <c r="AP2204" s="13" t="n">
        <v>364.5</v>
      </c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11" t="n">
        <v>8017</v>
      </c>
      <c r="AK2205" s="12" t="n">
        <v>1693</v>
      </c>
      <c r="AL2205" s="12" t="n">
        <v>1425</v>
      </c>
      <c r="AM2205" s="13" t="n">
        <v>153.4</v>
      </c>
      <c r="AN2205" s="13" t="n">
        <v>34.5</v>
      </c>
      <c r="AO2205" s="13" t="n">
        <v>167</v>
      </c>
      <c r="AP2205" s="13" t="n">
        <v>183.6</v>
      </c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11" t="n">
        <v>828980</v>
      </c>
      <c r="AK2206" s="12" t="n">
        <v>193977</v>
      </c>
      <c r="AL2206" s="12" t="n">
        <v>140752</v>
      </c>
      <c r="AM2206" s="13" t="n">
        <v>1.2</v>
      </c>
      <c r="AN2206" s="13" t="n">
        <v>6.5</v>
      </c>
      <c r="AO2206" s="13" t="n">
        <v>23.1</v>
      </c>
      <c r="AP2206" s="13" t="n">
        <v>14</v>
      </c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11" t="n">
        <v>1625</v>
      </c>
      <c r="AK2207" s="12" t="n">
        <v>-5025</v>
      </c>
      <c r="AL2207" s="12" t="n">
        <v>-4046</v>
      </c>
      <c r="AM2207" s="13" t="n">
        <v>5.8</v>
      </c>
      <c r="AN2207" s="13" t="n">
        <v>-18.2</v>
      </c>
      <c r="AO2207" s="13" t="n">
        <v>-8.6</v>
      </c>
      <c r="AP2207" s="13" t="n">
        <v>-22.4</v>
      </c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11" t="n">
        <v>247367</v>
      </c>
      <c r="AK2208" s="12" t="n">
        <v>97064</v>
      </c>
      <c r="AL2208" s="12" t="n">
        <v>85065</v>
      </c>
      <c r="AM2208" s="13" t="n">
        <v>8.5</v>
      </c>
      <c r="AN2208" s="13" t="n">
        <v>40.3</v>
      </c>
      <c r="AO2208" s="13" t="n">
        <v>8.1</v>
      </c>
      <c r="AP2208" s="13" t="n">
        <v>56.9</v>
      </c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11" t="n">
        <v>25060</v>
      </c>
      <c r="AK2209" s="12" t="n">
        <v>5290</v>
      </c>
      <c r="AL2209" s="12" t="n">
        <v>5235</v>
      </c>
      <c r="AM2209" s="13" t="n">
        <v>25.1</v>
      </c>
      <c r="AN2209" s="13" t="n">
        <v>51.3</v>
      </c>
      <c r="AO2209" s="13" t="n">
        <v>65.5</v>
      </c>
      <c r="AP2209" s="13" t="n">
        <v>182.4</v>
      </c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11" t="n">
        <v>21814</v>
      </c>
      <c r="AK2210" s="12" t="n">
        <v>-15369</v>
      </c>
      <c r="AL2210" s="12" t="n">
        <v>-23557</v>
      </c>
      <c r="AM2210" s="13" t="n">
        <v>-8.9</v>
      </c>
      <c r="AN2210" s="13" t="n">
        <v>22</v>
      </c>
      <c r="AO2210" s="13" t="n">
        <v>-13.1</v>
      </c>
      <c r="AP2210" s="13" t="n">
        <v>27.2</v>
      </c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11" t="n">
        <v>19904</v>
      </c>
      <c r="AK2211" s="12" t="n">
        <v>-798</v>
      </c>
      <c r="AL2211" s="12" t="n">
        <v>-509</v>
      </c>
      <c r="AM2211" s="13" t="n">
        <v>10.5</v>
      </c>
      <c r="AN2211" s="13" t="n">
        <v>38.7</v>
      </c>
      <c r="AO2211" s="13" t="n">
        <v>-706.1</v>
      </c>
      <c r="AP2211" s="13" t="n">
        <v>-948.9</v>
      </c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11" t="n">
        <v>6332155</v>
      </c>
      <c r="AK2212" s="12" t="n">
        <v>1039938</v>
      </c>
      <c r="AL2212" s="12" t="n">
        <v>822143</v>
      </c>
      <c r="AM2212" s="13" t="n">
        <v>7</v>
      </c>
      <c r="AN2212" s="13" t="n">
        <v>52.7</v>
      </c>
      <c r="AO2212" s="13" t="n">
        <v>14.9</v>
      </c>
      <c r="AP2212" s="13" t="n">
        <v>120.6</v>
      </c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11" t="n">
        <v>29072</v>
      </c>
      <c r="AK2213" s="12" t="n">
        <v>1077</v>
      </c>
      <c r="AL2213" s="12" t="n">
        <v>1968</v>
      </c>
      <c r="AM2213" s="13" t="n">
        <v>3</v>
      </c>
      <c r="AN2213" s="13" t="n">
        <v>10.8</v>
      </c>
      <c r="AO2213" s="13" t="n">
        <v>341.4</v>
      </c>
      <c r="AP2213" s="13" t="n">
        <v>29.6</v>
      </c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11" t="n">
        <v>38934</v>
      </c>
      <c r="AK2214" s="12" t="n">
        <v>26063</v>
      </c>
      <c r="AL2214" s="12" t="n">
        <v>10571</v>
      </c>
      <c r="AM2214" s="13" t="inlineStr"/>
      <c r="AN2214" s="13" t="n">
        <v>10.4</v>
      </c>
      <c r="AO2214" s="13" t="inlineStr"/>
      <c r="AP2214" s="13" t="n">
        <v>13.1</v>
      </c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11" t="n">
        <v>15995</v>
      </c>
      <c r="AK2215" s="12" t="n">
        <v>1726</v>
      </c>
      <c r="AL2215" s="12" t="n">
        <v>584</v>
      </c>
      <c r="AM2215" s="13" t="n">
        <v>-18.5</v>
      </c>
      <c r="AN2215" s="13" t="n">
        <v>213</v>
      </c>
      <c r="AO2215" s="13" t="n">
        <v>-88.7</v>
      </c>
      <c r="AP2215" s="13" t="n">
        <v>-23.8</v>
      </c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11" t="n">
        <v>30932</v>
      </c>
      <c r="AK2216" s="12" t="n">
        <v>5102</v>
      </c>
      <c r="AL2216" s="12" t="n">
        <v>9351</v>
      </c>
      <c r="AM2216" s="13" t="n">
        <v>3.3</v>
      </c>
      <c r="AN2216" s="13" t="n">
        <v>-5</v>
      </c>
      <c r="AO2216" s="13" t="n">
        <v>1.8</v>
      </c>
      <c r="AP2216" s="13" t="n">
        <v>11.7</v>
      </c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11" t="n">
        <v>10599</v>
      </c>
      <c r="AK2217" s="12" t="n">
        <v>-1166</v>
      </c>
      <c r="AL2217" s="12" t="n">
        <v>-2508</v>
      </c>
      <c r="AM2217" s="13" t="n">
        <v>30.6</v>
      </c>
      <c r="AN2217" s="13" t="n">
        <v>-6</v>
      </c>
      <c r="AO2217" s="13" t="n">
        <v>55.8</v>
      </c>
      <c r="AP2217" s="13" t="n">
        <v>68.40000000000001</v>
      </c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11" t="n">
        <v>12413</v>
      </c>
      <c r="AK2218" s="12" t="n">
        <v>1742</v>
      </c>
      <c r="AL2218" s="12" t="n">
        <v>1230</v>
      </c>
      <c r="AM2218" s="13" t="n">
        <v>15</v>
      </c>
      <c r="AN2218" s="13" t="n">
        <v>39.4</v>
      </c>
      <c r="AO2218" s="13" t="n">
        <v>78.7</v>
      </c>
      <c r="AP2218" s="13" t="n">
        <v>319.8</v>
      </c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11" t="n">
        <v>7465</v>
      </c>
      <c r="AK2219" s="12" t="n">
        <v>-793</v>
      </c>
      <c r="AL2219" s="12" t="n">
        <v>-106</v>
      </c>
      <c r="AM2219" s="13" t="n">
        <v>46.5</v>
      </c>
      <c r="AN2219" s="13" t="n">
        <v>37.4</v>
      </c>
      <c r="AO2219" s="13" t="n">
        <v>83</v>
      </c>
      <c r="AP2219" s="13" t="n">
        <v>75.3</v>
      </c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11" t="n">
        <v>1376</v>
      </c>
      <c r="AK2220" s="12" t="n">
        <v>-924</v>
      </c>
      <c r="AL2220" s="12" t="n">
        <v>-5232</v>
      </c>
      <c r="AM2220" s="13" t="n">
        <v>49.1</v>
      </c>
      <c r="AN2220" s="13" t="n">
        <v>22.3</v>
      </c>
      <c r="AO2220" s="13" t="n">
        <v>35.2</v>
      </c>
      <c r="AP2220" s="13" t="n">
        <v>31.2</v>
      </c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11" t="n">
        <v>51664</v>
      </c>
      <c r="AK2221" s="12" t="n">
        <v>3416</v>
      </c>
      <c r="AL2221" s="12" t="n">
        <v>3499</v>
      </c>
      <c r="AM2221" s="13" t="n">
        <v>63.5</v>
      </c>
      <c r="AN2221" s="13" t="n">
        <v>46.1</v>
      </c>
      <c r="AO2221" s="13" t="n">
        <v>147</v>
      </c>
      <c r="AP2221" s="13" t="n">
        <v>2.8</v>
      </c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11" t="n">
        <v>11882</v>
      </c>
      <c r="AK2222" s="12" t="n">
        <v>2587</v>
      </c>
      <c r="AL2222" s="12" t="n">
        <v>2426</v>
      </c>
      <c r="AM2222" s="13" t="n">
        <v>6.6</v>
      </c>
      <c r="AN2222" s="13" t="n">
        <v>-23.3</v>
      </c>
      <c r="AO2222" s="13" t="n">
        <v>13.3</v>
      </c>
      <c r="AP2222" s="13" t="n">
        <v>-54.4</v>
      </c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11" t="n">
        <v>74420</v>
      </c>
      <c r="AK2223" s="12" t="n">
        <v>4171</v>
      </c>
      <c r="AL2223" s="12" t="n">
        <v>5998</v>
      </c>
      <c r="AM2223" s="13" t="n">
        <v>108.7</v>
      </c>
      <c r="AN2223" s="13" t="n">
        <v>119.2</v>
      </c>
      <c r="AO2223" s="13" t="n">
        <v>7348.2</v>
      </c>
      <c r="AP2223" s="13" t="n">
        <v>147</v>
      </c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11" t="n">
        <v>6514</v>
      </c>
      <c r="AK2224" s="12" t="n">
        <v>556</v>
      </c>
      <c r="AL2224" s="12" t="n">
        <v>619</v>
      </c>
      <c r="AM2224" s="13" t="n">
        <v>-7.5</v>
      </c>
      <c r="AN2224" s="13" t="n">
        <v>-13.6</v>
      </c>
      <c r="AO2224" s="13" t="n">
        <v>11.4</v>
      </c>
      <c r="AP2224" s="13" t="n">
        <v>-10.2</v>
      </c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11" t="n">
        <v>16229</v>
      </c>
      <c r="AK2225" s="12" t="n">
        <v>5933</v>
      </c>
      <c r="AL2225" s="12" t="n">
        <v>6752</v>
      </c>
      <c r="AM2225" s="13" t="n">
        <v>34.4</v>
      </c>
      <c r="AN2225" s="13" t="n">
        <v>40.1</v>
      </c>
      <c r="AO2225" s="13" t="n">
        <v>157.5</v>
      </c>
      <c r="AP2225" s="13" t="n">
        <v>361.4</v>
      </c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11" t="n">
        <v>25496</v>
      </c>
      <c r="AK2226" s="12" t="n">
        <v>2914</v>
      </c>
      <c r="AL2226" s="12" t="n">
        <v>2122</v>
      </c>
      <c r="AM2226" s="13" t="n">
        <v>123.4</v>
      </c>
      <c r="AN2226" s="13" t="n">
        <v>63.2</v>
      </c>
      <c r="AO2226" s="13" t="n">
        <v>276.9</v>
      </c>
      <c r="AP2226" s="13" t="n">
        <v>162.9</v>
      </c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11" t="n">
        <v>2032</v>
      </c>
      <c r="AK2227" s="12" t="n">
        <v>228</v>
      </c>
      <c r="AL2227" s="12" t="n">
        <v>-1190</v>
      </c>
      <c r="AM2227" s="13" t="inlineStr"/>
      <c r="AN2227" s="13" t="n">
        <v>-87</v>
      </c>
      <c r="AO2227" s="13" t="inlineStr"/>
      <c r="AP2227" s="13" t="n">
        <v>-98.3</v>
      </c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2025Q4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11" t="inlineStr"/>
      <c r="AK2228" s="12" t="inlineStr"/>
      <c r="AL2228" s="12" t="inlineStr"/>
      <c r="AM2228" s="13" t="inlineStr"/>
      <c r="AN2228" s="13" t="inlineStr"/>
      <c r="AO2228" s="13" t="inlineStr"/>
      <c r="AP2228" s="13" t="inlineStr"/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11" t="n">
        <v>6216</v>
      </c>
      <c r="AK2229" s="12" t="n">
        <v>-1209</v>
      </c>
      <c r="AL2229" s="12" t="n">
        <v>-1167</v>
      </c>
      <c r="AM2229" s="13" t="n">
        <v>-11.6</v>
      </c>
      <c r="AN2229" s="13" t="n">
        <v>26.9</v>
      </c>
      <c r="AO2229" s="13" t="n">
        <v>-7211.8</v>
      </c>
      <c r="AP2229" s="13" t="n">
        <v>16.7</v>
      </c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11" t="n">
        <v>1756</v>
      </c>
      <c r="AK2230" s="12" t="n">
        <v>-1942</v>
      </c>
      <c r="AL2230" s="12" t="n">
        <v>1017</v>
      </c>
      <c r="AM2230" s="13" t="n">
        <v>20.7</v>
      </c>
      <c r="AN2230" s="13" t="n">
        <v>-79.90000000000001</v>
      </c>
      <c r="AO2230" s="13" t="n">
        <v>56.2</v>
      </c>
      <c r="AP2230" s="13" t="n">
        <v>-83.40000000000001</v>
      </c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11" t="n">
        <v>15239</v>
      </c>
      <c r="AK2231" s="12" t="n">
        <v>-886</v>
      </c>
      <c r="AL2231" s="12" t="n">
        <v>-211</v>
      </c>
      <c r="AM2231" s="13" t="n">
        <v>35.7</v>
      </c>
      <c r="AN2231" s="13" t="n">
        <v>-11</v>
      </c>
      <c r="AO2231" s="13" t="n">
        <v>58.4</v>
      </c>
      <c r="AP2231" s="13" t="n">
        <v>-56</v>
      </c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11" t="n">
        <v>44259</v>
      </c>
      <c r="AK2232" s="12" t="n">
        <v>-50914</v>
      </c>
      <c r="AL2232" s="12" t="n">
        <v>-55598</v>
      </c>
      <c r="AM2232" s="13" t="n">
        <v>-69.40000000000001</v>
      </c>
      <c r="AN2232" s="13" t="n">
        <v>-65.5</v>
      </c>
      <c r="AO2232" s="13" t="n">
        <v>-3843.8</v>
      </c>
      <c r="AP2232" s="13" t="n">
        <v>-2560.1</v>
      </c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11" t="n">
        <v>101870</v>
      </c>
      <c r="AK2233" s="12" t="n">
        <v>-21676</v>
      </c>
      <c r="AL2233" s="12" t="n">
        <v>59273</v>
      </c>
      <c r="AM2233" s="13" t="n">
        <v>-47.1</v>
      </c>
      <c r="AN2233" s="13" t="n">
        <v>-29.2</v>
      </c>
      <c r="AO2233" s="13" t="n">
        <v>1.7</v>
      </c>
      <c r="AP2233" s="13" t="n">
        <v>-44.8</v>
      </c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11" t="n">
        <v>47493</v>
      </c>
      <c r="AK2234" s="12" t="n">
        <v>11088</v>
      </c>
      <c r="AL2234" s="12" t="n">
        <v>15446</v>
      </c>
      <c r="AM2234" s="13" t="n">
        <v>18</v>
      </c>
      <c r="AN2234" s="13" t="n">
        <v>19.3</v>
      </c>
      <c r="AO2234" s="13" t="n">
        <v>-1</v>
      </c>
      <c r="AP2234" s="13" t="n">
        <v>-35.8</v>
      </c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11" t="n">
        <v>178757</v>
      </c>
      <c r="AK2235" s="12" t="n">
        <v>299</v>
      </c>
      <c r="AL2235" s="12" t="n">
        <v>-823</v>
      </c>
      <c r="AM2235" s="13" t="n">
        <v>21.6</v>
      </c>
      <c r="AN2235" s="13" t="n">
        <v>47.8</v>
      </c>
      <c r="AO2235" s="13" t="n">
        <v>106.2</v>
      </c>
      <c r="AP2235" s="13" t="n">
        <v>145.5</v>
      </c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11" t="n">
        <v>74378</v>
      </c>
      <c r="AK2236" s="12" t="n">
        <v>5348</v>
      </c>
      <c r="AL2236" s="12" t="n">
        <v>4381</v>
      </c>
      <c r="AM2236" s="13" t="n">
        <v>40.3</v>
      </c>
      <c r="AN2236" s="13" t="n">
        <v>-0.3</v>
      </c>
      <c r="AO2236" s="13" t="n">
        <v>387.1</v>
      </c>
      <c r="AP2236" s="13" t="n">
        <v>-29.2</v>
      </c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11" t="n">
        <v>743</v>
      </c>
      <c r="AK2237" s="12" t="n">
        <v>361</v>
      </c>
      <c r="AL2237" s="12" t="n">
        <v>711</v>
      </c>
      <c r="AM2237" s="13" t="inlineStr"/>
      <c r="AN2237" s="13" t="n">
        <v>-44.8</v>
      </c>
      <c r="AO2237" s="13" t="inlineStr"/>
      <c r="AP2237" s="13" t="n">
        <v>118.9</v>
      </c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11" t="n">
        <v>6111</v>
      </c>
      <c r="AK2238" s="12" t="n">
        <v>-4209</v>
      </c>
      <c r="AL2238" s="12" t="n">
        <v>-5384</v>
      </c>
      <c r="AM2238" s="13" t="n">
        <v>1</v>
      </c>
      <c r="AN2238" s="13" t="n">
        <v>-34</v>
      </c>
      <c r="AO2238" s="13" t="n">
        <v>-2.5</v>
      </c>
      <c r="AP2238" s="13" t="n">
        <v>-2390.5</v>
      </c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11" t="n">
        <v>1547</v>
      </c>
      <c r="AK2239" s="12" t="n">
        <v>-3789</v>
      </c>
      <c r="AL2239" s="12" t="n">
        <v>-7827</v>
      </c>
      <c r="AM2239" s="13" t="n">
        <v>448.6</v>
      </c>
      <c r="AN2239" s="13" t="n">
        <v>32.8</v>
      </c>
      <c r="AO2239" s="13" t="n">
        <v>2.3</v>
      </c>
      <c r="AP2239" s="13" t="n">
        <v>-153.4</v>
      </c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11" t="n">
        <v>132273</v>
      </c>
      <c r="AK2240" s="12" t="n">
        <v>7848</v>
      </c>
      <c r="AL2240" s="12" t="n">
        <v>5193</v>
      </c>
      <c r="AM2240" s="13" t="n">
        <v>7.2</v>
      </c>
      <c r="AN2240" s="13" t="n">
        <v>4.9</v>
      </c>
      <c r="AO2240" s="13" t="n">
        <v>48.3</v>
      </c>
      <c r="AP2240" s="13" t="n">
        <v>-15.7</v>
      </c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11" t="n">
        <v>28319</v>
      </c>
      <c r="AK2241" s="12" t="n">
        <v>3059</v>
      </c>
      <c r="AL2241" s="12" t="n">
        <v>2071</v>
      </c>
      <c r="AM2241" s="13" t="n">
        <v>17</v>
      </c>
      <c r="AN2241" s="13" t="n">
        <v>2.7</v>
      </c>
      <c r="AO2241" s="13" t="n">
        <v>781.6</v>
      </c>
      <c r="AP2241" s="13" t="n">
        <v>-17.5</v>
      </c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11" t="n">
        <v>16652</v>
      </c>
      <c r="AK2242" s="12" t="n">
        <v>-932</v>
      </c>
      <c r="AL2242" s="12" t="n">
        <v>-292</v>
      </c>
      <c r="AM2242" s="13" t="n">
        <v>32.4</v>
      </c>
      <c r="AN2242" s="13" t="n">
        <v>1.9</v>
      </c>
      <c r="AO2242" s="13" t="n">
        <v>7.4</v>
      </c>
      <c r="AP2242" s="13" t="n">
        <v>-217</v>
      </c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11" t="n">
        <v>12342</v>
      </c>
      <c r="AK2243" s="12" t="n">
        <v>393</v>
      </c>
      <c r="AL2243" s="12" t="n">
        <v>730</v>
      </c>
      <c r="AM2243" s="13" t="n">
        <v>-5.5</v>
      </c>
      <c r="AN2243" s="13" t="n">
        <v>5.7</v>
      </c>
      <c r="AO2243" s="13" t="n">
        <v>3.4</v>
      </c>
      <c r="AP2243" s="13" t="n">
        <v>1686.4</v>
      </c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11" t="n">
        <v>8288</v>
      </c>
      <c r="AK2244" s="12" t="n">
        <v>433</v>
      </c>
      <c r="AL2244" s="12" t="n">
        <v>781</v>
      </c>
      <c r="AM2244" s="13" t="n">
        <v>11.5</v>
      </c>
      <c r="AN2244" s="13" t="n">
        <v>6.2</v>
      </c>
      <c r="AO2244" s="13" t="n">
        <v>209.3</v>
      </c>
      <c r="AP2244" s="13" t="n">
        <v>50.9</v>
      </c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11" t="n">
        <v>56017</v>
      </c>
      <c r="AK2245" s="12" t="n">
        <v>24959</v>
      </c>
      <c r="AL2245" s="12" t="n">
        <v>19948</v>
      </c>
      <c r="AM2245" s="13" t="n">
        <v>24.3</v>
      </c>
      <c r="AN2245" s="13" t="n">
        <v>44.5</v>
      </c>
      <c r="AO2245" s="13" t="n">
        <v>36.6</v>
      </c>
      <c r="AP2245" s="13" t="n">
        <v>150.4</v>
      </c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11" t="n">
        <v>2502</v>
      </c>
      <c r="AK2246" s="12" t="n">
        <v>-2793</v>
      </c>
      <c r="AL2246" s="12" t="n">
        <v>-3384</v>
      </c>
      <c r="AM2246" s="13" t="n">
        <v>-23.8</v>
      </c>
      <c r="AN2246" s="13" t="n">
        <v>160.6</v>
      </c>
      <c r="AO2246" s="13" t="n">
        <v>-1.2</v>
      </c>
      <c r="AP2246" s="13" t="n">
        <v>29.5</v>
      </c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11" t="n">
        <v>489</v>
      </c>
      <c r="AK2247" s="12" t="n">
        <v>-7956</v>
      </c>
      <c r="AL2247" s="12" t="n">
        <v>-1654</v>
      </c>
      <c r="AM2247" s="13" t="n">
        <v>-70.09999999999999</v>
      </c>
      <c r="AN2247" s="13" t="n">
        <v>-97.09999999999999</v>
      </c>
      <c r="AO2247" s="13" t="n">
        <v>-298.6</v>
      </c>
      <c r="AP2247" s="13" t="n">
        <v>-182.6</v>
      </c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11" t="n">
        <v>27455</v>
      </c>
      <c r="AK2248" s="12" t="n">
        <v>-127</v>
      </c>
      <c r="AL2248" s="12" t="n">
        <v>-251</v>
      </c>
      <c r="AM2248" s="13" t="n">
        <v>8</v>
      </c>
      <c r="AN2248" s="13" t="n">
        <v>7.5</v>
      </c>
      <c r="AO2248" s="13" t="n">
        <v>-112</v>
      </c>
      <c r="AP2248" s="13" t="n">
        <v>-105</v>
      </c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11" t="n">
        <v>577146</v>
      </c>
      <c r="AK2249" s="12" t="n">
        <v>4811</v>
      </c>
      <c r="AL2249" s="12" t="n">
        <v>-11815</v>
      </c>
      <c r="AM2249" s="13" t="n">
        <v>23.7</v>
      </c>
      <c r="AN2249" s="13" t="n">
        <v>12.5</v>
      </c>
      <c r="AO2249" s="13" t="n">
        <v>147.7</v>
      </c>
      <c r="AP2249" s="13" t="n">
        <v>113.6</v>
      </c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11" t="n">
        <v>4796</v>
      </c>
      <c r="AK2250" s="12" t="n">
        <v>-545</v>
      </c>
      <c r="AL2250" s="12" t="n">
        <v>-487</v>
      </c>
      <c r="AM2250" s="13" t="n">
        <v>85.09999999999999</v>
      </c>
      <c r="AN2250" s="13" t="n">
        <v>153.1</v>
      </c>
      <c r="AO2250" s="13" t="n">
        <v>-209.7</v>
      </c>
      <c r="AP2250" s="13" t="n">
        <v>-1035.4</v>
      </c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11" t="n">
        <v>12638</v>
      </c>
      <c r="AK2251" s="12" t="n">
        <v>1411</v>
      </c>
      <c r="AL2251" s="12" t="n">
        <v>1030</v>
      </c>
      <c r="AM2251" s="13" t="n">
        <v>42.9</v>
      </c>
      <c r="AN2251" s="13" t="n">
        <v>34.7</v>
      </c>
      <c r="AO2251" s="13" t="n">
        <v>802</v>
      </c>
      <c r="AP2251" s="13" t="n">
        <v>222.9</v>
      </c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11" t="n">
        <v>77062</v>
      </c>
      <c r="AK2252" s="12" t="n">
        <v>1665</v>
      </c>
      <c r="AL2252" s="12" t="n">
        <v>-24290</v>
      </c>
      <c r="AM2252" s="13" t="n">
        <v>71</v>
      </c>
      <c r="AN2252" s="13" t="n">
        <v>308.6</v>
      </c>
      <c r="AO2252" s="13" t="n">
        <v>134.2</v>
      </c>
      <c r="AP2252" s="13" t="n">
        <v>-20.4</v>
      </c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11" t="n">
        <v>6595</v>
      </c>
      <c r="AK2253" s="12" t="n">
        <v>1510</v>
      </c>
      <c r="AL2253" s="12" t="n">
        <v>1507</v>
      </c>
      <c r="AM2253" s="13" t="n">
        <v>5.7</v>
      </c>
      <c r="AN2253" s="13" t="n">
        <v>20.1</v>
      </c>
      <c r="AO2253" s="13" t="n">
        <v>57.5</v>
      </c>
      <c r="AP2253" s="13" t="n">
        <v>83</v>
      </c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11" t="n">
        <v>17607</v>
      </c>
      <c r="AK2254" s="12" t="n">
        <v>-1197</v>
      </c>
      <c r="AL2254" s="12" t="n">
        <v>-637</v>
      </c>
      <c r="AM2254" s="13" t="n">
        <v>15.2</v>
      </c>
      <c r="AN2254" s="13" t="n">
        <v>-21.4</v>
      </c>
      <c r="AO2254" s="13" t="n">
        <v>-761.2</v>
      </c>
      <c r="AP2254" s="13" t="n">
        <v>-180.5</v>
      </c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11" t="n">
        <v>662</v>
      </c>
      <c r="AK2255" s="12" t="n">
        <v>-9880</v>
      </c>
      <c r="AL2255" s="12" t="n">
        <v>-7767</v>
      </c>
      <c r="AM2255" s="13" t="n">
        <v>413.2</v>
      </c>
      <c r="AN2255" s="13" t="n">
        <v>-28.4</v>
      </c>
      <c r="AO2255" s="13" t="n">
        <v>11.2</v>
      </c>
      <c r="AP2255" s="13" t="n">
        <v>-22.6</v>
      </c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11" t="inlineStr"/>
      <c r="AK2256" s="12" t="n">
        <v>-3201</v>
      </c>
      <c r="AL2256" s="12" t="n">
        <v>-3278</v>
      </c>
      <c r="AM2256" s="13" t="inlineStr"/>
      <c r="AN2256" s="13" t="inlineStr"/>
      <c r="AO2256" s="13" t="n">
        <v>25.7</v>
      </c>
      <c r="AP2256" s="13" t="n">
        <v>-22.5</v>
      </c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11" t="n">
        <v>40414</v>
      </c>
      <c r="AK2257" s="12" t="n">
        <v>282</v>
      </c>
      <c r="AL2257" s="12" t="n">
        <v>1397</v>
      </c>
      <c r="AM2257" s="13" t="n">
        <v>12.2</v>
      </c>
      <c r="AN2257" s="13" t="n">
        <v>338.2</v>
      </c>
      <c r="AO2257" s="13" t="n">
        <v>-43.8</v>
      </c>
      <c r="AP2257" s="13" t="n">
        <v>-76</v>
      </c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11" t="n">
        <v>6124</v>
      </c>
      <c r="AK2258" s="12" t="n">
        <v>1051</v>
      </c>
      <c r="AL2258" s="12" t="n">
        <v>1292</v>
      </c>
      <c r="AM2258" s="13" t="n">
        <v>-15.2</v>
      </c>
      <c r="AN2258" s="13" t="n">
        <v>-40.6</v>
      </c>
      <c r="AO2258" s="13" t="n">
        <v>4</v>
      </c>
      <c r="AP2258" s="13" t="n">
        <v>139.4</v>
      </c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11" t="n">
        <v>320</v>
      </c>
      <c r="AK2259" s="12" t="n">
        <v>-3008</v>
      </c>
      <c r="AL2259" s="12" t="n">
        <v>-3022</v>
      </c>
      <c r="AM2259" s="13" t="n">
        <v>3455.6</v>
      </c>
      <c r="AN2259" s="13" t="n">
        <v>-33.3</v>
      </c>
      <c r="AO2259" s="13" t="n">
        <v>-22.6</v>
      </c>
      <c r="AP2259" s="13" t="n">
        <v>9</v>
      </c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11" t="n">
        <v>21810</v>
      </c>
      <c r="AK2260" s="12" t="n">
        <v>-2014</v>
      </c>
      <c r="AL2260" s="12" t="n">
        <v>-3874</v>
      </c>
      <c r="AM2260" s="13" t="n">
        <v>13.5</v>
      </c>
      <c r="AN2260" s="13" t="n">
        <v>23.8</v>
      </c>
      <c r="AO2260" s="13" t="n">
        <v>24.6</v>
      </c>
      <c r="AP2260" s="13" t="n">
        <v>28.1</v>
      </c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11" t="n">
        <v>20833</v>
      </c>
      <c r="AK2261" s="12" t="n">
        <v>-786</v>
      </c>
      <c r="AL2261" s="12" t="n">
        <v>1297</v>
      </c>
      <c r="AM2261" s="13" t="n">
        <v>162.7</v>
      </c>
      <c r="AN2261" s="13" t="n">
        <v>-10</v>
      </c>
      <c r="AO2261" s="13" t="n">
        <v>85.8</v>
      </c>
      <c r="AP2261" s="13" t="n">
        <v>-130.5</v>
      </c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11" t="n">
        <v>2822</v>
      </c>
      <c r="AK2262" s="12" t="n">
        <v>-5267</v>
      </c>
      <c r="AL2262" s="12" t="n">
        <v>-4579</v>
      </c>
      <c r="AM2262" s="13" t="n">
        <v>-5.7</v>
      </c>
      <c r="AN2262" s="13" t="n">
        <v>-18</v>
      </c>
      <c r="AO2262" s="13" t="n">
        <v>-22.1</v>
      </c>
      <c r="AP2262" s="13" t="n">
        <v>-26.5</v>
      </c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11" t="n">
        <v>18302</v>
      </c>
      <c r="AK2263" s="12" t="n">
        <v>2648</v>
      </c>
      <c r="AL2263" s="12" t="n">
        <v>3383</v>
      </c>
      <c r="AM2263" s="13" t="n">
        <v>151</v>
      </c>
      <c r="AN2263" s="13" t="n">
        <v>70.90000000000001</v>
      </c>
      <c r="AO2263" s="13" t="n">
        <v>238.7</v>
      </c>
      <c r="AP2263" s="13" t="n">
        <v>1847.1</v>
      </c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11" t="n">
        <v>102321</v>
      </c>
      <c r="AK2264" s="12" t="n">
        <v>-11568</v>
      </c>
      <c r="AL2264" s="12" t="n">
        <v>-27758</v>
      </c>
      <c r="AM2264" s="13" t="n">
        <v>21.6</v>
      </c>
      <c r="AN2264" s="13" t="n">
        <v>59.7</v>
      </c>
      <c r="AO2264" s="13" t="n">
        <v>52.2</v>
      </c>
      <c r="AP2264" s="13" t="n">
        <v>-323.3</v>
      </c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42705</v>
      </c>
      <c r="AK2265" s="12" t="n">
        <v>34414</v>
      </c>
      <c r="AL2265" s="12" t="n">
        <v>12342</v>
      </c>
      <c r="AM2265" s="13" t="inlineStr"/>
      <c r="AN2265" s="13" t="n">
        <v>5.2</v>
      </c>
      <c r="AO2265" s="13" t="inlineStr"/>
      <c r="AP2265" s="13" t="n">
        <v>10.2</v>
      </c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11" t="n">
        <v>4380</v>
      </c>
      <c r="AK2266" s="12" t="n">
        <v>4102</v>
      </c>
      <c r="AL2266" s="12" t="n">
        <v>2976</v>
      </c>
      <c r="AM2266" s="13" t="inlineStr"/>
      <c r="AN2266" s="13" t="n">
        <v>-49.6</v>
      </c>
      <c r="AO2266" s="13" t="inlineStr"/>
      <c r="AP2266" s="13" t="n">
        <v>-47.1</v>
      </c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11" t="n">
        <v>865</v>
      </c>
      <c r="AK2267" s="12" t="n">
        <v>-2611</v>
      </c>
      <c r="AL2267" s="12" t="n">
        <v>-3012</v>
      </c>
      <c r="AM2267" s="13" t="n">
        <v>48.1</v>
      </c>
      <c r="AN2267" s="13" t="n">
        <v>-11.6</v>
      </c>
      <c r="AO2267" s="13" t="n">
        <v>-48.2</v>
      </c>
      <c r="AP2267" s="13" t="n">
        <v>10.2</v>
      </c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11" t="n">
        <v>18448</v>
      </c>
      <c r="AK2268" s="12" t="n">
        <v>-1471</v>
      </c>
      <c r="AL2268" s="12" t="n">
        <v>-3085</v>
      </c>
      <c r="AM2268" s="13" t="n">
        <v>30.9</v>
      </c>
      <c r="AN2268" s="13" t="n">
        <v>-3</v>
      </c>
      <c r="AO2268" s="13" t="n">
        <v>41.7</v>
      </c>
      <c r="AP2268" s="13" t="n">
        <v>5</v>
      </c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11" t="n">
        <v>26417</v>
      </c>
      <c r="AK2269" s="12" t="n">
        <v>2779</v>
      </c>
      <c r="AL2269" s="12" t="n">
        <v>-596</v>
      </c>
      <c r="AM2269" s="13" t="n">
        <v>37.6</v>
      </c>
      <c r="AN2269" s="13" t="n">
        <v>130.6</v>
      </c>
      <c r="AO2269" s="13" t="n">
        <v>410.2</v>
      </c>
      <c r="AP2269" s="13" t="n">
        <v>760.4</v>
      </c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11" t="n">
        <v>20769</v>
      </c>
      <c r="AK2270" s="12" t="n">
        <v>4587</v>
      </c>
      <c r="AL2270" s="12" t="n">
        <v>3728</v>
      </c>
      <c r="AM2270" s="13" t="n">
        <v>27.4</v>
      </c>
      <c r="AN2270" s="13" t="n">
        <v>2.6</v>
      </c>
      <c r="AO2270" s="13" t="n">
        <v>101</v>
      </c>
      <c r="AP2270" s="13" t="n">
        <v>10.3</v>
      </c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11" t="n">
        <v>73321</v>
      </c>
      <c r="AK2271" s="12" t="n">
        <v>1601</v>
      </c>
      <c r="AL2271" s="12" t="n">
        <v>-6233</v>
      </c>
      <c r="AM2271" s="13" t="n">
        <v>3.5</v>
      </c>
      <c r="AN2271" s="13" t="n">
        <v>-0.8</v>
      </c>
      <c r="AO2271" s="13" t="n">
        <v>-46</v>
      </c>
      <c r="AP2271" s="13" t="n">
        <v>-81.59999999999999</v>
      </c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11" t="n">
        <v>16337</v>
      </c>
      <c r="AK2272" s="12" t="n">
        <v>-1994</v>
      </c>
      <c r="AL2272" s="12" t="n">
        <v>-2417</v>
      </c>
      <c r="AM2272" s="13" t="n">
        <v>3.6</v>
      </c>
      <c r="AN2272" s="13" t="n">
        <v>-5.9</v>
      </c>
      <c r="AO2272" s="13" t="n">
        <v>-447.8</v>
      </c>
      <c r="AP2272" s="13" t="n">
        <v>-3167.7</v>
      </c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11" t="inlineStr"/>
      <c r="AK2273" s="12" t="n">
        <v>-447</v>
      </c>
      <c r="AL2273" s="12" t="n">
        <v>-444</v>
      </c>
      <c r="AM2273" s="13" t="inlineStr"/>
      <c r="AN2273" s="13" t="inlineStr"/>
      <c r="AO2273" s="13" t="n">
        <v>-76</v>
      </c>
      <c r="AP2273" s="13" t="n">
        <v>84.2</v>
      </c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11" t="n">
        <v>1449998</v>
      </c>
      <c r="AK2274" s="12" t="n">
        <v>170925</v>
      </c>
      <c r="AL2274" s="12" t="n">
        <v>109765</v>
      </c>
      <c r="AM2274" s="13" t="n">
        <v>107.6</v>
      </c>
      <c r="AN2274" s="13" t="n">
        <v>105.5</v>
      </c>
      <c r="AO2274" s="13" t="n">
        <v>187</v>
      </c>
      <c r="AP2274" s="13" t="n">
        <v>159.3</v>
      </c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11" t="n">
        <v>10995</v>
      </c>
      <c r="AK2275" s="12" t="n">
        <v>-1146</v>
      </c>
      <c r="AL2275" s="12" t="n">
        <v>242</v>
      </c>
      <c r="AM2275" s="13" t="n">
        <v>4.4</v>
      </c>
      <c r="AN2275" s="13" t="n">
        <v>33.4</v>
      </c>
      <c r="AO2275" s="13" t="n">
        <v>22.6</v>
      </c>
      <c r="AP2275" s="13" t="n">
        <v>21.2</v>
      </c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11" t="n">
        <v>10445</v>
      </c>
      <c r="AK2276" s="12" t="n">
        <v>172</v>
      </c>
      <c r="AL2276" s="12" t="n">
        <v>-41</v>
      </c>
      <c r="AM2276" s="13" t="n">
        <v>-26.1</v>
      </c>
      <c r="AN2276" s="13" t="n">
        <v>22.5</v>
      </c>
      <c r="AO2276" s="13" t="n">
        <v>-94.5</v>
      </c>
      <c r="AP2276" s="13" t="n">
        <v>203</v>
      </c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11" t="n">
        <v>21962</v>
      </c>
      <c r="AK2277" s="12" t="n">
        <v>-813</v>
      </c>
      <c r="AL2277" s="12" t="n">
        <v>-256</v>
      </c>
      <c r="AM2277" s="13" t="n">
        <v>-4.7</v>
      </c>
      <c r="AN2277" s="13" t="n">
        <v>-8.199999999999999</v>
      </c>
      <c r="AO2277" s="13" t="n">
        <v>-271.2</v>
      </c>
      <c r="AP2277" s="13" t="n">
        <v>-254.3</v>
      </c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11" t="n">
        <v>400975</v>
      </c>
      <c r="AK2278" s="12" t="n">
        <v>70276</v>
      </c>
      <c r="AL2278" s="12" t="n">
        <v>57675</v>
      </c>
      <c r="AM2278" s="13" t="n">
        <v>15.8</v>
      </c>
      <c r="AN2278" s="13" t="n">
        <v>63.1</v>
      </c>
      <c r="AO2278" s="13" t="n">
        <v>37</v>
      </c>
      <c r="AP2278" s="13" t="n">
        <v>3666.1</v>
      </c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11" t="n">
        <v>13255</v>
      </c>
      <c r="AK2279" s="12" t="n">
        <v>-1115</v>
      </c>
      <c r="AL2279" s="12" t="n">
        <v>-310</v>
      </c>
      <c r="AM2279" s="13" t="n">
        <v>19.5</v>
      </c>
      <c r="AN2279" s="13" t="n">
        <v>-20.1</v>
      </c>
      <c r="AO2279" s="13" t="n">
        <v>16.5</v>
      </c>
      <c r="AP2279" s="13" t="n">
        <v>-289.3</v>
      </c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11" t="n">
        <v>148130</v>
      </c>
      <c r="AK2280" s="12" t="n">
        <v>15060</v>
      </c>
      <c r="AL2280" s="12" t="n">
        <v>10857</v>
      </c>
      <c r="AM2280" s="13" t="n">
        <v>13.3</v>
      </c>
      <c r="AN2280" s="13" t="n">
        <v>30.2</v>
      </c>
      <c r="AO2280" s="13" t="n">
        <v>13.9</v>
      </c>
      <c r="AP2280" s="13" t="n">
        <v>36.3</v>
      </c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11" t="n">
        <v>12452</v>
      </c>
      <c r="AK2281" s="12" t="n">
        <v>-1185</v>
      </c>
      <c r="AL2281" s="12" t="n">
        <v>-3462</v>
      </c>
      <c r="AM2281" s="13" t="n">
        <v>4.2</v>
      </c>
      <c r="AN2281" s="13" t="n">
        <v>573.8</v>
      </c>
      <c r="AO2281" s="13" t="n">
        <v>24.3</v>
      </c>
      <c r="AP2281" s="13" t="n">
        <v>55.8</v>
      </c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11" t="n">
        <v>55217</v>
      </c>
      <c r="AK2282" s="12" t="n">
        <v>2601</v>
      </c>
      <c r="AL2282" s="12" t="n">
        <v>3507</v>
      </c>
      <c r="AM2282" s="13" t="n">
        <v>9</v>
      </c>
      <c r="AN2282" s="13" t="n">
        <v>13.9</v>
      </c>
      <c r="AO2282" s="13" t="n">
        <v>-7.5</v>
      </c>
      <c r="AP2282" s="13" t="n">
        <v>-7</v>
      </c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11" t="n">
        <v>5343</v>
      </c>
      <c r="AK2283" s="12" t="n">
        <v>1186</v>
      </c>
      <c r="AL2283" s="12" t="n">
        <v>903</v>
      </c>
      <c r="AM2283" s="13" t="n">
        <v>-1.9</v>
      </c>
      <c r="AN2283" s="13" t="n">
        <v>66.90000000000001</v>
      </c>
      <c r="AO2283" s="13" t="n">
        <v>4.9</v>
      </c>
      <c r="AP2283" s="13" t="n">
        <v>438.9</v>
      </c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11" t="n">
        <v>2351</v>
      </c>
      <c r="AK2284" s="12" t="n">
        <v>-3586</v>
      </c>
      <c r="AL2284" s="12" t="n">
        <v>-3022</v>
      </c>
      <c r="AM2284" s="13" t="n">
        <v>-17.5</v>
      </c>
      <c r="AN2284" s="13" t="n">
        <v>17.9</v>
      </c>
      <c r="AO2284" s="13" t="n">
        <v>-65.90000000000001</v>
      </c>
      <c r="AP2284" s="13" t="n">
        <v>-19.2</v>
      </c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11" t="n">
        <v>32295</v>
      </c>
      <c r="AK2285" s="12" t="n">
        <v>-995</v>
      </c>
      <c r="AL2285" s="12" t="n">
        <v>-1165</v>
      </c>
      <c r="AM2285" s="13" t="n">
        <v>23.7</v>
      </c>
      <c r="AN2285" s="13" t="n">
        <v>287.9</v>
      </c>
      <c r="AO2285" s="13" t="n">
        <v>28.3</v>
      </c>
      <c r="AP2285" s="13" t="n">
        <v>55.6</v>
      </c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11" t="n">
        <v>12092</v>
      </c>
      <c r="AK2286" s="12" t="n">
        <v>373</v>
      </c>
      <c r="AL2286" s="12" t="n">
        <v>581</v>
      </c>
      <c r="AM2286" s="13" t="n">
        <v>24.7</v>
      </c>
      <c r="AN2286" s="13" t="n">
        <v>13.2</v>
      </c>
      <c r="AO2286" s="13" t="n">
        <v>50.4</v>
      </c>
      <c r="AP2286" s="13" t="n">
        <v>218.4</v>
      </c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11" t="n">
        <v>88243</v>
      </c>
      <c r="AK2287" s="12" t="n">
        <v>12773</v>
      </c>
      <c r="AL2287" s="12" t="n">
        <v>10759</v>
      </c>
      <c r="AM2287" s="13" t="n">
        <v>16.4</v>
      </c>
      <c r="AN2287" s="13" t="n">
        <v>37.8</v>
      </c>
      <c r="AO2287" s="13" t="n">
        <v>19.2</v>
      </c>
      <c r="AP2287" s="13" t="n">
        <v>86.3</v>
      </c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11" t="n">
        <v>9691</v>
      </c>
      <c r="AK2288" s="12" t="n">
        <v>761</v>
      </c>
      <c r="AL2288" s="12" t="n">
        <v>1071</v>
      </c>
      <c r="AM2288" s="13" t="n">
        <v>32.4</v>
      </c>
      <c r="AN2288" s="13" t="n">
        <v>16.7</v>
      </c>
      <c r="AO2288" s="13" t="n">
        <v>478.6</v>
      </c>
      <c r="AP2288" s="13" t="n">
        <v>424.8</v>
      </c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27644</v>
      </c>
      <c r="AK2289" s="12" t="n">
        <v>16654</v>
      </c>
      <c r="AL2289" s="12" t="n">
        <v>1887</v>
      </c>
      <c r="AM2289" s="13" t="inlineStr"/>
      <c r="AN2289" s="13" t="n">
        <v>67.2</v>
      </c>
      <c r="AO2289" s="13" t="inlineStr"/>
      <c r="AP2289" s="13" t="n">
        <v>48.7</v>
      </c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11" t="n">
        <v>78493</v>
      </c>
      <c r="AK2290" s="12" t="n">
        <v>3896</v>
      </c>
      <c r="AL2290" s="12" t="n">
        <v>2387</v>
      </c>
      <c r="AM2290" s="13" t="n">
        <v>24</v>
      </c>
      <c r="AN2290" s="13" t="n">
        <v>4.8</v>
      </c>
      <c r="AO2290" s="13" t="n">
        <v>18.9</v>
      </c>
      <c r="AP2290" s="13" t="n">
        <v>-30.8</v>
      </c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3635</v>
      </c>
      <c r="AK2291" s="12" t="n">
        <v>1958</v>
      </c>
      <c r="AL2291" s="12" t="n">
        <v>-61</v>
      </c>
      <c r="AM2291" s="13" t="inlineStr"/>
      <c r="AN2291" s="13" t="n">
        <v>0.3</v>
      </c>
      <c r="AO2291" s="13" t="inlineStr"/>
      <c r="AP2291" s="13" t="n">
        <v>-1.3</v>
      </c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11" t="n">
        <v>2153</v>
      </c>
      <c r="AK2292" s="12" t="n">
        <v>1396</v>
      </c>
      <c r="AL2292" s="12" t="n">
        <v>510</v>
      </c>
      <c r="AM2292" s="13" t="inlineStr"/>
      <c r="AN2292" s="13" t="n">
        <v>109.2</v>
      </c>
      <c r="AO2292" s="13" t="inlineStr"/>
      <c r="AP2292" s="13" t="n">
        <v>488.9</v>
      </c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11" t="n">
        <v>5168</v>
      </c>
      <c r="AK2293" s="12" t="n">
        <v>1276</v>
      </c>
      <c r="AL2293" s="12" t="n">
        <v>1133</v>
      </c>
      <c r="AM2293" s="13" t="n">
        <v>13.3</v>
      </c>
      <c r="AN2293" s="13" t="n">
        <v>1.3</v>
      </c>
      <c r="AO2293" s="13" t="n">
        <v>-0.1</v>
      </c>
      <c r="AP2293" s="13" t="n">
        <v>-10</v>
      </c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11" t="n">
        <v>27179</v>
      </c>
      <c r="AK2294" s="12" t="n">
        <v>-1419</v>
      </c>
      <c r="AL2294" s="12" t="n">
        <v>-1602</v>
      </c>
      <c r="AM2294" s="13" t="n">
        <v>-2.3</v>
      </c>
      <c r="AN2294" s="13" t="n">
        <v>-6.5</v>
      </c>
      <c r="AO2294" s="13" t="n">
        <v>-367.2</v>
      </c>
      <c r="AP2294" s="13" t="n">
        <v>-210.1</v>
      </c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11" t="n">
        <v>311971</v>
      </c>
      <c r="AK2295" s="12" t="n">
        <v>46022</v>
      </c>
      <c r="AL2295" s="12" t="n">
        <v>56811</v>
      </c>
      <c r="AM2295" s="13" t="n">
        <v>18.3</v>
      </c>
      <c r="AN2295" s="13" t="n">
        <v>36.3</v>
      </c>
      <c r="AO2295" s="13" t="n">
        <v>3</v>
      </c>
      <c r="AP2295" s="13" t="n">
        <v>128.2</v>
      </c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11" t="n">
        <v>2738</v>
      </c>
      <c r="AK2296" s="12" t="n">
        <v>-2420</v>
      </c>
      <c r="AL2296" s="12" t="n">
        <v>-6883</v>
      </c>
      <c r="AM2296" s="13" t="n">
        <v>-15.3</v>
      </c>
      <c r="AN2296" s="13" t="inlineStr"/>
      <c r="AO2296" s="13" t="n">
        <v>-46.3</v>
      </c>
      <c r="AP2296" s="13" t="n">
        <v>-191.6</v>
      </c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11" t="inlineStr"/>
      <c r="AK2297" s="12" t="n">
        <v>-14385</v>
      </c>
      <c r="AL2297" s="12" t="n">
        <v>-14253</v>
      </c>
      <c r="AM2297" s="13" t="inlineStr"/>
      <c r="AN2297" s="13" t="inlineStr"/>
      <c r="AO2297" s="13" t="n">
        <v>-16.5</v>
      </c>
      <c r="AP2297" s="13" t="n">
        <v>-32.1</v>
      </c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11" t="n">
        <v>17778</v>
      </c>
      <c r="AK2298" s="12" t="n">
        <v>176</v>
      </c>
      <c r="AL2298" s="12" t="n">
        <v>-136</v>
      </c>
      <c r="AM2298" s="13" t="n">
        <v>20.4</v>
      </c>
      <c r="AN2298" s="13" t="n">
        <v>5</v>
      </c>
      <c r="AO2298" s="13" t="n">
        <v>118.1</v>
      </c>
      <c r="AP2298" s="13" t="n">
        <v>-86</v>
      </c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11" t="n">
        <v>5083</v>
      </c>
      <c r="AK2299" s="12" t="n">
        <v>-9647</v>
      </c>
      <c r="AL2299" s="12" t="n">
        <v>-10049</v>
      </c>
      <c r="AM2299" s="13" t="n">
        <v>-37</v>
      </c>
      <c r="AN2299" s="13" t="n">
        <v>19.8</v>
      </c>
      <c r="AO2299" s="13" t="n">
        <v>-252</v>
      </c>
      <c r="AP2299" s="13" t="n">
        <v>-104.3</v>
      </c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11" t="n">
        <v>2722</v>
      </c>
      <c r="AK2300" s="12" t="n">
        <v>-741</v>
      </c>
      <c r="AL2300" s="12" t="n">
        <v>-533</v>
      </c>
      <c r="AM2300" s="13" t="n">
        <v>7.8</v>
      </c>
      <c r="AN2300" s="13" t="n">
        <v>-6.8</v>
      </c>
      <c r="AO2300" s="13" t="n">
        <v>31.4</v>
      </c>
      <c r="AP2300" s="13" t="n">
        <v>9.699999999999999</v>
      </c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11" t="n">
        <v>10856</v>
      </c>
      <c r="AK2301" s="12" t="n">
        <v>-696</v>
      </c>
      <c r="AL2301" s="12" t="n">
        <v>193</v>
      </c>
      <c r="AM2301" s="13" t="n">
        <v>-6.3</v>
      </c>
      <c r="AN2301" s="13" t="n">
        <v>-22.4</v>
      </c>
      <c r="AO2301" s="13" t="n">
        <v>43.5</v>
      </c>
      <c r="AP2301" s="13" t="n">
        <v>50.2</v>
      </c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11" t="n">
        <v>14708</v>
      </c>
      <c r="AK2302" s="12" t="n">
        <v>2401</v>
      </c>
      <c r="AL2302" s="12" t="n">
        <v>4428</v>
      </c>
      <c r="AM2302" s="13" t="n">
        <v>53.9</v>
      </c>
      <c r="AN2302" s="13" t="n">
        <v>21.3</v>
      </c>
      <c r="AO2302" s="13" t="n">
        <v>633.6</v>
      </c>
      <c r="AP2302" s="13" t="n">
        <v>232</v>
      </c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11" t="n">
        <v>39526</v>
      </c>
      <c r="AK2303" s="12" t="n">
        <v>-63448</v>
      </c>
      <c r="AL2303" s="12" t="n">
        <v>-1327763</v>
      </c>
      <c r="AM2303" s="13" t="n">
        <v>10.2</v>
      </c>
      <c r="AN2303" s="13" t="n">
        <v>-52.2</v>
      </c>
      <c r="AO2303" s="13" t="n">
        <v>13.4</v>
      </c>
      <c r="AP2303" s="13" t="n">
        <v>-18.1</v>
      </c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11" t="n">
        <v>2756</v>
      </c>
      <c r="AK2304" s="12" t="n">
        <v>-407</v>
      </c>
      <c r="AL2304" s="12" t="n">
        <v>-264</v>
      </c>
      <c r="AM2304" s="13" t="n">
        <v>-9.800000000000001</v>
      </c>
      <c r="AN2304" s="13" t="n">
        <v>7.7</v>
      </c>
      <c r="AO2304" s="13" t="n">
        <v>-40600</v>
      </c>
      <c r="AP2304" s="13" t="n">
        <v>-15</v>
      </c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11" t="n">
        <v>65904</v>
      </c>
      <c r="AK2305" s="12" t="n">
        <v>1947</v>
      </c>
      <c r="AL2305" s="12" t="n">
        <v>-938</v>
      </c>
      <c r="AM2305" s="13" t="n">
        <v>36.4</v>
      </c>
      <c r="AN2305" s="13" t="n">
        <v>57.9</v>
      </c>
      <c r="AO2305" s="13" t="n">
        <v>-23.6</v>
      </c>
      <c r="AP2305" s="13" t="n">
        <v>-53.2</v>
      </c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11" t="n">
        <v>5382</v>
      </c>
      <c r="AK2306" s="12" t="n">
        <v>-249</v>
      </c>
      <c r="AL2306" s="12" t="n">
        <v>-211</v>
      </c>
      <c r="AM2306" s="13" t="n">
        <v>10.4</v>
      </c>
      <c r="AN2306" s="13" t="n">
        <v>7.3</v>
      </c>
      <c r="AO2306" s="13" t="n">
        <v>-49.1</v>
      </c>
      <c r="AP2306" s="13" t="n">
        <v>24.1</v>
      </c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11" t="n">
        <v>432</v>
      </c>
      <c r="AK2307" s="12" t="n">
        <v>-958</v>
      </c>
      <c r="AL2307" s="12" t="n">
        <v>-814</v>
      </c>
      <c r="AM2307" s="13" t="n">
        <v>31.3</v>
      </c>
      <c r="AN2307" s="13" t="n">
        <v>526.1</v>
      </c>
      <c r="AO2307" s="13" t="n">
        <v>40.6</v>
      </c>
      <c r="AP2307" s="13" t="n">
        <v>60.5</v>
      </c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11" t="n">
        <v>13011</v>
      </c>
      <c r="AK2308" s="12" t="n">
        <v>2895</v>
      </c>
      <c r="AL2308" s="12" t="n">
        <v>1608</v>
      </c>
      <c r="AM2308" s="13" t="n">
        <v>36.1</v>
      </c>
      <c r="AN2308" s="13" t="n">
        <v>6.8</v>
      </c>
      <c r="AO2308" s="13" t="n">
        <v>1833.5</v>
      </c>
      <c r="AP2308" s="13" t="n">
        <v>17</v>
      </c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11" t="n">
        <v>26347</v>
      </c>
      <c r="AK2309" s="12" t="n">
        <v>5143</v>
      </c>
      <c r="AL2309" s="12" t="n">
        <v>-2148</v>
      </c>
      <c r="AM2309" s="13" t="n">
        <v>98.90000000000001</v>
      </c>
      <c r="AN2309" s="13" t="n">
        <v>13.1</v>
      </c>
      <c r="AO2309" s="13" t="n">
        <v>310.1</v>
      </c>
      <c r="AP2309" s="13" t="n">
        <v>207.6</v>
      </c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11" t="n">
        <v>21552</v>
      </c>
      <c r="AK2310" s="12" t="n">
        <v>-2583</v>
      </c>
      <c r="AL2310" s="12" t="n">
        <v>98</v>
      </c>
      <c r="AM2310" s="13" t="n">
        <v>14.6</v>
      </c>
      <c r="AN2310" s="13" t="n">
        <v>2.6</v>
      </c>
      <c r="AO2310" s="13" t="n">
        <v>-530.5</v>
      </c>
      <c r="AP2310" s="13" t="n">
        <v>-158.7</v>
      </c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11" t="n">
        <v>7185</v>
      </c>
      <c r="AK2311" s="12" t="n">
        <v>2359</v>
      </c>
      <c r="AL2311" s="12" t="n">
        <v>3228</v>
      </c>
      <c r="AM2311" s="13" t="n">
        <v>584.9</v>
      </c>
      <c r="AN2311" s="13" t="inlineStr"/>
      <c r="AO2311" s="13" t="n">
        <v>178.7</v>
      </c>
      <c r="AP2311" s="13" t="n">
        <v>144.4</v>
      </c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11" t="n">
        <v>37647</v>
      </c>
      <c r="AK2312" s="12" t="n">
        <v>-2651</v>
      </c>
      <c r="AL2312" s="12" t="n">
        <v>-3159</v>
      </c>
      <c r="AM2312" s="13" t="n">
        <v>115.6</v>
      </c>
      <c r="AN2312" s="13" t="n">
        <v>50.6</v>
      </c>
      <c r="AO2312" s="13" t="n">
        <v>-350.1</v>
      </c>
      <c r="AP2312" s="13" t="n">
        <v>-1204.6</v>
      </c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11" t="n">
        <v>76814</v>
      </c>
      <c r="AK2313" s="12" t="n">
        <v>6331</v>
      </c>
      <c r="AL2313" s="12" t="n">
        <v>9298</v>
      </c>
      <c r="AM2313" s="13" t="n">
        <v>26.2</v>
      </c>
      <c r="AN2313" s="13" t="n">
        <v>20</v>
      </c>
      <c r="AO2313" s="13" t="n">
        <v>158375</v>
      </c>
      <c r="AP2313" s="13" t="n">
        <v>136.3</v>
      </c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11" t="n">
        <v>33432</v>
      </c>
      <c r="AK2314" s="12" t="n">
        <v>14321</v>
      </c>
      <c r="AL2314" s="12" t="n">
        <v>-2565</v>
      </c>
      <c r="AM2314" s="13" t="inlineStr"/>
      <c r="AN2314" s="13" t="n">
        <v>14.8</v>
      </c>
      <c r="AO2314" s="13" t="inlineStr"/>
      <c r="AP2314" s="13" t="n">
        <v>31</v>
      </c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11" t="n">
        <v>25</v>
      </c>
      <c r="AK2315" s="12" t="n">
        <v>-2931</v>
      </c>
      <c r="AL2315" s="12" t="n">
        <v>-3654</v>
      </c>
      <c r="AM2315" s="13" t="n">
        <v>13.6</v>
      </c>
      <c r="AN2315" s="13" t="n">
        <v>-92.7</v>
      </c>
      <c r="AO2315" s="13" t="n">
        <v>-3.9</v>
      </c>
      <c r="AP2315" s="13" t="n">
        <v>-27.1</v>
      </c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11" t="n">
        <v>2931</v>
      </c>
      <c r="AK2316" s="12" t="n">
        <v>-2127</v>
      </c>
      <c r="AL2316" s="12" t="n">
        <v>-2145</v>
      </c>
      <c r="AM2316" s="13" t="inlineStr"/>
      <c r="AN2316" s="13" t="inlineStr"/>
      <c r="AO2316" s="13" t="inlineStr"/>
      <c r="AP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11" t="n">
        <v>17462</v>
      </c>
      <c r="AK2317" s="12" t="n">
        <v>2103</v>
      </c>
      <c r="AL2317" s="12" t="n">
        <v>1673</v>
      </c>
      <c r="AM2317" s="13" t="n">
        <v>61.6</v>
      </c>
      <c r="AN2317" s="13" t="n">
        <v>41.3</v>
      </c>
      <c r="AO2317" s="13" t="n">
        <v>545.6</v>
      </c>
      <c r="AP2317" s="13" t="n">
        <v>74.40000000000001</v>
      </c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11" t="n">
        <v>14132</v>
      </c>
      <c r="AK2318" s="12" t="n">
        <v>1893</v>
      </c>
      <c r="AL2318" s="12" t="n">
        <v>8017</v>
      </c>
      <c r="AM2318" s="13" t="n">
        <v>70.2</v>
      </c>
      <c r="AN2318" s="13" t="n">
        <v>5.1</v>
      </c>
      <c r="AO2318" s="13" t="n">
        <v>125.6</v>
      </c>
      <c r="AP2318" s="13" t="n">
        <v>-21.7</v>
      </c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11" t="n">
        <v>10368</v>
      </c>
      <c r="AK2319" s="12" t="n">
        <v>362</v>
      </c>
      <c r="AL2319" s="12" t="n">
        <v>308</v>
      </c>
      <c r="AM2319" s="13" t="n">
        <v>20.4</v>
      </c>
      <c r="AN2319" s="13" t="n">
        <v>5.8</v>
      </c>
      <c r="AO2319" s="13" t="n">
        <v>126.1</v>
      </c>
      <c r="AP2319" s="13" t="n">
        <v>120.3</v>
      </c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11" t="n">
        <v>12573</v>
      </c>
      <c r="AK2320" s="12" t="n">
        <v>-2024</v>
      </c>
      <c r="AL2320" s="12" t="n">
        <v>-3263</v>
      </c>
      <c r="AM2320" s="13" t="n">
        <v>18.1</v>
      </c>
      <c r="AN2320" s="13" t="n">
        <v>6</v>
      </c>
      <c r="AO2320" s="13" t="n">
        <v>-378.8</v>
      </c>
      <c r="AP2320" s="13" t="n">
        <v>38.8</v>
      </c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11" t="n">
        <v>13339</v>
      </c>
      <c r="AK2321" s="12" t="n">
        <v>2699</v>
      </c>
      <c r="AL2321" s="12" t="n">
        <v>2361</v>
      </c>
      <c r="AM2321" s="13" t="n">
        <v>-6.6</v>
      </c>
      <c r="AN2321" s="13" t="n">
        <v>28.6</v>
      </c>
      <c r="AO2321" s="13" t="n">
        <v>-43.2</v>
      </c>
      <c r="AP2321" s="13" t="n">
        <v>30.1</v>
      </c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11" t="n">
        <v>6945</v>
      </c>
      <c r="AK2322" s="12" t="n">
        <v>474</v>
      </c>
      <c r="AL2322" s="12" t="n">
        <v>481</v>
      </c>
      <c r="AM2322" s="13" t="n">
        <v>-3.5</v>
      </c>
      <c r="AN2322" s="13" t="n">
        <v>16.6</v>
      </c>
      <c r="AO2322" s="13" t="n">
        <v>4.4</v>
      </c>
      <c r="AP2322" s="13" t="n">
        <v>255.9</v>
      </c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11" t="inlineStr"/>
      <c r="AK2323" s="12" t="n">
        <v>-1058</v>
      </c>
      <c r="AL2323" s="12" t="n">
        <v>-999</v>
      </c>
      <c r="AM2323" s="13" t="inlineStr"/>
      <c r="AN2323" s="13" t="inlineStr"/>
      <c r="AO2323" s="13" t="n">
        <v>55.6</v>
      </c>
      <c r="AP2323" s="13" t="n">
        <v>58.6</v>
      </c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11" t="n">
        <v>8628</v>
      </c>
      <c r="AK2324" s="12" t="n">
        <v>-494</v>
      </c>
      <c r="AL2324" s="12" t="n">
        <v>-135</v>
      </c>
      <c r="AM2324" s="13" t="n">
        <v>155.2</v>
      </c>
      <c r="AN2324" s="13" t="n">
        <v>65.59999999999999</v>
      </c>
      <c r="AO2324" s="13" t="n">
        <v>65.59999999999999</v>
      </c>
      <c r="AP2324" s="13" t="n">
        <v>64.40000000000001</v>
      </c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11" t="n">
        <v>10201</v>
      </c>
      <c r="AK2325" s="12" t="n">
        <v>-4544</v>
      </c>
      <c r="AL2325" s="12" t="n">
        <v>-4008</v>
      </c>
      <c r="AM2325" s="13" t="n">
        <v>13.5</v>
      </c>
      <c r="AN2325" s="13" t="n">
        <v>1.7</v>
      </c>
      <c r="AO2325" s="13" t="n">
        <v>-51.1</v>
      </c>
      <c r="AP2325" s="13" t="n">
        <v>-76.59999999999999</v>
      </c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11" t="n">
        <v>59822</v>
      </c>
      <c r="AK2326" s="12" t="n">
        <v>17074</v>
      </c>
      <c r="AL2326" s="12" t="n">
        <v>15990</v>
      </c>
      <c r="AM2326" s="13" t="n">
        <v>173</v>
      </c>
      <c r="AN2326" s="13" t="n">
        <v>107</v>
      </c>
      <c r="AO2326" s="13" t="n">
        <v>1252.1</v>
      </c>
      <c r="AP2326" s="13" t="n">
        <v>404.3</v>
      </c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11" t="n">
        <v>0</v>
      </c>
      <c r="AK2327" s="12" t="n">
        <v>-9739</v>
      </c>
      <c r="AL2327" s="12" t="n">
        <v>-17647</v>
      </c>
      <c r="AM2327" s="13" t="inlineStr"/>
      <c r="AN2327" s="13" t="inlineStr"/>
      <c r="AO2327" s="13" t="n">
        <v>-24.9</v>
      </c>
      <c r="AP2327" s="13" t="n">
        <v>19.8</v>
      </c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11" t="n">
        <v>12933</v>
      </c>
      <c r="AK2328" s="12" t="n">
        <v>-2997</v>
      </c>
      <c r="AL2328" s="12" t="n">
        <v>-2106</v>
      </c>
      <c r="AM2328" s="13" t="n">
        <v>-30.8</v>
      </c>
      <c r="AN2328" s="13" t="n">
        <v>-36.9</v>
      </c>
      <c r="AO2328" s="13" t="n">
        <v>-8.199999999999999</v>
      </c>
      <c r="AP2328" s="13" t="n">
        <v>-1054.5</v>
      </c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11" t="n">
        <v>55074</v>
      </c>
      <c r="AK2329" s="12" t="n">
        <v>7609</v>
      </c>
      <c r="AL2329" s="12" t="n">
        <v>6819</v>
      </c>
      <c r="AM2329" s="13" t="n">
        <v>819.6</v>
      </c>
      <c r="AN2329" s="13" t="n">
        <v>103.3</v>
      </c>
      <c r="AO2329" s="13" t="n">
        <v>299.5</v>
      </c>
      <c r="AP2329" s="13" t="n">
        <v>167.7</v>
      </c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11" t="n">
        <v>1937</v>
      </c>
      <c r="AK2330" s="12" t="n">
        <v>-2754</v>
      </c>
      <c r="AL2330" s="12" t="n">
        <v>-2762</v>
      </c>
      <c r="AM2330" s="13" t="n">
        <v>89.5</v>
      </c>
      <c r="AN2330" s="13" t="n">
        <v>776.5</v>
      </c>
      <c r="AO2330" s="13" t="n">
        <v>5.5</v>
      </c>
      <c r="AP2330" s="13" t="n">
        <v>-3.5</v>
      </c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11" t="n">
        <v>26788</v>
      </c>
      <c r="AK2331" s="12" t="n">
        <v>-3043</v>
      </c>
      <c r="AL2331" s="12" t="n">
        <v>-3221</v>
      </c>
      <c r="AM2331" s="13" t="n">
        <v>-11.6</v>
      </c>
      <c r="AN2331" s="13" t="n">
        <v>-8.199999999999999</v>
      </c>
      <c r="AO2331" s="13" t="n">
        <v>-884.3</v>
      </c>
      <c r="AP2331" s="13" t="n">
        <v>-851.4</v>
      </c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11" t="n">
        <v>5801</v>
      </c>
      <c r="AK2332" s="12" t="n">
        <v>-319</v>
      </c>
      <c r="AL2332" s="12" t="n">
        <v>-161</v>
      </c>
      <c r="AM2332" s="13" t="n">
        <v>30.7</v>
      </c>
      <c r="AN2332" s="13" t="n">
        <v>-21.7</v>
      </c>
      <c r="AO2332" s="13" t="n">
        <v>61.9</v>
      </c>
      <c r="AP2332" s="13" t="n">
        <v>-35.2</v>
      </c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11" t="n">
        <v>2659</v>
      </c>
      <c r="AK2333" s="12" t="n">
        <v>-2290</v>
      </c>
      <c r="AL2333" s="12" t="n">
        <v>-3874</v>
      </c>
      <c r="AM2333" s="13" t="n">
        <v>-32.3</v>
      </c>
      <c r="AN2333" s="13" t="n">
        <v>4.9</v>
      </c>
      <c r="AO2333" s="13" t="n">
        <v>-112.4</v>
      </c>
      <c r="AP2333" s="13" t="n">
        <v>-32.4</v>
      </c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11" t="n">
        <v>7560249</v>
      </c>
      <c r="AK2334" s="12" t="n">
        <v>113302</v>
      </c>
      <c r="AL2334" s="12" t="n">
        <v>-328644</v>
      </c>
      <c r="AM2334" s="13" t="n">
        <v>15.3</v>
      </c>
      <c r="AN2334" s="13" t="n">
        <v>35.8</v>
      </c>
      <c r="AO2334" s="13" t="n">
        <v>154.5</v>
      </c>
      <c r="AP2334" s="13" t="n">
        <v>-77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11" t="n">
        <v>1802922</v>
      </c>
      <c r="AK2335" s="12" t="n">
        <v>159428</v>
      </c>
      <c r="AL2335" s="12" t="n">
        <v>129720</v>
      </c>
      <c r="AM2335" s="13" t="n">
        <v>4.5</v>
      </c>
      <c r="AN2335" s="13" t="n">
        <v>-9.5</v>
      </c>
      <c r="AO2335" s="13" t="n">
        <v>1.3</v>
      </c>
      <c r="AP2335" s="13" t="n">
        <v>26.3</v>
      </c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11" t="n">
        <v>8438</v>
      </c>
      <c r="AK2336" s="12" t="n">
        <v>1203</v>
      </c>
      <c r="AL2336" s="12" t="n">
        <v>2389</v>
      </c>
      <c r="AM2336" s="13" t="n">
        <v>27.8</v>
      </c>
      <c r="AN2336" s="13" t="n">
        <v>-15.2</v>
      </c>
      <c r="AO2336" s="13" t="n">
        <v>3659.4</v>
      </c>
      <c r="AP2336" s="13" t="n">
        <v>139.2</v>
      </c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11" t="n">
        <v>4575</v>
      </c>
      <c r="AK2337" s="12" t="n">
        <v>-2859</v>
      </c>
      <c r="AL2337" s="12" t="n">
        <v>1405</v>
      </c>
      <c r="AM2337" s="13" t="n">
        <v>-7.4</v>
      </c>
      <c r="AN2337" s="13" t="n">
        <v>60.8</v>
      </c>
      <c r="AO2337" s="13" t="n">
        <v>25.6</v>
      </c>
      <c r="AP2337" s="13" t="n">
        <v>1.5</v>
      </c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11" t="n">
        <v>47985</v>
      </c>
      <c r="AK2338" s="12" t="n">
        <v>1551</v>
      </c>
      <c r="AL2338" s="12" t="n">
        <v>2686</v>
      </c>
      <c r="AM2338" s="13" t="n">
        <v>10.6</v>
      </c>
      <c r="AN2338" s="13" t="n">
        <v>-3.6</v>
      </c>
      <c r="AO2338" s="13" t="n">
        <v>-9.9</v>
      </c>
      <c r="AP2338" s="13" t="n">
        <v>683.3</v>
      </c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11" t="n">
        <v>23352</v>
      </c>
      <c r="AK2339" s="12" t="n">
        <v>9406</v>
      </c>
      <c r="AL2339" s="12" t="n">
        <v>4532</v>
      </c>
      <c r="AM2339" s="13" t="n">
        <v>-0.2</v>
      </c>
      <c r="AN2339" s="13" t="n">
        <v>15.7</v>
      </c>
      <c r="AO2339" s="13" t="n">
        <v>-3</v>
      </c>
      <c r="AP2339" s="13" t="n">
        <v>26.4</v>
      </c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11" t="n">
        <v>8216</v>
      </c>
      <c r="AK2340" s="12" t="n">
        <v>-13453</v>
      </c>
      <c r="AL2340" s="12" t="n">
        <v>-9343</v>
      </c>
      <c r="AM2340" s="13" t="n">
        <v>1.9</v>
      </c>
      <c r="AN2340" s="13" t="n">
        <v>36.6</v>
      </c>
      <c r="AO2340" s="13" t="n">
        <v>-472.2</v>
      </c>
      <c r="AP2340" s="13" t="n">
        <v>-61250</v>
      </c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11" t="n">
        <v>1008</v>
      </c>
      <c r="AK2341" s="12" t="n">
        <v>-4802</v>
      </c>
      <c r="AL2341" s="12" t="n">
        <v>-4691</v>
      </c>
      <c r="AM2341" s="13" t="n">
        <v>213</v>
      </c>
      <c r="AN2341" s="13" t="n">
        <v>-28.1</v>
      </c>
      <c r="AO2341" s="13" t="n">
        <v>1.1</v>
      </c>
      <c r="AP2341" s="13" t="n">
        <v>4.1</v>
      </c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11" t="n">
        <v>11735</v>
      </c>
      <c r="AK2342" s="12" t="n">
        <v>1717</v>
      </c>
      <c r="AL2342" s="12" t="n">
        <v>2261</v>
      </c>
      <c r="AM2342" s="13" t="n">
        <v>31.9</v>
      </c>
      <c r="AN2342" s="13" t="n">
        <v>21.4</v>
      </c>
      <c r="AO2342" s="13" t="n">
        <v>274.7</v>
      </c>
      <c r="AP2342" s="13" t="n">
        <v>227.7</v>
      </c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11" t="n">
        <v>4532</v>
      </c>
      <c r="AK2343" s="12" t="n">
        <v>-779</v>
      </c>
      <c r="AL2343" s="12" t="n">
        <v>-9033</v>
      </c>
      <c r="AM2343" s="13" t="n">
        <v>-26.1</v>
      </c>
      <c r="AN2343" s="13" t="n">
        <v>-27.1</v>
      </c>
      <c r="AO2343" s="13" t="n">
        <v>29.5</v>
      </c>
      <c r="AP2343" s="13" t="n">
        <v>71.59999999999999</v>
      </c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11" t="n">
        <v>14771</v>
      </c>
      <c r="AK2344" s="12" t="n">
        <v>10441</v>
      </c>
      <c r="AL2344" s="12" t="n">
        <v>2635</v>
      </c>
      <c r="AM2344" s="13" t="inlineStr"/>
      <c r="AN2344" s="13" t="inlineStr"/>
      <c r="AO2344" s="13" t="inlineStr"/>
      <c r="AP2344" s="13" t="n">
        <v>10.3</v>
      </c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11" t="n">
        <v>14665</v>
      </c>
      <c r="AK2345" s="12" t="n">
        <v>-553</v>
      </c>
      <c r="AL2345" s="12" t="n">
        <v>-1200</v>
      </c>
      <c r="AM2345" s="13" t="n">
        <v>-23.5</v>
      </c>
      <c r="AN2345" s="13" t="n">
        <v>-7.5</v>
      </c>
      <c r="AO2345" s="13" t="n">
        <v>83.2</v>
      </c>
      <c r="AP2345" s="13" t="n">
        <v>85.59999999999999</v>
      </c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11" t="n">
        <v>335079</v>
      </c>
      <c r="AK2346" s="12" t="n">
        <v>58603</v>
      </c>
      <c r="AL2346" s="12" t="n">
        <v>49596</v>
      </c>
      <c r="AM2346" s="13" t="n">
        <v>11.6</v>
      </c>
      <c r="AN2346" s="13" t="n">
        <v>40.6</v>
      </c>
      <c r="AO2346" s="13" t="n">
        <v>81.7</v>
      </c>
      <c r="AP2346" s="13" t="n">
        <v>528.2</v>
      </c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11" t="n">
        <v>3483</v>
      </c>
      <c r="AK2347" s="12" t="n">
        <v>-2321</v>
      </c>
      <c r="AL2347" s="12" t="n">
        <v>-2110</v>
      </c>
      <c r="AM2347" s="13" t="n">
        <v>144.9</v>
      </c>
      <c r="AN2347" s="13" t="n">
        <v>173</v>
      </c>
      <c r="AO2347" s="13" t="n">
        <v>32.9</v>
      </c>
      <c r="AP2347" s="13" t="n">
        <v>83.7</v>
      </c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11" t="n">
        <v>14114</v>
      </c>
      <c r="AK2348" s="12" t="n">
        <v>4861</v>
      </c>
      <c r="AL2348" s="12" t="n">
        <v>4839</v>
      </c>
      <c r="AM2348" s="13" t="n">
        <v>-6.1</v>
      </c>
      <c r="AN2348" s="13" t="inlineStr"/>
      <c r="AO2348" s="13" t="n">
        <v>-12.4</v>
      </c>
      <c r="AP2348" s="13" t="n">
        <v>-23.5</v>
      </c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11" t="n">
        <v>23530</v>
      </c>
      <c r="AK2349" s="12" t="n">
        <v>-700</v>
      </c>
      <c r="AL2349" s="12" t="n">
        <v>-1975</v>
      </c>
      <c r="AM2349" s="13" t="n">
        <v>22.4</v>
      </c>
      <c r="AN2349" s="13" t="n">
        <v>0.7</v>
      </c>
      <c r="AO2349" s="13" t="n">
        <v>49.8</v>
      </c>
      <c r="AP2349" s="13" t="n">
        <v>-173.9</v>
      </c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11" t="n">
        <v>962</v>
      </c>
      <c r="AK2350" s="12" t="n">
        <v>-3014</v>
      </c>
      <c r="AL2350" s="12" t="n">
        <v>-1352</v>
      </c>
      <c r="AM2350" s="13" t="n">
        <v>-43.8</v>
      </c>
      <c r="AN2350" s="13" t="n">
        <v>-58.2</v>
      </c>
      <c r="AO2350" s="13" t="n">
        <v>-44.5</v>
      </c>
      <c r="AP2350" s="13" t="n">
        <v>-88</v>
      </c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11" t="n">
        <v>36368</v>
      </c>
      <c r="AK2351" s="12" t="n">
        <v>8457</v>
      </c>
      <c r="AL2351" s="12" t="n">
        <v>9072</v>
      </c>
      <c r="AM2351" s="13" t="n">
        <v>11.7</v>
      </c>
      <c r="AN2351" s="13" t="n">
        <v>12.2</v>
      </c>
      <c r="AO2351" s="13" t="n">
        <v>33.3</v>
      </c>
      <c r="AP2351" s="13" t="n">
        <v>33.2</v>
      </c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11" t="n">
        <v>2391</v>
      </c>
      <c r="AK2352" s="12" t="n">
        <v>-7144</v>
      </c>
      <c r="AL2352" s="12" t="n">
        <v>-3797</v>
      </c>
      <c r="AM2352" s="13" t="n">
        <v>37.6</v>
      </c>
      <c r="AN2352" s="13" t="n">
        <v>-89.59999999999999</v>
      </c>
      <c r="AO2352" s="13" t="n">
        <v>-84</v>
      </c>
      <c r="AP2352" s="13" t="n">
        <v>-85.40000000000001</v>
      </c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11" t="n">
        <v>41</v>
      </c>
      <c r="AK2353" s="12" t="n">
        <v>-3115</v>
      </c>
      <c r="AL2353" s="12" t="n">
        <v>-3697</v>
      </c>
      <c r="AM2353" s="13" t="n">
        <v>-36.9</v>
      </c>
      <c r="AN2353" s="13" t="inlineStr"/>
      <c r="AO2353" s="13" t="n">
        <v>15.1</v>
      </c>
      <c r="AP2353" s="13" t="n">
        <v>7.6</v>
      </c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11" t="n">
        <v>201186</v>
      </c>
      <c r="AK2354" s="12" t="n">
        <v>10561</v>
      </c>
      <c r="AL2354" s="12" t="n">
        <v>8227</v>
      </c>
      <c r="AM2354" s="13" t="n">
        <v>8.9</v>
      </c>
      <c r="AN2354" s="13" t="n">
        <v>10.8</v>
      </c>
      <c r="AO2354" s="13" t="n">
        <v>16.6</v>
      </c>
      <c r="AP2354" s="13" t="n">
        <v>97.2</v>
      </c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11" t="n">
        <v>3388</v>
      </c>
      <c r="AK2355" s="12" t="n">
        <v>-1873</v>
      </c>
      <c r="AL2355" s="12" t="n">
        <v>-9701</v>
      </c>
      <c r="AM2355" s="13" t="n">
        <v>-71.5</v>
      </c>
      <c r="AN2355" s="13" t="n">
        <v>64.09999999999999</v>
      </c>
      <c r="AO2355" s="13" t="n">
        <v>-183.4</v>
      </c>
      <c r="AP2355" s="13" t="n">
        <v>27.2</v>
      </c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11" t="n">
        <v>782</v>
      </c>
      <c r="AK2356" s="12" t="n">
        <v>-5232</v>
      </c>
      <c r="AL2356" s="12" t="n">
        <v>-5660</v>
      </c>
      <c r="AM2356" s="13" t="n">
        <v>62.6</v>
      </c>
      <c r="AN2356" s="13" t="n">
        <v>3.6</v>
      </c>
      <c r="AO2356" s="13" t="n">
        <v>10</v>
      </c>
      <c r="AP2356" s="13" t="n">
        <v>-55.3</v>
      </c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11" t="n">
        <v>4477</v>
      </c>
      <c r="AK2357" s="12" t="n">
        <v>-2530</v>
      </c>
      <c r="AL2357" s="12" t="n">
        <v>-566</v>
      </c>
      <c r="AM2357" s="13" t="n">
        <v>3.7</v>
      </c>
      <c r="AN2357" s="13" t="n">
        <v>-36.7</v>
      </c>
      <c r="AO2357" s="13" t="n">
        <v>18.6</v>
      </c>
      <c r="AP2357" s="13" t="n">
        <v>13.1</v>
      </c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11" t="n">
        <v>439157</v>
      </c>
      <c r="AK2358" s="12" t="n">
        <v>-33635</v>
      </c>
      <c r="AL2358" s="12" t="n">
        <v>-27103</v>
      </c>
      <c r="AM2358" s="13" t="n">
        <v>-23.2</v>
      </c>
      <c r="AN2358" s="13" t="n">
        <v>-27.9</v>
      </c>
      <c r="AO2358" s="13" t="n">
        <v>-336.7</v>
      </c>
      <c r="AP2358" s="13" t="n">
        <v>-285.6</v>
      </c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11" t="inlineStr"/>
      <c r="AK2359" s="12" t="n">
        <v>-2698</v>
      </c>
      <c r="AL2359" s="12" t="n">
        <v>1011</v>
      </c>
      <c r="AM2359" s="13" t="inlineStr"/>
      <c r="AN2359" s="13" t="inlineStr"/>
      <c r="AO2359" s="13" t="n">
        <v>-7.3</v>
      </c>
      <c r="AP2359" s="13" t="n">
        <v>-44.4</v>
      </c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11" t="n">
        <v>9586</v>
      </c>
      <c r="AK2360" s="12" t="n">
        <v>-530</v>
      </c>
      <c r="AL2360" s="12" t="n">
        <v>365</v>
      </c>
      <c r="AM2360" s="13" t="n">
        <v>-5</v>
      </c>
      <c r="AN2360" s="13" t="n">
        <v>-15.5</v>
      </c>
      <c r="AO2360" s="13" t="n">
        <v>-202.5</v>
      </c>
      <c r="AP2360" s="13" t="n">
        <v>-136.5</v>
      </c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11" t="n">
        <v>36664</v>
      </c>
      <c r="AK2361" s="12" t="n">
        <v>5079</v>
      </c>
      <c r="AL2361" s="12" t="n">
        <v>5116</v>
      </c>
      <c r="AM2361" s="13" t="n">
        <v>-12.2</v>
      </c>
      <c r="AN2361" s="13" t="n">
        <v>43.9</v>
      </c>
      <c r="AO2361" s="13" t="n">
        <v>-43.8</v>
      </c>
      <c r="AP2361" s="13" t="n">
        <v>117.4</v>
      </c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11" t="n">
        <v>3464</v>
      </c>
      <c r="AK2362" s="12" t="n">
        <v>-14229</v>
      </c>
      <c r="AL2362" s="12" t="n">
        <v>-18805</v>
      </c>
      <c r="AM2362" s="13" t="n">
        <v>469.7</v>
      </c>
      <c r="AN2362" s="13" t="n">
        <v>-85.5</v>
      </c>
      <c r="AO2362" s="13" t="n">
        <v>-217.9</v>
      </c>
      <c r="AP2362" s="13" t="n">
        <v>-506.9</v>
      </c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11" t="n">
        <v>17825</v>
      </c>
      <c r="AK2363" s="12" t="n">
        <v>-3233</v>
      </c>
      <c r="AL2363" s="12" t="n">
        <v>-3988</v>
      </c>
      <c r="AM2363" s="13" t="n">
        <v>252.7</v>
      </c>
      <c r="AN2363" s="13" t="n">
        <v>152.4</v>
      </c>
      <c r="AO2363" s="13" t="n">
        <v>-50.7</v>
      </c>
      <c r="AP2363" s="13" t="n">
        <v>-2172.4</v>
      </c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11" t="n">
        <v>399622</v>
      </c>
      <c r="AK2364" s="12" t="n">
        <v>86499</v>
      </c>
      <c r="AL2364" s="12" t="n">
        <v>72988</v>
      </c>
      <c r="AM2364" s="13" t="n">
        <v>-28.8</v>
      </c>
      <c r="AN2364" s="13" t="n">
        <v>5.5</v>
      </c>
      <c r="AO2364" s="13" t="n">
        <v>-43.6</v>
      </c>
      <c r="AP2364" s="13" t="n">
        <v>2.9</v>
      </c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11" t="n">
        <v>51528</v>
      </c>
      <c r="AK2365" s="12" t="n">
        <v>5762</v>
      </c>
      <c r="AL2365" s="12" t="n">
        <v>5072</v>
      </c>
      <c r="AM2365" s="13" t="n">
        <v>48.6</v>
      </c>
      <c r="AN2365" s="13" t="n">
        <v>32.1</v>
      </c>
      <c r="AO2365" s="13" t="n">
        <v>14.6</v>
      </c>
      <c r="AP2365" s="13" t="n">
        <v>57.3</v>
      </c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11" t="n">
        <v>17286</v>
      </c>
      <c r="AK2366" s="12" t="n">
        <v>60337</v>
      </c>
      <c r="AL2366" s="12" t="n">
        <v>56551</v>
      </c>
      <c r="AM2366" s="13" t="n">
        <v>20.2</v>
      </c>
      <c r="AN2366" s="13" t="n">
        <v>70.5</v>
      </c>
      <c r="AO2366" s="13" t="n">
        <v>45</v>
      </c>
      <c r="AP2366" s="13" t="n">
        <v>42.1</v>
      </c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11" t="n">
        <v>11294</v>
      </c>
      <c r="AK2367" s="12" t="n">
        <v>-6565</v>
      </c>
      <c r="AL2367" s="12" t="n">
        <v>-4104</v>
      </c>
      <c r="AM2367" s="13" t="n">
        <v>11.5</v>
      </c>
      <c r="AN2367" s="13" t="n">
        <v>12.3</v>
      </c>
      <c r="AO2367" s="13" t="n">
        <v>-83.2</v>
      </c>
      <c r="AP2367" s="13" t="n">
        <v>-232.9</v>
      </c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11" t="inlineStr"/>
      <c r="AK2368" s="12" t="n">
        <v>-2369</v>
      </c>
      <c r="AL2368" s="12" t="n">
        <v>-3724</v>
      </c>
      <c r="AM2368" s="13" t="inlineStr"/>
      <c r="AN2368" s="13" t="inlineStr"/>
      <c r="AO2368" s="13" t="n">
        <v>23.7</v>
      </c>
      <c r="AP2368" s="13" t="n">
        <v>26.6</v>
      </c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11" t="n">
        <v>4031</v>
      </c>
      <c r="AK2369" s="12" t="n">
        <v>790</v>
      </c>
      <c r="AL2369" s="12" t="n">
        <v>777</v>
      </c>
      <c r="AM2369" s="13" t="n">
        <v>80.59999999999999</v>
      </c>
      <c r="AN2369" s="13" t="n">
        <v>63.9</v>
      </c>
      <c r="AO2369" s="13" t="n">
        <v>205.2</v>
      </c>
      <c r="AP2369" s="13" t="n">
        <v>250.8</v>
      </c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11" t="n">
        <v>6184</v>
      </c>
      <c r="AK2370" s="12" t="n">
        <v>2833</v>
      </c>
      <c r="AL2370" s="12" t="n">
        <v>1859</v>
      </c>
      <c r="AM2370" s="13" t="inlineStr"/>
      <c r="AN2370" s="13" t="inlineStr"/>
      <c r="AO2370" s="13" t="inlineStr"/>
      <c r="AP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11" t="n">
        <v>10417</v>
      </c>
      <c r="AK2371" s="12" t="n">
        <v>413</v>
      </c>
      <c r="AL2371" s="12" t="n">
        <v>349</v>
      </c>
      <c r="AM2371" s="13" t="n">
        <v>-45.7</v>
      </c>
      <c r="AN2371" s="13" t="n">
        <v>-26.8</v>
      </c>
      <c r="AO2371" s="13" t="n">
        <v>-81.8</v>
      </c>
      <c r="AP2371" s="13" t="n">
        <v>-29.8</v>
      </c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11" t="n">
        <v>47897</v>
      </c>
      <c r="AK2372" s="12" t="n">
        <v>15575</v>
      </c>
      <c r="AL2372" s="12" t="n">
        <v>10087</v>
      </c>
      <c r="AM2372" s="13" t="n">
        <v>8.6</v>
      </c>
      <c r="AN2372" s="13" t="n">
        <v>-38.1</v>
      </c>
      <c r="AO2372" s="13" t="n">
        <v>15.3</v>
      </c>
      <c r="AP2372" s="13" t="n">
        <v>-40.8</v>
      </c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11" t="n">
        <v>5464</v>
      </c>
      <c r="AK2373" s="12" t="n">
        <v>581</v>
      </c>
      <c r="AL2373" s="12" t="n">
        <v>417</v>
      </c>
      <c r="AM2373" s="13" t="n">
        <v>8.4</v>
      </c>
      <c r="AN2373" s="13" t="n">
        <v>21.7</v>
      </c>
      <c r="AO2373" s="13" t="n">
        <v>25.2</v>
      </c>
      <c r="AP2373" s="13" t="n">
        <v>201</v>
      </c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11" t="inlineStr"/>
      <c r="AK2374" s="12" t="n">
        <v>-1457</v>
      </c>
      <c r="AL2374" s="12" t="n">
        <v>-1283</v>
      </c>
      <c r="AM2374" s="13" t="inlineStr"/>
      <c r="AN2374" s="13" t="inlineStr"/>
      <c r="AO2374" s="13" t="n">
        <v>64.59999999999999</v>
      </c>
      <c r="AP2374" s="13" t="n">
        <v>64.7</v>
      </c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11" t="n">
        <v>4530</v>
      </c>
      <c r="AK2375" s="12" t="n">
        <v>128</v>
      </c>
      <c r="AL2375" s="12" t="n">
        <v>113</v>
      </c>
      <c r="AM2375" s="13" t="n">
        <v>67.8</v>
      </c>
      <c r="AN2375" s="13" t="n">
        <v>78.09999999999999</v>
      </c>
      <c r="AO2375" s="13" t="n">
        <v>114.5</v>
      </c>
      <c r="AP2375" s="13" t="n">
        <v>112</v>
      </c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11" t="inlineStr"/>
      <c r="AK2376" s="12" t="n">
        <v>-2280</v>
      </c>
      <c r="AL2376" s="12" t="n">
        <v>-2335</v>
      </c>
      <c r="AM2376" s="13" t="inlineStr"/>
      <c r="AN2376" s="13" t="inlineStr"/>
      <c r="AO2376" s="13" t="n">
        <v>3.7</v>
      </c>
      <c r="AP2376" s="13" t="n">
        <v>6.2</v>
      </c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11" t="n">
        <v>6095</v>
      </c>
      <c r="AK2377" s="12" t="n">
        <v>-314</v>
      </c>
      <c r="AL2377" s="12" t="n">
        <v>-240</v>
      </c>
      <c r="AM2377" s="13" t="n">
        <v>17.6</v>
      </c>
      <c r="AN2377" s="13" t="n">
        <v>125.7</v>
      </c>
      <c r="AO2377" s="13" t="n">
        <v>79.7</v>
      </c>
      <c r="AP2377" s="13" t="n">
        <v>80.8</v>
      </c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11" t="n">
        <v>3607</v>
      </c>
      <c r="AK2378" s="12" t="n">
        <v>-4595</v>
      </c>
      <c r="AL2378" s="12" t="n">
        <v>-7746</v>
      </c>
      <c r="AM2378" s="13" t="n">
        <v>51.2</v>
      </c>
      <c r="AN2378" s="13" t="n">
        <v>40.4</v>
      </c>
      <c r="AO2378" s="13" t="n">
        <v>-124.4</v>
      </c>
      <c r="AP2378" s="13" t="n">
        <v>-14.8</v>
      </c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11" t="inlineStr"/>
      <c r="AK2379" s="12" t="n">
        <v>-603</v>
      </c>
      <c r="AL2379" s="12" t="n">
        <v>-565</v>
      </c>
      <c r="AM2379" s="13" t="inlineStr"/>
      <c r="AN2379" s="13" t="inlineStr"/>
      <c r="AO2379" s="13" t="n">
        <v>75.90000000000001</v>
      </c>
      <c r="AP2379" s="13" t="n">
        <v>-577.5</v>
      </c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11" t="n">
        <v>25346</v>
      </c>
      <c r="AK2380" s="12" t="n">
        <v>3397</v>
      </c>
      <c r="AL2380" s="12" t="n">
        <v>16526</v>
      </c>
      <c r="AM2380" s="13" t="n">
        <v>-17.7</v>
      </c>
      <c r="AN2380" s="13" t="n">
        <v>14.9</v>
      </c>
      <c r="AO2380" s="13" t="n">
        <v>-81.09999999999999</v>
      </c>
      <c r="AP2380" s="13" t="n">
        <v>13.7</v>
      </c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11" t="n">
        <v>176</v>
      </c>
      <c r="AK2381" s="12" t="n">
        <v>-10285</v>
      </c>
      <c r="AL2381" s="12" t="n">
        <v>-4223</v>
      </c>
      <c r="AM2381" s="13" t="n">
        <v>-55.2</v>
      </c>
      <c r="AN2381" s="13" t="n">
        <v>-79.7</v>
      </c>
      <c r="AO2381" s="13" t="n">
        <v>-22.7</v>
      </c>
      <c r="AP2381" s="13" t="n">
        <v>-27.7</v>
      </c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11" t="n">
        <v>2704</v>
      </c>
      <c r="AK2382" s="12" t="n">
        <v>-2952</v>
      </c>
      <c r="AL2382" s="12" t="n">
        <v>-3228</v>
      </c>
      <c r="AM2382" s="13" t="n">
        <v>52.6</v>
      </c>
      <c r="AN2382" s="13" t="n">
        <v>47</v>
      </c>
      <c r="AO2382" s="13" t="n">
        <v>-59.7</v>
      </c>
      <c r="AP2382" s="13" t="n">
        <v>-53.3</v>
      </c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11" t="n">
        <v>4936</v>
      </c>
      <c r="AK2383" s="12" t="n">
        <v>-1034</v>
      </c>
      <c r="AL2383" s="12" t="n">
        <v>-633</v>
      </c>
      <c r="AM2383" s="13" t="n">
        <v>19.8</v>
      </c>
      <c r="AN2383" s="13" t="n">
        <v>24.3</v>
      </c>
      <c r="AO2383" s="13" t="n">
        <v>13.2</v>
      </c>
      <c r="AP2383" s="13" t="n">
        <v>-5023.8</v>
      </c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11" t="n">
        <v>743</v>
      </c>
      <c r="AK2384" s="12" t="n">
        <v>-693</v>
      </c>
      <c r="AL2384" s="12" t="n">
        <v>-627</v>
      </c>
      <c r="AM2384" s="13" t="n">
        <v>-16.5</v>
      </c>
      <c r="AN2384" s="13" t="n">
        <v>-5.8</v>
      </c>
      <c r="AO2384" s="13" t="n">
        <v>-24</v>
      </c>
      <c r="AP2384" s="13" t="n">
        <v>47.5</v>
      </c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11" t="n">
        <v>4930</v>
      </c>
      <c r="AK2385" s="12" t="n">
        <v>-1560</v>
      </c>
      <c r="AL2385" s="12" t="n">
        <v>-5715</v>
      </c>
      <c r="AM2385" s="13" t="n">
        <v>-42.7</v>
      </c>
      <c r="AN2385" s="13" t="n">
        <v>-15.9</v>
      </c>
      <c r="AO2385" s="13" t="n">
        <v>-883.9</v>
      </c>
      <c r="AP2385" s="13" t="n">
        <v>10.6</v>
      </c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11" t="n">
        <v>8416</v>
      </c>
      <c r="AK2386" s="12" t="n">
        <v>21</v>
      </c>
      <c r="AL2386" s="12" t="n">
        <v>-364</v>
      </c>
      <c r="AM2386" s="13" t="n">
        <v>1.6</v>
      </c>
      <c r="AN2386" s="13" t="n">
        <v>43.6</v>
      </c>
      <c r="AO2386" s="13" t="n">
        <v>-91.2</v>
      </c>
      <c r="AP2386" s="13" t="n">
        <v>102.8</v>
      </c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11" t="n">
        <v>36237</v>
      </c>
      <c r="AK2387" s="12" t="n">
        <v>-15499</v>
      </c>
      <c r="AL2387" s="12" t="n">
        <v>810</v>
      </c>
      <c r="AM2387" s="13" t="n">
        <v>-15.5</v>
      </c>
      <c r="AN2387" s="13" t="n">
        <v>-5.1</v>
      </c>
      <c r="AO2387" s="13" t="n">
        <v>24.4</v>
      </c>
      <c r="AP2387" s="13" t="n">
        <v>40.4</v>
      </c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11" t="n">
        <v>27002</v>
      </c>
      <c r="AK2388" s="12" t="n">
        <v>-560</v>
      </c>
      <c r="AL2388" s="12" t="n">
        <v>-930</v>
      </c>
      <c r="AM2388" s="13" t="n">
        <v>2.6</v>
      </c>
      <c r="AN2388" s="13" t="n">
        <v>119.2</v>
      </c>
      <c r="AO2388" s="13" t="n">
        <v>88.59999999999999</v>
      </c>
      <c r="AP2388" s="13" t="n">
        <v>88.5</v>
      </c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11" t="n">
        <v>2942</v>
      </c>
      <c r="AK2389" s="12" t="n">
        <v>-6254</v>
      </c>
      <c r="AL2389" s="12" t="n">
        <v>-6107</v>
      </c>
      <c r="AM2389" s="13" t="n">
        <v>10</v>
      </c>
      <c r="AN2389" s="13" t="n">
        <v>13.3</v>
      </c>
      <c r="AO2389" s="13" t="n">
        <v>30.6</v>
      </c>
      <c r="AP2389" s="13" t="n">
        <v>28.6</v>
      </c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11" t="n">
        <v>1687</v>
      </c>
      <c r="AK2390" s="12" t="inlineStr"/>
      <c r="AL2390" s="12" t="inlineStr"/>
      <c r="AM2390" s="13" t="n">
        <v>65.2</v>
      </c>
      <c r="AN2390" s="13" t="inlineStr"/>
      <c r="AO2390" s="13" t="inlineStr"/>
      <c r="AP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11" t="n">
        <v>3795</v>
      </c>
      <c r="AK2391" s="12" t="n">
        <v>-1667</v>
      </c>
      <c r="AL2391" s="12" t="n">
        <v>6718</v>
      </c>
      <c r="AM2391" s="13" t="n">
        <v>12.8</v>
      </c>
      <c r="AN2391" s="13" t="n">
        <v>46.4</v>
      </c>
      <c r="AO2391" s="13" t="n">
        <v>-0.4</v>
      </c>
      <c r="AP2391" s="13" t="n">
        <v>-4.6</v>
      </c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3" t="n">
        <v>16.1</v>
      </c>
      <c r="AN2392" s="13" t="n">
        <v>27.8</v>
      </c>
      <c r="AO2392" s="13" t="n">
        <v>16</v>
      </c>
      <c r="AP2392" s="13" t="n">
        <v>24.7</v>
      </c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11" t="n">
        <v>13208</v>
      </c>
      <c r="AK2393" s="12" t="n">
        <v>-590</v>
      </c>
      <c r="AL2393" s="12" t="n">
        <v>-711</v>
      </c>
      <c r="AM2393" s="13" t="n">
        <v>13.2</v>
      </c>
      <c r="AN2393" s="13" t="n">
        <v>40.6</v>
      </c>
      <c r="AO2393" s="13" t="n">
        <v>75.7</v>
      </c>
      <c r="AP2393" s="13" t="n">
        <v>78.8</v>
      </c>
    </row>
    <row r="2394">
      <c r="A2394" s="5" t="inlineStr">
        <is>
          <t>HT로보틱스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11" t="n">
        <v>37449</v>
      </c>
      <c r="AK2394" s="12" t="n">
        <v>2041</v>
      </c>
      <c r="AL2394" s="12" t="n">
        <v>3194</v>
      </c>
      <c r="AM2394" s="13" t="n">
        <v>11.4</v>
      </c>
      <c r="AN2394" s="13" t="n">
        <v>104.6</v>
      </c>
      <c r="AO2394" s="13" t="n">
        <v>23.4</v>
      </c>
      <c r="AP2394" s="13" t="n">
        <v>256.8</v>
      </c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11" t="n">
        <v>7705</v>
      </c>
      <c r="AK2395" s="12" t="n">
        <v>2077</v>
      </c>
      <c r="AL2395" s="12" t="n">
        <v>1918</v>
      </c>
      <c r="AM2395" s="13" t="n">
        <v>77.90000000000001</v>
      </c>
      <c r="AN2395" s="13" t="n">
        <v>241.1</v>
      </c>
      <c r="AO2395" s="13" t="n">
        <v>117.5</v>
      </c>
      <c r="AP2395" s="13" t="n">
        <v>7792.6</v>
      </c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11" t="n">
        <v>5941</v>
      </c>
      <c r="AK2396" s="12" t="n">
        <v>2784</v>
      </c>
      <c r="AL2396" s="12" t="n">
        <v>-7770</v>
      </c>
      <c r="AM2396" s="13" t="inlineStr"/>
      <c r="AN2396" s="13" t="n">
        <v>-13.3</v>
      </c>
      <c r="AO2396" s="13" t="inlineStr"/>
      <c r="AP2396" s="13" t="n">
        <v>2.7</v>
      </c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11" t="inlineStr"/>
      <c r="AK2397" s="12" t="n">
        <v>-2915</v>
      </c>
      <c r="AL2397" s="12" t="n">
        <v>-1985</v>
      </c>
      <c r="AM2397" s="13" t="inlineStr"/>
      <c r="AN2397" s="13" t="inlineStr"/>
      <c r="AO2397" s="13" t="n">
        <v>-32.9</v>
      </c>
      <c r="AP2397" s="13" t="n">
        <v>-9.699999999999999</v>
      </c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11" t="n">
        <v>12515</v>
      </c>
      <c r="AK2398" s="12" t="n">
        <v>463</v>
      </c>
      <c r="AL2398" s="12" t="n">
        <v>472</v>
      </c>
      <c r="AM2398" s="13" t="n">
        <v>60.1</v>
      </c>
      <c r="AN2398" s="13" t="n">
        <v>39.9</v>
      </c>
      <c r="AO2398" s="13" t="n">
        <v>-31.5</v>
      </c>
      <c r="AP2398" s="13" t="n">
        <v>-62.8</v>
      </c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11" t="n">
        <v>4193</v>
      </c>
      <c r="AK2399" s="12" t="n">
        <v>-751</v>
      </c>
      <c r="AL2399" s="12" t="n">
        <v>-668</v>
      </c>
      <c r="AM2399" s="13" t="n">
        <v>-15.2</v>
      </c>
      <c r="AN2399" s="13" t="n">
        <v>1.9</v>
      </c>
      <c r="AO2399" s="13" t="n">
        <v>-563.6</v>
      </c>
      <c r="AP2399" s="13" t="n">
        <v>-69.09999999999999</v>
      </c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11" t="n">
        <v>21310</v>
      </c>
      <c r="AK2400" s="12" t="n">
        <v>328</v>
      </c>
      <c r="AL2400" s="12" t="n">
        <v>729</v>
      </c>
      <c r="AM2400" s="13" t="n">
        <v>3.6</v>
      </c>
      <c r="AN2400" s="13" t="n">
        <v>133.2</v>
      </c>
      <c r="AO2400" s="13" t="n">
        <v>108.4</v>
      </c>
      <c r="AP2400" s="13" t="n">
        <v>106.9</v>
      </c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11" t="n">
        <v>12798</v>
      </c>
      <c r="AK2401" s="12" t="n">
        <v>8405</v>
      </c>
      <c r="AL2401" s="12" t="n">
        <v>89</v>
      </c>
      <c r="AM2401" s="13" t="inlineStr"/>
      <c r="AN2401" s="13" t="n">
        <v>-7.8</v>
      </c>
      <c r="AO2401" s="13" t="inlineStr"/>
      <c r="AP2401" s="13" t="n">
        <v>1.4</v>
      </c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11" t="n">
        <v>4172</v>
      </c>
      <c r="AK2402" s="12" t="n">
        <v>-2821</v>
      </c>
      <c r="AL2402" s="12" t="n">
        <v>-2678</v>
      </c>
      <c r="AM2402" s="13" t="n">
        <v>7.6</v>
      </c>
      <c r="AN2402" s="13" t="n">
        <v>23.1</v>
      </c>
      <c r="AO2402" s="13" t="n">
        <v>29.3</v>
      </c>
      <c r="AP2402" s="13" t="n">
        <v>36.6</v>
      </c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11" t="n">
        <v>328549</v>
      </c>
      <c r="AK2403" s="12" t="n">
        <v>19235428</v>
      </c>
      <c r="AL2403" s="12" t="n">
        <v>18675023</v>
      </c>
      <c r="AM2403" s="13" t="n">
        <v>9.4</v>
      </c>
      <c r="AN2403" s="13" t="n">
        <v>-19.2</v>
      </c>
      <c r="AO2403" s="13" t="n">
        <v>132.4</v>
      </c>
      <c r="AP2403" s="13" t="n">
        <v>1272.9</v>
      </c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11" t="n">
        <v>14419</v>
      </c>
      <c r="AK2404" s="12" t="n">
        <v>331</v>
      </c>
      <c r="AL2404" s="12" t="n">
        <v>-3780</v>
      </c>
      <c r="AM2404" s="13" t="n">
        <v>-31.1</v>
      </c>
      <c r="AN2404" s="13" t="n">
        <v>-44</v>
      </c>
      <c r="AO2404" s="13" t="n">
        <v>-86.7</v>
      </c>
      <c r="AP2404" s="13" t="n">
        <v>-61</v>
      </c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11" t="n">
        <v>14984</v>
      </c>
      <c r="AK2405" s="12" t="n">
        <v>1292</v>
      </c>
      <c r="AL2405" s="12" t="n">
        <v>1254</v>
      </c>
      <c r="AM2405" s="13" t="inlineStr"/>
      <c r="AN2405" s="13" t="inlineStr"/>
      <c r="AO2405" s="13" t="inlineStr"/>
      <c r="AP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11" t="n">
        <v>18391</v>
      </c>
      <c r="AK2406" s="12" t="n">
        <v>747</v>
      </c>
      <c r="AL2406" s="12" t="n">
        <v>-112</v>
      </c>
      <c r="AM2406" s="13" t="n">
        <v>47.8</v>
      </c>
      <c r="AN2406" s="13" t="n">
        <v>-1.1</v>
      </c>
      <c r="AO2406" s="13" t="n">
        <v>133.6</v>
      </c>
      <c r="AP2406" s="13" t="n">
        <v>-40</v>
      </c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11" t="n">
        <v>120993</v>
      </c>
      <c r="AK2407" s="12" t="n">
        <v>6811</v>
      </c>
      <c r="AL2407" s="12" t="n">
        <v>6465</v>
      </c>
      <c r="AM2407" s="13" t="n">
        <v>24.6</v>
      </c>
      <c r="AN2407" s="13" t="n">
        <v>22.6</v>
      </c>
      <c r="AO2407" s="13" t="n">
        <v>390.7</v>
      </c>
      <c r="AP2407" s="13" t="n">
        <v>271.2</v>
      </c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11" t="n">
        <v>21705</v>
      </c>
      <c r="AK2408" s="12" t="n">
        <v>2657</v>
      </c>
      <c r="AL2408" s="12" t="n">
        <v>21542</v>
      </c>
      <c r="AM2408" s="13" t="n">
        <v>5.1</v>
      </c>
      <c r="AN2408" s="13" t="n">
        <v>3.1</v>
      </c>
      <c r="AO2408" s="13" t="n">
        <v>-9.5</v>
      </c>
      <c r="AP2408" s="13" t="n">
        <v>-6.9</v>
      </c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11" t="n">
        <v>46123</v>
      </c>
      <c r="AK2409" s="12" t="n">
        <v>28314</v>
      </c>
      <c r="AL2409" s="12" t="n">
        <v>24107</v>
      </c>
      <c r="AM2409" s="13" t="n">
        <v>44.4</v>
      </c>
      <c r="AN2409" s="13" t="n">
        <v>-10.2</v>
      </c>
      <c r="AO2409" s="13" t="n">
        <v>75.5</v>
      </c>
      <c r="AP2409" s="13" t="n">
        <v>-1.2</v>
      </c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11" t="n">
        <v>15532</v>
      </c>
      <c r="AK2410" s="12" t="n">
        <v>11334</v>
      </c>
      <c r="AL2410" s="12" t="n">
        <v>2995</v>
      </c>
      <c r="AM2410" s="13" t="inlineStr"/>
      <c r="AN2410" s="13" t="n">
        <v>0.2</v>
      </c>
      <c r="AO2410" s="13" t="inlineStr"/>
      <c r="AP2410" s="13" t="n">
        <v>-1.3</v>
      </c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11" t="n">
        <v>2844</v>
      </c>
      <c r="AK2411" s="12" t="n">
        <v>-2286</v>
      </c>
      <c r="AL2411" s="12" t="n">
        <v>-2321</v>
      </c>
      <c r="AM2411" s="13" t="n">
        <v>0.8</v>
      </c>
      <c r="AN2411" s="13" t="n">
        <v>160.9</v>
      </c>
      <c r="AO2411" s="13" t="n">
        <v>-6.3</v>
      </c>
      <c r="AP2411" s="13" t="n">
        <v>17.7</v>
      </c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11" t="n">
        <v>18496</v>
      </c>
      <c r="AK2412" s="12" t="n">
        <v>1226</v>
      </c>
      <c r="AL2412" s="12" t="n">
        <v>1105</v>
      </c>
      <c r="AM2412" s="13" t="n">
        <v>-9.4</v>
      </c>
      <c r="AN2412" s="13" t="n">
        <v>6.5</v>
      </c>
      <c r="AO2412" s="13" t="n">
        <v>-58.8</v>
      </c>
      <c r="AP2412" s="13" t="n">
        <v>4.2</v>
      </c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11" t="n">
        <v>21470</v>
      </c>
      <c r="AK2413" s="12" t="n">
        <v>205</v>
      </c>
      <c r="AL2413" s="12" t="n">
        <v>-904</v>
      </c>
      <c r="AM2413" s="13" t="n">
        <v>-3.7</v>
      </c>
      <c r="AN2413" s="13" t="n">
        <v>15.8</v>
      </c>
      <c r="AO2413" s="13" t="n">
        <v>-61</v>
      </c>
      <c r="AP2413" s="13" t="n">
        <v>138.7</v>
      </c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11" t="n">
        <v>17476</v>
      </c>
      <c r="AK2414" s="12" t="n">
        <v>413</v>
      </c>
      <c r="AL2414" s="12" t="n">
        <v>-2723</v>
      </c>
      <c r="AM2414" s="13" t="n">
        <v>39.6</v>
      </c>
      <c r="AN2414" s="13" t="n">
        <v>20.1</v>
      </c>
      <c r="AO2414" s="13" t="n">
        <v>127.8</v>
      </c>
      <c r="AP2414" s="13" t="n">
        <v>123.9</v>
      </c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11" t="n">
        <v>35839</v>
      </c>
      <c r="AK2415" s="12" t="n">
        <v>210</v>
      </c>
      <c r="AL2415" s="12" t="n">
        <v>4028</v>
      </c>
      <c r="AM2415" s="13" t="n">
        <v>13.4</v>
      </c>
      <c r="AN2415" s="13" t="n">
        <v>121.7</v>
      </c>
      <c r="AO2415" s="13" t="n">
        <v>187.9</v>
      </c>
      <c r="AP2415" s="13" t="n">
        <v>-30.5</v>
      </c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11" t="n">
        <v>14416</v>
      </c>
      <c r="AK2416" s="12" t="n">
        <v>-3211</v>
      </c>
      <c r="AL2416" s="12" t="n">
        <v>-4878</v>
      </c>
      <c r="AM2416" s="13" t="n">
        <v>-15.5</v>
      </c>
      <c r="AN2416" s="13" t="inlineStr"/>
      <c r="AO2416" s="13" t="n">
        <v>-329.9</v>
      </c>
      <c r="AP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11" t="n">
        <v>3869</v>
      </c>
      <c r="AK2417" s="12" t="n">
        <v>-430</v>
      </c>
      <c r="AL2417" s="12" t="n">
        <v>-317</v>
      </c>
      <c r="AM2417" s="13" t="n">
        <v>9</v>
      </c>
      <c r="AN2417" s="13" t="n">
        <v>7.7</v>
      </c>
      <c r="AO2417" s="13" t="n">
        <v>52.3</v>
      </c>
      <c r="AP2417" s="13" t="n">
        <v>55.4</v>
      </c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11" t="n">
        <v>19383</v>
      </c>
      <c r="AK2418" s="12" t="n">
        <v>6651</v>
      </c>
      <c r="AL2418" s="12" t="n">
        <v>5432</v>
      </c>
      <c r="AM2418" s="13" t="n">
        <v>17</v>
      </c>
      <c r="AN2418" s="13" t="n">
        <v>11.2</v>
      </c>
      <c r="AO2418" s="13" t="n">
        <v>34.1</v>
      </c>
      <c r="AP2418" s="13" t="n">
        <v>2.8</v>
      </c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11" t="n">
        <v>1547</v>
      </c>
      <c r="AK2419" s="12" t="n">
        <v>-866</v>
      </c>
      <c r="AL2419" s="12" t="n">
        <v>-1861</v>
      </c>
      <c r="AM2419" s="13" t="n">
        <v>-15.3</v>
      </c>
      <c r="AN2419" s="13" t="n">
        <v>-58.3</v>
      </c>
      <c r="AO2419" s="13" t="n">
        <v>14.2</v>
      </c>
      <c r="AP2419" s="13" t="n">
        <v>38.3</v>
      </c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11" t="n">
        <v>2061</v>
      </c>
      <c r="AK2420" s="12" t="n">
        <v>-1051</v>
      </c>
      <c r="AL2420" s="12" t="n">
        <v>-3624</v>
      </c>
      <c r="AM2420" s="13" t="n">
        <v>72.59999999999999</v>
      </c>
      <c r="AN2420" s="13" t="n">
        <v>109.5</v>
      </c>
      <c r="AO2420" s="13" t="n">
        <v>38.4</v>
      </c>
      <c r="AP2420" s="13" t="n">
        <v>74.8</v>
      </c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11" t="n">
        <v>111617</v>
      </c>
      <c r="AK2421" s="12" t="n">
        <v>3753</v>
      </c>
      <c r="AL2421" s="12" t="n">
        <v>4138</v>
      </c>
      <c r="AM2421" s="13" t="n">
        <v>622</v>
      </c>
      <c r="AN2421" s="13" t="n">
        <v>607.2</v>
      </c>
      <c r="AO2421" s="13" t="n">
        <v>192.7</v>
      </c>
      <c r="AP2421" s="13" t="n">
        <v>113.9</v>
      </c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11" t="n">
        <v>31139</v>
      </c>
      <c r="AK2422" s="12" t="n">
        <v>1204</v>
      </c>
      <c r="AL2422" s="12" t="n">
        <v>1087</v>
      </c>
      <c r="AM2422" s="13" t="n">
        <v>174</v>
      </c>
      <c r="AN2422" s="13" t="n">
        <v>213.1</v>
      </c>
      <c r="AO2422" s="13" t="n">
        <v>692.1</v>
      </c>
      <c r="AP2422" s="13" t="n">
        <v>215.7</v>
      </c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11" t="n">
        <v>6847</v>
      </c>
      <c r="AK2423" s="12" t="n">
        <v>1873</v>
      </c>
      <c r="AL2423" s="12" t="n">
        <v>1788</v>
      </c>
      <c r="AM2423" s="13" t="n">
        <v>31.4</v>
      </c>
      <c r="AN2423" s="13" t="n">
        <v>31.6</v>
      </c>
      <c r="AO2423" s="13" t="n">
        <v>250.7</v>
      </c>
      <c r="AP2423" s="13" t="n">
        <v>166.1</v>
      </c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11" t="n">
        <v>7583</v>
      </c>
      <c r="AK2424" s="12" t="n">
        <v>-727</v>
      </c>
      <c r="AL2424" s="12" t="n">
        <v>-595</v>
      </c>
      <c r="AM2424" s="13" t="n">
        <v>-11</v>
      </c>
      <c r="AN2424" s="13" t="n">
        <v>-6.1</v>
      </c>
      <c r="AO2424" s="13" t="n">
        <v>-208.1</v>
      </c>
      <c r="AP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11" t="n">
        <v>22304</v>
      </c>
      <c r="AK2425" s="12" t="n">
        <v>363</v>
      </c>
      <c r="AL2425" s="12" t="n">
        <v>415</v>
      </c>
      <c r="AM2425" s="13" t="n">
        <v>-1.1</v>
      </c>
      <c r="AN2425" s="13" t="n">
        <v>-0.9</v>
      </c>
      <c r="AO2425" s="13" t="n">
        <v>-29.1</v>
      </c>
      <c r="AP2425" s="13" t="n">
        <v>-10.8</v>
      </c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11" t="n">
        <v>59874</v>
      </c>
      <c r="AK2426" s="12" t="n">
        <v>1672</v>
      </c>
      <c r="AL2426" s="12" t="n">
        <v>1229</v>
      </c>
      <c r="AM2426" s="13" t="n">
        <v>19.2</v>
      </c>
      <c r="AN2426" s="13" t="n">
        <v>150.2</v>
      </c>
      <c r="AO2426" s="13" t="n">
        <v>408.5</v>
      </c>
      <c r="AP2426" s="13" t="n">
        <v>803.8</v>
      </c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11" t="n">
        <v>14178</v>
      </c>
      <c r="AK2427" s="12" t="n">
        <v>1414</v>
      </c>
      <c r="AL2427" s="12" t="n">
        <v>727</v>
      </c>
      <c r="AM2427" s="13" t="n">
        <v>44.1</v>
      </c>
      <c r="AN2427" s="13" t="n">
        <v>30.4</v>
      </c>
      <c r="AO2427" s="13" t="n">
        <v>321.3</v>
      </c>
      <c r="AP2427" s="13" t="n">
        <v>2180.6</v>
      </c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11" t="n">
        <v>16922</v>
      </c>
      <c r="AK2428" s="12" t="n">
        <v>680</v>
      </c>
      <c r="AL2428" s="12" t="n">
        <v>-156</v>
      </c>
      <c r="AM2428" s="13" t="inlineStr"/>
      <c r="AN2428" s="13" t="inlineStr"/>
      <c r="AO2428" s="13" t="inlineStr"/>
      <c r="AP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11" t="n">
        <v>4769</v>
      </c>
      <c r="AK2429" s="12" t="n">
        <v>-345</v>
      </c>
      <c r="AL2429" s="12" t="n">
        <v>592</v>
      </c>
      <c r="AM2429" s="13" t="n">
        <v>-4.5</v>
      </c>
      <c r="AN2429" s="13" t="n">
        <v>13.3</v>
      </c>
      <c r="AO2429" s="13" t="n">
        <v>-219.4</v>
      </c>
      <c r="AP2429" s="13" t="n">
        <v>-305.4</v>
      </c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11" t="n">
        <v>51298</v>
      </c>
      <c r="AK2430" s="12" t="n">
        <v>533</v>
      </c>
      <c r="AL2430" s="12" t="n">
        <v>-287</v>
      </c>
      <c r="AM2430" s="13" t="n">
        <v>19.2</v>
      </c>
      <c r="AN2430" s="13" t="n">
        <v>30.9</v>
      </c>
      <c r="AO2430" s="13" t="n">
        <v>146.4</v>
      </c>
      <c r="AP2430" s="13" t="n">
        <v>1302.6</v>
      </c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11" t="n">
        <v>21882</v>
      </c>
      <c r="AK2431" s="12" t="n">
        <v>6341</v>
      </c>
      <c r="AL2431" s="12" t="n">
        <v>3917</v>
      </c>
      <c r="AM2431" s="13" t="n">
        <v>41.8</v>
      </c>
      <c r="AN2431" s="13" t="n">
        <v>90.2</v>
      </c>
      <c r="AO2431" s="13" t="n">
        <v>62.6</v>
      </c>
      <c r="AP2431" s="13" t="n">
        <v>256</v>
      </c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11" t="n">
        <v>16666</v>
      </c>
      <c r="AK2432" s="12" t="n">
        <v>4454</v>
      </c>
      <c r="AL2432" s="12" t="n">
        <v>4019</v>
      </c>
      <c r="AM2432" s="13" t="n">
        <v>113.2</v>
      </c>
      <c r="AN2432" s="13" t="n">
        <v>13.9</v>
      </c>
      <c r="AO2432" s="13" t="n">
        <v>165.3</v>
      </c>
      <c r="AP2432" s="13" t="n">
        <v>9.9</v>
      </c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11" t="n">
        <v>29324</v>
      </c>
      <c r="AK2433" s="12" t="n">
        <v>9276</v>
      </c>
      <c r="AL2433" s="12" t="n">
        <v>6790</v>
      </c>
      <c r="AM2433" s="13" t="n">
        <v>65.7</v>
      </c>
      <c r="AN2433" s="13" t="n">
        <v>159.4</v>
      </c>
      <c r="AO2433" s="13" t="n">
        <v>127.7</v>
      </c>
      <c r="AP2433" s="13" t="n">
        <v>346.4</v>
      </c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11" t="n">
        <v>12510</v>
      </c>
      <c r="AK2434" s="12" t="n">
        <v>-650</v>
      </c>
      <c r="AL2434" s="12" t="n">
        <v>4323</v>
      </c>
      <c r="AM2434" s="13" t="n">
        <v>-4.4</v>
      </c>
      <c r="AN2434" s="13" t="inlineStr"/>
      <c r="AO2434" s="13" t="n">
        <v>-39.8</v>
      </c>
      <c r="AP2434" s="13" t="n">
        <v>-187.4</v>
      </c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11" t="n">
        <v>20043</v>
      </c>
      <c r="AK2435" s="12" t="n">
        <v>1786</v>
      </c>
      <c r="AL2435" s="12" t="n">
        <v>1730</v>
      </c>
      <c r="AM2435" s="13" t="n">
        <v>7.1</v>
      </c>
      <c r="AN2435" s="13" t="n">
        <v>8.800000000000001</v>
      </c>
      <c r="AO2435" s="13" t="n">
        <v>138.8</v>
      </c>
      <c r="AP2435" s="13" t="n">
        <v>9.300000000000001</v>
      </c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11" t="n">
        <v>1602</v>
      </c>
      <c r="AK2436" s="12" t="n">
        <v>-618</v>
      </c>
      <c r="AL2436" s="12" t="n">
        <v>-685</v>
      </c>
      <c r="AM2436" s="13" t="n">
        <v>23.4</v>
      </c>
      <c r="AN2436" s="13" t="n">
        <v>882.8</v>
      </c>
      <c r="AO2436" s="13" t="n">
        <v>-155.4</v>
      </c>
      <c r="AP2436" s="13" t="n">
        <v>66.5</v>
      </c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11" t="n">
        <v>1462</v>
      </c>
      <c r="AK2437" s="12" t="n">
        <v>-2972</v>
      </c>
      <c r="AL2437" s="12" t="n">
        <v>-3272</v>
      </c>
      <c r="AM2437" s="13" t="n">
        <v>59.3</v>
      </c>
      <c r="AN2437" s="13" t="n">
        <v>-65.2</v>
      </c>
      <c r="AO2437" s="13" t="n">
        <v>10.5</v>
      </c>
      <c r="AP2437" s="13" t="n">
        <v>-1080.9</v>
      </c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11" t="n">
        <v>23846</v>
      </c>
      <c r="AK2438" s="12" t="n">
        <v>3392</v>
      </c>
      <c r="AL2438" s="12" t="n">
        <v>2718</v>
      </c>
      <c r="AM2438" s="13" t="n">
        <v>-0.4</v>
      </c>
      <c r="AN2438" s="13" t="n">
        <v>15.2</v>
      </c>
      <c r="AO2438" s="13" t="n">
        <v>-13</v>
      </c>
      <c r="AP2438" s="13" t="n">
        <v>-28.5</v>
      </c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11" t="n">
        <v>8935</v>
      </c>
      <c r="AK2439" s="12" t="n">
        <v>-1552</v>
      </c>
      <c r="AL2439" s="12" t="n">
        <v>-2476</v>
      </c>
      <c r="AM2439" s="13" t="n">
        <v>24.6</v>
      </c>
      <c r="AN2439" s="13" t="n">
        <v>-52.8</v>
      </c>
      <c r="AO2439" s="13" t="n">
        <v>20.9</v>
      </c>
      <c r="AP2439" s="13" t="n">
        <v>-3084.6</v>
      </c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11" t="n">
        <v>793</v>
      </c>
      <c r="AK2440" s="12" t="n">
        <v>-2521</v>
      </c>
      <c r="AL2440" s="12" t="n">
        <v>-2606</v>
      </c>
      <c r="AM2440" s="13" t="n">
        <v>116.1</v>
      </c>
      <c r="AN2440" s="13" t="n">
        <v>292.6</v>
      </c>
      <c r="AO2440" s="13" t="n">
        <v>5.1</v>
      </c>
      <c r="AP2440" s="13" t="n">
        <v>-1.9</v>
      </c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11" t="n">
        <v>64308</v>
      </c>
      <c r="AK2441" s="12" t="n">
        <v>3807</v>
      </c>
      <c r="AL2441" s="12" t="n">
        <v>4716</v>
      </c>
      <c r="AM2441" s="13" t="n">
        <v>31.4</v>
      </c>
      <c r="AN2441" s="13" t="n">
        <v>79.40000000000001</v>
      </c>
      <c r="AO2441" s="13" t="n">
        <v>233.7</v>
      </c>
      <c r="AP2441" s="13" t="n">
        <v>6.8</v>
      </c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11" t="n">
        <v>4074</v>
      </c>
      <c r="AK2442" s="12" t="n">
        <v>107</v>
      </c>
      <c r="AL2442" s="12" t="n">
        <v>-1204</v>
      </c>
      <c r="AM2442" s="13" t="n">
        <v>-6.7</v>
      </c>
      <c r="AN2442" s="13" t="n">
        <v>110.9</v>
      </c>
      <c r="AO2442" s="13" t="n">
        <v>107.9</v>
      </c>
      <c r="AP2442" s="13" t="n">
        <v>108</v>
      </c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11" t="n">
        <v>4924</v>
      </c>
      <c r="AK2443" s="12" t="n">
        <v>1178</v>
      </c>
      <c r="AL2443" s="12" t="n">
        <v>610</v>
      </c>
      <c r="AM2443" s="13" t="n">
        <v>-6.8</v>
      </c>
      <c r="AN2443" s="13" t="n">
        <v>-0.2</v>
      </c>
      <c r="AO2443" s="13" t="n">
        <v>-30.8</v>
      </c>
      <c r="AP2443" s="13" t="n">
        <v>10.8</v>
      </c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11" t="n">
        <v>37458</v>
      </c>
      <c r="AK2444" s="12" t="n">
        <v>2070</v>
      </c>
      <c r="AL2444" s="12" t="n">
        <v>-350</v>
      </c>
      <c r="AM2444" s="13" t="n">
        <v>-0.5</v>
      </c>
      <c r="AN2444" s="13" t="n">
        <v>5.7</v>
      </c>
      <c r="AO2444" s="13" t="n">
        <v>-46.7</v>
      </c>
      <c r="AP2444" s="13" t="n">
        <v>-61.3</v>
      </c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11" t="n">
        <v>4196</v>
      </c>
      <c r="AK2445" s="12" t="n">
        <v>-856</v>
      </c>
      <c r="AL2445" s="12" t="n">
        <v>-536</v>
      </c>
      <c r="AM2445" s="13" t="n">
        <v>41.2</v>
      </c>
      <c r="AN2445" s="13" t="n">
        <v>-6.3</v>
      </c>
      <c r="AO2445" s="13" t="n">
        <v>-118.9</v>
      </c>
      <c r="AP2445" s="13" t="n">
        <v>-12328.6</v>
      </c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11" t="n">
        <v>15605</v>
      </c>
      <c r="AK2446" s="12" t="n">
        <v>2693</v>
      </c>
      <c r="AL2446" s="12" t="n">
        <v>2666</v>
      </c>
      <c r="AM2446" s="13" t="n">
        <v>40.3</v>
      </c>
      <c r="AN2446" s="13" t="n">
        <v>83</v>
      </c>
      <c r="AO2446" s="13" t="n">
        <v>40.6</v>
      </c>
      <c r="AP2446" s="13" t="n">
        <v>285.8</v>
      </c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11" t="n">
        <v>22307</v>
      </c>
      <c r="AK2447" s="12" t="n">
        <v>6611</v>
      </c>
      <c r="AL2447" s="12" t="n">
        <v>5997</v>
      </c>
      <c r="AM2447" s="13" t="n">
        <v>272.5</v>
      </c>
      <c r="AN2447" s="13" t="n">
        <v>150.8</v>
      </c>
      <c r="AO2447" s="13" t="n">
        <v>780.8</v>
      </c>
      <c r="AP2447" s="13" t="n">
        <v>225</v>
      </c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11" t="n">
        <v>6130</v>
      </c>
      <c r="AK2448" s="12" t="n">
        <v>-130</v>
      </c>
      <c r="AL2448" s="12" t="n">
        <v>1242</v>
      </c>
      <c r="AM2448" s="13" t="n">
        <v>56.3</v>
      </c>
      <c r="AN2448" s="13" t="n">
        <v>-35.9</v>
      </c>
      <c r="AO2448" s="13" t="n">
        <v>90</v>
      </c>
      <c r="AP2448" s="13" t="n">
        <v>-133.2</v>
      </c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11" t="n">
        <v>0</v>
      </c>
      <c r="AK2449" s="12" t="n">
        <v>-4274</v>
      </c>
      <c r="AL2449" s="12" t="n">
        <v>-3902</v>
      </c>
      <c r="AM2449" s="13" t="inlineStr"/>
      <c r="AN2449" s="13" t="n">
        <v>-100</v>
      </c>
      <c r="AO2449" s="13" t="n">
        <v>25.7</v>
      </c>
      <c r="AP2449" s="13" t="n">
        <v>-28.6</v>
      </c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11" t="n">
        <v>1944</v>
      </c>
      <c r="AK2450" s="12" t="n">
        <v>-1798</v>
      </c>
      <c r="AL2450" s="12" t="n">
        <v>-5116</v>
      </c>
      <c r="AM2450" s="13" t="n">
        <v>32.8</v>
      </c>
      <c r="AN2450" s="13" t="n">
        <v>-25.7</v>
      </c>
      <c r="AO2450" s="13" t="n">
        <v>-22</v>
      </c>
      <c r="AP2450" s="13" t="n">
        <v>-45.5</v>
      </c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11" t="n">
        <v>11179</v>
      </c>
      <c r="AK2451" s="12" t="n">
        <v>1133</v>
      </c>
      <c r="AL2451" s="12" t="n">
        <v>921</v>
      </c>
      <c r="AM2451" s="13" t="n">
        <v>29.3</v>
      </c>
      <c r="AN2451" s="13" t="n">
        <v>108.9</v>
      </c>
      <c r="AO2451" s="13" t="n">
        <v>46.2</v>
      </c>
      <c r="AP2451" s="13" t="n">
        <v>199.7</v>
      </c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11" t="n">
        <v>86461</v>
      </c>
      <c r="AK2452" s="12" t="n">
        <v>5859</v>
      </c>
      <c r="AL2452" s="12" t="n">
        <v>5292</v>
      </c>
      <c r="AM2452" s="13" t="n">
        <v>74.59999999999999</v>
      </c>
      <c r="AN2452" s="13" t="n">
        <v>13.3</v>
      </c>
      <c r="AO2452" s="13" t="n">
        <v>4026.1</v>
      </c>
      <c r="AP2452" s="13" t="n">
        <v>-15.1</v>
      </c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11" t="n">
        <v>33609</v>
      </c>
      <c r="AK2453" s="12" t="n">
        <v>6082</v>
      </c>
      <c r="AL2453" s="12" t="n">
        <v>5947</v>
      </c>
      <c r="AM2453" s="13" t="n">
        <v>4</v>
      </c>
      <c r="AN2453" s="13" t="n">
        <v>34.1</v>
      </c>
      <c r="AO2453" s="13" t="n">
        <v>82.5</v>
      </c>
      <c r="AP2453" s="13" t="n">
        <v>55.2</v>
      </c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11" t="n">
        <v>3781</v>
      </c>
      <c r="AK2454" s="12" t="n">
        <v>-2137</v>
      </c>
      <c r="AL2454" s="12" t="n">
        <v>-2135</v>
      </c>
      <c r="AM2454" s="13" t="n">
        <v>5.4</v>
      </c>
      <c r="AN2454" s="13" t="n">
        <v>10.9</v>
      </c>
      <c r="AO2454" s="13" t="n">
        <v>5.5</v>
      </c>
      <c r="AP2454" s="13" t="n">
        <v>-12.2</v>
      </c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11" t="n">
        <v>7574</v>
      </c>
      <c r="AK2455" s="12" t="n">
        <v>808</v>
      </c>
      <c r="AL2455" s="12" t="n">
        <v>802</v>
      </c>
      <c r="AM2455" s="13" t="n">
        <v>114.9</v>
      </c>
      <c r="AN2455" s="13" t="n">
        <v>44.2</v>
      </c>
      <c r="AO2455" s="13" t="n">
        <v>144.7</v>
      </c>
      <c r="AP2455" s="13" t="n">
        <v>217.1</v>
      </c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11" t="n">
        <v>3140</v>
      </c>
      <c r="AK2456" s="12" t="n">
        <v>-1606</v>
      </c>
      <c r="AL2456" s="12" t="n">
        <v>-1248</v>
      </c>
      <c r="AM2456" s="13" t="n">
        <v>6</v>
      </c>
      <c r="AN2456" s="13" t="n">
        <v>25.2</v>
      </c>
      <c r="AO2456" s="13" t="n">
        <v>-16.7</v>
      </c>
      <c r="AP2456" s="13" t="n">
        <v>-19.5</v>
      </c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11" t="n">
        <v>16331</v>
      </c>
      <c r="AK2457" s="12" t="n">
        <v>9958</v>
      </c>
      <c r="AL2457" s="12" t="n">
        <v>2574</v>
      </c>
      <c r="AM2457" s="13" t="inlineStr"/>
      <c r="AN2457" s="13" t="n">
        <v>11.2</v>
      </c>
      <c r="AO2457" s="13" t="inlineStr"/>
      <c r="AP2457" s="13" t="n">
        <v>17.3</v>
      </c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11" t="n">
        <v>20450</v>
      </c>
      <c r="AK2458" s="12" t="n">
        <v>-1978</v>
      </c>
      <c r="AL2458" s="12" t="n">
        <v>-2153</v>
      </c>
      <c r="AM2458" s="13" t="n">
        <v>59.7</v>
      </c>
      <c r="AN2458" s="13" t="n">
        <v>76.8</v>
      </c>
      <c r="AO2458" s="13" t="n">
        <v>51.1</v>
      </c>
      <c r="AP2458" s="13" t="n">
        <v>3.4</v>
      </c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11" t="n">
        <v>17234</v>
      </c>
      <c r="AK2459" s="12" t="n">
        <v>1716</v>
      </c>
      <c r="AL2459" s="12" t="n">
        <v>-21</v>
      </c>
      <c r="AM2459" s="13" t="n">
        <v>29.8</v>
      </c>
      <c r="AN2459" s="13" t="n">
        <v>32.4</v>
      </c>
      <c r="AO2459" s="13" t="n">
        <v>28.3</v>
      </c>
      <c r="AP2459" s="13" t="n">
        <v>166.9</v>
      </c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11" t="n">
        <v>6343</v>
      </c>
      <c r="AK2460" s="12" t="n">
        <v>-865</v>
      </c>
      <c r="AL2460" s="12" t="n">
        <v>-1800</v>
      </c>
      <c r="AM2460" s="13" t="n">
        <v>23.1</v>
      </c>
      <c r="AN2460" s="13" t="n">
        <v>593.2</v>
      </c>
      <c r="AO2460" s="13" t="n">
        <v>81.8</v>
      </c>
      <c r="AP2460" s="13" t="n">
        <v>86.40000000000001</v>
      </c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11" t="n">
        <v>5998</v>
      </c>
      <c r="AK2461" s="12" t="n">
        <v>239</v>
      </c>
      <c r="AL2461" s="12" t="n">
        <v>300</v>
      </c>
      <c r="AM2461" s="13" t="n">
        <v>88.59999999999999</v>
      </c>
      <c r="AN2461" s="13" t="n">
        <v>10.9</v>
      </c>
      <c r="AO2461" s="13" t="n">
        <v>168.9</v>
      </c>
      <c r="AP2461" s="13" t="n">
        <v>-62.8</v>
      </c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11" t="n">
        <v>5629</v>
      </c>
      <c r="AK2462" s="12" t="n">
        <v>427</v>
      </c>
      <c r="AL2462" s="12" t="n">
        <v>988</v>
      </c>
      <c r="AM2462" s="13" t="n">
        <v>54.7</v>
      </c>
      <c r="AN2462" s="13" t="n">
        <v>47.9</v>
      </c>
      <c r="AO2462" s="13" t="n">
        <v>160.1</v>
      </c>
      <c r="AP2462" s="13" t="n">
        <v>452.9</v>
      </c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11" t="n">
        <v>10269</v>
      </c>
      <c r="AK2463" s="12" t="n">
        <v>-478</v>
      </c>
      <c r="AL2463" s="12" t="n">
        <v>-2579</v>
      </c>
      <c r="AM2463" s="13" t="n">
        <v>17.1</v>
      </c>
      <c r="AN2463" s="13" t="n">
        <v>17.2</v>
      </c>
      <c r="AO2463" s="13" t="n">
        <v>18</v>
      </c>
      <c r="AP2463" s="13" t="n">
        <v>-637.1</v>
      </c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11" t="n">
        <v>20996</v>
      </c>
      <c r="AK2464" s="12" t="n">
        <v>-5389</v>
      </c>
      <c r="AL2464" s="12" t="n">
        <v>-7018</v>
      </c>
      <c r="AM2464" s="13" t="n">
        <v>11.9</v>
      </c>
      <c r="AN2464" s="13" t="n">
        <v>-21.8</v>
      </c>
      <c r="AO2464" s="13" t="n">
        <v>-116</v>
      </c>
      <c r="AP2464" s="13" t="n">
        <v>-455.2</v>
      </c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11" t="n">
        <v>3459</v>
      </c>
      <c r="AK2465" s="12" t="n">
        <v>-1839</v>
      </c>
      <c r="AL2465" s="12" t="n">
        <v>-2091</v>
      </c>
      <c r="AM2465" s="13" t="n">
        <v>-8.9</v>
      </c>
      <c r="AN2465" s="13" t="n">
        <v>493.3</v>
      </c>
      <c r="AO2465" s="13" t="n">
        <v>-24.8</v>
      </c>
      <c r="AP2465" s="13" t="n">
        <v>24.4</v>
      </c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11" t="n">
        <v>25810</v>
      </c>
      <c r="AK2466" s="12" t="n">
        <v>2524</v>
      </c>
      <c r="AL2466" s="12" t="n">
        <v>2807</v>
      </c>
      <c r="AM2466" s="13" t="n">
        <v>-4.1</v>
      </c>
      <c r="AN2466" s="13" t="n">
        <v>-18.6</v>
      </c>
      <c r="AO2466" s="13" t="n">
        <v>-58.3</v>
      </c>
      <c r="AP2466" s="13" t="n">
        <v>-15.4</v>
      </c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11" t="n">
        <v>354435</v>
      </c>
      <c r="AK2467" s="12" t="n">
        <v>95248</v>
      </c>
      <c r="AL2467" s="12" t="n">
        <v>78724</v>
      </c>
      <c r="AM2467" s="13" t="n">
        <v>15</v>
      </c>
      <c r="AN2467" s="13" t="n">
        <v>19.7</v>
      </c>
      <c r="AO2467" s="13" t="n">
        <v>15.3</v>
      </c>
      <c r="AP2467" s="13" t="n">
        <v>52.5</v>
      </c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11" t="n">
        <v>54967</v>
      </c>
      <c r="AK2468" s="12" t="n">
        <v>182</v>
      </c>
      <c r="AL2468" s="12" t="n">
        <v>1976</v>
      </c>
      <c r="AM2468" s="13" t="n">
        <v>24.8</v>
      </c>
      <c r="AN2468" s="13" t="n">
        <v>20.4</v>
      </c>
      <c r="AO2468" s="13" t="n">
        <v>124.5</v>
      </c>
      <c r="AP2468" s="13" t="n">
        <v>122.8</v>
      </c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11" t="n">
        <v>1243</v>
      </c>
      <c r="AK2469" s="12" t="n">
        <v>-3317</v>
      </c>
      <c r="AL2469" s="12" t="n">
        <v>-7221</v>
      </c>
      <c r="AM2469" s="13" t="n">
        <v>-1.9</v>
      </c>
      <c r="AN2469" s="13" t="inlineStr"/>
      <c r="AO2469" s="13" t="n">
        <v>-23.9</v>
      </c>
      <c r="AP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11" t="n">
        <v>73174</v>
      </c>
      <c r="AK2470" s="12" t="n">
        <v>16224</v>
      </c>
      <c r="AL2470" s="12" t="n">
        <v>-60129</v>
      </c>
      <c r="AM2470" s="13" t="n">
        <v>22.9</v>
      </c>
      <c r="AN2470" s="13" t="n">
        <v>209</v>
      </c>
      <c r="AO2470" s="13" t="n">
        <v>111.1</v>
      </c>
      <c r="AP2470" s="13" t="n">
        <v>229.1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11" t="n">
        <v>4458</v>
      </c>
      <c r="AK2471" s="12" t="n">
        <v>2842</v>
      </c>
      <c r="AL2471" s="12" t="n">
        <v>2339</v>
      </c>
      <c r="AM2471" s="13" t="n">
        <v>40</v>
      </c>
      <c r="AN2471" s="13" t="n">
        <v>-32.2</v>
      </c>
      <c r="AO2471" s="13" t="n">
        <v>221.9</v>
      </c>
      <c r="AP2471" s="13" t="n">
        <v>-27.7</v>
      </c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11" t="n">
        <v>17718</v>
      </c>
      <c r="AK2472" s="12" t="n">
        <v>738</v>
      </c>
      <c r="AL2472" s="12" t="n">
        <v>-1400</v>
      </c>
      <c r="AM2472" s="13" t="n">
        <v>-19.8</v>
      </c>
      <c r="AN2472" s="13" t="n">
        <v>21.7</v>
      </c>
      <c r="AO2472" s="13" t="n">
        <v>-26</v>
      </c>
      <c r="AP2472" s="13" t="n">
        <v>149</v>
      </c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11" t="n">
        <v>95213</v>
      </c>
      <c r="AK2473" s="12" t="n">
        <v>7331</v>
      </c>
      <c r="AL2473" s="12" t="n">
        <v>-4850</v>
      </c>
      <c r="AM2473" s="13" t="n">
        <v>106.7</v>
      </c>
      <c r="AN2473" s="13" t="n">
        <v>24.4</v>
      </c>
      <c r="AO2473" s="13" t="n">
        <v>432.8</v>
      </c>
      <c r="AP2473" s="13" t="n">
        <v>38.6</v>
      </c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2026Q2</t>
        </is>
      </c>
      <c r="E2474" s="6" t="inlineStr">
        <is>
          <t>2024Q4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11" t="n">
        <v>580414</v>
      </c>
      <c r="AK2474" s="12" t="n">
        <v>97625</v>
      </c>
      <c r="AL2474" s="12" t="n">
        <v>83007</v>
      </c>
      <c r="AM2474" s="13" t="n">
        <v>1</v>
      </c>
      <c r="AN2474" s="13" t="n">
        <v>24.1</v>
      </c>
      <c r="AO2474" s="13" t="n">
        <v>4.5</v>
      </c>
      <c r="AP2474" s="13" t="n">
        <v>17.6</v>
      </c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11" t="n">
        <v>14793</v>
      </c>
      <c r="AK2475" s="12" t="n">
        <v>1993</v>
      </c>
      <c r="AL2475" s="12" t="n">
        <v>1176</v>
      </c>
      <c r="AM2475" s="13" t="n">
        <v>11.5</v>
      </c>
      <c r="AN2475" s="13" t="n">
        <v>6.5</v>
      </c>
      <c r="AO2475" s="13" t="n">
        <v>55.2</v>
      </c>
      <c r="AP2475" s="13" t="n">
        <v>-12.7</v>
      </c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11" t="n">
        <v>13102</v>
      </c>
      <c r="AK2476" s="12" t="n">
        <v>852</v>
      </c>
      <c r="AL2476" s="12" t="n">
        <v>622</v>
      </c>
      <c r="AM2476" s="13" t="n">
        <v>1.4</v>
      </c>
      <c r="AN2476" s="13" t="n">
        <v>-4.1</v>
      </c>
      <c r="AO2476" s="13" t="n">
        <v>0.5</v>
      </c>
      <c r="AP2476" s="13" t="n">
        <v>-7.1</v>
      </c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11" t="n">
        <v>2245</v>
      </c>
      <c r="AK2477" s="12" t="n">
        <v>-1441</v>
      </c>
      <c r="AL2477" s="12" t="n">
        <v>-1395</v>
      </c>
      <c r="AM2477" s="13" t="n">
        <v>375.6</v>
      </c>
      <c r="AN2477" s="13" t="n">
        <v>147.2</v>
      </c>
      <c r="AO2477" s="13" t="n">
        <v>39.3</v>
      </c>
      <c r="AP2477" s="13" t="n">
        <v>-40.9</v>
      </c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11" t="n">
        <v>59740</v>
      </c>
      <c r="AK2478" s="12" t="n">
        <v>7980</v>
      </c>
      <c r="AL2478" s="12" t="n">
        <v>9028</v>
      </c>
      <c r="AM2478" s="13" t="n">
        <v>10.7</v>
      </c>
      <c r="AN2478" s="13" t="n">
        <v>306.6</v>
      </c>
      <c r="AO2478" s="13" t="n">
        <v>366.8</v>
      </c>
      <c r="AP2478" s="13" t="n">
        <v>252.7</v>
      </c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11" t="n">
        <v>44880</v>
      </c>
      <c r="AK2479" s="12" t="n">
        <v>6489</v>
      </c>
      <c r="AL2479" s="12" t="n">
        <v>5258</v>
      </c>
      <c r="AM2479" s="13" t="n">
        <v>18.8</v>
      </c>
      <c r="AN2479" s="13" t="n">
        <v>26.6</v>
      </c>
      <c r="AO2479" s="13" t="n">
        <v>8.800000000000001</v>
      </c>
      <c r="AP2479" s="13" t="n">
        <v>53.7</v>
      </c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11" t="n">
        <v>1176</v>
      </c>
      <c r="AK2480" s="12" t="n">
        <v>-4457</v>
      </c>
      <c r="AL2480" s="12" t="n">
        <v>-4841</v>
      </c>
      <c r="AM2480" s="13" t="n">
        <v>-11.2</v>
      </c>
      <c r="AN2480" s="13" t="n">
        <v>18.1</v>
      </c>
      <c r="AO2480" s="13" t="n">
        <v>-37.1</v>
      </c>
      <c r="AP2480" s="13" t="n">
        <v>-12.6</v>
      </c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11" t="n">
        <v>42965</v>
      </c>
      <c r="AK2481" s="12" t="n">
        <v>2019</v>
      </c>
      <c r="AL2481" s="12" t="n">
        <v>3128</v>
      </c>
      <c r="AM2481" s="13" t="n">
        <v>6.6</v>
      </c>
      <c r="AN2481" s="13" t="n">
        <v>4.2</v>
      </c>
      <c r="AO2481" s="13" t="n">
        <v>205.6</v>
      </c>
      <c r="AP2481" s="13" t="n">
        <v>453</v>
      </c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11" t="n">
        <v>25216</v>
      </c>
      <c r="AK2482" s="12" t="n">
        <v>4772</v>
      </c>
      <c r="AL2482" s="12" t="n">
        <v>4080</v>
      </c>
      <c r="AM2482" s="13" t="n">
        <v>58.8</v>
      </c>
      <c r="AN2482" s="13" t="n">
        <v>107.7</v>
      </c>
      <c r="AO2482" s="13" t="n">
        <v>146.4</v>
      </c>
      <c r="AP2482" s="13" t="n">
        <v>5123.2</v>
      </c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11" t="n">
        <v>4898</v>
      </c>
      <c r="AK2483" s="12" t="n">
        <v>462</v>
      </c>
      <c r="AL2483" s="12" t="n">
        <v>389</v>
      </c>
      <c r="AM2483" s="13" t="n">
        <v>99</v>
      </c>
      <c r="AN2483" s="13" t="inlineStr"/>
      <c r="AO2483" s="13" t="n">
        <v>124.4</v>
      </c>
      <c r="AP2483" s="13" t="n">
        <v>1284.6</v>
      </c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11" t="n">
        <v>17756</v>
      </c>
      <c r="AK2484" s="12" t="n">
        <v>6163</v>
      </c>
      <c r="AL2484" s="12" t="n">
        <v>5809</v>
      </c>
      <c r="AM2484" s="13" t="n">
        <v>229.7</v>
      </c>
      <c r="AN2484" s="13" t="n">
        <v>199.7</v>
      </c>
      <c r="AO2484" s="13" t="n">
        <v>266</v>
      </c>
      <c r="AP2484" s="13" t="n">
        <v>3681</v>
      </c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11" t="n">
        <v>20748</v>
      </c>
      <c r="AK2485" s="12" t="n">
        <v>2480</v>
      </c>
      <c r="AL2485" s="12" t="n">
        <v>1909</v>
      </c>
      <c r="AM2485" s="13" t="n">
        <v>22.6</v>
      </c>
      <c r="AN2485" s="13" t="n">
        <v>49.9</v>
      </c>
      <c r="AO2485" s="13" t="n">
        <v>81.59999999999999</v>
      </c>
      <c r="AP2485" s="13" t="n">
        <v>72.7</v>
      </c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11" t="n">
        <v>10503</v>
      </c>
      <c r="AK2486" s="12" t="n">
        <v>180</v>
      </c>
      <c r="AL2486" s="12" t="n">
        <v>761</v>
      </c>
      <c r="AM2486" s="13" t="n">
        <v>26.3</v>
      </c>
      <c r="AN2486" s="13" t="n">
        <v>17.8</v>
      </c>
      <c r="AO2486" s="13" t="n">
        <v>124.1</v>
      </c>
      <c r="AP2486" s="13" t="n">
        <v>55.2</v>
      </c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11" t="n">
        <v>178788</v>
      </c>
      <c r="AK2487" s="12" t="n">
        <v>-10584</v>
      </c>
      <c r="AL2487" s="12" t="n">
        <v>-12449</v>
      </c>
      <c r="AM2487" s="13" t="n">
        <v>7.4</v>
      </c>
      <c r="AN2487" s="13" t="n">
        <v>129</v>
      </c>
      <c r="AO2487" s="13" t="n">
        <v>-167.5</v>
      </c>
      <c r="AP2487" s="13" t="n">
        <v>63.2</v>
      </c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11" t="n">
        <v>4118</v>
      </c>
      <c r="AK2488" s="12" t="n">
        <v>-615</v>
      </c>
      <c r="AL2488" s="12" t="n">
        <v>-580</v>
      </c>
      <c r="AM2488" s="13" t="n">
        <v>24.1</v>
      </c>
      <c r="AN2488" s="13" t="n">
        <v>-10.6</v>
      </c>
      <c r="AO2488" s="13" t="n">
        <v>24.8</v>
      </c>
      <c r="AP2488" s="13" t="n">
        <v>-163.9</v>
      </c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11" t="n">
        <v>15326</v>
      </c>
      <c r="AK2489" s="12" t="n">
        <v>-128</v>
      </c>
      <c r="AL2489" s="12" t="n">
        <v>135</v>
      </c>
      <c r="AM2489" s="13" t="n">
        <v>36.1</v>
      </c>
      <c r="AN2489" s="13" t="n">
        <v>47.7</v>
      </c>
      <c r="AO2489" s="13" t="n">
        <v>95.40000000000001</v>
      </c>
      <c r="AP2489" s="13" t="n">
        <v>88.09999999999999</v>
      </c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11" t="n">
        <v>11222</v>
      </c>
      <c r="AK2490" s="12" t="n">
        <v>79</v>
      </c>
      <c r="AL2490" s="12" t="n">
        <v>1298</v>
      </c>
      <c r="AM2490" s="13" t="n">
        <v>50.2</v>
      </c>
      <c r="AN2490" s="13" t="n">
        <v>8.6</v>
      </c>
      <c r="AO2490" s="13" t="n">
        <v>104.4</v>
      </c>
      <c r="AP2490" s="13" t="n">
        <v>-97.90000000000001</v>
      </c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11" t="n">
        <v>9347</v>
      </c>
      <c r="AK2491" s="12" t="n">
        <v>-163</v>
      </c>
      <c r="AL2491" s="12" t="n">
        <v>-407</v>
      </c>
      <c r="AM2491" s="13" t="n">
        <v>-23.6</v>
      </c>
      <c r="AN2491" s="13" t="n">
        <v>27</v>
      </c>
      <c r="AO2491" s="13" t="n">
        <v>-115.5</v>
      </c>
      <c r="AP2491" s="13" t="n">
        <v>58.9</v>
      </c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11" t="n">
        <v>21796</v>
      </c>
      <c r="AK2492" s="12" t="n">
        <v>1770</v>
      </c>
      <c r="AL2492" s="12" t="n">
        <v>1543</v>
      </c>
      <c r="AM2492" s="13" t="n">
        <v>7.6</v>
      </c>
      <c r="AN2492" s="13" t="n">
        <v>25.2</v>
      </c>
      <c r="AO2492" s="13" t="n">
        <v>-39.9</v>
      </c>
      <c r="AP2492" s="13" t="n">
        <v>846.5</v>
      </c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11" t="n">
        <v>17981</v>
      </c>
      <c r="AK2493" s="12" t="n">
        <v>-7913</v>
      </c>
      <c r="AL2493" s="12" t="n">
        <v>4906</v>
      </c>
      <c r="AM2493" s="13" t="n">
        <v>-1.3</v>
      </c>
      <c r="AN2493" s="13" t="n">
        <v>-32.3</v>
      </c>
      <c r="AO2493" s="13" t="n">
        <v>-224.6</v>
      </c>
      <c r="AP2493" s="13" t="n">
        <v>-48.9</v>
      </c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11" t="n">
        <v>31440</v>
      </c>
      <c r="AK2494" s="12" t="n">
        <v>19458</v>
      </c>
      <c r="AL2494" s="12" t="n">
        <v>8531</v>
      </c>
      <c r="AM2494" s="13" t="inlineStr"/>
      <c r="AN2494" s="13" t="n">
        <v>20.1</v>
      </c>
      <c r="AO2494" s="13" t="inlineStr"/>
      <c r="AP2494" s="13" t="n">
        <v>25.9</v>
      </c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11" t="n">
        <v>4929</v>
      </c>
      <c r="AK2495" s="12" t="n">
        <v>265</v>
      </c>
      <c r="AL2495" s="12" t="n">
        <v>-166</v>
      </c>
      <c r="AM2495" s="13" t="n">
        <v>39.2</v>
      </c>
      <c r="AN2495" s="13" t="n">
        <v>39.2</v>
      </c>
      <c r="AO2495" s="13" t="n">
        <v>171.8</v>
      </c>
      <c r="AP2495" s="13" t="n">
        <v>61.6</v>
      </c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11" t="n">
        <v>4451</v>
      </c>
      <c r="AK2496" s="12" t="n">
        <v>509</v>
      </c>
      <c r="AL2496" s="12" t="n">
        <v>472</v>
      </c>
      <c r="AM2496" s="13" t="n">
        <v>-29.7</v>
      </c>
      <c r="AN2496" s="13" t="n">
        <v>-44.8</v>
      </c>
      <c r="AO2496" s="13" t="n">
        <v>197.7</v>
      </c>
      <c r="AP2496" s="13" t="n">
        <v>-45.2</v>
      </c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11" t="n">
        <v>1540</v>
      </c>
      <c r="AK2497" s="12" t="n">
        <v>-2352</v>
      </c>
      <c r="AL2497" s="12" t="n">
        <v>-2554</v>
      </c>
      <c r="AM2497" s="13" t="n">
        <v>-4.6</v>
      </c>
      <c r="AN2497" s="13" t="n">
        <v>93.7</v>
      </c>
      <c r="AO2497" s="13" t="n">
        <v>12.2</v>
      </c>
      <c r="AP2497" s="13" t="n">
        <v>32</v>
      </c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11" t="n">
        <v>150904</v>
      </c>
      <c r="AK2498" s="12" t="n">
        <v>15135</v>
      </c>
      <c r="AL2498" s="12" t="n">
        <v>5085</v>
      </c>
      <c r="AM2498" s="13" t="n">
        <v>19.6</v>
      </c>
      <c r="AN2498" s="13" t="n">
        <v>18.9</v>
      </c>
      <c r="AO2498" s="13" t="n">
        <v>22.6</v>
      </c>
      <c r="AP2498" s="13" t="n">
        <v>408.5</v>
      </c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11" t="n">
        <v>23645</v>
      </c>
      <c r="AK2499" s="12" t="n">
        <v>5603</v>
      </c>
      <c r="AL2499" s="12" t="n">
        <v>2031</v>
      </c>
      <c r="AM2499" s="13" t="n">
        <v>5.6</v>
      </c>
      <c r="AN2499" s="13" t="n">
        <v>52.6</v>
      </c>
      <c r="AO2499" s="13" t="n">
        <v>-9.699999999999999</v>
      </c>
      <c r="AP2499" s="13" t="n">
        <v>111.2</v>
      </c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11" t="n">
        <v>2202</v>
      </c>
      <c r="AK2500" s="12" t="n">
        <v>1083</v>
      </c>
      <c r="AL2500" s="12" t="n">
        <v>828</v>
      </c>
      <c r="AM2500" s="13" t="n">
        <v>42.5</v>
      </c>
      <c r="AN2500" s="13" t="n">
        <v>20.1</v>
      </c>
      <c r="AO2500" s="13" t="n">
        <v>179.8</v>
      </c>
      <c r="AP2500" s="13" t="n">
        <v>140.1</v>
      </c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11" t="n">
        <v>29361</v>
      </c>
      <c r="AK2501" s="12" t="n">
        <v>98</v>
      </c>
      <c r="AL2501" s="12" t="n">
        <v>477</v>
      </c>
      <c r="AM2501" s="13" t="n">
        <v>10.4</v>
      </c>
      <c r="AN2501" s="13" t="n">
        <v>-11.3</v>
      </c>
      <c r="AO2501" s="13" t="n">
        <v>117.4</v>
      </c>
      <c r="AP2501" s="13" t="n">
        <v>42</v>
      </c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11" t="n">
        <v>7215</v>
      </c>
      <c r="AK2502" s="12" t="n">
        <v>312</v>
      </c>
      <c r="AL2502" s="12" t="n">
        <v>104</v>
      </c>
      <c r="AM2502" s="13" t="n">
        <v>1.1</v>
      </c>
      <c r="AN2502" s="13" t="n">
        <v>257.7</v>
      </c>
      <c r="AO2502" s="13" t="n">
        <v>205.9</v>
      </c>
      <c r="AP2502" s="13" t="n">
        <v>118.5</v>
      </c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11" t="n">
        <v>11008</v>
      </c>
      <c r="AK2503" s="12" t="n">
        <v>-2980</v>
      </c>
      <c r="AL2503" s="12" t="n">
        <v>-10565</v>
      </c>
      <c r="AM2503" s="13" t="n">
        <v>11.8</v>
      </c>
      <c r="AN2503" s="13" t="n">
        <v>-35.3</v>
      </c>
      <c r="AO2503" s="13" t="n">
        <v>4</v>
      </c>
      <c r="AP2503" s="13" t="n">
        <v>30.8</v>
      </c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11" t="n">
        <v>594973</v>
      </c>
      <c r="AK2504" s="12" t="n">
        <v>38127</v>
      </c>
      <c r="AL2504" s="12" t="n">
        <v>30574</v>
      </c>
      <c r="AM2504" s="13" t="n">
        <v>-4.3</v>
      </c>
      <c r="AN2504" s="13" t="n">
        <v>7.8</v>
      </c>
      <c r="AO2504" s="13" t="n">
        <v>-17.8</v>
      </c>
      <c r="AP2504" s="13" t="n">
        <v>23.4</v>
      </c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11" t="n">
        <v>20857</v>
      </c>
      <c r="AK2505" s="12" t="n">
        <v>-1652</v>
      </c>
      <c r="AL2505" s="12" t="n">
        <v>-946</v>
      </c>
      <c r="AM2505" s="13" t="n">
        <v>1.2</v>
      </c>
      <c r="AN2505" s="13" t="n">
        <v>-20.1</v>
      </c>
      <c r="AO2505" s="13" t="n">
        <v>24.8</v>
      </c>
      <c r="AP2505" s="13" t="n">
        <v>-214.5</v>
      </c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11" t="n">
        <v>4256</v>
      </c>
      <c r="AK2506" s="12" t="n">
        <v>-4893</v>
      </c>
      <c r="AL2506" s="12" t="n">
        <v>-5155</v>
      </c>
      <c r="AM2506" s="13" t="n">
        <v>-7.2</v>
      </c>
      <c r="AN2506" s="13" t="n">
        <v>-45</v>
      </c>
      <c r="AO2506" s="13" t="n">
        <v>-182.2</v>
      </c>
      <c r="AP2506" s="13" t="n">
        <v>-925.1</v>
      </c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11" t="n">
        <v>17674</v>
      </c>
      <c r="AK2507" s="12" t="n">
        <v>-14417</v>
      </c>
      <c r="AL2507" s="12" t="n">
        <v>-12792</v>
      </c>
      <c r="AM2507" s="13" t="n">
        <v>15.6</v>
      </c>
      <c r="AN2507" s="13" t="n">
        <v>290</v>
      </c>
      <c r="AO2507" s="13" t="n">
        <v>-19.5</v>
      </c>
      <c r="AP2507" s="13" t="n">
        <v>7.9</v>
      </c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11" t="n">
        <v>1659</v>
      </c>
      <c r="AK2508" s="12" t="n">
        <v>-1923</v>
      </c>
      <c r="AL2508" s="12" t="n">
        <v>-1984</v>
      </c>
      <c r="AM2508" s="13" t="n">
        <v>84.5</v>
      </c>
      <c r="AN2508" s="13" t="n">
        <v>-63.8</v>
      </c>
      <c r="AO2508" s="13" t="n">
        <v>-57.2</v>
      </c>
      <c r="AP2508" s="13" t="n">
        <v>-329.2</v>
      </c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11" t="n">
        <v>788</v>
      </c>
      <c r="AK2509" s="12" t="n">
        <v>-3486</v>
      </c>
      <c r="AL2509" s="12" t="n">
        <v>-1139</v>
      </c>
      <c r="AM2509" s="13" t="n">
        <v>55.4</v>
      </c>
      <c r="AN2509" s="13" t="n">
        <v>-47.1</v>
      </c>
      <c r="AO2509" s="13" t="n">
        <v>-30.2</v>
      </c>
      <c r="AP2509" s="13" t="n">
        <v>-60.1</v>
      </c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11" t="n">
        <v>1724</v>
      </c>
      <c r="AK2510" s="12" t="n">
        <v>-1940</v>
      </c>
      <c r="AL2510" s="12" t="n">
        <v>-12813</v>
      </c>
      <c r="AM2510" s="13" t="n">
        <v>185</v>
      </c>
      <c r="AN2510" s="13" t="n">
        <v>107.7</v>
      </c>
      <c r="AO2510" s="13" t="n">
        <v>36.2</v>
      </c>
      <c r="AP2510" s="13" t="n">
        <v>25.5</v>
      </c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11" t="n">
        <v>535010</v>
      </c>
      <c r="AK2511" s="12" t="n">
        <v>43261</v>
      </c>
      <c r="AL2511" s="12" t="n">
        <v>29787</v>
      </c>
      <c r="AM2511" s="13" t="n">
        <v>5.6</v>
      </c>
      <c r="AN2511" s="13" t="n">
        <v>1.5</v>
      </c>
      <c r="AO2511" s="13" t="n">
        <v>55.5</v>
      </c>
      <c r="AP2511" s="13" t="n">
        <v>2004.1</v>
      </c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11" t="n">
        <v>868</v>
      </c>
      <c r="AK2512" s="12" t="n">
        <v>-4679</v>
      </c>
      <c r="AL2512" s="12" t="n">
        <v>-7231</v>
      </c>
      <c r="AM2512" s="13" t="n">
        <v>180.9</v>
      </c>
      <c r="AN2512" s="13" t="n">
        <v>-26.3</v>
      </c>
      <c r="AO2512" s="13" t="n">
        <v>3.9</v>
      </c>
      <c r="AP2512" s="13" t="n">
        <v>-4.6</v>
      </c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11" t="n">
        <v>1603</v>
      </c>
      <c r="AK2513" s="12" t="n">
        <v>-2702</v>
      </c>
      <c r="AL2513" s="12" t="n">
        <v>-5710</v>
      </c>
      <c r="AM2513" s="13" t="n">
        <v>356.7</v>
      </c>
      <c r="AN2513" s="13" t="n">
        <v>947.7</v>
      </c>
      <c r="AO2513" s="13" t="n">
        <v>18.5</v>
      </c>
      <c r="AP2513" s="13" t="n">
        <v>1.6</v>
      </c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11" t="n">
        <v>108029</v>
      </c>
      <c r="AK2514" s="12" t="n">
        <v>7737</v>
      </c>
      <c r="AL2514" s="12" t="n">
        <v>3627</v>
      </c>
      <c r="AM2514" s="13" t="n">
        <v>-0.5</v>
      </c>
      <c r="AN2514" s="13" t="n">
        <v>8.300000000000001</v>
      </c>
      <c r="AO2514" s="13" t="n">
        <v>122.3</v>
      </c>
      <c r="AP2514" s="13" t="n">
        <v>266.3</v>
      </c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11" t="n">
        <v>6658</v>
      </c>
      <c r="AK2515" s="12" t="n">
        <v>414</v>
      </c>
      <c r="AL2515" s="12" t="n">
        <v>417</v>
      </c>
      <c r="AM2515" s="13" t="n">
        <v>5.6</v>
      </c>
      <c r="AN2515" s="13" t="n">
        <v>-39.3</v>
      </c>
      <c r="AO2515" s="13" t="n">
        <v>-10.2</v>
      </c>
      <c r="AP2515" s="13" t="n">
        <v>-79.5</v>
      </c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11" t="n">
        <v>11378</v>
      </c>
      <c r="AK2516" s="12" t="n">
        <v>1044</v>
      </c>
      <c r="AL2516" s="12" t="n">
        <v>984</v>
      </c>
      <c r="AM2516" s="13" t="n">
        <v>0.7</v>
      </c>
      <c r="AN2516" s="13" t="n">
        <v>-0.3</v>
      </c>
      <c r="AO2516" s="13" t="n">
        <v>-44.2</v>
      </c>
      <c r="AP2516" s="13" t="n">
        <v>-31.9</v>
      </c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11" t="n">
        <v>6059</v>
      </c>
      <c r="AK2517" s="12" t="n">
        <v>-1714</v>
      </c>
      <c r="AL2517" s="12" t="n">
        <v>-1735</v>
      </c>
      <c r="AM2517" s="13" t="n">
        <v>-61.4</v>
      </c>
      <c r="AN2517" s="13" t="n">
        <v>-16.1</v>
      </c>
      <c r="AO2517" s="13" t="n">
        <v>-165.7</v>
      </c>
      <c r="AP2517" s="13" t="n">
        <v>0.7</v>
      </c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11" t="n">
        <v>8640</v>
      </c>
      <c r="AK2518" s="12" t="n">
        <v>-100</v>
      </c>
      <c r="AL2518" s="12" t="n">
        <v>-370</v>
      </c>
      <c r="AM2518" s="13" t="n">
        <v>46.5</v>
      </c>
      <c r="AN2518" s="13" t="inlineStr"/>
      <c r="AO2518" s="13" t="n">
        <v>82.40000000000001</v>
      </c>
      <c r="AP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11" t="n">
        <v>24715</v>
      </c>
      <c r="AK2519" s="12" t="n">
        <v>764</v>
      </c>
      <c r="AL2519" s="12" t="n">
        <v>1939</v>
      </c>
      <c r="AM2519" s="13" t="n">
        <v>3.6</v>
      </c>
      <c r="AN2519" s="13" t="n">
        <v>18.6</v>
      </c>
      <c r="AO2519" s="13" t="n">
        <v>250.5</v>
      </c>
      <c r="AP2519" s="13" t="n">
        <v>155.8</v>
      </c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11" t="n">
        <v>28376</v>
      </c>
      <c r="AK2520" s="12" t="n">
        <v>12950</v>
      </c>
      <c r="AL2520" s="12" t="n">
        <v>12940</v>
      </c>
      <c r="AM2520" s="13" t="n">
        <v>-12.8</v>
      </c>
      <c r="AN2520" s="13" t="n">
        <v>256.8</v>
      </c>
      <c r="AO2520" s="13" t="n">
        <v>-6.5</v>
      </c>
      <c r="AP2520" s="13" t="n">
        <v>772.1</v>
      </c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11" t="n">
        <v>42713</v>
      </c>
      <c r="AK2521" s="12" t="n">
        <v>-1242</v>
      </c>
      <c r="AL2521" s="12" t="n">
        <v>-2107</v>
      </c>
      <c r="AM2521" s="13" t="n">
        <v>-22.2</v>
      </c>
      <c r="AN2521" s="13" t="n">
        <v>17.8</v>
      </c>
      <c r="AO2521" s="13" t="n">
        <v>-183</v>
      </c>
      <c r="AP2521" s="13" t="n">
        <v>-155.8</v>
      </c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11" t="n">
        <v>6165</v>
      </c>
      <c r="AK2522" s="12" t="n">
        <v>-4155</v>
      </c>
      <c r="AL2522" s="12" t="n">
        <v>-8274</v>
      </c>
      <c r="AM2522" s="13" t="n">
        <v>104.3</v>
      </c>
      <c r="AN2522" s="13" t="n">
        <v>176.3</v>
      </c>
      <c r="AO2522" s="13" t="n">
        <v>-57.9</v>
      </c>
      <c r="AP2522" s="13" t="n">
        <v>-135.9</v>
      </c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11" t="n">
        <v>8291</v>
      </c>
      <c r="AK2523" s="12" t="n">
        <v>-448</v>
      </c>
      <c r="AL2523" s="12" t="n">
        <v>818</v>
      </c>
      <c r="AM2523" s="13" t="n">
        <v>-54.3</v>
      </c>
      <c r="AN2523" s="13" t="inlineStr"/>
      <c r="AO2523" s="13" t="n">
        <v>43.1</v>
      </c>
      <c r="AP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11" t="n">
        <v>2977</v>
      </c>
      <c r="AK2524" s="12" t="n">
        <v>-195</v>
      </c>
      <c r="AL2524" s="12" t="n">
        <v>-114</v>
      </c>
      <c r="AM2524" s="13" t="n">
        <v>3766.2</v>
      </c>
      <c r="AN2524" s="13" t="n">
        <v>312.3</v>
      </c>
      <c r="AO2524" s="13" t="n">
        <v>86.59999999999999</v>
      </c>
      <c r="AP2524" s="13" t="n">
        <v>83.5</v>
      </c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11" t="n">
        <v>773358</v>
      </c>
      <c r="AK2525" s="12" t="n">
        <v>22032</v>
      </c>
      <c r="AL2525" s="12" t="n">
        <v>5623</v>
      </c>
      <c r="AM2525" s="13" t="n">
        <v>12.6</v>
      </c>
      <c r="AN2525" s="13" t="n">
        <v>12</v>
      </c>
      <c r="AO2525" s="13" t="n">
        <v>175.9</v>
      </c>
      <c r="AP2525" s="13" t="n">
        <v>209.8</v>
      </c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11" t="n">
        <v>995515</v>
      </c>
      <c r="AK2526" s="12" t="n">
        <v>45563</v>
      </c>
      <c r="AL2526" s="12" t="n">
        <v>11645</v>
      </c>
      <c r="AM2526" s="13" t="n">
        <v>16.1</v>
      </c>
      <c r="AN2526" s="13" t="n">
        <v>11.4</v>
      </c>
      <c r="AO2526" s="13" t="n">
        <v>112.5</v>
      </c>
      <c r="AP2526" s="13" t="n">
        <v>52.3</v>
      </c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11" t="n">
        <v>17323</v>
      </c>
      <c r="AK2527" s="12" t="n">
        <v>1660</v>
      </c>
      <c r="AL2527" s="12" t="n">
        <v>1418</v>
      </c>
      <c r="AM2527" s="13" t="n">
        <v>15.2</v>
      </c>
      <c r="AN2527" s="13" t="n">
        <v>7.4</v>
      </c>
      <c r="AO2527" s="13" t="n">
        <v>22.3</v>
      </c>
      <c r="AP2527" s="13" t="n">
        <v>-3.9</v>
      </c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11" t="n">
        <v>72768</v>
      </c>
      <c r="AK2528" s="12" t="n">
        <v>12183</v>
      </c>
      <c r="AL2528" s="12" t="n">
        <v>8714</v>
      </c>
      <c r="AM2528" s="13" t="n">
        <v>12.6</v>
      </c>
      <c r="AN2528" s="13" t="n">
        <v>16.8</v>
      </c>
      <c r="AO2528" s="13" t="n">
        <v>42.8</v>
      </c>
      <c r="AP2528" s="13" t="n">
        <v>47.5</v>
      </c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11" t="n">
        <v>1729</v>
      </c>
      <c r="AK2529" s="12" t="n">
        <v>-458</v>
      </c>
      <c r="AL2529" s="12" t="n">
        <v>218</v>
      </c>
      <c r="AM2529" s="13" t="n">
        <v>85.5</v>
      </c>
      <c r="AN2529" s="13" t="n">
        <v>-34.7</v>
      </c>
      <c r="AO2529" s="13" t="n">
        <v>-28.3</v>
      </c>
      <c r="AP2529" s="13" t="n">
        <v>-137.8</v>
      </c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11" t="n">
        <v>1509</v>
      </c>
      <c r="AK2530" s="12" t="n">
        <v>-1407</v>
      </c>
      <c r="AL2530" s="12" t="n">
        <v>-1062</v>
      </c>
      <c r="AM2530" s="13" t="n">
        <v>18.4</v>
      </c>
      <c r="AN2530" s="13" t="n">
        <v>-0.1</v>
      </c>
      <c r="AO2530" s="13" t="n">
        <v>42.8</v>
      </c>
      <c r="AP2530" s="13" t="n">
        <v>26.5</v>
      </c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11" t="n">
        <v>77184</v>
      </c>
      <c r="AK2531" s="12" t="n">
        <v>32329</v>
      </c>
      <c r="AL2531" s="12" t="n">
        <v>41806</v>
      </c>
      <c r="AM2531" s="13" t="n">
        <v>404.6</v>
      </c>
      <c r="AN2531" s="13" t="n">
        <v>19.3</v>
      </c>
      <c r="AO2531" s="13" t="n">
        <v>483.6</v>
      </c>
      <c r="AP2531" s="13" t="n">
        <v>34.4</v>
      </c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11" t="n">
        <v>16776</v>
      </c>
      <c r="AK2532" s="12" t="n">
        <v>1560</v>
      </c>
      <c r="AL2532" s="12" t="n">
        <v>1254</v>
      </c>
      <c r="AM2532" s="13" t="n">
        <v>62.8</v>
      </c>
      <c r="AN2532" s="13" t="n">
        <v>35.1</v>
      </c>
      <c r="AO2532" s="13" t="n">
        <v>406.5</v>
      </c>
      <c r="AP2532" s="13" t="n">
        <v>747.8</v>
      </c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11" t="n">
        <v>2472</v>
      </c>
      <c r="AK2533" s="12" t="n">
        <v>-15819</v>
      </c>
      <c r="AL2533" s="12" t="n">
        <v>-15967</v>
      </c>
      <c r="AM2533" s="13" t="n">
        <v>77</v>
      </c>
      <c r="AN2533" s="13" t="n">
        <v>446.9</v>
      </c>
      <c r="AO2533" s="13" t="n">
        <v>-27.8</v>
      </c>
      <c r="AP2533" s="13" t="n">
        <v>5.5</v>
      </c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11" t="n">
        <v>1134</v>
      </c>
      <c r="AK2534" s="12" t="n">
        <v>-1694</v>
      </c>
      <c r="AL2534" s="12" t="n">
        <v>-829</v>
      </c>
      <c r="AM2534" s="13" t="n">
        <v>39.1</v>
      </c>
      <c r="AN2534" s="13" t="n">
        <v>-31.3</v>
      </c>
      <c r="AO2534" s="13" t="n">
        <v>38.6</v>
      </c>
      <c r="AP2534" s="13" t="n">
        <v>35.3</v>
      </c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11" t="n">
        <v>126216</v>
      </c>
      <c r="AK2535" s="12" t="n">
        <v>1005</v>
      </c>
      <c r="AL2535" s="12" t="n">
        <v>-4560</v>
      </c>
      <c r="AM2535" s="13" t="n">
        <v>-4.3</v>
      </c>
      <c r="AN2535" s="13" t="n">
        <v>-7.4</v>
      </c>
      <c r="AO2535" s="13" t="n">
        <v>-88.8</v>
      </c>
      <c r="AP2535" s="13" t="n">
        <v>-82</v>
      </c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11" t="n">
        <v>15007</v>
      </c>
      <c r="AK2536" s="12" t="n">
        <v>3640</v>
      </c>
      <c r="AL2536" s="12" t="n">
        <v>2731</v>
      </c>
      <c r="AM2536" s="13" t="n">
        <v>-4.3</v>
      </c>
      <c r="AN2536" s="13" t="n">
        <v>2.7</v>
      </c>
      <c r="AO2536" s="13" t="n">
        <v>-6.6</v>
      </c>
      <c r="AP2536" s="13" t="n">
        <v>17.1</v>
      </c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11" t="n">
        <v>55724</v>
      </c>
      <c r="AK2537" s="12" t="n">
        <v>28118</v>
      </c>
      <c r="AL2537" s="12" t="n">
        <v>41736</v>
      </c>
      <c r="AM2537" s="13" t="n">
        <v>17.8</v>
      </c>
      <c r="AN2537" s="13" t="n">
        <v>-50.4</v>
      </c>
      <c r="AO2537" s="13" t="n">
        <v>30.7</v>
      </c>
      <c r="AP2537" s="13" t="n">
        <v>-58.8</v>
      </c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11" t="n">
        <v>9207</v>
      </c>
      <c r="AK2538" s="12" t="n">
        <v>1105</v>
      </c>
      <c r="AL2538" s="12" t="n">
        <v>859</v>
      </c>
      <c r="AM2538" s="13" t="n">
        <v>5.5</v>
      </c>
      <c r="AN2538" s="13" t="n">
        <v>18.6</v>
      </c>
      <c r="AO2538" s="13" t="n">
        <v>73.7</v>
      </c>
      <c r="AP2538" s="13" t="n">
        <v>991.1</v>
      </c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11" t="n">
        <v>5311</v>
      </c>
      <c r="AK2539" s="12" t="n">
        <v>227</v>
      </c>
      <c r="AL2539" s="12" t="n">
        <v>412</v>
      </c>
      <c r="AM2539" s="13" t="n">
        <v>22.3</v>
      </c>
      <c r="AN2539" s="13" t="n">
        <v>20.5</v>
      </c>
      <c r="AO2539" s="13" t="n">
        <v>130.5</v>
      </c>
      <c r="AP2539" s="13" t="n">
        <v>131.9</v>
      </c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11" t="n">
        <v>20223</v>
      </c>
      <c r="AK2540" s="12" t="n">
        <v>-1119</v>
      </c>
      <c r="AL2540" s="12" t="n">
        <v>-1117</v>
      </c>
      <c r="AM2540" s="13" t="n">
        <v>14.3</v>
      </c>
      <c r="AN2540" s="13" t="n">
        <v>-1.3</v>
      </c>
      <c r="AO2540" s="13" t="n">
        <v>22.3</v>
      </c>
      <c r="AP2540" s="13" t="n">
        <v>-1117.3</v>
      </c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11" t="n">
        <v>456</v>
      </c>
      <c r="AK2541" s="12" t="n">
        <v>-5177</v>
      </c>
      <c r="AL2541" s="12" t="n">
        <v>-6243</v>
      </c>
      <c r="AM2541" s="13" t="n">
        <v>-21.5</v>
      </c>
      <c r="AN2541" s="13" t="n">
        <v>-64.2</v>
      </c>
      <c r="AO2541" s="13" t="n">
        <v>5.9</v>
      </c>
      <c r="AP2541" s="13" t="n">
        <v>-21.9</v>
      </c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11" t="n">
        <v>8077</v>
      </c>
      <c r="AK2542" s="12" t="n">
        <v>1043</v>
      </c>
      <c r="AL2542" s="12" t="n">
        <v>959</v>
      </c>
      <c r="AM2542" s="13" t="n">
        <v>0.1</v>
      </c>
      <c r="AN2542" s="13" t="n">
        <v>44.7</v>
      </c>
      <c r="AO2542" s="13" t="n">
        <v>-22.4</v>
      </c>
      <c r="AP2542" s="13" t="n">
        <v>222.9</v>
      </c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11" t="inlineStr"/>
      <c r="AK2543" s="12" t="n">
        <v>-2370</v>
      </c>
      <c r="AL2543" s="12" t="n">
        <v>-2349</v>
      </c>
      <c r="AM2543" s="13" t="inlineStr"/>
      <c r="AN2543" s="13" t="inlineStr"/>
      <c r="AO2543" s="13" t="n">
        <v>46.3</v>
      </c>
      <c r="AP2543" s="13" t="n">
        <v>-7070.6</v>
      </c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11" t="n">
        <v>5680</v>
      </c>
      <c r="AK2544" s="12" t="n">
        <v>-1326</v>
      </c>
      <c r="AL2544" s="12" t="n">
        <v>-1076</v>
      </c>
      <c r="AM2544" s="13" t="n">
        <v>20.8</v>
      </c>
      <c r="AN2544" s="13" t="n">
        <v>538.2</v>
      </c>
      <c r="AO2544" s="13" t="n">
        <v>-32.3</v>
      </c>
      <c r="AP2544" s="13" t="n">
        <v>10.5</v>
      </c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11" t="n">
        <v>5205</v>
      </c>
      <c r="AK2545" s="12" t="n">
        <v>-1684</v>
      </c>
      <c r="AL2545" s="12" t="n">
        <v>-1692</v>
      </c>
      <c r="AM2545" s="13" t="n">
        <v>-13.8</v>
      </c>
      <c r="AN2545" s="13" t="n">
        <v>-9.199999999999999</v>
      </c>
      <c r="AO2545" s="13" t="n">
        <v>-9.6</v>
      </c>
      <c r="AP2545" s="13" t="n">
        <v>-235.5</v>
      </c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11" t="n">
        <v>0</v>
      </c>
      <c r="AK2546" s="12" t="n">
        <v>-6</v>
      </c>
      <c r="AL2546" s="12" t="n">
        <v>25</v>
      </c>
      <c r="AM2546" s="13" t="inlineStr"/>
      <c r="AN2546" s="13" t="inlineStr"/>
      <c r="AO2546" s="13" t="n">
        <v>68.40000000000001</v>
      </c>
      <c r="AP2546" s="13" t="n">
        <v>-20</v>
      </c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11" t="n">
        <v>4760</v>
      </c>
      <c r="AK2547" s="12" t="n">
        <v>1050</v>
      </c>
      <c r="AL2547" s="12" t="n">
        <v>3879</v>
      </c>
      <c r="AM2547" s="13" t="n">
        <v>19.5</v>
      </c>
      <c r="AN2547" s="13" t="n">
        <v>18.2</v>
      </c>
      <c r="AO2547" s="13" t="n">
        <v>446.9</v>
      </c>
      <c r="AP2547" s="13" t="n">
        <v>351.8</v>
      </c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11" t="n">
        <v>14827</v>
      </c>
      <c r="AK2548" s="12" t="n">
        <v>-104</v>
      </c>
      <c r="AL2548" s="12" t="n">
        <v>13148</v>
      </c>
      <c r="AM2548" s="13" t="n">
        <v>-6.9</v>
      </c>
      <c r="AN2548" s="13" t="n">
        <v>-66</v>
      </c>
      <c r="AO2548" s="13" t="n">
        <v>92.40000000000001</v>
      </c>
      <c r="AP2548" s="13" t="n">
        <v>97.90000000000001</v>
      </c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11" t="n">
        <v>8859</v>
      </c>
      <c r="AK2549" s="12" t="n">
        <v>-2840</v>
      </c>
      <c r="AL2549" s="12" t="n">
        <v>-2633</v>
      </c>
      <c r="AM2549" s="13" t="n">
        <v>9.1</v>
      </c>
      <c r="AN2549" s="13" t="n">
        <v>12.9</v>
      </c>
      <c r="AO2549" s="13" t="n">
        <v>-13.6</v>
      </c>
      <c r="AP2549" s="13" t="n">
        <v>-51.2</v>
      </c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11" t="n">
        <v>2862</v>
      </c>
      <c r="AK2550" s="12" t="n">
        <v>489</v>
      </c>
      <c r="AL2550" s="12" t="n">
        <v>893</v>
      </c>
      <c r="AM2550" s="13" t="n">
        <v>-16.8</v>
      </c>
      <c r="AN2550" s="13" t="n">
        <v>-5.2</v>
      </c>
      <c r="AO2550" s="13" t="n">
        <v>-55.3</v>
      </c>
      <c r="AP2550" s="13" t="n">
        <v>-41.2</v>
      </c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11" t="n">
        <v>0</v>
      </c>
      <c r="AK2551" s="12" t="n">
        <v>-8</v>
      </c>
      <c r="AL2551" s="12" t="n">
        <v>43</v>
      </c>
      <c r="AM2551" s="13" t="inlineStr"/>
      <c r="AN2551" s="13" t="inlineStr"/>
      <c r="AO2551" s="13" t="n">
        <v>50</v>
      </c>
      <c r="AP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11" t="inlineStr"/>
      <c r="AK2552" s="12" t="inlineStr"/>
      <c r="AL2552" s="12" t="inlineStr"/>
      <c r="AM2552" s="13" t="inlineStr"/>
      <c r="AN2552" s="13" t="inlineStr"/>
      <c r="AO2552" s="13" t="inlineStr"/>
      <c r="AP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11" t="n">
        <v>349</v>
      </c>
      <c r="AK2553" s="12" t="n">
        <v>-3956</v>
      </c>
      <c r="AL2553" s="12" t="n">
        <v>-3112</v>
      </c>
      <c r="AM2553" s="13" t="n">
        <v>106.5</v>
      </c>
      <c r="AN2553" s="13" t="n">
        <v>-63.8</v>
      </c>
      <c r="AO2553" s="13" t="n">
        <v>16</v>
      </c>
      <c r="AP2553" s="13" t="n">
        <v>-65</v>
      </c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11" t="n">
        <v>0</v>
      </c>
      <c r="AK2554" s="12" t="n">
        <v>-46</v>
      </c>
      <c r="AL2554" s="12" t="n">
        <v>4</v>
      </c>
      <c r="AM2554" s="13" t="inlineStr"/>
      <c r="AN2554" s="13" t="inlineStr"/>
      <c r="AO2554" s="13" t="n">
        <v>-142.1</v>
      </c>
      <c r="AP2554" s="13" t="n">
        <v>-411.1</v>
      </c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11" t="inlineStr"/>
      <c r="AK2555" s="12" t="n">
        <v>-71</v>
      </c>
      <c r="AL2555" s="12" t="n">
        <v>-29</v>
      </c>
      <c r="AM2555" s="13" t="inlineStr"/>
      <c r="AN2555" s="13" t="inlineStr"/>
      <c r="AO2555" s="13" t="n">
        <v>-491.7</v>
      </c>
      <c r="AP2555" s="13" t="n">
        <v>-688.9</v>
      </c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11" t="n">
        <v>19559</v>
      </c>
      <c r="AK2556" s="12" t="n">
        <v>894</v>
      </c>
      <c r="AL2556" s="12" t="n">
        <v>3206</v>
      </c>
      <c r="AM2556" s="13" t="n">
        <v>-1.5</v>
      </c>
      <c r="AN2556" s="13" t="inlineStr"/>
      <c r="AO2556" s="13" t="n">
        <v>-70.7</v>
      </c>
      <c r="AP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11" t="n">
        <v>4760</v>
      </c>
      <c r="AK2557" s="12" t="n">
        <v>10</v>
      </c>
      <c r="AL2557" s="12" t="n">
        <v>275</v>
      </c>
      <c r="AM2557" s="13" t="n">
        <v>6</v>
      </c>
      <c r="AN2557" s="13" t="n">
        <v>50.8</v>
      </c>
      <c r="AO2557" s="13" t="n">
        <v>102.1</v>
      </c>
      <c r="AP2557" s="13" t="n">
        <v>102.7</v>
      </c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11" t="n">
        <v>0</v>
      </c>
      <c r="AK2558" s="12" t="n">
        <v>-11</v>
      </c>
      <c r="AL2558" s="12" t="n">
        <v>38</v>
      </c>
      <c r="AM2558" s="13" t="inlineStr"/>
      <c r="AN2558" s="13" t="inlineStr"/>
      <c r="AO2558" s="13" t="n">
        <v>15.4</v>
      </c>
      <c r="AP2558" s="13" t="n">
        <v>8.300000000000001</v>
      </c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11" t="inlineStr"/>
      <c r="AK2559" s="12" t="n">
        <v>-11</v>
      </c>
      <c r="AL2559" s="12" t="n">
        <v>54</v>
      </c>
      <c r="AM2559" s="13" t="inlineStr"/>
      <c r="AN2559" s="13" t="inlineStr"/>
      <c r="AO2559" s="13" t="n">
        <v>15.4</v>
      </c>
      <c r="AP2559" s="13" t="n">
        <v>0</v>
      </c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11" t="n">
        <v>0</v>
      </c>
      <c r="AK2560" s="12" t="n">
        <v>-10</v>
      </c>
      <c r="AL2560" s="12" t="n">
        <v>-62</v>
      </c>
      <c r="AM2560" s="13" t="inlineStr"/>
      <c r="AN2560" s="13" t="inlineStr"/>
      <c r="AO2560" s="13" t="n">
        <v>-11.1</v>
      </c>
      <c r="AP2560" s="13" t="n">
        <v>0</v>
      </c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11" t="n">
        <v>5087</v>
      </c>
      <c r="AK2561" s="12" t="n">
        <v>981</v>
      </c>
      <c r="AL2561" s="12" t="n">
        <v>592</v>
      </c>
      <c r="AM2561" s="13" t="n">
        <v>8.1</v>
      </c>
      <c r="AN2561" s="13" t="n">
        <v>-21.3</v>
      </c>
      <c r="AO2561" s="13" t="n">
        <v>181.9</v>
      </c>
      <c r="AP2561" s="13" t="n">
        <v>-15.4</v>
      </c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11" t="n">
        <v>0</v>
      </c>
      <c r="AK2562" s="12" t="n">
        <v>-12</v>
      </c>
      <c r="AL2562" s="12" t="n">
        <v>27</v>
      </c>
      <c r="AM2562" s="13" t="inlineStr"/>
      <c r="AN2562" s="13" t="inlineStr"/>
      <c r="AO2562" s="13" t="n">
        <v>20</v>
      </c>
      <c r="AP2562" s="13" t="n">
        <v>0</v>
      </c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11" t="inlineStr"/>
      <c r="AK2563" s="12" t="n">
        <v>-8</v>
      </c>
      <c r="AL2563" s="12" t="n">
        <v>19</v>
      </c>
      <c r="AM2563" s="13" t="inlineStr"/>
      <c r="AN2563" s="13" t="inlineStr"/>
      <c r="AO2563" s="13" t="n">
        <v>42.9</v>
      </c>
      <c r="AP2563" s="13" t="n">
        <v>27.3</v>
      </c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11" t="n">
        <v>149183</v>
      </c>
      <c r="AK2564" s="12" t="n">
        <v>21711</v>
      </c>
      <c r="AL2564" s="12" t="n">
        <v>16282</v>
      </c>
      <c r="AM2564" s="13" t="n">
        <v>27.6</v>
      </c>
      <c r="AN2564" s="13" t="n">
        <v>33.1</v>
      </c>
      <c r="AO2564" s="13" t="n">
        <v>27.9</v>
      </c>
      <c r="AP2564" s="13" t="n">
        <v>37.8</v>
      </c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11" t="inlineStr"/>
      <c r="AK2565" s="12" t="n">
        <v>-8</v>
      </c>
      <c r="AL2565" s="12" t="n">
        <v>-2</v>
      </c>
      <c r="AM2565" s="13" t="inlineStr"/>
      <c r="AN2565" s="13" t="inlineStr"/>
      <c r="AO2565" s="13" t="n">
        <v>42.9</v>
      </c>
      <c r="AP2565" s="13" t="n">
        <v>27.3</v>
      </c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11" t="n">
        <v>0</v>
      </c>
      <c r="AK2566" s="12" t="n">
        <v>-10</v>
      </c>
      <c r="AL2566" s="12" t="n">
        <v>77</v>
      </c>
      <c r="AM2566" s="13" t="inlineStr"/>
      <c r="AN2566" s="13" t="inlineStr"/>
      <c r="AO2566" s="13" t="n">
        <v>37.5</v>
      </c>
      <c r="AP2566" s="13" t="n">
        <v>0</v>
      </c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11" t="inlineStr"/>
      <c r="AK2567" s="12" t="n">
        <v>-10</v>
      </c>
      <c r="AL2567" s="12" t="n">
        <v>9</v>
      </c>
      <c r="AM2567" s="13" t="inlineStr"/>
      <c r="AN2567" s="13" t="inlineStr"/>
      <c r="AO2567" s="13" t="n">
        <v>37.5</v>
      </c>
      <c r="AP2567" s="13" t="n">
        <v>23.1</v>
      </c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11" t="n">
        <v>16147</v>
      </c>
      <c r="AK2568" s="12" t="n">
        <v>3548</v>
      </c>
      <c r="AL2568" s="12" t="n">
        <v>4594</v>
      </c>
      <c r="AM2568" s="13" t="n">
        <v>-13.1</v>
      </c>
      <c r="AN2568" s="13" t="n">
        <v>0.7</v>
      </c>
      <c r="AO2568" s="13" t="n">
        <v>-11.3</v>
      </c>
      <c r="AP2568" s="13" t="n">
        <v>-15.9</v>
      </c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11" t="n">
        <v>4235</v>
      </c>
      <c r="AK2569" s="12" t="n">
        <v>-1056</v>
      </c>
      <c r="AL2569" s="12" t="n">
        <v>-880</v>
      </c>
      <c r="AM2569" s="13" t="n">
        <v>123.1</v>
      </c>
      <c r="AN2569" s="13" t="n">
        <v>110.6</v>
      </c>
      <c r="AO2569" s="13" t="n">
        <v>-322.4</v>
      </c>
      <c r="AP2569" s="13" t="n">
        <v>-441.7</v>
      </c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11" t="n">
        <v>0</v>
      </c>
      <c r="AK2570" s="12" t="n">
        <v>-13</v>
      </c>
      <c r="AL2570" s="12" t="n">
        <v>49</v>
      </c>
      <c r="AM2570" s="13" t="inlineStr"/>
      <c r="AN2570" s="13" t="inlineStr"/>
      <c r="AO2570" s="13" t="n">
        <v>13.3</v>
      </c>
      <c r="AP2570" s="13" t="n">
        <v>-62.5</v>
      </c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11" t="n">
        <v>11584</v>
      </c>
      <c r="AK2571" s="12" t="n">
        <v>1666</v>
      </c>
      <c r="AL2571" s="12" t="n">
        <v>2101</v>
      </c>
      <c r="AM2571" s="13" t="n">
        <v>15.8</v>
      </c>
      <c r="AN2571" s="13" t="n">
        <v>11.4</v>
      </c>
      <c r="AO2571" s="13" t="n">
        <v>48.5</v>
      </c>
      <c r="AP2571" s="13" t="n">
        <v>5.3</v>
      </c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11" t="n">
        <v>4269</v>
      </c>
      <c r="AK2572" s="12" t="n">
        <v>-4636</v>
      </c>
      <c r="AL2572" s="12" t="n">
        <v>57</v>
      </c>
      <c r="AM2572" s="13" t="n">
        <v>172.1</v>
      </c>
      <c r="AN2572" s="13" t="n">
        <v>121</v>
      </c>
      <c r="AO2572" s="13" t="n">
        <v>-25.6</v>
      </c>
      <c r="AP2572" s="13" t="n">
        <v>-105.1</v>
      </c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11" t="inlineStr"/>
      <c r="AK2573" s="12" t="n">
        <v>-9</v>
      </c>
      <c r="AL2573" s="12" t="n">
        <v>35</v>
      </c>
      <c r="AM2573" s="13" t="inlineStr"/>
      <c r="AN2573" s="13" t="inlineStr"/>
      <c r="AO2573" s="13" t="inlineStr"/>
      <c r="AP2573" s="13" t="n">
        <v>-28.6</v>
      </c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11" t="n">
        <v>0</v>
      </c>
      <c r="AK2574" s="12" t="n">
        <v>-16</v>
      </c>
      <c r="AL2574" s="12" t="n">
        <v>36</v>
      </c>
      <c r="AM2574" s="13" t="inlineStr"/>
      <c r="AN2574" s="13" t="inlineStr"/>
      <c r="AO2574" s="13" t="n">
        <v>-60</v>
      </c>
      <c r="AP2574" s="13" t="n">
        <v>-100</v>
      </c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11" t="n">
        <v>6420</v>
      </c>
      <c r="AK2575" s="12" t="n">
        <v>-11149</v>
      </c>
      <c r="AL2575" s="12" t="n">
        <v>-11308</v>
      </c>
      <c r="AM2575" s="13" t="n">
        <v>79.90000000000001</v>
      </c>
      <c r="AN2575" s="13" t="n">
        <v>107.6</v>
      </c>
      <c r="AO2575" s="13" t="n">
        <v>15.3</v>
      </c>
      <c r="AP2575" s="13" t="n">
        <v>24.9</v>
      </c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11" t="n">
        <v>240892</v>
      </c>
      <c r="AK2576" s="12" t="n">
        <v>4683</v>
      </c>
      <c r="AL2576" s="12" t="n">
        <v>-2893</v>
      </c>
      <c r="AM2576" s="13" t="n">
        <v>775.2</v>
      </c>
      <c r="AN2576" s="13" t="n">
        <v>268.8</v>
      </c>
      <c r="AO2576" s="13" t="n">
        <v>-4.6</v>
      </c>
      <c r="AP2576" s="13" t="n">
        <v>-51.2</v>
      </c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11" t="n">
        <v>19853</v>
      </c>
      <c r="AK2577" s="12" t="n">
        <v>1875</v>
      </c>
      <c r="AL2577" s="12" t="n">
        <v>5975</v>
      </c>
      <c r="AM2577" s="13" t="n">
        <v>15.7</v>
      </c>
      <c r="AN2577" s="13" t="n">
        <v>64</v>
      </c>
      <c r="AO2577" s="13" t="n">
        <v>28</v>
      </c>
      <c r="AP2577" s="13" t="n">
        <v>70.59999999999999</v>
      </c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11" t="n">
        <v>0</v>
      </c>
      <c r="AK2578" s="12" t="n">
        <v>-12</v>
      </c>
      <c r="AL2578" s="12" t="n">
        <v>20</v>
      </c>
      <c r="AM2578" s="13" t="inlineStr"/>
      <c r="AN2578" s="13" t="inlineStr"/>
      <c r="AO2578" s="13" t="n">
        <v>-20</v>
      </c>
      <c r="AP2578" s="13" t="n">
        <v>7.7</v>
      </c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11" t="inlineStr"/>
      <c r="AK2579" s="12" t="n">
        <v>-10</v>
      </c>
      <c r="AL2579" s="12" t="n">
        <v>44</v>
      </c>
      <c r="AM2579" s="13" t="inlineStr"/>
      <c r="AN2579" s="13" t="inlineStr"/>
      <c r="AO2579" s="13" t="n">
        <v>-42.9</v>
      </c>
      <c r="AP2579" s="13" t="n">
        <v>9.1</v>
      </c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11" t="n">
        <v>3744</v>
      </c>
      <c r="AK2580" s="12" t="n">
        <v>-4771</v>
      </c>
      <c r="AL2580" s="12" t="n">
        <v>-4301</v>
      </c>
      <c r="AM2580" s="13" t="n">
        <v>-35.1</v>
      </c>
      <c r="AN2580" s="13" t="n">
        <v>-3</v>
      </c>
      <c r="AO2580" s="13" t="n">
        <v>7.1</v>
      </c>
      <c r="AP2580" s="13" t="n">
        <v>-26</v>
      </c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11" t="n">
        <v>24848</v>
      </c>
      <c r="AK2581" s="12" t="n">
        <v>3277</v>
      </c>
      <c r="AL2581" s="12" t="n">
        <v>5814</v>
      </c>
      <c r="AM2581" s="13" t="n">
        <v>25.5</v>
      </c>
      <c r="AN2581" s="13" t="n">
        <v>30.1</v>
      </c>
      <c r="AO2581" s="13" t="n">
        <v>58.1</v>
      </c>
      <c r="AP2581" s="13" t="n">
        <v>50.5</v>
      </c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11" t="inlineStr"/>
      <c r="AK2582" s="12" t="n">
        <v>871</v>
      </c>
      <c r="AL2582" s="12" t="n">
        <v>324</v>
      </c>
      <c r="AM2582" s="13" t="inlineStr"/>
      <c r="AN2582" s="13" t="inlineStr"/>
      <c r="AO2582" s="13" t="n">
        <v>-45.2</v>
      </c>
      <c r="AP2582" s="13" t="n">
        <v>401.4</v>
      </c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11" t="n">
        <v>83217</v>
      </c>
      <c r="AK2583" s="12" t="n">
        <v>-5562</v>
      </c>
      <c r="AL2583" s="12" t="n">
        <v>-4406</v>
      </c>
      <c r="AM2583" s="13" t="n">
        <v>4.5</v>
      </c>
      <c r="AN2583" s="13" t="n">
        <v>12.2</v>
      </c>
      <c r="AO2583" s="13" t="n">
        <v>-32.6</v>
      </c>
      <c r="AP2583" s="13" t="n">
        <v>75.3</v>
      </c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11" t="n">
        <v>21913</v>
      </c>
      <c r="AK2584" s="12" t="n">
        <v>-1260</v>
      </c>
      <c r="AL2584" s="12" t="n">
        <v>-33</v>
      </c>
      <c r="AM2584" s="13" t="n">
        <v>43.8</v>
      </c>
      <c r="AN2584" s="13" t="n">
        <v>72.2</v>
      </c>
      <c r="AO2584" s="13" t="n">
        <v>49.9</v>
      </c>
      <c r="AP2584" s="13" t="n">
        <v>67.40000000000001</v>
      </c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11" t="n">
        <v>6527</v>
      </c>
      <c r="AK2585" s="12" t="n">
        <v>-1010</v>
      </c>
      <c r="AL2585" s="12" t="n">
        <v>-1088</v>
      </c>
      <c r="AM2585" s="13" t="n">
        <v>-2.1</v>
      </c>
      <c r="AN2585" s="13" t="n">
        <v>68.7</v>
      </c>
      <c r="AO2585" s="13" t="n">
        <v>-434.4</v>
      </c>
      <c r="AP2585" s="13" t="n">
        <v>-0.6</v>
      </c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11" t="n">
        <v>24</v>
      </c>
      <c r="AK2586" s="12" t="n">
        <v>-15353</v>
      </c>
      <c r="AL2586" s="12" t="n">
        <v>63384</v>
      </c>
      <c r="AM2586" s="13" t="inlineStr"/>
      <c r="AN2586" s="13" t="n">
        <v>500</v>
      </c>
      <c r="AO2586" s="13" t="n">
        <v>15.1</v>
      </c>
      <c r="AP2586" s="13" t="n">
        <v>-53.6</v>
      </c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11" t="n">
        <v>4964</v>
      </c>
      <c r="AK2587" s="12" t="n">
        <v>-587</v>
      </c>
      <c r="AL2587" s="12" t="n">
        <v>-203</v>
      </c>
      <c r="AM2587" s="13" t="n">
        <v>80.8</v>
      </c>
      <c r="AN2587" s="13" t="n">
        <v>57.9</v>
      </c>
      <c r="AO2587" s="13" t="n">
        <v>68.5</v>
      </c>
      <c r="AP2587" s="13" t="n">
        <v>47.9</v>
      </c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11" t="n">
        <v>598</v>
      </c>
      <c r="AK2588" s="12" t="n">
        <v>-4354</v>
      </c>
      <c r="AL2588" s="12" t="n">
        <v>-6953</v>
      </c>
      <c r="AM2588" s="13" t="n">
        <v>315.3</v>
      </c>
      <c r="AN2588" s="13" t="n">
        <v>-1.2</v>
      </c>
      <c r="AO2588" s="13" t="n">
        <v>-2.6</v>
      </c>
      <c r="AP2588" s="13" t="n">
        <v>7.3</v>
      </c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11" t="inlineStr"/>
      <c r="AK2589" s="12" t="n">
        <v>2789</v>
      </c>
      <c r="AL2589" s="12" t="n">
        <v>3768</v>
      </c>
      <c r="AM2589" s="13" t="inlineStr"/>
      <c r="AN2589" s="13" t="inlineStr"/>
      <c r="AO2589" s="13" t="n">
        <v>-39.2</v>
      </c>
      <c r="AP2589" s="13" t="n">
        <v>150.6</v>
      </c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11" t="n">
        <v>48963</v>
      </c>
      <c r="AK2590" s="12" t="n">
        <v>1593</v>
      </c>
      <c r="AL2590" s="12" t="n">
        <v>1196</v>
      </c>
      <c r="AM2590" s="13" t="n">
        <v>-26.8</v>
      </c>
      <c r="AN2590" s="13" t="n">
        <v>54.3</v>
      </c>
      <c r="AO2590" s="13" t="n">
        <v>161.7</v>
      </c>
      <c r="AP2590" s="13" t="n">
        <v>190.5</v>
      </c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11" t="n">
        <v>808</v>
      </c>
      <c r="AK2591" s="12" t="n">
        <v>-6852</v>
      </c>
      <c r="AL2591" s="12" t="n">
        <v>-6367</v>
      </c>
      <c r="AM2591" s="13" t="inlineStr"/>
      <c r="AN2591" s="13" t="inlineStr"/>
      <c r="AO2591" s="13" t="n">
        <v>15</v>
      </c>
      <c r="AP2591" s="13" t="n">
        <v>-324.2</v>
      </c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11" t="n">
        <v>0</v>
      </c>
      <c r="AK2592" s="12" t="n">
        <v>-6</v>
      </c>
      <c r="AL2592" s="12" t="n">
        <v>68</v>
      </c>
      <c r="AM2592" s="13" t="inlineStr"/>
      <c r="AN2592" s="13" t="inlineStr"/>
      <c r="AO2592" s="13" t="n">
        <v>33.3</v>
      </c>
      <c r="AP2592" s="13" t="n">
        <v>14.3</v>
      </c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11" t="inlineStr"/>
      <c r="AK2593" s="12" t="n">
        <v>-6</v>
      </c>
      <c r="AL2593" s="12" t="n">
        <v>84</v>
      </c>
      <c r="AM2593" s="13" t="inlineStr"/>
      <c r="AN2593" s="13" t="inlineStr"/>
      <c r="AO2593" s="13" t="n">
        <v>70</v>
      </c>
      <c r="AP2593" s="13" t="n">
        <v>25</v>
      </c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11" t="inlineStr"/>
      <c r="AK2594" s="12" t="n">
        <v>-11</v>
      </c>
      <c r="AL2594" s="12" t="n">
        <v>45</v>
      </c>
      <c r="AM2594" s="13" t="inlineStr"/>
      <c r="AN2594" s="13" t="inlineStr"/>
      <c r="AO2594" s="13" t="n">
        <v>50</v>
      </c>
      <c r="AP2594" s="13" t="n">
        <v>-37.5</v>
      </c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11" t="n">
        <v>0</v>
      </c>
      <c r="AK2595" s="12" t="n">
        <v>-7</v>
      </c>
      <c r="AL2595" s="12" t="n">
        <v>53</v>
      </c>
      <c r="AM2595" s="13" t="inlineStr"/>
      <c r="AN2595" s="13" t="inlineStr"/>
      <c r="AO2595" s="13" t="n">
        <v>50</v>
      </c>
      <c r="AP2595" s="13" t="n">
        <v>0</v>
      </c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11" t="n">
        <v>3992</v>
      </c>
      <c r="AK2596" s="12" t="n">
        <v>-1802</v>
      </c>
      <c r="AL2596" s="12" t="n">
        <v>-1547</v>
      </c>
      <c r="AM2596" s="13" t="n">
        <v>31.5</v>
      </c>
      <c r="AN2596" s="13" t="inlineStr"/>
      <c r="AO2596" s="13" t="n">
        <v>25.9</v>
      </c>
      <c r="AP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11" t="n">
        <v>0</v>
      </c>
      <c r="AK2597" s="12" t="n">
        <v>-13</v>
      </c>
      <c r="AL2597" s="12" t="n">
        <v>20</v>
      </c>
      <c r="AM2597" s="13" t="inlineStr"/>
      <c r="AN2597" s="13" t="inlineStr"/>
      <c r="AO2597" s="13" t="n">
        <v>-44.4</v>
      </c>
      <c r="AP2597" s="13" t="n">
        <v>-8.300000000000001</v>
      </c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11" t="n">
        <v>1947</v>
      </c>
      <c r="AK2598" s="12" t="n">
        <v>-3667</v>
      </c>
      <c r="AL2598" s="12" t="n">
        <v>-3509</v>
      </c>
      <c r="AM2598" s="13" t="n">
        <v>371.4</v>
      </c>
      <c r="AN2598" s="13" t="inlineStr"/>
      <c r="AO2598" s="13" t="n">
        <v>-21</v>
      </c>
      <c r="AP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11" t="n">
        <v>0</v>
      </c>
      <c r="AK2599" s="12" t="n">
        <v>-18</v>
      </c>
      <c r="AL2599" s="12" t="n">
        <v>47</v>
      </c>
      <c r="AM2599" s="13" t="inlineStr"/>
      <c r="AN2599" s="13" t="inlineStr"/>
      <c r="AO2599" s="13" t="n">
        <v>-200</v>
      </c>
      <c r="AP2599" s="13" t="n">
        <v>-28.6</v>
      </c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11" t="n">
        <v>0</v>
      </c>
      <c r="AK2600" s="12" t="n">
        <v>-10</v>
      </c>
      <c r="AL2600" s="12" t="n">
        <v>55</v>
      </c>
      <c r="AM2600" s="13" t="inlineStr"/>
      <c r="AN2600" s="13" t="inlineStr"/>
      <c r="AO2600" s="13" t="n">
        <v>41.2</v>
      </c>
      <c r="AP2600" s="13" t="n">
        <v>0</v>
      </c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11" t="n">
        <v>24876</v>
      </c>
      <c r="AK2601" s="12" t="n">
        <v>5868</v>
      </c>
      <c r="AL2601" s="12" t="n">
        <v>4958</v>
      </c>
      <c r="AM2601" s="13" t="n">
        <v>49</v>
      </c>
      <c r="AN2601" s="13" t="n">
        <v>75</v>
      </c>
      <c r="AO2601" s="13" t="n">
        <v>126.7</v>
      </c>
      <c r="AP2601" s="13" t="n">
        <v>101.8</v>
      </c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11" t="inlineStr"/>
      <c r="AK2602" s="12" t="n">
        <v>-29</v>
      </c>
      <c r="AL2602" s="12" t="n">
        <v>-146</v>
      </c>
      <c r="AM2602" s="13" t="inlineStr"/>
      <c r="AN2602" s="13" t="inlineStr"/>
      <c r="AO2602" s="13" t="n">
        <v>-107.1</v>
      </c>
      <c r="AP2602" s="13" t="n">
        <v>-45</v>
      </c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11" t="n">
        <v>8157</v>
      </c>
      <c r="AK2603" s="12" t="n">
        <v>1146</v>
      </c>
      <c r="AL2603" s="12" t="n">
        <v>917</v>
      </c>
      <c r="AM2603" s="13" t="n">
        <v>11.4</v>
      </c>
      <c r="AN2603" s="13" t="n">
        <v>0.4</v>
      </c>
      <c r="AO2603" s="13" t="n">
        <v>85.09999999999999</v>
      </c>
      <c r="AP2603" s="13" t="n">
        <v>-28.4</v>
      </c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11" t="n">
        <v>84960</v>
      </c>
      <c r="AK2604" s="12" t="n">
        <v>608</v>
      </c>
      <c r="AL2604" s="12" t="n">
        <v>-1171</v>
      </c>
      <c r="AM2604" s="13" t="n">
        <v>56.4</v>
      </c>
      <c r="AN2604" s="13" t="n">
        <v>45.2</v>
      </c>
      <c r="AO2604" s="13" t="n">
        <v>103.8</v>
      </c>
      <c r="AP2604" s="13" t="n">
        <v>106.5</v>
      </c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11" t="n">
        <v>30273</v>
      </c>
      <c r="AK2605" s="12" t="n">
        <v>6274</v>
      </c>
      <c r="AL2605" s="12" t="n">
        <v>4733</v>
      </c>
      <c r="AM2605" s="13" t="n">
        <v>63.8</v>
      </c>
      <c r="AN2605" s="13" t="n">
        <v>118.8</v>
      </c>
      <c r="AO2605" s="13" t="n">
        <v>210.1</v>
      </c>
      <c r="AP2605" s="13" t="n">
        <v>143.5</v>
      </c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11" t="n">
        <v>1300</v>
      </c>
      <c r="AK2606" s="12" t="n">
        <v>1154</v>
      </c>
      <c r="AL2606" s="12" t="n">
        <v>1150</v>
      </c>
      <c r="AM2606" s="13" t="inlineStr"/>
      <c r="AN2606" s="13" t="n">
        <v>23.8</v>
      </c>
      <c r="AO2606" s="13" t="inlineStr"/>
      <c r="AP2606" s="13" t="n">
        <v>105</v>
      </c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11" t="n">
        <v>0</v>
      </c>
      <c r="AK2607" s="12" t="n">
        <v>-17</v>
      </c>
      <c r="AL2607" s="12" t="n">
        <v>40</v>
      </c>
      <c r="AM2607" s="13" t="inlineStr"/>
      <c r="AN2607" s="13" t="inlineStr"/>
      <c r="AO2607" s="13" t="n">
        <v>-41.7</v>
      </c>
      <c r="AP2607" s="13" t="n">
        <v>0</v>
      </c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11" t="n">
        <v>0</v>
      </c>
      <c r="AK2608" s="12" t="n">
        <v>-38</v>
      </c>
      <c r="AL2608" s="12" t="n">
        <v>3</v>
      </c>
      <c r="AM2608" s="13" t="inlineStr"/>
      <c r="AN2608" s="13" t="inlineStr"/>
      <c r="AO2608" s="13" t="n">
        <v>-72.7</v>
      </c>
      <c r="AP2608" s="13" t="n">
        <v>-192.3</v>
      </c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11" t="n">
        <v>38008</v>
      </c>
      <c r="AK2609" s="12" t="n">
        <v>5587</v>
      </c>
      <c r="AL2609" s="12" t="n">
        <v>7128</v>
      </c>
      <c r="AM2609" s="13" t="n">
        <v>-6.6</v>
      </c>
      <c r="AN2609" s="13" t="n">
        <v>23.9</v>
      </c>
      <c r="AO2609" s="13" t="n">
        <v>-14.2</v>
      </c>
      <c r="AP2609" s="13" t="n">
        <v>30.2</v>
      </c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11" t="n">
        <v>0</v>
      </c>
      <c r="AK2610" s="12" t="n">
        <v>-5</v>
      </c>
      <c r="AL2610" s="12" t="n">
        <v>43</v>
      </c>
      <c r="AM2610" s="13" t="inlineStr"/>
      <c r="AN2610" s="13" t="inlineStr"/>
      <c r="AO2610" s="13" t="n">
        <v>89.59999999999999</v>
      </c>
      <c r="AP2610" s="13" t="n">
        <v>73.7</v>
      </c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0</v>
      </c>
      <c r="AK2611" s="12" t="n">
        <v>-8</v>
      </c>
      <c r="AL2611" s="12" t="n">
        <v>27</v>
      </c>
      <c r="AM2611" s="13" t="inlineStr"/>
      <c r="AN2611" s="13" t="inlineStr"/>
      <c r="AO2611" s="13" t="inlineStr"/>
      <c r="AP2611" s="13" t="n">
        <v>27.3</v>
      </c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11" t="n">
        <v>9751</v>
      </c>
      <c r="AK2612" s="12" t="n">
        <v>2558</v>
      </c>
      <c r="AL2612" s="12" t="n">
        <v>2651</v>
      </c>
      <c r="AM2612" s="13" t="inlineStr"/>
      <c r="AN2612" s="13" t="inlineStr"/>
      <c r="AO2612" s="13" t="inlineStr"/>
      <c r="AP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11" t="n">
        <v>186861</v>
      </c>
      <c r="AK2613" s="12" t="n">
        <v>47241</v>
      </c>
      <c r="AL2613" s="12" t="n">
        <v>38060</v>
      </c>
      <c r="AM2613" s="13" t="n">
        <v>9.1</v>
      </c>
      <c r="AN2613" s="13" t="n">
        <v>45.6</v>
      </c>
      <c r="AO2613" s="13" t="n">
        <v>4.8</v>
      </c>
      <c r="AP2613" s="13" t="n">
        <v>61.6</v>
      </c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11" t="n">
        <v>58892</v>
      </c>
      <c r="AK2614" s="12" t="n">
        <v>8200</v>
      </c>
      <c r="AL2614" s="12" t="n">
        <v>9822</v>
      </c>
      <c r="AM2614" s="13" t="n">
        <v>119.5</v>
      </c>
      <c r="AN2614" s="13" t="n">
        <v>10.7</v>
      </c>
      <c r="AO2614" s="13" t="n">
        <v>350.5</v>
      </c>
      <c r="AP2614" s="13" t="n">
        <v>125.2</v>
      </c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11" t="inlineStr"/>
      <c r="AK2615" s="12" t="n">
        <v>-14</v>
      </c>
      <c r="AL2615" s="12" t="n">
        <v>13</v>
      </c>
      <c r="AM2615" s="13" t="inlineStr"/>
      <c r="AN2615" s="13" t="inlineStr"/>
      <c r="AO2615" s="13" t="n">
        <v>-16.7</v>
      </c>
      <c r="AP2615" s="13" t="n">
        <v>6.7</v>
      </c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11" t="n">
        <v>46790</v>
      </c>
      <c r="AK2616" s="12" t="n">
        <v>11483</v>
      </c>
      <c r="AL2616" s="12" t="n">
        <v>9292</v>
      </c>
      <c r="AM2616" s="13" t="n">
        <v>183.1</v>
      </c>
      <c r="AN2616" s="13" t="n">
        <v>31.9</v>
      </c>
      <c r="AO2616" s="13" t="n">
        <v>475.3</v>
      </c>
      <c r="AP2616" s="13" t="n">
        <v>46.3</v>
      </c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11" t="n">
        <v>10143</v>
      </c>
      <c r="AK2617" s="12" t="n">
        <v>-1561</v>
      </c>
      <c r="AL2617" s="12" t="n">
        <v>-1443</v>
      </c>
      <c r="AM2617" s="13" t="n">
        <v>-7.8</v>
      </c>
      <c r="AN2617" s="13" t="n">
        <v>8.9</v>
      </c>
      <c r="AO2617" s="13" t="n">
        <v>-26</v>
      </c>
      <c r="AP2617" s="13" t="n">
        <v>-590.7</v>
      </c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11" t="n">
        <v>93509</v>
      </c>
      <c r="AK2618" s="12" t="n">
        <v>12509</v>
      </c>
      <c r="AL2618" s="12" t="n">
        <v>9897</v>
      </c>
      <c r="AM2618" s="13" t="n">
        <v>41.5</v>
      </c>
      <c r="AN2618" s="13" t="n">
        <v>-4</v>
      </c>
      <c r="AO2618" s="13" t="n">
        <v>57</v>
      </c>
      <c r="AP2618" s="13" t="n">
        <v>-7</v>
      </c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11" t="n">
        <v>0</v>
      </c>
      <c r="AK2619" s="12" t="n">
        <v>-12</v>
      </c>
      <c r="AL2619" s="12" t="n">
        <v>31</v>
      </c>
      <c r="AM2619" s="13" t="inlineStr"/>
      <c r="AN2619" s="13" t="inlineStr"/>
      <c r="AO2619" s="13" t="n">
        <v>-50</v>
      </c>
      <c r="AP2619" s="13" t="n">
        <v>20</v>
      </c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11" t="n">
        <v>3823</v>
      </c>
      <c r="AK2620" s="12" t="n">
        <v>-6191</v>
      </c>
      <c r="AL2620" s="12" t="n">
        <v>-6196</v>
      </c>
      <c r="AM2620" s="13" t="n">
        <v>6.6</v>
      </c>
      <c r="AN2620" s="13" t="inlineStr"/>
      <c r="AO2620" s="13" t="n">
        <v>-47.5</v>
      </c>
      <c r="AP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11" t="inlineStr"/>
      <c r="AK2621" s="12" t="n">
        <v>-12</v>
      </c>
      <c r="AL2621" s="12" t="n">
        <v>45</v>
      </c>
      <c r="AM2621" s="13" t="inlineStr"/>
      <c r="AN2621" s="13" t="inlineStr"/>
      <c r="AO2621" s="13" t="n">
        <v>55.6</v>
      </c>
      <c r="AP2621" s="13" t="n">
        <v>-50</v>
      </c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11" t="n">
        <v>3795</v>
      </c>
      <c r="AK2622" s="12" t="n">
        <v>-1475</v>
      </c>
      <c r="AL2622" s="12" t="n">
        <v>-1536</v>
      </c>
      <c r="AM2622" s="13" t="inlineStr"/>
      <c r="AN2622" s="13" t="inlineStr"/>
      <c r="AO2622" s="13" t="inlineStr"/>
      <c r="AP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11" t="n">
        <v>430921</v>
      </c>
      <c r="AK2623" s="12" t="n">
        <v>35763</v>
      </c>
      <c r="AL2623" s="12" t="n">
        <v>27112</v>
      </c>
      <c r="AM2623" s="13" t="n">
        <v>17.4</v>
      </c>
      <c r="AN2623" s="13" t="n">
        <v>11.1</v>
      </c>
      <c r="AO2623" s="13" t="n">
        <v>185.1</v>
      </c>
      <c r="AP2623" s="13" t="n">
        <v>231.8</v>
      </c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11" t="n">
        <v>25266</v>
      </c>
      <c r="AK2624" s="12" t="n">
        <v>2064</v>
      </c>
      <c r="AL2624" s="12" t="n">
        <v>1667</v>
      </c>
      <c r="AM2624" s="13" t="n">
        <v>-0.3</v>
      </c>
      <c r="AN2624" s="13" t="inlineStr"/>
      <c r="AO2624" s="13" t="n">
        <v>-54.1</v>
      </c>
      <c r="AP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11" t="n">
        <v>0</v>
      </c>
      <c r="AK2625" s="12" t="n">
        <v>-12</v>
      </c>
      <c r="AL2625" s="12" t="n">
        <v>21</v>
      </c>
      <c r="AM2625" s="13" t="inlineStr"/>
      <c r="AN2625" s="13" t="inlineStr"/>
      <c r="AO2625" s="13" t="n">
        <v>-50</v>
      </c>
      <c r="AP2625" s="13" t="n">
        <v>-300</v>
      </c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11" t="n">
        <v>0</v>
      </c>
      <c r="AK2626" s="12" t="n">
        <v>-11</v>
      </c>
      <c r="AL2626" s="12" t="n">
        <v>30</v>
      </c>
      <c r="AM2626" s="13" t="inlineStr"/>
      <c r="AN2626" s="13" t="inlineStr"/>
      <c r="AO2626" s="13" t="n">
        <v>38.9</v>
      </c>
      <c r="AP2626" s="13" t="n">
        <v>0</v>
      </c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11" t="n">
        <v>0</v>
      </c>
      <c r="AK2627" s="12" t="n">
        <v>-7</v>
      </c>
      <c r="AL2627" s="12" t="n">
        <v>33</v>
      </c>
      <c r="AM2627" s="13" t="inlineStr"/>
      <c r="AN2627" s="13" t="inlineStr"/>
      <c r="AO2627" s="13" t="n">
        <v>63.2</v>
      </c>
      <c r="AP2627" s="13" t="n">
        <v>22.2</v>
      </c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11" t="n">
        <v>2085</v>
      </c>
      <c r="AK2628" s="12" t="n">
        <v>-3163</v>
      </c>
      <c r="AL2628" s="12" t="n">
        <v>-3069</v>
      </c>
      <c r="AM2628" s="13" t="n">
        <v>-4.2</v>
      </c>
      <c r="AN2628" s="13" t="inlineStr"/>
      <c r="AO2628" s="13" t="n">
        <v>-40.5</v>
      </c>
      <c r="AP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11" t="n">
        <v>6670</v>
      </c>
      <c r="AK2629" s="12" t="n">
        <v>-3120</v>
      </c>
      <c r="AL2629" s="12" t="n">
        <v>-2437</v>
      </c>
      <c r="AM2629" s="13" t="n">
        <v>-6.3</v>
      </c>
      <c r="AN2629" s="13" t="inlineStr"/>
      <c r="AO2629" s="13" t="n">
        <v>7.4</v>
      </c>
      <c r="AP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11" t="n">
        <v>0</v>
      </c>
      <c r="AK2630" s="12" t="n">
        <v>-6</v>
      </c>
      <c r="AL2630" s="12" t="n">
        <v>45</v>
      </c>
      <c r="AM2630" s="13" t="inlineStr"/>
      <c r="AN2630" s="13" t="inlineStr"/>
      <c r="AO2630" s="13" t="n">
        <v>70</v>
      </c>
      <c r="AP2630" s="13" t="n">
        <v>50</v>
      </c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11" t="n">
        <v>9876</v>
      </c>
      <c r="AK2631" s="12" t="n">
        <v>2701</v>
      </c>
      <c r="AL2631" s="12" t="n">
        <v>2529</v>
      </c>
      <c r="AM2631" s="13" t="n">
        <v>23.2</v>
      </c>
      <c r="AN2631" s="13" t="n">
        <v>58.3</v>
      </c>
      <c r="AO2631" s="13" t="n">
        <v>4.1</v>
      </c>
      <c r="AP2631" s="13" t="n">
        <v>65.90000000000001</v>
      </c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11" t="n">
        <v>0</v>
      </c>
      <c r="AK2632" s="12" t="n">
        <v>-12</v>
      </c>
      <c r="AL2632" s="12" t="n">
        <v>44</v>
      </c>
      <c r="AM2632" s="13" t="inlineStr"/>
      <c r="AN2632" s="13" t="inlineStr"/>
      <c r="AO2632" s="13" t="n">
        <v>-100</v>
      </c>
      <c r="AP2632" s="13" t="n">
        <v>7.7</v>
      </c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11" t="n">
        <v>7644</v>
      </c>
      <c r="AK2633" s="12" t="n">
        <v>1900</v>
      </c>
      <c r="AL2633" s="12" t="n">
        <v>1857</v>
      </c>
      <c r="AM2633" s="13" t="n">
        <v>26.1</v>
      </c>
      <c r="AN2633" s="13" t="n">
        <v>32.7</v>
      </c>
      <c r="AO2633" s="13" t="n">
        <v>71.59999999999999</v>
      </c>
      <c r="AP2633" s="13" t="n">
        <v>8.9</v>
      </c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11" t="n">
        <v>0</v>
      </c>
      <c r="AK2634" s="12" t="n">
        <v>-5</v>
      </c>
      <c r="AL2634" s="12" t="n">
        <v>51</v>
      </c>
      <c r="AM2634" s="13" t="inlineStr"/>
      <c r="AN2634" s="13" t="inlineStr"/>
      <c r="AO2634" s="13" t="n">
        <v>70.59999999999999</v>
      </c>
      <c r="AP2634" s="13" t="n">
        <v>16.7</v>
      </c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11" t="n">
        <v>542289</v>
      </c>
      <c r="AK2635" s="12" t="n">
        <v>65578</v>
      </c>
      <c r="AL2635" s="12" t="n">
        <v>75295</v>
      </c>
      <c r="AM2635" s="13" t="n">
        <v>22.9</v>
      </c>
      <c r="AN2635" s="13" t="n">
        <v>18.6</v>
      </c>
      <c r="AO2635" s="13" t="n">
        <v>196.8</v>
      </c>
      <c r="AP2635" s="13" t="n">
        <v>16.5</v>
      </c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11" t="n">
        <v>46802</v>
      </c>
      <c r="AK2636" s="12" t="n">
        <v>-11038</v>
      </c>
      <c r="AL2636" s="12" t="n">
        <v>-12232</v>
      </c>
      <c r="AM2636" s="13" t="n">
        <v>-2.2</v>
      </c>
      <c r="AN2636" s="13" t="inlineStr"/>
      <c r="AO2636" s="13" t="n">
        <v>-10612.4</v>
      </c>
      <c r="AP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11" t="n">
        <v>12507</v>
      </c>
      <c r="AK2637" s="12" t="n">
        <v>-12190</v>
      </c>
      <c r="AL2637" s="12" t="n">
        <v>-11028</v>
      </c>
      <c r="AM2637" s="13" t="n">
        <v>21.9</v>
      </c>
      <c r="AN2637" s="13" t="inlineStr"/>
      <c r="AO2637" s="13" t="n">
        <v>-45.7</v>
      </c>
      <c r="AP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11" t="n">
        <v>0</v>
      </c>
      <c r="AK2638" s="12" t="n">
        <v>-13</v>
      </c>
      <c r="AL2638" s="12" t="n">
        <v>45</v>
      </c>
      <c r="AM2638" s="13" t="inlineStr"/>
      <c r="AN2638" s="13" t="inlineStr"/>
      <c r="AO2638" s="13" t="n">
        <v>-62.5</v>
      </c>
      <c r="AP2638" s="13" t="n">
        <v>81.7</v>
      </c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11" t="inlineStr"/>
      <c r="AK2639" s="12" t="n">
        <v>-2678</v>
      </c>
      <c r="AL2639" s="12" t="n">
        <v>-2122</v>
      </c>
      <c r="AM2639" s="13" t="inlineStr"/>
      <c r="AN2639" s="13" t="inlineStr"/>
      <c r="AO2639" s="13" t="n">
        <v>-198</v>
      </c>
      <c r="AP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11" t="n">
        <v>15538</v>
      </c>
      <c r="AK2640" s="12" t="n">
        <v>2955</v>
      </c>
      <c r="AL2640" s="12" t="n">
        <v>2284</v>
      </c>
      <c r="AM2640" s="13" t="n">
        <v>-20.2</v>
      </c>
      <c r="AN2640" s="13" t="inlineStr"/>
      <c r="AO2640" s="13" t="n">
        <v>1.8</v>
      </c>
      <c r="AP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11" t="n">
        <v>0</v>
      </c>
      <c r="AK2641" s="12" t="n">
        <v>-8</v>
      </c>
      <c r="AL2641" s="12" t="n">
        <v>41</v>
      </c>
      <c r="AM2641" s="13" t="inlineStr"/>
      <c r="AN2641" s="13" t="inlineStr"/>
      <c r="AO2641" s="13" t="n">
        <v>52.9</v>
      </c>
      <c r="AP2641" s="13" t="n">
        <v>33.3</v>
      </c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11" t="n">
        <v>3473</v>
      </c>
      <c r="AK2642" s="12" t="n">
        <v>-1869</v>
      </c>
      <c r="AL2642" s="12" t="n">
        <v>-2082</v>
      </c>
      <c r="AM2642" s="13" t="n">
        <v>203.1</v>
      </c>
      <c r="AN2642" s="13" t="n">
        <v>72.90000000000001</v>
      </c>
      <c r="AO2642" s="13" t="n">
        <v>-16.4</v>
      </c>
      <c r="AP2642" s="13" t="n">
        <v>-41.4</v>
      </c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11" t="inlineStr"/>
      <c r="AK2643" s="12" t="n">
        <v>-10</v>
      </c>
      <c r="AL2643" s="12" t="n">
        <v>60</v>
      </c>
      <c r="AM2643" s="13" t="inlineStr"/>
      <c r="AN2643" s="13" t="inlineStr"/>
      <c r="AO2643" s="13" t="n">
        <v>16.7</v>
      </c>
      <c r="AP2643" s="13" t="n">
        <v>9.1</v>
      </c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11" t="inlineStr"/>
      <c r="AK2644" s="12" t="n">
        <v>-56</v>
      </c>
      <c r="AL2644" s="12" t="n">
        <v>-73</v>
      </c>
      <c r="AM2644" s="13" t="inlineStr"/>
      <c r="AN2644" s="13" t="inlineStr"/>
      <c r="AO2644" s="13" t="n">
        <v>-229.4</v>
      </c>
      <c r="AP2644" s="13" t="n">
        <v>69.90000000000001</v>
      </c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11" t="n">
        <v>158961</v>
      </c>
      <c r="AK2645" s="12" t="n">
        <v>29360</v>
      </c>
      <c r="AL2645" s="12" t="n">
        <v>19222</v>
      </c>
      <c r="AM2645" s="13" t="n">
        <v>21.9</v>
      </c>
      <c r="AN2645" s="13" t="n">
        <v>41.7</v>
      </c>
      <c r="AO2645" s="13" t="n">
        <v>21.5</v>
      </c>
      <c r="AP2645" s="13" t="n">
        <v>153.9</v>
      </c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11" t="n">
        <v>25</v>
      </c>
      <c r="AK2646" s="12" t="n">
        <v>2</v>
      </c>
      <c r="AL2646" s="12" t="n">
        <v>1</v>
      </c>
      <c r="AM2646" s="13" t="n">
        <v>8.699999999999999</v>
      </c>
      <c r="AN2646" s="13" t="n">
        <v>8.699999999999999</v>
      </c>
      <c r="AO2646" s="13" t="n">
        <v>100</v>
      </c>
      <c r="AP2646" s="13" t="n">
        <v>0</v>
      </c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11" t="n">
        <v>2</v>
      </c>
      <c r="AK2647" s="12" t="n">
        <v>-1</v>
      </c>
      <c r="AL2647" s="12" t="n">
        <v>-1</v>
      </c>
      <c r="AM2647" s="13" t="n">
        <v>100</v>
      </c>
      <c r="AN2647" s="13" t="n">
        <v>100</v>
      </c>
      <c r="AO2647" s="13" t="n">
        <v>0</v>
      </c>
      <c r="AP2647" s="13" t="n">
        <v>0</v>
      </c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11" t="n">
        <v>74</v>
      </c>
      <c r="AK2648" s="12" t="n">
        <v>12</v>
      </c>
      <c r="AL2648" s="12" t="n">
        <v>11</v>
      </c>
      <c r="AM2648" s="13" t="n">
        <v>2.8</v>
      </c>
      <c r="AN2648" s="13" t="n">
        <v>-14</v>
      </c>
      <c r="AO2648" s="13" t="n">
        <v>50</v>
      </c>
      <c r="AP2648" s="13" t="n">
        <v>9.1</v>
      </c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2025Q4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11" t="n">
        <v>73</v>
      </c>
      <c r="AK2650" s="12" t="n">
        <v>12</v>
      </c>
      <c r="AL2650" s="12" t="n">
        <v>5</v>
      </c>
      <c r="AM2650" s="13" t="n">
        <v>-17</v>
      </c>
      <c r="AN2650" s="13" t="n">
        <v>2.8</v>
      </c>
      <c r="AO2650" s="13" t="n">
        <v>-14.3</v>
      </c>
      <c r="AP2650" s="13" t="n">
        <v>140</v>
      </c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11" t="n">
        <v>90</v>
      </c>
      <c r="AK2651" s="12" t="n">
        <v>12</v>
      </c>
      <c r="AL2651" s="12" t="n">
        <v>8</v>
      </c>
      <c r="AM2651" s="13" t="n">
        <v>63.6</v>
      </c>
      <c r="AN2651" s="13" t="n">
        <v>-39.2</v>
      </c>
      <c r="AO2651" s="13" t="n">
        <v>300</v>
      </c>
      <c r="AP2651" s="13" t="n">
        <v>-60</v>
      </c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11" t="n">
        <v>1083</v>
      </c>
      <c r="AK2652" s="12" t="n">
        <v>27</v>
      </c>
      <c r="AL2652" s="12" t="n">
        <v>34</v>
      </c>
      <c r="AM2652" s="13" t="n">
        <v>-12.7</v>
      </c>
      <c r="AN2652" s="13" t="n">
        <v>65.3</v>
      </c>
      <c r="AO2652" s="13" t="n">
        <v>-18.2</v>
      </c>
      <c r="AP2652" s="13" t="n">
        <v>145.5</v>
      </c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11" t="n">
        <v>134</v>
      </c>
      <c r="AK2653" s="12" t="n">
        <v>0</v>
      </c>
      <c r="AL2653" s="12" t="n">
        <v>8</v>
      </c>
      <c r="AM2653" s="13" t="n">
        <v>27.6</v>
      </c>
      <c r="AN2653" s="13" t="n">
        <v>-4.3</v>
      </c>
      <c r="AO2653" s="13" t="inlineStr"/>
      <c r="AP2653" s="13" t="n">
        <v>100</v>
      </c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2025Q4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11" t="inlineStr"/>
      <c r="AK2654" s="12" t="inlineStr"/>
      <c r="AL2654" s="12" t="inlineStr"/>
      <c r="AM2654" s="13" t="inlineStr"/>
      <c r="AN2654" s="13" t="inlineStr"/>
      <c r="AO2654" s="13" t="inlineStr"/>
      <c r="AP2654" s="13" t="inlineStr"/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11" t="n">
        <v>365</v>
      </c>
      <c r="AK2655" s="12" t="n">
        <v>65</v>
      </c>
      <c r="AL2655" s="12" t="n">
        <v>65</v>
      </c>
      <c r="AM2655" s="13" t="n">
        <v>87.2</v>
      </c>
      <c r="AN2655" s="13" t="n">
        <v>56</v>
      </c>
      <c r="AO2655" s="13" t="n">
        <v>285.7</v>
      </c>
      <c r="AP2655" s="13" t="n">
        <v>168.4</v>
      </c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11" t="n">
        <v>47</v>
      </c>
      <c r="AK2656" s="12" t="n">
        <v>3</v>
      </c>
      <c r="AL2656" s="12" t="n">
        <v>1</v>
      </c>
      <c r="AM2656" s="13" t="n">
        <v>-23</v>
      </c>
      <c r="AN2656" s="13" t="n">
        <v>-16.1</v>
      </c>
      <c r="AO2656" s="13" t="n">
        <v>-57.1</v>
      </c>
      <c r="AP2656" s="13" t="n">
        <v>50</v>
      </c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11" t="n">
        <v>218</v>
      </c>
      <c r="AK2657" s="12" t="n">
        <v>27</v>
      </c>
      <c r="AL2657" s="12" t="n">
        <v>14</v>
      </c>
      <c r="AM2657" s="13" t="n">
        <v>-0.5</v>
      </c>
      <c r="AN2657" s="13" t="n">
        <v>-15.8</v>
      </c>
      <c r="AO2657" s="13" t="n">
        <v>107.7</v>
      </c>
      <c r="AP2657" s="13" t="n">
        <v>50</v>
      </c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11" t="n">
        <v>6</v>
      </c>
      <c r="AK2658" s="12" t="n">
        <v>-16</v>
      </c>
      <c r="AL2658" s="12" t="n">
        <v>-26</v>
      </c>
      <c r="AM2658" s="13" t="n">
        <v>50</v>
      </c>
      <c r="AN2658" s="13" t="n">
        <v>500</v>
      </c>
      <c r="AO2658" s="13" t="n">
        <v>-100</v>
      </c>
      <c r="AP2658" s="13" t="n">
        <v>-14.3</v>
      </c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11" t="n">
        <v>35</v>
      </c>
      <c r="AK2659" s="12" t="n">
        <v>6</v>
      </c>
      <c r="AL2659" s="12" t="n">
        <v>4</v>
      </c>
      <c r="AM2659" s="13" t="n">
        <v>2.9</v>
      </c>
      <c r="AN2659" s="13" t="n">
        <v>-14.6</v>
      </c>
      <c r="AO2659" s="13" t="n">
        <v>50</v>
      </c>
      <c r="AP2659" s="13" t="n">
        <v>-14.3</v>
      </c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11" t="n">
        <v>1</v>
      </c>
      <c r="AK2660" s="12" t="n">
        <v>-5</v>
      </c>
      <c r="AL2660" s="12" t="n">
        <v>33</v>
      </c>
      <c r="AM2660" s="13" t="n">
        <v>0</v>
      </c>
      <c r="AN2660" s="13" t="n">
        <v>0</v>
      </c>
      <c r="AO2660" s="13" t="n">
        <v>-25</v>
      </c>
      <c r="AP2660" s="13" t="n">
        <v>-25</v>
      </c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11" t="inlineStr"/>
      <c r="AK2661" s="12" t="inlineStr"/>
      <c r="AL2661" s="12" t="inlineStr"/>
      <c r="AM2661" s="13" t="inlineStr"/>
      <c r="AN2661" s="13" t="inlineStr"/>
      <c r="AO2661" s="13" t="inlineStr"/>
      <c r="AP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11" t="n">
        <v>15</v>
      </c>
      <c r="AK2662" s="12" t="n">
        <v>3</v>
      </c>
      <c r="AL2662" s="12" t="n">
        <v>3</v>
      </c>
      <c r="AM2662" s="13" t="n">
        <v>7.1</v>
      </c>
      <c r="AN2662" s="13" t="n">
        <v>0</v>
      </c>
      <c r="AO2662" s="13" t="n">
        <v>0</v>
      </c>
      <c r="AP2662" s="13" t="n">
        <v>0</v>
      </c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11" t="n">
        <v>8</v>
      </c>
      <c r="AK2663" s="12" t="n">
        <v>0</v>
      </c>
      <c r="AL2663" s="12" t="n">
        <v>2</v>
      </c>
      <c r="AM2663" s="13" t="n">
        <v>-11.1</v>
      </c>
      <c r="AN2663" s="13" t="n">
        <v>-27.3</v>
      </c>
      <c r="AO2663" s="13" t="inlineStr"/>
      <c r="AP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2025Q4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11" t="inlineStr"/>
      <c r="AK2664" s="12" t="inlineStr"/>
      <c r="AL2664" s="12" t="inlineStr"/>
      <c r="AM2664" s="13" t="inlineStr"/>
      <c r="AN2664" s="13" t="inlineStr"/>
      <c r="AO2664" s="13" t="inlineStr"/>
      <c r="AP2664" s="13" t="inlineStr"/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11" t="n">
        <v>1</v>
      </c>
      <c r="AK2665" s="12" t="n">
        <v>-3</v>
      </c>
      <c r="AL2665" s="12" t="n">
        <v>0</v>
      </c>
      <c r="AM2665" s="13" t="inlineStr"/>
      <c r="AN2665" s="13" t="inlineStr"/>
      <c r="AO2665" s="13" t="n">
        <v>25</v>
      </c>
      <c r="AP2665" s="13" t="n">
        <v>40</v>
      </c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2026Q1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11" t="inlineStr"/>
      <c r="AK2666" s="12" t="inlineStr"/>
      <c r="AL2666" s="12" t="inlineStr"/>
      <c r="AM2666" s="13" t="inlineStr"/>
      <c r="AN2666" s="13" t="inlineStr"/>
      <c r="AO2666" s="13" t="inlineStr"/>
      <c r="AP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11" t="inlineStr"/>
      <c r="AK2667" s="12" t="n">
        <v>0</v>
      </c>
      <c r="AL2667" s="12" t="n">
        <v>0</v>
      </c>
      <c r="AM2667" s="13" t="inlineStr"/>
      <c r="AN2667" s="13" t="inlineStr"/>
      <c r="AO2667" s="13" t="inlineStr"/>
      <c r="AP2667" s="13" t="inlineStr"/>
    </row>
  </sheetData>
  <autoFilter ref="A1:AP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124633734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20261014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HYPERLINK("https://dart.fss.or.kr/dsaf001/main.do?rcpNo=20261014000290",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n">
        <v>16357347200</v>
      </c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20261019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HYPERLINK("https://dart.fss.or.kr/dsaf001/main.do?rcpNo=20261019000180",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594101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20261013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HYPERLINK("https://dart.fss.or.kr/dsaf001/main.do?rcpNo=20261013000145",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20261014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HYPERLINK("https://dart.fss.or.kr/dsaf001/main.do?rcpNo=20261014000320",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20261012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HYPERLINK("https://dart.fss.or.kr/dsaf001/main.do?rcpNo=20261012000291",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n">
        <v>414275</v>
      </c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20260813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HYPERLINK("https://dart.fss.or.kr/dsaf001/main.do?rcpNo=20260813001368",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20261008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HYPERLINK("https://dart.fss.or.kr/dsaf001/main.do?rcpNo=20261008000328",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n">
        <v>19351</v>
      </c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n">
        <v>295426</v>
      </c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n">
        <v>77650</v>
      </c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n">
        <v>77857</v>
      </c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20261013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HYPERLINK("https://dart.fss.or.kr/dsaf001/main.do?rcpNo=20261013000142",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20261012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HYPERLINK("https://dart.fss.or.kr/dsaf001/main.do?rcpNo=20261012000086",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20261019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HYPERLINK("https://dart.fss.or.kr/dsaf001/main.do?rcpNo=20261019000256",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덕산넵코어스</t>
        </is>
      </c>
      <c r="B693" s="6" t="inlineStr">
        <is>
          <t>266690</t>
        </is>
      </c>
      <c r="C693" s="6" t="inlineStr">
        <is>
          <t>2026Q2</t>
        </is>
      </c>
      <c r="D693" s="6" t="inlineStr">
        <is>
          <t>20260813</t>
        </is>
      </c>
      <c r="E693" s="16" t="n">
        <v>794</v>
      </c>
      <c r="F693" s="16" t="n">
        <v>237</v>
      </c>
      <c r="G693" s="16" t="n">
        <v>557</v>
      </c>
      <c r="H693" s="6" t="inlineStr">
        <is>
          <t>억원</t>
        </is>
      </c>
      <c r="I693" s="17" t="n">
        <v>-2.1</v>
      </c>
      <c r="J693" s="18" t="inlineStr"/>
      <c r="K693" s="19" t="inlineStr"/>
      <c r="L693" s="18" t="inlineStr"/>
      <c r="M693" s="19" t="inlineStr"/>
      <c r="N693" s="18" t="inlineStr"/>
      <c r="O693" s="19" t="inlineStr"/>
      <c r="P693" s="18" t="n">
        <v>654</v>
      </c>
      <c r="Q693" s="19" t="n">
        <v>649</v>
      </c>
      <c r="R693" s="18" t="n">
        <v>569</v>
      </c>
      <c r="S693" s="20" t="n">
        <v>557</v>
      </c>
      <c r="T693" s="6" t="n">
        <v>1</v>
      </c>
      <c r="U693" s="5" t="inlineStr">
        <is>
          <t>-</t>
        </is>
      </c>
      <c r="V693" s="21">
        <f>HYPERLINK("https://dart.fss.or.kr/dsaf001/main.do?rcpNo=20260813000889", "공시열람")</f>
        <v/>
      </c>
    </row>
    <row r="694">
      <c r="A694" s="5" t="inlineStr">
        <is>
          <t>HD현대</t>
        </is>
      </c>
      <c r="B694" s="6" t="inlineStr">
        <is>
          <t>267250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2243852713</v>
      </c>
      <c r="H694" s="6" t="inlineStr">
        <is>
          <t>천원,천USD,천JPY</t>
        </is>
      </c>
      <c r="I694" s="17" t="n">
        <v>2418.6</v>
      </c>
      <c r="J694" s="18" t="n">
        <v>77179596</v>
      </c>
      <c r="K694" s="19" t="n">
        <v>78510928</v>
      </c>
      <c r="L694" s="18" t="n">
        <v>77076074</v>
      </c>
      <c r="M694" s="19" t="n">
        <v>83508459</v>
      </c>
      <c r="N694" s="18" t="n">
        <v>84046817</v>
      </c>
      <c r="O694" s="19" t="n">
        <v>81442477</v>
      </c>
      <c r="P694" s="18" t="n">
        <v>79890507</v>
      </c>
      <c r="Q694" s="19" t="n">
        <v>82236880</v>
      </c>
      <c r="R694" s="18" t="n">
        <v>89093027</v>
      </c>
      <c r="S694" s="20" t="n">
        <v>2243852713</v>
      </c>
      <c r="T694" s="6" t="n">
        <v>3</v>
      </c>
      <c r="U694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4" s="21">
        <f>HYPERLINK("https://dart.fss.or.kr/dsaf001/main.do?rcpNo=20260814003420", "공시열람")</f>
        <v/>
      </c>
    </row>
    <row r="695">
      <c r="A695" s="5" t="inlineStr">
        <is>
          <t>HD현대일렉트릭</t>
        </is>
      </c>
      <c r="B695" s="6" t="inlineStr">
        <is>
          <t>267260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14488813</v>
      </c>
      <c r="F695" s="16" t="n">
        <v>2178313</v>
      </c>
      <c r="G695" s="16" t="n">
        <v>12310500</v>
      </c>
      <c r="H695" s="6" t="inlineStr">
        <is>
          <t>백만원</t>
        </is>
      </c>
      <c r="I695" s="17" t="n">
        <v>7.6</v>
      </c>
      <c r="J695" s="18" t="n">
        <v>6497280</v>
      </c>
      <c r="K695" s="19" t="n">
        <v>7090200</v>
      </c>
      <c r="L695" s="18" t="n">
        <v>7180670</v>
      </c>
      <c r="M695" s="19" t="n">
        <v>7646580</v>
      </c>
      <c r="N695" s="18" t="n">
        <v>8493900</v>
      </c>
      <c r="O695" s="19" t="n">
        <v>8711500</v>
      </c>
      <c r="P695" s="18" t="n">
        <v>9566710</v>
      </c>
      <c r="Q695" s="19" t="n">
        <v>9423400</v>
      </c>
      <c r="R695" s="18" t="n">
        <v>11437600</v>
      </c>
      <c r="S695" s="20" t="n">
        <v>12310500</v>
      </c>
      <c r="T695" s="6" t="n">
        <v>1</v>
      </c>
      <c r="U695" s="5" t="inlineStr">
        <is>
          <t>전기전자부문 / 변압기, 고압차단기회전기, 저압전동기배</t>
        </is>
      </c>
      <c r="V695" s="21">
        <f>HYPERLINK("https://dart.fss.or.kr/dsaf001/main.do?rcpNo=20260814003228", "공시열람")</f>
        <v/>
      </c>
    </row>
    <row r="696">
      <c r="A696" s="5" t="inlineStr">
        <is>
          <t>아시아나IDT</t>
        </is>
      </c>
      <c r="B696" s="6" t="inlineStr">
        <is>
          <t>267850</t>
        </is>
      </c>
      <c r="C696" s="6" t="inlineStr">
        <is>
          <t>2026Q2</t>
        </is>
      </c>
      <c r="D696" s="6" t="inlineStr">
        <is>
          <t>20260812</t>
        </is>
      </c>
      <c r="E696" s="16" t="n">
        <v>2526</v>
      </c>
      <c r="F696" s="16" t="n">
        <v>1418</v>
      </c>
      <c r="G696" s="16" t="n">
        <v>1108</v>
      </c>
      <c r="H696" s="6" t="inlineStr">
        <is>
          <t>억원</t>
        </is>
      </c>
      <c r="I696" s="17" t="n">
        <v>-19.1</v>
      </c>
      <c r="J696" s="18" t="n">
        <v>479</v>
      </c>
      <c r="K696" s="19" t="n">
        <v>502</v>
      </c>
      <c r="L696" s="18" t="n">
        <v>441</v>
      </c>
      <c r="M696" s="19" t="n">
        <v>551</v>
      </c>
      <c r="N696" s="18" t="n">
        <v>446</v>
      </c>
      <c r="O696" s="19" t="n">
        <v>324</v>
      </c>
      <c r="P696" s="18" t="n">
        <v>634</v>
      </c>
      <c r="Q696" s="19" t="n">
        <v>768</v>
      </c>
      <c r="R696" s="18" t="n">
        <v>1370</v>
      </c>
      <c r="S696" s="20" t="n">
        <v>1108</v>
      </c>
      <c r="T696" s="6" t="n">
        <v>2</v>
      </c>
      <c r="U696" s="5" t="inlineStr">
        <is>
          <t>운영유지보수 / - | 컨설팅/SI 등 / -</t>
        </is>
      </c>
      <c r="V696" s="21">
        <f>HYPERLINK("https://dart.fss.or.kr/dsaf001/main.do?rcpNo=20260812000800", "공시열람")</f>
        <v/>
      </c>
    </row>
    <row r="697">
      <c r="A697" s="5" t="inlineStr">
        <is>
          <t>에스알바이오텍</t>
        </is>
      </c>
      <c r="B697" s="6" t="inlineStr">
        <is>
          <t>270210</t>
        </is>
      </c>
      <c r="C697" s="6" t="inlineStr">
        <is>
          <t>2024Q4</t>
        </is>
      </c>
      <c r="D697" s="6" t="inlineStr">
        <is>
          <t>20250319</t>
        </is>
      </c>
      <c r="E697" s="16" t="n">
        <v>8125274</v>
      </c>
      <c r="F697" s="16" t="inlineStr"/>
      <c r="G697" s="16" t="n">
        <v>3735917</v>
      </c>
      <c r="H697" s="6" t="inlineStr"/>
      <c r="I697" s="17" t="n">
        <v>80.59999999999999</v>
      </c>
      <c r="J697" s="18" t="inlineStr"/>
      <c r="K697" s="19" t="inlineStr"/>
      <c r="L697" s="18" t="inlineStr"/>
      <c r="M697" s="19" t="n">
        <v>3735917</v>
      </c>
      <c r="N697" s="18" t="inlineStr"/>
      <c r="O697" s="19" t="inlineStr"/>
      <c r="P697" s="18" t="inlineStr"/>
      <c r="Q697" s="19" t="inlineStr"/>
      <c r="R697" s="18" t="inlineStr"/>
      <c r="S697" s="20" t="inlineStr"/>
      <c r="T697" s="6" t="n">
        <v>6</v>
      </c>
      <c r="U697" s="5" t="inlineStr">
        <is>
          <t>주식회사 스킨천사 / 제품 / 5월~12월 | (주)제이크리컴퍼니 / 제품 / 12월 | 엔비엘케이 / 제품 / 12월</t>
        </is>
      </c>
      <c r="V697" s="21">
        <f>HYPERLINK("https://dart.fss.or.kr/dsaf001/main.do?rcpNo=20250319000677", "공시열람")</f>
        <v/>
      </c>
    </row>
    <row r="698">
      <c r="A698" s="5" t="inlineStr">
        <is>
          <t>에브리봇</t>
        </is>
      </c>
      <c r="B698" s="6" t="inlineStr">
        <is>
          <t>270660</t>
        </is>
      </c>
      <c r="C698" s="6" t="inlineStr">
        <is>
          <t>2025Q3</t>
        </is>
      </c>
      <c r="D698" s="6" t="inlineStr">
        <is>
          <t>20251114</t>
        </is>
      </c>
      <c r="E698" s="16" t="n">
        <v>2066000000</v>
      </c>
      <c r="F698" s="16" t="n">
        <v>2066000000</v>
      </c>
      <c r="G698" s="16" t="n">
        <v>0</v>
      </c>
      <c r="H698" s="6" t="inlineStr">
        <is>
          <t>원</t>
        </is>
      </c>
      <c r="I698" s="17" t="inlineStr"/>
      <c r="J698" s="18" t="inlineStr"/>
      <c r="K698" s="19" t="inlineStr"/>
      <c r="L698" s="18" t="inlineStr"/>
      <c r="M698" s="19" t="inlineStr"/>
      <c r="N698" s="18" t="n">
        <v>1850000000</v>
      </c>
      <c r="O698" s="19" t="n">
        <v>0</v>
      </c>
      <c r="P698" s="18" t="n">
        <v>0</v>
      </c>
      <c r="Q698" s="19" t="inlineStr"/>
      <c r="R698" s="18" t="inlineStr"/>
      <c r="S698" s="20" t="inlineStr"/>
      <c r="T698" s="6" t="n">
        <v>2</v>
      </c>
      <c r="U698" s="5" t="inlineStr">
        <is>
          <t>AI 자율주행 공기청정기 개발용역 / 2025.3.31 | S/W 추가 개발용역 / 2025.7.24 / 2025</t>
        </is>
      </c>
      <c r="V698" s="21">
        <f>HYPERLINK("https://dart.fss.or.kr/dsaf001/main.do?rcpNo=20251114000204", "공시열람")</f>
        <v/>
      </c>
    </row>
    <row r="699">
      <c r="A699" s="5" t="inlineStr">
        <is>
          <t>팸텍</t>
        </is>
      </c>
      <c r="B699" s="6" t="inlineStr">
        <is>
          <t>271830</t>
        </is>
      </c>
      <c r="C699" s="6" t="inlineStr">
        <is>
          <t>2026Q2</t>
        </is>
      </c>
      <c r="D699" s="6" t="inlineStr">
        <is>
          <t>20260814</t>
        </is>
      </c>
      <c r="E699" s="16" t="n">
        <v>43295</v>
      </c>
      <c r="F699" s="16" t="n">
        <v>12569</v>
      </c>
      <c r="G699" s="16" t="n">
        <v>30727</v>
      </c>
      <c r="H699" s="6" t="inlineStr">
        <is>
          <t>백만원</t>
        </is>
      </c>
      <c r="I699" s="17" t="n">
        <v>85.2</v>
      </c>
      <c r="J699" s="18" t="n">
        <v>15082</v>
      </c>
      <c r="K699" s="19" t="n">
        <v>16199</v>
      </c>
      <c r="L699" s="18" t="n">
        <v>15198</v>
      </c>
      <c r="M699" s="19" t="n">
        <v>6392</v>
      </c>
      <c r="N699" s="18" t="n">
        <v>10791</v>
      </c>
      <c r="O699" s="19" t="n">
        <v>23451</v>
      </c>
      <c r="P699" s="18" t="n">
        <v>27024</v>
      </c>
      <c r="Q699" s="19" t="n">
        <v>10669</v>
      </c>
      <c r="R699" s="18" t="n">
        <v>16594</v>
      </c>
      <c r="S699" s="20" t="n">
        <v>30727</v>
      </c>
      <c r="T699" s="6" t="n">
        <v>4</v>
      </c>
      <c r="U699" s="5" t="inlineStr">
        <is>
          <t>카메라모듈 / 제품 | 반도체 / 제품 | 모빌리티 / 제품</t>
        </is>
      </c>
      <c r="V699" s="21">
        <f>HYPERLINK("https://dart.fss.or.kr/dsaf001/main.do?rcpNo=20260814002911", "공시열람")</f>
        <v/>
      </c>
    </row>
    <row r="700">
      <c r="A700" s="5" t="inlineStr">
        <is>
          <t>한화시스템</t>
        </is>
      </c>
      <c r="B700" s="6" t="inlineStr">
        <is>
          <t>272210</t>
        </is>
      </c>
      <c r="C700" s="6" t="inlineStr">
        <is>
          <t>2026Q2</t>
        </is>
      </c>
      <c r="D700" s="6" t="inlineStr">
        <is>
          <t>20260820</t>
        </is>
      </c>
      <c r="E700" s="16" t="n">
        <v>13245410</v>
      </c>
      <c r="F700" s="16" t="n">
        <v>1926822</v>
      </c>
      <c r="G700" s="16" t="n">
        <v>11318588</v>
      </c>
      <c r="H700" s="6" t="inlineStr">
        <is>
          <t>백만원</t>
        </is>
      </c>
      <c r="I700" s="17" t="n">
        <v>-7.2</v>
      </c>
      <c r="J700" s="18" t="n">
        <v>7049779</v>
      </c>
      <c r="K700" s="19" t="n">
        <v>6967870</v>
      </c>
      <c r="L700" s="18" t="n">
        <v>7923594</v>
      </c>
      <c r="M700" s="19" t="n">
        <v>10557886</v>
      </c>
      <c r="N700" s="18" t="n">
        <v>10498985</v>
      </c>
      <c r="O700" s="19" t="n">
        <v>10362144</v>
      </c>
      <c r="P700" s="18" t="n">
        <v>11175820</v>
      </c>
      <c r="Q700" s="19" t="n">
        <v>12216300</v>
      </c>
      <c r="R700" s="18" t="n">
        <v>12196397</v>
      </c>
      <c r="S700" s="20" t="n">
        <v>11318588</v>
      </c>
      <c r="T700" s="6" t="n">
        <v>3</v>
      </c>
      <c r="U700" s="5" t="inlineStr">
        <is>
          <t>방산 / 한화시스템 / 군수장비 | 기타 / H FOUNDATION PTE. LTD.Han | ICT / 한화시스템 / 전산시스템 설계 및 구축,전산</t>
        </is>
      </c>
      <c r="V700" s="21">
        <f>HYPERLINK("https://dart.fss.or.kr/dsaf001/main.do?rcpNo=20260820000123", "공시열람")</f>
        <v/>
      </c>
    </row>
    <row r="701">
      <c r="A701" s="5" t="inlineStr">
        <is>
          <t>와이엠텍</t>
        </is>
      </c>
      <c r="B701" s="6" t="inlineStr">
        <is>
          <t>273640</t>
        </is>
      </c>
      <c r="C701" s="6" t="inlineStr">
        <is>
          <t>2023Q4</t>
        </is>
      </c>
      <c r="D701" s="6" t="inlineStr">
        <is>
          <t>20240315</t>
        </is>
      </c>
      <c r="E701" s="16" t="n">
        <v>36701182</v>
      </c>
      <c r="F701" s="16" t="n">
        <v>34852927</v>
      </c>
      <c r="G701" s="16" t="n">
        <v>1848254</v>
      </c>
      <c r="H701" s="6" t="inlineStr">
        <is>
          <t>EA/천원</t>
        </is>
      </c>
      <c r="I701" s="17" t="inlineStr"/>
      <c r="J701" s="18" t="inlineStr"/>
      <c r="K701" s="19" t="inlineStr"/>
      <c r="L701" s="18" t="inlineStr"/>
      <c r="M701" s="19" t="inlineStr"/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1</v>
      </c>
      <c r="U701" s="5" t="inlineStr">
        <is>
          <t>EV Relay / 23.12.31 / 23.01~24</t>
        </is>
      </c>
      <c r="V701" s="21">
        <f>HYPERLINK("https://dart.fss.or.kr/dsaf001/main.do?rcpNo=20240315000026", "공시열람")</f>
        <v/>
      </c>
    </row>
    <row r="702">
      <c r="A702" s="5" t="inlineStr">
        <is>
          <t>이노시뮬레이션</t>
        </is>
      </c>
      <c r="B702" s="6" t="inlineStr">
        <is>
          <t>274400</t>
        </is>
      </c>
      <c r="C702" s="6" t="inlineStr">
        <is>
          <t>2026Q2</t>
        </is>
      </c>
      <c r="D702" s="6" t="inlineStr">
        <is>
          <t>20260814</t>
        </is>
      </c>
      <c r="E702" s="16" t="inlineStr"/>
      <c r="F702" s="16" t="inlineStr"/>
      <c r="G702" s="16" t="n">
        <v>27474718</v>
      </c>
      <c r="H702" s="6" t="inlineStr">
        <is>
          <t>천원</t>
        </is>
      </c>
      <c r="I702" s="17" t="n">
        <v>149073.2</v>
      </c>
      <c r="J702" s="18" t="n">
        <v>11025</v>
      </c>
      <c r="K702" s="19" t="n">
        <v>17251</v>
      </c>
      <c r="L702" s="18" t="n">
        <v>15840</v>
      </c>
      <c r="M702" s="19" t="n">
        <v>15401</v>
      </c>
      <c r="N702" s="18" t="n">
        <v>21465</v>
      </c>
      <c r="O702" s="19" t="n">
        <v>17996</v>
      </c>
      <c r="P702" s="18" t="n">
        <v>16114</v>
      </c>
      <c r="Q702" s="19" t="n">
        <v>15574</v>
      </c>
      <c r="R702" s="18" t="n">
        <v>18418</v>
      </c>
      <c r="S702" s="20" t="n">
        <v>27474718</v>
      </c>
      <c r="T702" s="6" t="n">
        <v>2</v>
      </c>
      <c r="U702" s="5" t="inlineStr">
        <is>
          <t>당반기 | 전반기</t>
        </is>
      </c>
      <c r="V702" s="21">
        <f>HYPERLINK("https://dart.fss.or.kr/dsaf001/main.do?rcpNo=20260814003512", "공시열람")</f>
        <v/>
      </c>
    </row>
    <row r="703">
      <c r="A703" s="5" t="inlineStr">
        <is>
          <t>스코넥</t>
        </is>
      </c>
      <c r="B703" s="6" t="inlineStr">
        <is>
          <t>276040</t>
        </is>
      </c>
      <c r="C703" s="6" t="inlineStr">
        <is>
          <t>2026Q2</t>
        </is>
      </c>
      <c r="D703" s="6" t="inlineStr">
        <is>
          <t>20260814</t>
        </is>
      </c>
      <c r="E703" s="16" t="n">
        <v>1433</v>
      </c>
      <c r="F703" s="16" t="n">
        <v>1433</v>
      </c>
      <c r="G703" s="16" t="n">
        <v>0</v>
      </c>
      <c r="H703" s="6" t="inlineStr">
        <is>
          <t>백만원</t>
        </is>
      </c>
      <c r="I703" s="17" t="n">
        <v>-100</v>
      </c>
      <c r="J703" s="18" t="n">
        <v>0</v>
      </c>
      <c r="K703" s="19" t="n">
        <v>1812</v>
      </c>
      <c r="L703" s="18" t="n">
        <v>2360</v>
      </c>
      <c r="M703" s="19" t="n">
        <v>1074</v>
      </c>
      <c r="N703" s="18" t="n">
        <v>3211</v>
      </c>
      <c r="O703" s="19" t="n">
        <v>3158</v>
      </c>
      <c r="P703" s="18" t="n">
        <v>2233</v>
      </c>
      <c r="Q703" s="19" t="n">
        <v>142</v>
      </c>
      <c r="R703" s="18" t="n">
        <v>431</v>
      </c>
      <c r="S703" s="20" t="n">
        <v>0</v>
      </c>
      <c r="T703" s="6" t="n">
        <v>3</v>
      </c>
      <c r="U703" s="5" t="inlineStr">
        <is>
          <t>XR 콘텐츠 개발 및 제작 / 2025-08-28 /  | XR 콘텐츠 개발 및 제작 / 2026-01-30 /  | 콘텐츠 개발 등</t>
        </is>
      </c>
      <c r="V703" s="21">
        <f>HYPERLINK("https://dart.fss.or.kr/dsaf001/main.do?rcpNo=20260814003564", "공시열람")</f>
        <v/>
      </c>
    </row>
    <row r="704">
      <c r="A704" s="5" t="inlineStr">
        <is>
          <t>엘리비젼</t>
        </is>
      </c>
      <c r="B704" s="6" t="inlineStr">
        <is>
          <t>276240</t>
        </is>
      </c>
      <c r="C704" s="6" t="inlineStr">
        <is>
          <t>2025Q4</t>
        </is>
      </c>
      <c r="D704" s="6" t="inlineStr">
        <is>
          <t>20260323</t>
        </is>
      </c>
      <c r="E704" s="16" t="n">
        <v>800500</v>
      </c>
      <c r="F704" s="16" t="inlineStr"/>
      <c r="G704" s="16" t="n">
        <v>800500</v>
      </c>
      <c r="H704" s="6" t="inlineStr">
        <is>
          <t>천원</t>
        </is>
      </c>
      <c r="I704" s="17" t="n">
        <v>369.5</v>
      </c>
      <c r="J704" s="18" t="inlineStr"/>
      <c r="K704" s="19" t="inlineStr"/>
      <c r="L704" s="18" t="inlineStr"/>
      <c r="M704" s="19" t="n">
        <v>170486</v>
      </c>
      <c r="N704" s="18" t="inlineStr"/>
      <c r="O704" s="19" t="inlineStr"/>
      <c r="P704" s="18" t="inlineStr"/>
      <c r="Q704" s="19" t="n">
        <v>800500</v>
      </c>
      <c r="R704" s="18" t="inlineStr"/>
      <c r="S704" s="20" t="inlineStr"/>
      <c r="T704" s="6" t="n">
        <v>6</v>
      </c>
      <c r="U704" s="5" t="inlineStr">
        <is>
          <t>Interactive KIOSK | Interactive KIOSK | Interactive KIOSK</t>
        </is>
      </c>
      <c r="V704" s="21">
        <f>HYPERLINK("https://dart.fss.or.kr/dsaf001/main.do?rcpNo=20260323000763", "공시열람")</f>
        <v/>
      </c>
    </row>
    <row r="705">
      <c r="A705" s="5" t="inlineStr">
        <is>
          <t>티에스아이</t>
        </is>
      </c>
      <c r="B705" s="6" t="inlineStr">
        <is>
          <t>277880</t>
        </is>
      </c>
      <c r="C705" s="6" t="inlineStr">
        <is>
          <t>2026Q2</t>
        </is>
      </c>
      <c r="D705" s="6" t="inlineStr">
        <is>
          <t>20260814</t>
        </is>
      </c>
      <c r="E705" s="16" t="n">
        <v>753663</v>
      </c>
      <c r="F705" s="16" t="n">
        <v>545504</v>
      </c>
      <c r="G705" s="16" t="n">
        <v>208160</v>
      </c>
      <c r="H705" s="6" t="inlineStr">
        <is>
          <t>백만원</t>
        </is>
      </c>
      <c r="I705" s="17" t="n">
        <v>-39.3</v>
      </c>
      <c r="J705" s="18" t="n">
        <v>465915</v>
      </c>
      <c r="K705" s="19" t="n">
        <v>103345</v>
      </c>
      <c r="L705" s="18" t="n">
        <v>507077</v>
      </c>
      <c r="M705" s="19" t="n">
        <v>492364</v>
      </c>
      <c r="N705" s="18" t="n">
        <v>465313</v>
      </c>
      <c r="O705" s="19" t="n">
        <v>274355</v>
      </c>
      <c r="P705" s="18" t="n">
        <v>208298</v>
      </c>
      <c r="Q705" s="19" t="n">
        <v>293628</v>
      </c>
      <c r="R705" s="18" t="n">
        <v>342659</v>
      </c>
      <c r="S705" s="20" t="n">
        <v>208160</v>
      </c>
      <c r="T705" s="6" t="n">
        <v>3</v>
      </c>
      <c r="U705" s="5" t="inlineStr">
        <is>
          <t>믹싱시스템 / - | 공사 / - | 제작품 / -</t>
        </is>
      </c>
      <c r="V705" s="21">
        <f>HYPERLINK("https://dart.fss.or.kr/dsaf001/main.do?rcpNo=20260814001782", "공시열람")</f>
        <v/>
      </c>
    </row>
    <row r="706">
      <c r="A706" s="5" t="inlineStr">
        <is>
          <t>HLB바이오스텝</t>
        </is>
      </c>
      <c r="B706" s="6" t="inlineStr">
        <is>
          <t>278650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34083</v>
      </c>
      <c r="H706" s="6" t="inlineStr">
        <is>
          <t>천원</t>
        </is>
      </c>
      <c r="I706" s="17" t="n">
        <v>-99.90000000000001</v>
      </c>
      <c r="J706" s="18" t="inlineStr"/>
      <c r="K706" s="19" t="inlineStr"/>
      <c r="L706" s="18" t="inlineStr"/>
      <c r="M706" s="19" t="inlineStr"/>
      <c r="N706" s="18" t="inlineStr"/>
      <c r="O706" s="19" t="inlineStr"/>
      <c r="P706" s="18" t="n">
        <v>31970718</v>
      </c>
      <c r="Q706" s="19" t="inlineStr"/>
      <c r="R706" s="18" t="n">
        <v>24648959</v>
      </c>
      <c r="S706" s="20" t="n">
        <v>34083</v>
      </c>
      <c r="T706" s="6" t="n">
        <v>3</v>
      </c>
      <c r="U706" s="5" t="inlineStr">
        <is>
          <t>CRO용역(독성) / - / 2026년 04월~2026 | CRO용역(유효성) / - / 2026년 04월~202 | 구축사업 / - / 2026년 04월~2026년 11월</t>
        </is>
      </c>
      <c r="V706" s="21">
        <f>HYPERLINK("https://dart.fss.or.kr/dsaf001/main.do?rcpNo=20260814003288", "공시열람")</f>
        <v/>
      </c>
    </row>
    <row r="707">
      <c r="A707" s="5" t="inlineStr">
        <is>
          <t>이노벡스</t>
        </is>
      </c>
      <c r="B707" s="6" t="inlineStr">
        <is>
          <t>279060</t>
        </is>
      </c>
      <c r="C707" s="6" t="inlineStr">
        <is>
          <t>2025Q4</t>
        </is>
      </c>
      <c r="D707" s="6" t="inlineStr">
        <is>
          <t>20260331</t>
        </is>
      </c>
      <c r="E707" s="16" t="n">
        <v>10452000</v>
      </c>
      <c r="F707" s="16" t="n">
        <v>7306900</v>
      </c>
      <c r="G707" s="16" t="n">
        <v>3145100</v>
      </c>
      <c r="H707" s="6" t="inlineStr">
        <is>
          <t>천원</t>
        </is>
      </c>
      <c r="I707" s="17" t="n">
        <v>-71</v>
      </c>
      <c r="J707" s="18" t="inlineStr"/>
      <c r="K707" s="19" t="inlineStr"/>
      <c r="L707" s="18" t="inlineStr"/>
      <c r="M707" s="19" t="n">
        <v>10860600</v>
      </c>
      <c r="N707" s="18" t="inlineStr"/>
      <c r="O707" s="19" t="inlineStr"/>
      <c r="P707" s="18" t="inlineStr"/>
      <c r="Q707" s="19" t="n">
        <v>3145100</v>
      </c>
      <c r="R707" s="18" t="inlineStr"/>
      <c r="S707" s="20" t="inlineStr"/>
      <c r="T707" s="6" t="n">
        <v>6</v>
      </c>
      <c r="U707" s="5" t="inlineStr">
        <is>
          <t>2차전지활성화공정장비 / 2024-12-05 / 202 | TAS사업 / 2025-12-26 / 2026-04-3 | 2차전지활성화공정장비 / 2024-12-13 / 202</t>
        </is>
      </c>
      <c r="V707" s="21">
        <f>HYPERLINK("https://dart.fss.or.kr/dsaf001/main.do?rcpNo=20260331004637", "공시열람")</f>
        <v/>
      </c>
    </row>
    <row r="708">
      <c r="A708" s="5" t="inlineStr">
        <is>
          <t>미디어젠</t>
        </is>
      </c>
      <c r="B708" s="6" t="inlineStr">
        <is>
          <t>279600</t>
        </is>
      </c>
      <c r="C708" s="6" t="inlineStr">
        <is>
          <t>2026Q2</t>
        </is>
      </c>
      <c r="D708" s="6" t="inlineStr">
        <is>
          <t>20260813</t>
        </is>
      </c>
      <c r="E708" s="16" t="n">
        <v>14368</v>
      </c>
      <c r="F708" s="16" t="n">
        <v>6159</v>
      </c>
      <c r="G708" s="16" t="n">
        <v>8210</v>
      </c>
      <c r="H708" s="6" t="inlineStr">
        <is>
          <t>백만원</t>
        </is>
      </c>
      <c r="I708" s="17" t="n">
        <v>3.4</v>
      </c>
      <c r="J708" s="18" t="n">
        <v>3337</v>
      </c>
      <c r="K708" s="19" t="n">
        <v>9729</v>
      </c>
      <c r="L708" s="18" t="n">
        <v>9627</v>
      </c>
      <c r="M708" s="19" t="n">
        <v>15285</v>
      </c>
      <c r="N708" s="18" t="n">
        <v>9319</v>
      </c>
      <c r="O708" s="19" t="n">
        <v>8581</v>
      </c>
      <c r="P708" s="18" t="n">
        <v>11503</v>
      </c>
      <c r="Q708" s="19" t="n">
        <v>7181</v>
      </c>
      <c r="R708" s="18" t="n">
        <v>7938</v>
      </c>
      <c r="S708" s="20" t="n">
        <v>8210</v>
      </c>
      <c r="T708" s="6" t="n">
        <v>6</v>
      </c>
      <c r="U708" s="5" t="inlineStr">
        <is>
          <t>음성인식용역 / 전년도 수주이월(주1) / - | 음성인식용역 / 2026.1~2026.6 / - | 기타개발용역 / 2026.1~2026.6 / -</t>
        </is>
      </c>
      <c r="V708" s="21">
        <f>HYPERLINK("https://dart.fss.or.kr/dsaf001/main.do?rcpNo=20260813001467", "공시열람")</f>
        <v/>
      </c>
    </row>
    <row r="709">
      <c r="A709" s="5" t="inlineStr">
        <is>
          <t>케이씨텍</t>
        </is>
      </c>
      <c r="B709" s="6" t="inlineStr">
        <is>
          <t>281820</t>
        </is>
      </c>
      <c r="C709" s="6" t="inlineStr">
        <is>
          <t>2024Q4</t>
        </is>
      </c>
      <c r="D709" s="6" t="inlineStr">
        <is>
          <t>20250318</t>
        </is>
      </c>
      <c r="E709" s="16" t="inlineStr"/>
      <c r="F709" s="16" t="inlineStr"/>
      <c r="G709" s="16" t="n">
        <v>40755952</v>
      </c>
      <c r="H709" s="6" t="inlineStr">
        <is>
          <t>천원</t>
        </is>
      </c>
      <c r="I709" s="17" t="n">
        <v>-4.6</v>
      </c>
      <c r="J709" s="18" t="n">
        <v>40755952</v>
      </c>
      <c r="K709" s="19" t="n">
        <v>40755952</v>
      </c>
      <c r="L709" s="18" t="n">
        <v>42728355</v>
      </c>
      <c r="M709" s="19" t="n">
        <v>40755952</v>
      </c>
      <c r="N709" s="18" t="inlineStr"/>
      <c r="O709" s="19" t="inlineStr"/>
      <c r="P709" s="18" t="inlineStr"/>
      <c r="Q709" s="19" t="inlineStr"/>
      <c r="R709" s="18" t="inlineStr"/>
      <c r="S709" s="20" t="inlineStr"/>
      <c r="T709" s="6" t="n">
        <v>2</v>
      </c>
      <c r="U709" s="5" t="inlineStr">
        <is>
          <t>디스플레이부문 | 반도체부문</t>
        </is>
      </c>
      <c r="V709" s="21">
        <f>HYPERLINK("https://dart.fss.or.kr/dsaf001/main.do?rcpNo=20250318001445", "공시열람")</f>
        <v/>
      </c>
    </row>
    <row r="710">
      <c r="A710" s="5" t="inlineStr">
        <is>
          <t>금양그린파워</t>
        </is>
      </c>
      <c r="B710" s="6" t="inlineStr">
        <is>
          <t>282720</t>
        </is>
      </c>
      <c r="C710" s="6" t="inlineStr">
        <is>
          <t>2026Q2</t>
        </is>
      </c>
      <c r="D710" s="6" t="inlineStr">
        <is>
          <t>20260813</t>
        </is>
      </c>
      <c r="E710" s="16" t="n">
        <v>955164337</v>
      </c>
      <c r="F710" s="16" t="n">
        <v>690688046</v>
      </c>
      <c r="G710" s="16" t="n">
        <v>264476291</v>
      </c>
      <c r="H710" s="6" t="inlineStr">
        <is>
          <t>천원</t>
        </is>
      </c>
      <c r="I710" s="17" t="n">
        <v>11.2</v>
      </c>
      <c r="J710" s="18" t="n">
        <v>114143303</v>
      </c>
      <c r="K710" s="19" t="n">
        <v>140437022</v>
      </c>
      <c r="L710" s="18" t="n">
        <v>238060040</v>
      </c>
      <c r="M710" s="19" t="n">
        <v>307278734</v>
      </c>
      <c r="N710" s="18" t="n">
        <v>340992707</v>
      </c>
      <c r="O710" s="19" t="n">
        <v>310093799</v>
      </c>
      <c r="P710" s="18" t="n">
        <v>276403054</v>
      </c>
      <c r="Q710" s="19" t="n">
        <v>293047761</v>
      </c>
      <c r="R710" s="18" t="n">
        <v>237793433</v>
      </c>
      <c r="S710" s="20" t="n">
        <v>264476291</v>
      </c>
      <c r="T710" s="6" t="n">
        <v>48</v>
      </c>
      <c r="U710" s="5" t="inlineStr">
        <is>
          <t>Saudi ARAMCO / 사우디 Amiral | 현대건설 / 신한울3,4호기 전기계장 | 동백마울풍력발전소 / 제주 동백마을 풍력발전</t>
        </is>
      </c>
      <c r="V710" s="21">
        <f>HYPERLINK("https://dart.fss.or.kr/dsaf001/main.do?rcpNo=20260813001497", "공시열람")</f>
        <v/>
      </c>
    </row>
    <row r="711">
      <c r="A711" s="5" t="inlineStr">
        <is>
          <t>코윈테크</t>
        </is>
      </c>
      <c r="B711" s="6" t="inlineStr">
        <is>
          <t>282880</t>
        </is>
      </c>
      <c r="C711" s="6" t="inlineStr">
        <is>
          <t>2026Q2</t>
        </is>
      </c>
      <c r="D711" s="6" t="inlineStr">
        <is>
          <t>20260814</t>
        </is>
      </c>
      <c r="E711" s="16" t="inlineStr"/>
      <c r="F711" s="16" t="inlineStr"/>
      <c r="G711" s="16" t="n">
        <v>281816</v>
      </c>
      <c r="H711" s="6" t="inlineStr">
        <is>
          <t>백만원</t>
        </is>
      </c>
      <c r="I711" s="17" t="n">
        <v>-4.9</v>
      </c>
      <c r="J711" s="18" t="n">
        <v>387003</v>
      </c>
      <c r="K711" s="19" t="n">
        <v>347996</v>
      </c>
      <c r="L711" s="18" t="n">
        <v>262705</v>
      </c>
      <c r="M711" s="19" t="n">
        <v>276601</v>
      </c>
      <c r="N711" s="18" t="n">
        <v>286189</v>
      </c>
      <c r="O711" s="19" t="n">
        <v>250320</v>
      </c>
      <c r="P711" s="18" t="n">
        <v>256779</v>
      </c>
      <c r="Q711" s="19" t="n">
        <v>243857</v>
      </c>
      <c r="R711" s="18" t="n">
        <v>296373</v>
      </c>
      <c r="S711" s="20" t="n">
        <v>281816</v>
      </c>
      <c r="T711" s="6" t="n">
        <v>2</v>
      </c>
      <c r="U711" s="5" t="inlineStr">
        <is>
          <t>로봇 자동화 | 2차전지 시스템엔지니어링</t>
        </is>
      </c>
      <c r="V711" s="21">
        <f>HYPERLINK("https://dart.fss.or.kr/dsaf001/main.do?rcpNo=20260814001249", "공시열람")</f>
        <v/>
      </c>
    </row>
    <row r="712">
      <c r="A712" s="5" t="inlineStr">
        <is>
          <t>SK케미칼</t>
        </is>
      </c>
      <c r="B712" s="6" t="inlineStr">
        <is>
          <t>285130</t>
        </is>
      </c>
      <c r="C712" s="6" t="inlineStr">
        <is>
          <t>2026Q2</t>
        </is>
      </c>
      <c r="D712" s="6" t="inlineStr">
        <is>
          <t>20260813</t>
        </is>
      </c>
      <c r="E712" s="16" t="n">
        <v>2511572</v>
      </c>
      <c r="F712" s="16" t="n">
        <v>1933255</v>
      </c>
      <c r="G712" s="16" t="n">
        <v>578317</v>
      </c>
      <c r="H712" s="6" t="inlineStr">
        <is>
          <t>백만원</t>
        </is>
      </c>
      <c r="I712" s="17" t="n">
        <v>-30.1</v>
      </c>
      <c r="J712" s="18" t="n">
        <v>114955</v>
      </c>
      <c r="K712" s="19" t="n">
        <v>141644</v>
      </c>
      <c r="L712" s="18" t="n">
        <v>107602</v>
      </c>
      <c r="M712" s="19" t="n">
        <v>979319</v>
      </c>
      <c r="N712" s="18" t="n">
        <v>882738</v>
      </c>
      <c r="O712" s="19" t="n">
        <v>804123</v>
      </c>
      <c r="P712" s="18" t="n">
        <v>720658</v>
      </c>
      <c r="Q712" s="19" t="n">
        <v>801010</v>
      </c>
      <c r="R712" s="18" t="n">
        <v>827917</v>
      </c>
      <c r="S712" s="20" t="n">
        <v>578317</v>
      </c>
      <c r="T712" s="6" t="n">
        <v>2</v>
      </c>
      <c r="U712" s="5" t="inlineStr">
        <is>
          <t>CDMO / 2015년~(계약별 상이) / ~2029년 | 백신 원액 및 완제 생산 / 2022년~(계약별 상이)</t>
        </is>
      </c>
      <c r="V712" s="21">
        <f>HYPERLINK("https://dart.fss.or.kr/dsaf001/main.do?rcpNo=20260813001371", "공시열람")</f>
        <v/>
      </c>
    </row>
    <row r="713">
      <c r="A713" s="5" t="inlineStr">
        <is>
          <t>나노실리칸첨단소재</t>
        </is>
      </c>
      <c r="B713" s="6" t="inlineStr">
        <is>
          <t>286750</t>
        </is>
      </c>
      <c r="C713" s="6" t="inlineStr">
        <is>
          <t>2026Q2</t>
        </is>
      </c>
      <c r="D713" s="6" t="inlineStr">
        <is>
          <t>20260814</t>
        </is>
      </c>
      <c r="E713" s="16" t="n">
        <v>3091515</v>
      </c>
      <c r="F713" s="16" t="n">
        <v>1933260</v>
      </c>
      <c r="G713" s="16" t="n">
        <v>1158255</v>
      </c>
      <c r="H713" s="6" t="inlineStr">
        <is>
          <t>EA,천원</t>
        </is>
      </c>
      <c r="I713" s="17" t="n">
        <v>-0.2</v>
      </c>
      <c r="J713" s="18" t="inlineStr"/>
      <c r="K713" s="19" t="inlineStr"/>
      <c r="L713" s="18" t="inlineStr"/>
      <c r="M713" s="19" t="n">
        <v>1959205</v>
      </c>
      <c r="N713" s="18" t="n">
        <v>1284649</v>
      </c>
      <c r="O713" s="19" t="n">
        <v>2812123</v>
      </c>
      <c r="P713" s="18" t="n">
        <v>438228</v>
      </c>
      <c r="Q713" s="19" t="n">
        <v>1519455</v>
      </c>
      <c r="R713" s="18" t="n">
        <v>1160381</v>
      </c>
      <c r="S713" s="20" t="n">
        <v>1158255</v>
      </c>
      <c r="T713" s="6" t="n">
        <v>2</v>
      </c>
      <c r="U713" s="5" t="inlineStr">
        <is>
          <t>M-Tag / 2026-04-22 / 2026-09-1 | M-Tag / 2025-11-26 / 2026-06-3</t>
        </is>
      </c>
      <c r="V713" s="21">
        <f>HYPERLINK("https://dart.fss.or.kr/dsaf001/main.do?rcpNo=20260814002695", "공시열람")</f>
        <v/>
      </c>
    </row>
    <row r="714">
      <c r="A714" s="5" t="inlineStr">
        <is>
          <t>롯데이노베이트</t>
        </is>
      </c>
      <c r="B714" s="6" t="inlineStr">
        <is>
          <t>286940</t>
        </is>
      </c>
      <c r="C714" s="6" t="inlineStr">
        <is>
          <t>2026Q2</t>
        </is>
      </c>
      <c r="D714" s="6" t="inlineStr">
        <is>
          <t>20260813</t>
        </is>
      </c>
      <c r="E714" s="16" t="n">
        <v>326973</v>
      </c>
      <c r="F714" s="16" t="n">
        <v>151834</v>
      </c>
      <c r="G714" s="16" t="n">
        <v>175140</v>
      </c>
      <c r="H714" s="6" t="inlineStr">
        <is>
          <t>백만원</t>
        </is>
      </c>
      <c r="I714" s="17" t="n">
        <v>5.5</v>
      </c>
      <c r="J714" s="18" t="n">
        <v>104192</v>
      </c>
      <c r="K714" s="19" t="n">
        <v>168416</v>
      </c>
      <c r="L714" s="18" t="n">
        <v>185820</v>
      </c>
      <c r="M714" s="19" t="n">
        <v>156942</v>
      </c>
      <c r="N714" s="18" t="n">
        <v>171681</v>
      </c>
      <c r="O714" s="19" t="n">
        <v>157710</v>
      </c>
      <c r="P714" s="18" t="n">
        <v>123869</v>
      </c>
      <c r="Q714" s="19" t="n">
        <v>97278</v>
      </c>
      <c r="R714" s="18" t="n">
        <v>165974</v>
      </c>
      <c r="S714" s="20" t="n">
        <v>175140</v>
      </c>
      <c r="T714" s="6" t="n">
        <v>1</v>
      </c>
      <c r="U714" s="5" t="inlineStr">
        <is>
          <t>시스템 구축 및 운영/유지보수 / -</t>
        </is>
      </c>
      <c r="V714" s="21">
        <f>HYPERLINK("https://dart.fss.or.kr/dsaf001/main.do?rcpNo=20260813001539", "공시열람")</f>
        <v/>
      </c>
    </row>
    <row r="715">
      <c r="A715" s="5" t="inlineStr">
        <is>
          <t>에스프리즘</t>
        </is>
      </c>
      <c r="B715" s="6" t="inlineStr">
        <is>
          <t>288620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19987</v>
      </c>
      <c r="F715" s="16" t="n">
        <v>6023</v>
      </c>
      <c r="G715" s="16" t="n">
        <v>13964</v>
      </c>
      <c r="H715" s="6" t="inlineStr">
        <is>
          <t>백만원</t>
        </is>
      </c>
      <c r="I715" s="17" t="n">
        <v>18.9</v>
      </c>
      <c r="J715" s="18" t="n">
        <v>18659958</v>
      </c>
      <c r="K715" s="19" t="n">
        <v>20171792</v>
      </c>
      <c r="L715" s="18" t="n">
        <v>20810552</v>
      </c>
      <c r="M715" s="19" t="n">
        <v>18869499</v>
      </c>
      <c r="N715" s="18" t="n">
        <v>15320</v>
      </c>
      <c r="O715" s="19" t="n">
        <v>13401</v>
      </c>
      <c r="P715" s="18" t="n">
        <v>10314</v>
      </c>
      <c r="Q715" s="19" t="n">
        <v>5212</v>
      </c>
      <c r="R715" s="18" t="n">
        <v>11741</v>
      </c>
      <c r="S715" s="20" t="n">
        <v>13964</v>
      </c>
      <c r="T715" s="6" t="n">
        <v>2</v>
      </c>
      <c r="U715" s="5" t="inlineStr">
        <is>
          <t>건물용 연료전지 / ~2026.06.30 / ~2026 | 발전용 연료전지 / ~2026.06.30 / ~2033</t>
        </is>
      </c>
      <c r="V715" s="21">
        <f>HYPERLINK("https://dart.fss.or.kr/dsaf001/main.do?rcpNo=20260814003226", "공시열람")</f>
        <v/>
      </c>
    </row>
    <row r="716">
      <c r="A716" s="5" t="inlineStr">
        <is>
          <t>모아데이타</t>
        </is>
      </c>
      <c r="B716" s="6" t="inlineStr">
        <is>
          <t>288980</t>
        </is>
      </c>
      <c r="C716" s="6" t="inlineStr">
        <is>
          <t>2026Q2</t>
        </is>
      </c>
      <c r="D716" s="6" t="inlineStr">
        <is>
          <t>20260814</t>
        </is>
      </c>
      <c r="E716" s="16" t="n">
        <v>2392870</v>
      </c>
      <c r="F716" s="16" t="inlineStr"/>
      <c r="G716" s="16" t="n">
        <v>2392870</v>
      </c>
      <c r="H716" s="6" t="inlineStr">
        <is>
          <t>천원</t>
        </is>
      </c>
      <c r="I716" s="17" t="n">
        <v>0</v>
      </c>
      <c r="J716" s="18" t="n">
        <v>2392870</v>
      </c>
      <c r="K716" s="19" t="n">
        <v>2392870</v>
      </c>
      <c r="L716" s="18" t="n">
        <v>2392870</v>
      </c>
      <c r="M716" s="19" t="n">
        <v>4847938</v>
      </c>
      <c r="N716" s="18" t="n">
        <v>4132870</v>
      </c>
      <c r="O716" s="19" t="n">
        <v>3791226</v>
      </c>
      <c r="P716" s="18" t="n">
        <v>3791226</v>
      </c>
      <c r="Q716" s="19" t="n">
        <v>2392870</v>
      </c>
      <c r="R716" s="18" t="n">
        <v>2392870</v>
      </c>
      <c r="S716" s="20" t="n">
        <v>2392870</v>
      </c>
      <c r="T716" s="6" t="n">
        <v>1</v>
      </c>
      <c r="U716" s="5" t="inlineStr">
        <is>
          <t>AI 탄소중립 융복합구축(주1) / 2024-02-28</t>
        </is>
      </c>
      <c r="V716" s="21">
        <f>HYPERLINK("https://dart.fss.or.kr/dsaf001/main.do?rcpNo=20260814002441", "공시열람")</f>
        <v/>
      </c>
    </row>
    <row r="717">
      <c r="A717" s="5" t="inlineStr">
        <is>
          <t>자이언트스텝</t>
        </is>
      </c>
      <c r="B717" s="6" t="inlineStr">
        <is>
          <t>289220</t>
        </is>
      </c>
      <c r="C717" s="6" t="inlineStr">
        <is>
          <t>2026Q2</t>
        </is>
      </c>
      <c r="D717" s="6" t="inlineStr">
        <is>
          <t>20260814</t>
        </is>
      </c>
      <c r="E717" s="16" t="n">
        <v>48</v>
      </c>
      <c r="F717" s="16" t="n">
        <v>3.6</v>
      </c>
      <c r="G717" s="16" t="n">
        <v>44.4</v>
      </c>
      <c r="H717" s="6" t="inlineStr">
        <is>
          <t>억원</t>
        </is>
      </c>
      <c r="I717" s="17" t="n">
        <v>0</v>
      </c>
      <c r="J717" s="18" t="n">
        <v>44.4</v>
      </c>
      <c r="K717" s="19" t="n">
        <v>44.4</v>
      </c>
      <c r="L717" s="18" t="n">
        <v>44.4</v>
      </c>
      <c r="M717" s="19" t="n">
        <v>44</v>
      </c>
      <c r="N717" s="18" t="n">
        <v>44.4</v>
      </c>
      <c r="O717" s="19" t="n">
        <v>44.4</v>
      </c>
      <c r="P717" s="18" t="n">
        <v>44.4</v>
      </c>
      <c r="Q717" s="19" t="n">
        <v>44.4</v>
      </c>
      <c r="R717" s="18" t="n">
        <v>44.4</v>
      </c>
      <c r="S717" s="20" t="n">
        <v>44.4</v>
      </c>
      <c r="T717" s="6" t="n">
        <v>1</v>
      </c>
      <c r="U717" s="5" t="inlineStr">
        <is>
          <t xml:space="preserve">영화 "하이브(HIVE)" VFX 계약 / 2021년 </t>
        </is>
      </c>
      <c r="V717" s="21">
        <f>HYPERLINK("https://dart.fss.or.kr/dsaf001/main.do?rcpNo=20260814002501", "공시열람")</f>
        <v/>
      </c>
    </row>
    <row r="718">
      <c r="A718" s="5" t="inlineStr">
        <is>
          <t>웨이비스</t>
        </is>
      </c>
      <c r="B718" s="6" t="inlineStr">
        <is>
          <t>289930</t>
        </is>
      </c>
      <c r="C718" s="6" t="inlineStr">
        <is>
          <t>2026Q2</t>
        </is>
      </c>
      <c r="D718" s="6" t="inlineStr">
        <is>
          <t>20260813</t>
        </is>
      </c>
      <c r="E718" s="16" t="n">
        <v>16629129536</v>
      </c>
      <c r="F718" s="16" t="inlineStr"/>
      <c r="G718" s="16" t="n">
        <v>94135747</v>
      </c>
      <c r="H718" s="6" t="inlineStr">
        <is>
          <t>원</t>
        </is>
      </c>
      <c r="I718" s="17" t="n">
        <v>0</v>
      </c>
      <c r="J718" s="18" t="inlineStr"/>
      <c r="K718" s="19" t="inlineStr"/>
      <c r="L718" s="18" t="inlineStr"/>
      <c r="M718" s="19" t="n">
        <v>4393222104</v>
      </c>
      <c r="N718" s="18" t="n">
        <v>3117911353</v>
      </c>
      <c r="O718" s="19" t="n">
        <v>2936596693</v>
      </c>
      <c r="P718" s="18" t="n">
        <v>1235472408</v>
      </c>
      <c r="Q718" s="19" t="n">
        <v>94135747</v>
      </c>
      <c r="R718" s="18" t="n">
        <v>94135747</v>
      </c>
      <c r="S718" s="20" t="n">
        <v>94135747</v>
      </c>
      <c r="T718" s="6" t="n">
        <v>1</v>
      </c>
      <c r="U718" s="5" t="inlineStr">
        <is>
          <t>프로젝트A / 2021.05.24 / 2030.12.3</t>
        </is>
      </c>
      <c r="V718" s="21">
        <f>HYPERLINK("https://dart.fss.or.kr/dsaf001/main.do?rcpNo=20260813000472", "공시열람")</f>
        <v/>
      </c>
    </row>
    <row r="719">
      <c r="A719" s="5" t="inlineStr">
        <is>
          <t>트윔</t>
        </is>
      </c>
      <c r="B719" s="6" t="inlineStr">
        <is>
          <t>290090</t>
        </is>
      </c>
      <c r="C719" s="6" t="inlineStr">
        <is>
          <t>2026Q2</t>
        </is>
      </c>
      <c r="D719" s="6" t="inlineStr">
        <is>
          <t>20260814</t>
        </is>
      </c>
      <c r="E719" s="16" t="n">
        <v>17975</v>
      </c>
      <c r="F719" s="16" t="n">
        <v>4945</v>
      </c>
      <c r="G719" s="16" t="n">
        <v>13030</v>
      </c>
      <c r="H719" s="6" t="inlineStr">
        <is>
          <t>건수,백만원</t>
        </is>
      </c>
      <c r="I719" s="17" t="n">
        <v>14.2</v>
      </c>
      <c r="J719" s="18" t="n">
        <v>18491</v>
      </c>
      <c r="K719" s="19" t="n">
        <v>9884</v>
      </c>
      <c r="L719" s="18" t="n">
        <v>4385</v>
      </c>
      <c r="M719" s="19" t="n">
        <v>6713</v>
      </c>
      <c r="N719" s="18" t="n">
        <v>8383</v>
      </c>
      <c r="O719" s="19" t="n">
        <v>8427</v>
      </c>
      <c r="P719" s="18" t="n">
        <v>9381</v>
      </c>
      <c r="Q719" s="19" t="n">
        <v>10019</v>
      </c>
      <c r="R719" s="18" t="n">
        <v>11409</v>
      </c>
      <c r="S719" s="20" t="n">
        <v>13030</v>
      </c>
      <c r="T719" s="6" t="n">
        <v>1</v>
      </c>
      <c r="U719" s="5" t="inlineStr"/>
      <c r="V719" s="21">
        <f>HYPERLINK("https://dart.fss.or.kr/dsaf001/main.do?rcpNo=20260814002271", "공시열람")</f>
        <v/>
      </c>
    </row>
    <row r="720">
      <c r="A720" s="5" t="inlineStr">
        <is>
          <t>신도기연</t>
        </is>
      </c>
      <c r="B720" s="6" t="inlineStr">
        <is>
          <t>290520</t>
        </is>
      </c>
      <c r="C720" s="6" t="inlineStr">
        <is>
          <t>2026Q2</t>
        </is>
      </c>
      <c r="D720" s="6" t="inlineStr">
        <is>
          <t>20260814</t>
        </is>
      </c>
      <c r="E720" s="16" t="n">
        <v>12801</v>
      </c>
      <c r="F720" s="16" t="n">
        <v>9313</v>
      </c>
      <c r="G720" s="16" t="n">
        <v>3488</v>
      </c>
      <c r="H720" s="6" t="inlineStr">
        <is>
          <t>백만원</t>
        </is>
      </c>
      <c r="I720" s="17" t="n">
        <v>-67.8</v>
      </c>
      <c r="J720" s="18" t="n">
        <v>6245</v>
      </c>
      <c r="K720" s="19" t="n">
        <v>4822</v>
      </c>
      <c r="L720" s="18" t="n">
        <v>3689</v>
      </c>
      <c r="M720" s="19" t="n">
        <v>28340</v>
      </c>
      <c r="N720" s="18" t="n">
        <v>33622</v>
      </c>
      <c r="O720" s="19" t="n">
        <v>31132</v>
      </c>
      <c r="P720" s="18" t="n">
        <v>28968</v>
      </c>
      <c r="Q720" s="19" t="n">
        <v>11004</v>
      </c>
      <c r="R720" s="18" t="n">
        <v>10829</v>
      </c>
      <c r="S720" s="20" t="n">
        <v>3488</v>
      </c>
      <c r="T720" s="6" t="n">
        <v>1</v>
      </c>
      <c r="U720" s="5" t="inlineStr">
        <is>
          <t>디스플레이제조 장비등 / -</t>
        </is>
      </c>
      <c r="V720" s="21">
        <f>HYPERLINK("https://dart.fss.or.kr/dsaf001/main.do?rcpNo=20260814001825", "공시열람")</f>
        <v/>
      </c>
    </row>
    <row r="721">
      <c r="A721" s="5" t="inlineStr">
        <is>
          <t>소룩스</t>
        </is>
      </c>
      <c r="B721" s="6" t="inlineStr">
        <is>
          <t>290690</t>
        </is>
      </c>
      <c r="C721" s="6" t="inlineStr">
        <is>
          <t>2026Q2</t>
        </is>
      </c>
      <c r="D721" s="6" t="inlineStr">
        <is>
          <t>20260930</t>
        </is>
      </c>
      <c r="E721" s="16" t="n">
        <v>110446192920</v>
      </c>
      <c r="F721" s="16" t="n">
        <v>42509644828</v>
      </c>
      <c r="G721" s="16" t="n">
        <v>67936548093</v>
      </c>
      <c r="H721" s="6" t="inlineStr">
        <is>
          <t>천원</t>
        </is>
      </c>
      <c r="I721" s="17" t="n">
        <v>234905.4</v>
      </c>
      <c r="J721" s="18" t="n">
        <v>40841979</v>
      </c>
      <c r="K721" s="19" t="n">
        <v>37891649</v>
      </c>
      <c r="L721" s="18" t="n">
        <v>33661170</v>
      </c>
      <c r="M721" s="19" t="n">
        <v>26456926</v>
      </c>
      <c r="N721" s="18" t="n">
        <v>42972889</v>
      </c>
      <c r="O721" s="19" t="n">
        <v>39828481</v>
      </c>
      <c r="P721" s="18" t="n">
        <v>41723721</v>
      </c>
      <c r="Q721" s="19" t="n">
        <v>33751941</v>
      </c>
      <c r="R721" s="18" t="n">
        <v>28908499</v>
      </c>
      <c r="S721" s="20" t="n">
        <v>67936548093</v>
      </c>
      <c r="T721" s="6" t="n">
        <v>11</v>
      </c>
      <c r="U721" s="5" t="inlineStr">
        <is>
          <t>괴정동 지역주택조합 전기소방통신설비공사 / 2026-0 | 부산 에코2차(13BL) 통신공사 2단계(공사) / 2 | 기타 201개 현장 / -</t>
        </is>
      </c>
      <c r="V721" s="21">
        <f>HYPERLINK("https://dart.fss.or.kr/dsaf001/main.do?rcpNo=20260930000794", "공시열람")</f>
        <v/>
      </c>
    </row>
    <row r="722">
      <c r="A722" s="5" t="inlineStr">
        <is>
          <t>엔피</t>
        </is>
      </c>
      <c r="B722" s="6" t="inlineStr">
        <is>
          <t>291230</t>
        </is>
      </c>
      <c r="C722" s="6" t="inlineStr">
        <is>
          <t>2022Q4</t>
        </is>
      </c>
      <c r="D722" s="6" t="inlineStr">
        <is>
          <t>20240126</t>
        </is>
      </c>
      <c r="E722" s="16" t="inlineStr"/>
      <c r="F722" s="16" t="inlineStr"/>
      <c r="G722" s="16" t="n">
        <v>1321959</v>
      </c>
      <c r="H722" s="6" t="inlineStr">
        <is>
          <t>천원</t>
        </is>
      </c>
      <c r="I722" s="17" t="n">
        <v>-9.5</v>
      </c>
      <c r="J722" s="18" t="inlineStr"/>
      <c r="K722" s="19" t="inlineStr"/>
      <c r="L722" s="18" t="inlineStr"/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/>
      <c r="V722" s="21">
        <f>HYPERLINK("https://dart.fss.or.kr/dsaf001/main.do?rcpNo=20240126000505", "공시열람")</f>
        <v/>
      </c>
    </row>
    <row r="723">
      <c r="A723" s="5" t="inlineStr">
        <is>
          <t>츌립앤사이언스</t>
        </is>
      </c>
      <c r="B723" s="6" t="inlineStr">
        <is>
          <t>291650</t>
        </is>
      </c>
      <c r="C723" s="6" t="inlineStr">
        <is>
          <t>2026Q2</t>
        </is>
      </c>
      <c r="D723" s="6" t="inlineStr">
        <is>
          <t>20260814</t>
        </is>
      </c>
      <c r="E723" s="16" t="n">
        <v>3596929</v>
      </c>
      <c r="F723" s="16" t="inlineStr"/>
      <c r="G723" s="16" t="n">
        <v>771524</v>
      </c>
      <c r="H723" s="6" t="inlineStr">
        <is>
          <t>천원</t>
        </is>
      </c>
      <c r="I723" s="17" t="n">
        <v>-49.4</v>
      </c>
      <c r="J723" s="18" t="inlineStr"/>
      <c r="K723" s="19" t="inlineStr"/>
      <c r="L723" s="18" t="inlineStr"/>
      <c r="M723" s="19" t="n">
        <v>382965</v>
      </c>
      <c r="N723" s="18" t="n">
        <v>690495</v>
      </c>
      <c r="O723" s="19" t="n">
        <v>774456405</v>
      </c>
      <c r="P723" s="18" t="n">
        <v>1108606</v>
      </c>
      <c r="Q723" s="19" t="n">
        <v>1527765</v>
      </c>
      <c r="R723" s="18" t="n">
        <v>1525438</v>
      </c>
      <c r="S723" s="20" t="n">
        <v>771524</v>
      </c>
      <c r="T723" s="6" t="n">
        <v>3</v>
      </c>
      <c r="U723" s="5" t="inlineStr">
        <is>
          <t>임상시험 검체분석 / 국내 | 허가목적이 아닌 검체분석 / 국내 | 비임상시험 검체분석 / 국내</t>
        </is>
      </c>
      <c r="V723" s="21">
        <f>HYPERLINK("https://dart.fss.or.kr/dsaf001/main.do?rcpNo=20260814003116", "공시열람")</f>
        <v/>
      </c>
    </row>
    <row r="724">
      <c r="A724" s="5" t="inlineStr">
        <is>
          <t>핀텔</t>
        </is>
      </c>
      <c r="B724" s="6" t="inlineStr">
        <is>
          <t>291810</t>
        </is>
      </c>
      <c r="C724" s="6" t="inlineStr">
        <is>
          <t>2026Q2</t>
        </is>
      </c>
      <c r="D724" s="6" t="inlineStr">
        <is>
          <t>20260812</t>
        </is>
      </c>
      <c r="E724" s="16" t="n">
        <v>7140</v>
      </c>
      <c r="F724" s="16" t="n">
        <v>4385</v>
      </c>
      <c r="G724" s="16" t="n">
        <v>2755</v>
      </c>
      <c r="H724" s="6" t="inlineStr">
        <is>
          <t>백만원</t>
        </is>
      </c>
      <c r="I724" s="17" t="n">
        <v>11.1</v>
      </c>
      <c r="J724" s="18" t="n">
        <v>4320</v>
      </c>
      <c r="K724" s="19" t="n">
        <v>4501</v>
      </c>
      <c r="L724" s="18" t="n">
        <v>4088</v>
      </c>
      <c r="M724" s="19" t="n">
        <v>2819</v>
      </c>
      <c r="N724" s="18" t="n">
        <v>2010</v>
      </c>
      <c r="O724" s="19" t="n">
        <v>5106</v>
      </c>
      <c r="P724" s="18" t="n">
        <v>4767</v>
      </c>
      <c r="Q724" s="19" t="n">
        <v>4507</v>
      </c>
      <c r="R724" s="18" t="n">
        <v>2480</v>
      </c>
      <c r="S724" s="20" t="n">
        <v>2755</v>
      </c>
      <c r="T724" s="6" t="n">
        <v>2</v>
      </c>
      <c r="U724" s="5" t="inlineStr">
        <is>
          <t>보안분야 / - | 교통분야 / -</t>
        </is>
      </c>
      <c r="V724" s="21">
        <f>HYPERLINK("https://dart.fss.or.kr/dsaf001/main.do?rcpNo=20260812000620", "공시열람")</f>
        <v/>
      </c>
    </row>
    <row r="725">
      <c r="A725" s="5" t="inlineStr">
        <is>
          <t>하나제약</t>
        </is>
      </c>
      <c r="B725" s="6" t="inlineStr">
        <is>
          <t>293480</t>
        </is>
      </c>
      <c r="C725" s="6" t="inlineStr">
        <is>
          <t>2026Q2</t>
        </is>
      </c>
      <c r="D725" s="6" t="inlineStr">
        <is>
          <t>20260814</t>
        </is>
      </c>
      <c r="E725" s="16" t="n">
        <v>57378</v>
      </c>
      <c r="F725" s="16" t="n">
        <v>4932</v>
      </c>
      <c r="G725" s="16" t="n">
        <v>52446</v>
      </c>
      <c r="H725" s="6" t="inlineStr">
        <is>
          <t>백만원</t>
        </is>
      </c>
      <c r="I725" s="17" t="n">
        <v>-5.5</v>
      </c>
      <c r="J725" s="18" t="n">
        <v>757</v>
      </c>
      <c r="K725" s="19" t="n">
        <v>9</v>
      </c>
      <c r="L725" s="18" t="inlineStr"/>
      <c r="M725" s="19" t="inlineStr"/>
      <c r="N725" s="18" t="n">
        <v>595</v>
      </c>
      <c r="O725" s="19" t="n">
        <v>57378</v>
      </c>
      <c r="P725" s="18" t="n">
        <v>55966</v>
      </c>
      <c r="Q725" s="19" t="n">
        <v>55524</v>
      </c>
      <c r="R725" s="18" t="n">
        <v>55524</v>
      </c>
      <c r="S725" s="20" t="n">
        <v>52446</v>
      </c>
      <c r="T725" s="6" t="n">
        <v>1</v>
      </c>
      <c r="U725" s="5" t="inlineStr">
        <is>
          <t>CMO</t>
        </is>
      </c>
      <c r="V725" s="21">
        <f>HYPERLINK("https://dart.fss.or.kr/dsaf001/main.do?rcpNo=20260814001371", "공시열람")</f>
        <v/>
      </c>
    </row>
    <row r="726">
      <c r="A726" s="5" t="inlineStr">
        <is>
          <t>이오플로우</t>
        </is>
      </c>
      <c r="B726" s="6" t="inlineStr">
        <is>
          <t>294090</t>
        </is>
      </c>
      <c r="C726" s="6" t="inlineStr">
        <is>
          <t>2025Q3</t>
        </is>
      </c>
      <c r="D726" s="6" t="inlineStr">
        <is>
          <t>20251114</t>
        </is>
      </c>
      <c r="E726" s="16" t="n">
        <v>1157</v>
      </c>
      <c r="F726" s="16" t="n">
        <v>355</v>
      </c>
      <c r="G726" s="16" t="n">
        <v>802</v>
      </c>
      <c r="H726" s="6" t="inlineStr">
        <is>
          <t>백만원,천개</t>
        </is>
      </c>
      <c r="I726" s="17" t="n">
        <v>0</v>
      </c>
      <c r="J726" s="18" t="n">
        <v>150</v>
      </c>
      <c r="K726" s="19" t="n">
        <v>860</v>
      </c>
      <c r="L726" s="18" t="n">
        <v>118</v>
      </c>
      <c r="M726" s="19" t="n">
        <v>413</v>
      </c>
      <c r="N726" s="18" t="n">
        <v>802</v>
      </c>
      <c r="O726" s="19" t="n">
        <v>802</v>
      </c>
      <c r="P726" s="18" t="n">
        <v>802</v>
      </c>
      <c r="Q726" s="19" t="inlineStr"/>
      <c r="R726" s="18" t="inlineStr"/>
      <c r="S726" s="20" t="inlineStr"/>
      <c r="T726" s="6" t="n">
        <v>6</v>
      </c>
      <c r="U726" s="5" t="inlineStr">
        <is>
          <t>EOPatch / 2025.03.18 / 2025.05 | EOPatch / 2025.03.28 / 2025.05 | EOPatch / 2025.01.21 / 2025.03</t>
        </is>
      </c>
      <c r="V726" s="21">
        <f>HYPERLINK("https://dart.fss.or.kr/dsaf001/main.do?rcpNo=20251114000863", "공시열람")</f>
        <v/>
      </c>
    </row>
    <row r="727">
      <c r="A727" s="5" t="inlineStr">
        <is>
          <t>레몬</t>
        </is>
      </c>
      <c r="B727" s="6" t="inlineStr">
        <is>
          <t>294140</t>
        </is>
      </c>
      <c r="C727" s="6" t="inlineStr">
        <is>
          <t>2026Q2</t>
        </is>
      </c>
      <c r="D727" s="6" t="inlineStr">
        <is>
          <t>20260814</t>
        </is>
      </c>
      <c r="E727" s="16" t="n">
        <v>11024</v>
      </c>
      <c r="F727" s="16" t="n">
        <v>9321</v>
      </c>
      <c r="G727" s="16" t="n">
        <v>1703</v>
      </c>
      <c r="H727" s="6" t="inlineStr">
        <is>
          <t>백만원</t>
        </is>
      </c>
      <c r="I727" s="17" t="n">
        <v>-19.2</v>
      </c>
      <c r="J727" s="18" t="n">
        <v>120</v>
      </c>
      <c r="K727" s="19" t="n">
        <v>143</v>
      </c>
      <c r="L727" s="18" t="n">
        <v>45</v>
      </c>
      <c r="M727" s="19" t="n">
        <v>225</v>
      </c>
      <c r="N727" s="18" t="n">
        <v>269</v>
      </c>
      <c r="O727" s="19" t="n">
        <v>168</v>
      </c>
      <c r="P727" s="18" t="n">
        <v>1001</v>
      </c>
      <c r="Q727" s="19" t="n">
        <v>1556</v>
      </c>
      <c r="R727" s="18" t="n">
        <v>2107</v>
      </c>
      <c r="S727" s="20" t="n">
        <v>1703</v>
      </c>
      <c r="T727" s="6" t="n">
        <v>2</v>
      </c>
      <c r="U727" s="5" t="inlineStr">
        <is>
          <t>나노관련 | 기타</t>
        </is>
      </c>
      <c r="V727" s="21">
        <f>HYPERLINK("https://dart.fss.or.kr/dsaf001/main.do?rcpNo=20260814002294", "공시열람")</f>
        <v/>
      </c>
    </row>
    <row r="728">
      <c r="A728" s="5" t="inlineStr">
        <is>
          <t>쿠콘</t>
        </is>
      </c>
      <c r="B728" s="6" t="inlineStr">
        <is>
          <t>294570</t>
        </is>
      </c>
      <c r="C728" s="6" t="inlineStr">
        <is>
          <t>2024Q3</t>
        </is>
      </c>
      <c r="D728" s="6" t="inlineStr">
        <is>
          <t>20241114</t>
        </is>
      </c>
      <c r="E728" s="16" t="n">
        <v>4375</v>
      </c>
      <c r="F728" s="16" t="n">
        <v>4375</v>
      </c>
      <c r="G728" s="16" t="n">
        <v>0</v>
      </c>
      <c r="H728" s="6" t="inlineStr">
        <is>
          <t>백만원</t>
        </is>
      </c>
      <c r="I728" s="17" t="n">
        <v>-100</v>
      </c>
      <c r="J728" s="18" t="n">
        <v>26</v>
      </c>
      <c r="K728" s="19" t="n">
        <v>26</v>
      </c>
      <c r="L728" s="18" t="n">
        <v>0</v>
      </c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플랫폼 고도화 / 2023년 4월 / 2024년 5월</t>
        </is>
      </c>
      <c r="V728" s="21">
        <f>HYPERLINK("https://dart.fss.or.kr/dsaf001/main.do?rcpNo=20241114002883", "공시열람")</f>
        <v/>
      </c>
    </row>
    <row r="729">
      <c r="A729" s="5" t="inlineStr">
        <is>
          <t>서남</t>
        </is>
      </c>
      <c r="B729" s="6" t="inlineStr">
        <is>
          <t>294630</t>
        </is>
      </c>
      <c r="C729" s="6" t="inlineStr">
        <is>
          <t>2026Q2</t>
        </is>
      </c>
      <c r="D729" s="6" t="inlineStr">
        <is>
          <t>20260813</t>
        </is>
      </c>
      <c r="E729" s="16" t="inlineStr"/>
      <c r="F729" s="16" t="inlineStr"/>
      <c r="G729" s="16" t="n">
        <v>2590588360</v>
      </c>
      <c r="H729" s="6" t="inlineStr">
        <is>
          <t>원</t>
        </is>
      </c>
      <c r="I729" s="17" t="n">
        <v>171039.5</v>
      </c>
      <c r="J729" s="18" t="n">
        <v>2544425651</v>
      </c>
      <c r="K729" s="19" t="n">
        <v>499236303</v>
      </c>
      <c r="L729" s="18" t="n">
        <v>3577431</v>
      </c>
      <c r="M729" s="19" t="n">
        <v>3577431</v>
      </c>
      <c r="N729" s="18" t="n">
        <v>3198302</v>
      </c>
      <c r="O729" s="19" t="n">
        <v>2590588</v>
      </c>
      <c r="P729" s="18" t="n">
        <v>2216452</v>
      </c>
      <c r="Q729" s="19" t="n">
        <v>1828877</v>
      </c>
      <c r="R729" s="18" t="n">
        <v>1513729</v>
      </c>
      <c r="S729" s="20" t="n">
        <v>2590588360</v>
      </c>
      <c r="T729" s="6" t="n">
        <v>1</v>
      </c>
      <c r="U729" s="5" t="inlineStr">
        <is>
          <t>A Reel to Reel PVD system / -</t>
        </is>
      </c>
      <c r="V729" s="21">
        <f>HYPERLINK("https://dart.fss.or.kr/dsaf001/main.do?rcpNo=20260813001650", "공시열람")</f>
        <v/>
      </c>
    </row>
    <row r="730">
      <c r="A730" s="5" t="inlineStr">
        <is>
          <t>IPARK현대산업개발</t>
        </is>
      </c>
      <c r="B730" s="6" t="inlineStr">
        <is>
          <t>294870</t>
        </is>
      </c>
      <c r="C730" s="6" t="inlineStr">
        <is>
          <t>2026Q2</t>
        </is>
      </c>
      <c r="D730" s="6" t="inlineStr">
        <is>
          <t>20260818</t>
        </is>
      </c>
      <c r="E730" s="16" t="n">
        <v>26519376</v>
      </c>
      <c r="F730" s="16" t="n">
        <v>4225760</v>
      </c>
      <c r="G730" s="16" t="n">
        <v>22293615</v>
      </c>
      <c r="H730" s="6" t="inlineStr">
        <is>
          <t>백만원</t>
        </is>
      </c>
      <c r="I730" s="17" t="n">
        <v>2.8</v>
      </c>
      <c r="J730" s="18" t="n">
        <v>20870598</v>
      </c>
      <c r="K730" s="19" t="n">
        <v>19565207</v>
      </c>
      <c r="L730" s="18" t="n">
        <v>19215968</v>
      </c>
      <c r="M730" s="19" t="n">
        <v>19942970</v>
      </c>
      <c r="N730" s="18" t="n">
        <v>19528498</v>
      </c>
      <c r="O730" s="19" t="n">
        <v>19472415</v>
      </c>
      <c r="P730" s="18" t="n">
        <v>20661544</v>
      </c>
      <c r="Q730" s="19" t="n">
        <v>20955039</v>
      </c>
      <c r="R730" s="18" t="n">
        <v>21681977</v>
      </c>
      <c r="S730" s="20" t="n">
        <v>22293615</v>
      </c>
      <c r="T730" s="6" t="n">
        <v>2</v>
      </c>
      <c r="U730" s="5" t="inlineStr">
        <is>
          <t>민간공사 | 관급공사</t>
        </is>
      </c>
      <c r="V730" s="21">
        <f>HYPERLINK("https://dart.fss.or.kr/dsaf001/main.do?rcpNo=20260818000088", "공시열람")</f>
        <v/>
      </c>
    </row>
    <row r="731">
      <c r="A731" s="5" t="inlineStr">
        <is>
          <t>에이치브이엠</t>
        </is>
      </c>
      <c r="B731" s="6" t="inlineStr">
        <is>
          <t>295310</t>
        </is>
      </c>
      <c r="C731" s="6" t="inlineStr">
        <is>
          <t>2026Q2</t>
        </is>
      </c>
      <c r="D731" s="6" t="inlineStr">
        <is>
          <t>20260814</t>
        </is>
      </c>
      <c r="E731" s="16" t="inlineStr"/>
      <c r="F731" s="16" t="inlineStr"/>
      <c r="G731" s="16" t="n">
        <v>63078</v>
      </c>
      <c r="H731" s="6" t="inlineStr">
        <is>
          <t>백만원</t>
        </is>
      </c>
      <c r="I731" s="17" t="n">
        <v>29.8</v>
      </c>
      <c r="J731" s="18" t="inlineStr"/>
      <c r="K731" s="19" t="n">
        <v>21979</v>
      </c>
      <c r="L731" s="18" t="n">
        <v>24738</v>
      </c>
      <c r="M731" s="19" t="n">
        <v>23450</v>
      </c>
      <c r="N731" s="18" t="n">
        <v>19830</v>
      </c>
      <c r="O731" s="19" t="n">
        <v>31960</v>
      </c>
      <c r="P731" s="18" t="n">
        <v>35395</v>
      </c>
      <c r="Q731" s="19" t="n">
        <v>31102</v>
      </c>
      <c r="R731" s="18" t="n">
        <v>48593</v>
      </c>
      <c r="S731" s="20" t="n">
        <v>63078</v>
      </c>
      <c r="T731" s="6" t="n">
        <v>0</v>
      </c>
      <c r="U731" s="5" t="inlineStr"/>
      <c r="V731" s="21">
        <f>HYPERLINK("https://dart.fss.or.kr/dsaf001/main.do?rcpNo=20260814004157", "공시열람")</f>
        <v/>
      </c>
    </row>
    <row r="732">
      <c r="A732" s="5" t="inlineStr">
        <is>
          <t>이노에이엑스</t>
        </is>
      </c>
      <c r="B732" s="6" t="inlineStr">
        <is>
          <t>296640</t>
        </is>
      </c>
      <c r="C732" s="6" t="inlineStr">
        <is>
          <t>2026Q2</t>
        </is>
      </c>
      <c r="D732" s="6" t="inlineStr">
        <is>
          <t>20260814</t>
        </is>
      </c>
      <c r="E732" s="16" t="n">
        <v>40192</v>
      </c>
      <c r="F732" s="16" t="n">
        <v>22341</v>
      </c>
      <c r="G732" s="16" t="n">
        <v>17856</v>
      </c>
      <c r="H732" s="6" t="inlineStr">
        <is>
          <t>백만원</t>
        </is>
      </c>
      <c r="I732" s="17" t="n">
        <v>-1.4</v>
      </c>
      <c r="J732" s="18" t="n">
        <v>17100</v>
      </c>
      <c r="K732" s="19" t="n">
        <v>16965</v>
      </c>
      <c r="L732" s="18" t="n">
        <v>13105</v>
      </c>
      <c r="M732" s="19" t="n">
        <v>18549</v>
      </c>
      <c r="N732" s="18" t="n">
        <v>16541</v>
      </c>
      <c r="O732" s="19" t="n">
        <v>15792</v>
      </c>
      <c r="P732" s="18" t="n">
        <v>16183</v>
      </c>
      <c r="Q732" s="19" t="n">
        <v>18159</v>
      </c>
      <c r="R732" s="18" t="n">
        <v>18111</v>
      </c>
      <c r="S732" s="20" t="n">
        <v>17856</v>
      </c>
      <c r="T732" s="6" t="n">
        <v>3</v>
      </c>
      <c r="U732" s="5" t="inlineStr">
        <is>
          <t>프로페셔널 서비스 | 기술료 | 라이선스</t>
        </is>
      </c>
      <c r="V732" s="21">
        <f>HYPERLINK("https://dart.fss.or.kr/dsaf001/main.do?rcpNo=20260814001685", "공시열람")</f>
        <v/>
      </c>
    </row>
    <row r="733">
      <c r="A733" s="5" t="inlineStr">
        <is>
          <t>HB솔루션</t>
        </is>
      </c>
      <c r="B733" s="6" t="inlineStr">
        <is>
          <t>297890</t>
        </is>
      </c>
      <c r="C733" s="6" t="inlineStr">
        <is>
          <t>2026Q2</t>
        </is>
      </c>
      <c r="D733" s="6" t="inlineStr">
        <is>
          <t>20260814</t>
        </is>
      </c>
      <c r="E733" s="16" t="n">
        <v>51959</v>
      </c>
      <c r="F733" s="16" t="n">
        <v>24863</v>
      </c>
      <c r="G733" s="16" t="n">
        <v>27096</v>
      </c>
      <c r="H733" s="6" t="inlineStr">
        <is>
          <t>백만원</t>
        </is>
      </c>
      <c r="I733" s="17" t="n">
        <v>47.9</v>
      </c>
      <c r="J733" s="18" t="n">
        <v>87927</v>
      </c>
      <c r="K733" s="19" t="n">
        <v>44871</v>
      </c>
      <c r="L733" s="18" t="n">
        <v>64852</v>
      </c>
      <c r="M733" s="19" t="n">
        <v>54824</v>
      </c>
      <c r="N733" s="18" t="n">
        <v>40929</v>
      </c>
      <c r="O733" s="19" t="n">
        <v>13965</v>
      </c>
      <c r="P733" s="18" t="n">
        <v>19717</v>
      </c>
      <c r="Q733" s="19" t="n">
        <v>16793</v>
      </c>
      <c r="R733" s="18" t="n">
        <v>18319</v>
      </c>
      <c r="S733" s="20" t="n">
        <v>27096</v>
      </c>
      <c r="T733" s="6" t="n">
        <v>1</v>
      </c>
      <c r="U733" s="5" t="inlineStr">
        <is>
          <t>디스플레이, 반도체,이차전지 설비 / -</t>
        </is>
      </c>
      <c r="V733" s="21">
        <f>HYPERLINK("https://dart.fss.or.kr/dsaf001/main.do?rcpNo=20260814002863", "공시열람")</f>
        <v/>
      </c>
    </row>
    <row r="734">
      <c r="A734" s="5" t="inlineStr">
        <is>
          <t>효성중공업</t>
        </is>
      </c>
      <c r="B734" s="6" t="inlineStr">
        <is>
          <t>298040</t>
        </is>
      </c>
      <c r="C734" s="6" t="inlineStr">
        <is>
          <t>2026Q2</t>
        </is>
      </c>
      <c r="D734" s="6" t="inlineStr">
        <is>
          <t>20260813</t>
        </is>
      </c>
      <c r="E734" s="16" t="n">
        <v>12131411</v>
      </c>
      <c r="F734" s="16" t="n">
        <v>3971095</v>
      </c>
      <c r="G734" s="16" t="n">
        <v>32958249</v>
      </c>
      <c r="H734" s="6" t="inlineStr">
        <is>
          <t>백만원</t>
        </is>
      </c>
      <c r="I734" s="17" t="n">
        <v>11.8</v>
      </c>
      <c r="J734" s="18" t="n">
        <v>39741022</v>
      </c>
      <c r="K734" s="19" t="n">
        <v>40867602</v>
      </c>
      <c r="L734" s="18" t="n">
        <v>44210450</v>
      </c>
      <c r="M734" s="19" t="n">
        <v>49657494</v>
      </c>
      <c r="N734" s="18" t="n">
        <v>20976755</v>
      </c>
      <c r="O734" s="19" t="n">
        <v>21920840</v>
      </c>
      <c r="P734" s="18" t="n">
        <v>22245977</v>
      </c>
      <c r="Q734" s="19" t="n">
        <v>24389683</v>
      </c>
      <c r="R734" s="18" t="n">
        <v>29489574</v>
      </c>
      <c r="S734" s="20" t="n">
        <v>32958249</v>
      </c>
      <c r="T734" s="6" t="n">
        <v>3</v>
      </c>
      <c r="U734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4" s="21">
        <f>HYPERLINK("https://dart.fss.or.kr/dsaf001/main.do?rcpNo=20260813001554", "공시열람")</f>
        <v/>
      </c>
    </row>
    <row r="735">
      <c r="A735" s="5" t="inlineStr">
        <is>
          <t>하나기술</t>
        </is>
      </c>
      <c r="B735" s="6" t="inlineStr">
        <is>
          <t>299030</t>
        </is>
      </c>
      <c r="C735" s="6" t="inlineStr">
        <is>
          <t>2026Q2</t>
        </is>
      </c>
      <c r="D735" s="6" t="inlineStr">
        <is>
          <t>20260814</t>
        </is>
      </c>
      <c r="E735" s="16" t="n">
        <v>577804</v>
      </c>
      <c r="F735" s="16" t="n">
        <v>95266</v>
      </c>
      <c r="G735" s="16" t="n">
        <v>482537</v>
      </c>
      <c r="H735" s="6" t="inlineStr">
        <is>
          <t>백만원</t>
        </is>
      </c>
      <c r="I735" s="17" t="n">
        <v>42.2</v>
      </c>
      <c r="J735" s="18" t="n">
        <v>372236</v>
      </c>
      <c r="K735" s="19" t="n">
        <v>221947</v>
      </c>
      <c r="L735" s="18" t="n">
        <v>146924</v>
      </c>
      <c r="M735" s="19" t="n">
        <v>153465</v>
      </c>
      <c r="N735" s="18" t="n">
        <v>195962</v>
      </c>
      <c r="O735" s="19" t="n">
        <v>203611</v>
      </c>
      <c r="P735" s="18" t="inlineStr"/>
      <c r="Q735" s="19" t="n">
        <v>326212</v>
      </c>
      <c r="R735" s="18" t="n">
        <v>339342</v>
      </c>
      <c r="S735" s="20" t="n">
        <v>482537</v>
      </c>
      <c r="T735" s="6" t="n">
        <v>1</v>
      </c>
      <c r="U735" s="5" t="inlineStr">
        <is>
          <t>이차전지 제조장비 / -</t>
        </is>
      </c>
      <c r="V735" s="21">
        <f>HYPERLINK("https://dart.fss.or.kr/dsaf001/main.do?rcpNo=20260814003482", "공시열람")</f>
        <v/>
      </c>
    </row>
    <row r="736">
      <c r="A736" s="5" t="inlineStr">
        <is>
          <t>셀리드</t>
        </is>
      </c>
      <c r="B736" s="6" t="inlineStr">
        <is>
          <t>299660</t>
        </is>
      </c>
      <c r="C736" s="6" t="inlineStr">
        <is>
          <t>2026Q2</t>
        </is>
      </c>
      <c r="D736" s="6" t="inlineStr">
        <is>
          <t>20260814</t>
        </is>
      </c>
      <c r="E736" s="16" t="n">
        <v>4888000</v>
      </c>
      <c r="F736" s="16" t="n">
        <v>496000</v>
      </c>
      <c r="G736" s="16" t="n">
        <v>4392000</v>
      </c>
      <c r="H736" s="6" t="inlineStr">
        <is>
          <t>천원</t>
        </is>
      </c>
      <c r="I736" s="17" t="n">
        <v>0</v>
      </c>
      <c r="J736" s="18" t="n">
        <v>4888000</v>
      </c>
      <c r="K736" s="19" t="n">
        <v>4484000</v>
      </c>
      <c r="L736" s="18" t="n">
        <v>4392000</v>
      </c>
      <c r="M736" s="19" t="n">
        <v>4576000</v>
      </c>
      <c r="N736" s="18" t="n">
        <v>4576000</v>
      </c>
      <c r="O736" s="19" t="n">
        <v>4576000</v>
      </c>
      <c r="P736" s="18" t="n">
        <v>4392000</v>
      </c>
      <c r="Q736" s="19" t="n">
        <v>4392000</v>
      </c>
      <c r="R736" s="18" t="n">
        <v>4392000</v>
      </c>
      <c r="S736" s="20" t="n">
        <v>4392000</v>
      </c>
      <c r="T736" s="6" t="n">
        <v>1</v>
      </c>
      <c r="U736" s="5" t="inlineStr">
        <is>
          <t>세포유전자치료제 / 2023.03.16 / (주)</t>
        </is>
      </c>
      <c r="V736" s="21">
        <f>HYPERLINK("https://dart.fss.or.kr/dsaf001/main.do?rcpNo=20260814004146", "공시열람")</f>
        <v/>
      </c>
    </row>
    <row r="737">
      <c r="A737" s="5" t="inlineStr">
        <is>
          <t>위지윅스튜디오</t>
        </is>
      </c>
      <c r="B737" s="6" t="inlineStr">
        <is>
          <t>299900</t>
        </is>
      </c>
      <c r="C737" s="6" t="inlineStr">
        <is>
          <t>2023Q4</t>
        </is>
      </c>
      <c r="D737" s="6" t="inlineStr">
        <is>
          <t>20240724</t>
        </is>
      </c>
      <c r="E737" s="16" t="inlineStr"/>
      <c r="F737" s="16" t="inlineStr"/>
      <c r="G737" s="16" t="n">
        <v>1402977</v>
      </c>
      <c r="H737" s="6" t="inlineStr">
        <is>
          <t>천원</t>
        </is>
      </c>
      <c r="I737" s="17" t="inlineStr"/>
      <c r="J737" s="18" t="inlineStr"/>
      <c r="K737" s="19" t="inlineStr"/>
      <c r="L737" s="18" t="inlineStr"/>
      <c r="M737" s="19" t="inlineStr"/>
      <c r="N737" s="18" t="inlineStr"/>
      <c r="O737" s="19" t="inlineStr"/>
      <c r="P737" s="18" t="inlineStr"/>
      <c r="Q737" s="19" t="inlineStr"/>
      <c r="R737" s="18" t="inlineStr"/>
      <c r="S737" s="20" t="inlineStr"/>
      <c r="T737" s="6" t="n">
        <v>1</v>
      </c>
      <c r="U737" s="5" t="inlineStr">
        <is>
          <t>취득원가</t>
        </is>
      </c>
      <c r="V737" s="21">
        <f>HYPERLINK("https://dart.fss.or.kr/dsaf001/main.do?rcpNo=20240724000502", "공시열람")</f>
        <v/>
      </c>
    </row>
    <row r="738">
      <c r="A738" s="5" t="inlineStr">
        <is>
          <t>라온피플</t>
        </is>
      </c>
      <c r="B738" s="6" t="inlineStr">
        <is>
          <t>300120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385704</v>
      </c>
      <c r="F738" s="16" t="n">
        <v>103956</v>
      </c>
      <c r="G738" s="16" t="n">
        <v>281748</v>
      </c>
      <c r="H738" s="6" t="inlineStr">
        <is>
          <t>백만원</t>
        </is>
      </c>
      <c r="I738" s="17" t="n">
        <v>-4.5</v>
      </c>
      <c r="J738" s="18" t="n">
        <v>39777</v>
      </c>
      <c r="K738" s="19" t="n">
        <v>205291</v>
      </c>
      <c r="L738" s="18" t="n">
        <v>193742</v>
      </c>
      <c r="M738" s="19" t="n">
        <v>7682</v>
      </c>
      <c r="N738" s="18" t="inlineStr"/>
      <c r="O738" s="19" t="n">
        <v>280089</v>
      </c>
      <c r="P738" s="18" t="n">
        <v>275363</v>
      </c>
      <c r="Q738" s="19" t="n">
        <v>316153</v>
      </c>
      <c r="R738" s="18" t="n">
        <v>294879</v>
      </c>
      <c r="S738" s="20" t="n">
        <v>281748</v>
      </c>
      <c r="T738" s="6" t="n">
        <v>3</v>
      </c>
      <c r="U738" s="5" t="inlineStr">
        <is>
          <t>클라우드 등 | AI 비전생성형 AIPlatform | 카메라모듈검사</t>
        </is>
      </c>
      <c r="V738" s="21">
        <f>HYPERLINK("https://dart.fss.or.kr/dsaf001/main.do?rcpNo=20260814002571", "공시열람")</f>
        <v/>
      </c>
    </row>
    <row r="739">
      <c r="A739" s="5" t="inlineStr">
        <is>
          <t>한일시멘트</t>
        </is>
      </c>
      <c r="B739" s="6" t="inlineStr">
        <is>
          <t>300720</t>
        </is>
      </c>
      <c r="C739" s="6" t="inlineStr">
        <is>
          <t>2026Q2</t>
        </is>
      </c>
      <c r="D739" s="6" t="inlineStr">
        <is>
          <t>20260814</t>
        </is>
      </c>
      <c r="E739" s="16" t="n">
        <v>363217</v>
      </c>
      <c r="F739" s="16" t="n">
        <v>180146</v>
      </c>
      <c r="G739" s="16" t="n">
        <v>183071</v>
      </c>
      <c r="H739" s="6" t="inlineStr">
        <is>
          <t>백만원</t>
        </is>
      </c>
      <c r="I739" s="17" t="n">
        <v>2.7</v>
      </c>
      <c r="J739" s="18" t="n">
        <v>259193100290</v>
      </c>
      <c r="K739" s="19" t="n">
        <v>220013996173</v>
      </c>
      <c r="L739" s="18" t="n">
        <v>204122</v>
      </c>
      <c r="M739" s="19" t="n">
        <v>226837</v>
      </c>
      <c r="N739" s="18" t="n">
        <v>214066</v>
      </c>
      <c r="O739" s="19" t="n">
        <v>215258</v>
      </c>
      <c r="P739" s="18" t="n">
        <v>195065</v>
      </c>
      <c r="Q739" s="19" t="n">
        <v>193955</v>
      </c>
      <c r="R739" s="18" t="n">
        <v>178189</v>
      </c>
      <c r="S739" s="20" t="n">
        <v>183071</v>
      </c>
      <c r="T739" s="6" t="n">
        <v>22</v>
      </c>
      <c r="U739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9" s="21">
        <f>HYPERLINK("https://dart.fss.or.kr/dsaf001/main.do?rcpNo=20260814003685", "공시열람")</f>
        <v/>
      </c>
    </row>
    <row r="740">
      <c r="A740" s="5" t="inlineStr">
        <is>
          <t>바이브컴퍼니</t>
        </is>
      </c>
      <c r="B740" s="6" t="inlineStr">
        <is>
          <t>301300</t>
        </is>
      </c>
      <c r="C740" s="6" t="inlineStr">
        <is>
          <t>2026Q2</t>
        </is>
      </c>
      <c r="D740" s="6" t="inlineStr">
        <is>
          <t>20261012</t>
        </is>
      </c>
      <c r="E740" s="16" t="n">
        <v>18792106</v>
      </c>
      <c r="F740" s="16" t="n">
        <v>10901280</v>
      </c>
      <c r="G740" s="16" t="n">
        <v>7890826</v>
      </c>
      <c r="H740" s="6" t="inlineStr">
        <is>
          <t>천원</t>
        </is>
      </c>
      <c r="I740" s="17" t="n">
        <v>3.6</v>
      </c>
      <c r="J740" s="18" t="n">
        <v>5453850</v>
      </c>
      <c r="K740" s="19" t="inlineStr"/>
      <c r="L740" s="18" t="n">
        <v>7344196</v>
      </c>
      <c r="M740" s="19" t="n">
        <v>2404113</v>
      </c>
      <c r="N740" s="18" t="n">
        <v>5172613</v>
      </c>
      <c r="O740" s="19" t="n">
        <v>9112885</v>
      </c>
      <c r="P740" s="18" t="n">
        <v>7032627</v>
      </c>
      <c r="Q740" s="19" t="n">
        <v>2655025</v>
      </c>
      <c r="R740" s="18" t="n">
        <v>7620023</v>
      </c>
      <c r="S740" s="20" t="n">
        <v>7890826</v>
      </c>
      <c r="T740" s="6" t="n">
        <v>21</v>
      </c>
      <c r="U740" s="5" t="inlineStr">
        <is>
          <t>AI솔루션 | SI/SM | AI솔루션</t>
        </is>
      </c>
      <c r="V740" s="21">
        <f>HYPERLINK("https://dart.fss.or.kr/dsaf001/main.do?rcpNo=20261012000289", "공시열람")</f>
        <v/>
      </c>
    </row>
    <row r="741">
      <c r="A741" s="5" t="inlineStr">
        <is>
          <t>이노메트리</t>
        </is>
      </c>
      <c r="B741" s="6" t="inlineStr">
        <is>
          <t>302430</t>
        </is>
      </c>
      <c r="C741" s="6" t="inlineStr">
        <is>
          <t>2024Q1</t>
        </is>
      </c>
      <c r="D741" s="6" t="inlineStr">
        <is>
          <t>20240516</t>
        </is>
      </c>
      <c r="E741" s="16" t="n">
        <v>71769339</v>
      </c>
      <c r="F741" s="16" t="n">
        <v>48635690</v>
      </c>
      <c r="G741" s="16" t="n">
        <v>23133649</v>
      </c>
      <c r="H741" s="6" t="inlineStr">
        <is>
          <t>천원</t>
        </is>
      </c>
      <c r="I741" s="17" t="n">
        <v>-8.800000000000001</v>
      </c>
      <c r="J741" s="18" t="n">
        <v>23133649</v>
      </c>
      <c r="K741" s="19" t="inlineStr"/>
      <c r="L741" s="18" t="inlineStr"/>
      <c r="M741" s="19" t="inlineStr"/>
      <c r="N741" s="18" t="inlineStr"/>
      <c r="O741" s="19" t="inlineStr"/>
      <c r="P741" s="18" t="inlineStr"/>
      <c r="Q741" s="19" t="inlineStr"/>
      <c r="R741" s="18" t="inlineStr"/>
      <c r="S741" s="20" t="inlineStr"/>
      <c r="T741" s="6" t="n">
        <v>13</v>
      </c>
      <c r="U741" s="5" t="inlineStr">
        <is>
          <t>2차전지검사장비 / 2023-11-04 / 2025-0 | 2차전지검사장비 / 2022-12-22 / 2024-0 | 2차전지검사장비 / 2022-12-22 / 2024-0</t>
        </is>
      </c>
      <c r="V741" s="21">
        <f>HYPERLINK("https://dart.fss.or.kr/dsaf001/main.do?rcpNo=20240516000062", "공시열람")</f>
        <v/>
      </c>
    </row>
    <row r="742">
      <c r="A742" s="5" t="inlineStr">
        <is>
          <t>SK바이오사이언스</t>
        </is>
      </c>
      <c r="B742" s="6" t="inlineStr">
        <is>
          <t>302440</t>
        </is>
      </c>
      <c r="C742" s="6" t="inlineStr">
        <is>
          <t>2026Q2</t>
        </is>
      </c>
      <c r="D742" s="6" t="inlineStr">
        <is>
          <t>20260813</t>
        </is>
      </c>
      <c r="E742" s="16" t="n">
        <v>2511572</v>
      </c>
      <c r="F742" s="16" t="n">
        <v>1933255</v>
      </c>
      <c r="G742" s="16" t="n">
        <v>578317</v>
      </c>
      <c r="H742" s="6" t="inlineStr">
        <is>
          <t>백만원</t>
        </is>
      </c>
      <c r="I742" s="17" t="n">
        <v>-30.1</v>
      </c>
      <c r="J742" s="18" t="n">
        <v>114955</v>
      </c>
      <c r="K742" s="19" t="n">
        <v>141644</v>
      </c>
      <c r="L742" s="18" t="n">
        <v>107602</v>
      </c>
      <c r="M742" s="19" t="n">
        <v>979319</v>
      </c>
      <c r="N742" s="18" t="n">
        <v>882738</v>
      </c>
      <c r="O742" s="19" t="n">
        <v>804123</v>
      </c>
      <c r="P742" s="18" t="n">
        <v>720658</v>
      </c>
      <c r="Q742" s="19" t="n">
        <v>801010</v>
      </c>
      <c r="R742" s="18" t="n">
        <v>827917</v>
      </c>
      <c r="S742" s="20" t="n">
        <v>578317</v>
      </c>
      <c r="T742" s="6" t="n">
        <v>2</v>
      </c>
      <c r="U742" s="5" t="inlineStr">
        <is>
          <t>CDMO / 2015년~(계약별 상이) / ~2029년 | 백신 원액 및 완제 생산 / 2022년~(계약별 상이)</t>
        </is>
      </c>
      <c r="V742" s="21">
        <f>HYPERLINK("https://dart.fss.or.kr/dsaf001/main.do?rcpNo=20260813001292", "공시열람")</f>
        <v/>
      </c>
    </row>
    <row r="743">
      <c r="A743" s="5" t="inlineStr">
        <is>
          <t>리메드</t>
        </is>
      </c>
      <c r="B743" s="6" t="inlineStr">
        <is>
          <t>302550</t>
        </is>
      </c>
      <c r="C743" s="6" t="inlineStr">
        <is>
          <t>2026Q2</t>
        </is>
      </c>
      <c r="D743" s="6" t="inlineStr">
        <is>
          <t>20260812</t>
        </is>
      </c>
      <c r="E743" s="16" t="n">
        <v>23436000</v>
      </c>
      <c r="F743" s="16" t="n">
        <v>1922088</v>
      </c>
      <c r="G743" s="16" t="n">
        <v>21513912</v>
      </c>
      <c r="H743" s="6" t="inlineStr">
        <is>
          <t>대,천원</t>
        </is>
      </c>
      <c r="I743" s="17" t="n">
        <v>0</v>
      </c>
      <c r="J743" s="18" t="n">
        <v>21538520</v>
      </c>
      <c r="K743" s="19" t="n">
        <v>21538520</v>
      </c>
      <c r="L743" s="18" t="n">
        <v>21538520</v>
      </c>
      <c r="M743" s="19" t="n">
        <v>21513912</v>
      </c>
      <c r="N743" s="18" t="n">
        <v>21513912</v>
      </c>
      <c r="O743" s="19" t="n">
        <v>21513912</v>
      </c>
      <c r="P743" s="18" t="n">
        <v>21513912</v>
      </c>
      <c r="Q743" s="19" t="n">
        <v>21513912</v>
      </c>
      <c r="R743" s="18" t="n">
        <v>21513912</v>
      </c>
      <c r="S743" s="20" t="n">
        <v>21513912</v>
      </c>
      <c r="T743" s="6" t="n">
        <v>13</v>
      </c>
      <c r="U743" s="5" t="inlineStr">
        <is>
          <t>ZTone plus / 2023.11.02 / 2023 | ZTone plus / 2021.09.27 / 2021 | ZTone plus / 2024.01.16 / 2024</t>
        </is>
      </c>
      <c r="V743" s="21">
        <f>HYPERLINK("https://dart.fss.or.kr/dsaf001/main.do?rcpNo=20260812000883", "공시열람")</f>
        <v/>
      </c>
    </row>
    <row r="744">
      <c r="A744" s="5" t="inlineStr">
        <is>
          <t>동국생명과학</t>
        </is>
      </c>
      <c r="B744" s="6" t="inlineStr">
        <is>
          <t>303810</t>
        </is>
      </c>
      <c r="C744" s="6" t="inlineStr">
        <is>
          <t>2026Q2</t>
        </is>
      </c>
      <c r="D744" s="6" t="inlineStr">
        <is>
          <t>20260814</t>
        </is>
      </c>
      <c r="E744" s="16" t="n">
        <v>1532255</v>
      </c>
      <c r="F744" s="16" t="inlineStr"/>
      <c r="G744" s="16" t="n">
        <v>1532255</v>
      </c>
      <c r="H744" s="6" t="inlineStr">
        <is>
          <t>천원</t>
        </is>
      </c>
      <c r="I744" s="17" t="n">
        <v>-33.4</v>
      </c>
      <c r="J744" s="18" t="inlineStr"/>
      <c r="K744" s="19" t="inlineStr"/>
      <c r="L744" s="18" t="inlineStr"/>
      <c r="M744" s="19" t="n">
        <v>4699240</v>
      </c>
      <c r="N744" s="18" t="n">
        <v>4699240</v>
      </c>
      <c r="O744" s="19" t="n">
        <v>1305331</v>
      </c>
      <c r="P744" s="18" t="n">
        <v>2062558</v>
      </c>
      <c r="Q744" s="19" t="n">
        <v>1399658</v>
      </c>
      <c r="R744" s="18" t="n">
        <v>2301490</v>
      </c>
      <c r="S744" s="20" t="n">
        <v>1532255</v>
      </c>
      <c r="T744" s="6" t="n">
        <v>3</v>
      </c>
      <c r="U744" s="5" t="inlineStr">
        <is>
          <t>C사 / 조영제 / Vial | B사 / 조영제 API / Kg | A사 / 조영제 / Vial</t>
        </is>
      </c>
      <c r="V744" s="21">
        <f>HYPERLINK("https://dart.fss.or.kr/dsaf001/main.do?rcpNo=20260814002097", "공시열람")</f>
        <v/>
      </c>
    </row>
    <row r="745">
      <c r="A745" s="5" t="inlineStr">
        <is>
          <t>솔트룩스</t>
        </is>
      </c>
      <c r="B745" s="6" t="inlineStr">
        <is>
          <t>304100</t>
        </is>
      </c>
      <c r="C745" s="6" t="inlineStr">
        <is>
          <t>2026Q2</t>
        </is>
      </c>
      <c r="D745" s="6" t="inlineStr">
        <is>
          <t>20260814</t>
        </is>
      </c>
      <c r="E745" s="16" t="n">
        <v>19855414</v>
      </c>
      <c r="F745" s="16" t="n">
        <v>6935031</v>
      </c>
      <c r="G745" s="16" t="n">
        <v>12920384</v>
      </c>
      <c r="H745" s="6" t="inlineStr">
        <is>
          <t>천원</t>
        </is>
      </c>
      <c r="I745" s="17" t="n">
        <v>309.5</v>
      </c>
      <c r="J745" s="18" t="n">
        <v>1249055</v>
      </c>
      <c r="K745" s="19" t="n">
        <v>25163</v>
      </c>
      <c r="L745" s="18" t="n">
        <v>19371</v>
      </c>
      <c r="M745" s="19" t="n">
        <v>595897</v>
      </c>
      <c r="N745" s="18" t="n">
        <v>391003</v>
      </c>
      <c r="O745" s="19" t="n">
        <v>3729941</v>
      </c>
      <c r="P745" s="18" t="n">
        <v>4080403</v>
      </c>
      <c r="Q745" s="19" t="n">
        <v>3860077</v>
      </c>
      <c r="R745" s="18" t="n">
        <v>3155538</v>
      </c>
      <c r="S745" s="20" t="n">
        <v>12920384</v>
      </c>
      <c r="T745" s="6" t="n">
        <v>15</v>
      </c>
      <c r="U745" s="5" t="inlineStr">
        <is>
          <t>AI Suite / 삼성에스디에스(주) / 2026-0 | AI Suite / 한전원자력연료 / 2026-06-0 | AI Suite / 동양생명보험(주) / 2026-05</t>
        </is>
      </c>
      <c r="V745" s="21">
        <f>HYPERLINK("https://dart.fss.or.kr/dsaf001/main.do?rcpNo=20260814001518", "공시열람")</f>
        <v/>
      </c>
    </row>
    <row r="746">
      <c r="A746" s="5" t="inlineStr">
        <is>
          <t>세아제강</t>
        </is>
      </c>
      <c r="B746" s="6" t="inlineStr">
        <is>
          <t>306200</t>
        </is>
      </c>
      <c r="C746" s="6" t="inlineStr">
        <is>
          <t>2026Q2</t>
        </is>
      </c>
      <c r="D746" s="6" t="inlineStr">
        <is>
          <t>20260814</t>
        </is>
      </c>
      <c r="E746" s="16" t="n">
        <v>270602</v>
      </c>
      <c r="F746" s="16" t="n">
        <v>202482</v>
      </c>
      <c r="G746" s="16" t="n">
        <v>57760</v>
      </c>
      <c r="H746" s="6" t="inlineStr">
        <is>
          <t>백만원</t>
        </is>
      </c>
      <c r="I746" s="17" t="n">
        <v>-41.9</v>
      </c>
      <c r="J746" s="18" t="n">
        <v>59518</v>
      </c>
      <c r="K746" s="19" t="n">
        <v>39297</v>
      </c>
      <c r="L746" s="18" t="n">
        <v>28941</v>
      </c>
      <c r="M746" s="19" t="n">
        <v>28312</v>
      </c>
      <c r="N746" s="18" t="n">
        <v>22063</v>
      </c>
      <c r="O746" s="19" t="n">
        <v>13697</v>
      </c>
      <c r="P746" s="18" t="n">
        <v>11118</v>
      </c>
      <c r="Q746" s="19" t="n">
        <v>108537</v>
      </c>
      <c r="R746" s="18" t="n">
        <v>99347</v>
      </c>
      <c r="S746" s="20" t="n">
        <v>57760</v>
      </c>
      <c r="T746" s="6" t="n">
        <v>2</v>
      </c>
      <c r="U746" s="5" t="inlineStr">
        <is>
          <t xml:space="preserve">천연가스 이송용 PIPE 공급 계약 / 2025.12. | 카타르 LNG 북부 가스전 프로젝트(STS PIPE) </t>
        </is>
      </c>
      <c r="V746" s="21">
        <f>HYPERLINK("https://dart.fss.or.kr/dsaf001/main.do?rcpNo=20260814003277", "공시열람")</f>
        <v/>
      </c>
    </row>
    <row r="747">
      <c r="A747" s="5" t="inlineStr">
        <is>
          <t>아이엘</t>
        </is>
      </c>
      <c r="B747" s="6" t="inlineStr">
        <is>
          <t>307180</t>
        </is>
      </c>
      <c r="C747" s="6" t="inlineStr">
        <is>
          <t>2026Q2</t>
        </is>
      </c>
      <c r="D747" s="6" t="inlineStr">
        <is>
          <t>20260812</t>
        </is>
      </c>
      <c r="E747" s="16" t="n">
        <v>125025045</v>
      </c>
      <c r="F747" s="16" t="n">
        <v>38197706</v>
      </c>
      <c r="G747" s="16" t="n">
        <v>86817339</v>
      </c>
      <c r="H747" s="6" t="inlineStr">
        <is>
          <t>천원</t>
        </is>
      </c>
      <c r="I747" s="17" t="n">
        <v>0</v>
      </c>
      <c r="J747" s="18" t="n">
        <v>71459722</v>
      </c>
      <c r="K747" s="19" t="n">
        <v>72042712</v>
      </c>
      <c r="L747" s="18" t="n">
        <v>72042712</v>
      </c>
      <c r="M747" s="19" t="n">
        <v>72185570</v>
      </c>
      <c r="N747" s="18" t="n">
        <v>95977954</v>
      </c>
      <c r="O747" s="19" t="n">
        <v>67643548</v>
      </c>
      <c r="P747" s="18" t="n">
        <v>68417593</v>
      </c>
      <c r="Q747" s="19" t="n">
        <v>76025371</v>
      </c>
      <c r="R747" s="18" t="n">
        <v>86817339</v>
      </c>
      <c r="S747" s="20" t="n">
        <v>86817339</v>
      </c>
      <c r="T747" s="6" t="n">
        <v>5</v>
      </c>
      <c r="U747" s="5" t="inlineStr">
        <is>
          <t>전장/조명외 | LED조명/시스템 / - | 모듈 및 램프</t>
        </is>
      </c>
      <c r="V747" s="21">
        <f>HYPERLINK("https://dart.fss.or.kr/dsaf001/main.do?rcpNo=20260812000513", "공시열람")</f>
        <v/>
      </c>
    </row>
    <row r="748">
      <c r="A748" s="5" t="inlineStr">
        <is>
          <t>비투엔</t>
        </is>
      </c>
      <c r="B748" s="6" t="inlineStr">
        <is>
          <t>307870</t>
        </is>
      </c>
      <c r="C748" s="6" t="inlineStr">
        <is>
          <t>2026Q2</t>
        </is>
      </c>
      <c r="D748" s="6" t="inlineStr">
        <is>
          <t>20260813</t>
        </is>
      </c>
      <c r="E748" s="16" t="inlineStr"/>
      <c r="F748" s="16" t="inlineStr"/>
      <c r="G748" s="16" t="n">
        <v>5279</v>
      </c>
      <c r="H748" s="6" t="inlineStr">
        <is>
          <t>백만원</t>
        </is>
      </c>
      <c r="I748" s="17" t="n">
        <v>25.3</v>
      </c>
      <c r="J748" s="18" t="n">
        <v>11610</v>
      </c>
      <c r="K748" s="19" t="n">
        <v>9405</v>
      </c>
      <c r="L748" s="18" t="n">
        <v>9761</v>
      </c>
      <c r="M748" s="19" t="n">
        <v>5934</v>
      </c>
      <c r="N748" s="18" t="n">
        <v>8238</v>
      </c>
      <c r="O748" s="19" t="n">
        <v>4515</v>
      </c>
      <c r="P748" s="18" t="n">
        <v>6208</v>
      </c>
      <c r="Q748" s="19" t="n">
        <v>4579</v>
      </c>
      <c r="R748" s="18" t="n">
        <v>4214</v>
      </c>
      <c r="S748" s="20" t="n">
        <v>5279</v>
      </c>
      <c r="T748" s="6" t="n">
        <v>4</v>
      </c>
      <c r="U748" s="5" t="inlineStr">
        <is>
          <t xml:space="preserve">기타 / - | K사 / 융자차세대시스템 구축_정보계, 데이터관리전환  | 공공 / 차세대 상장공시시스템 구축을 위한 개발 용역 </t>
        </is>
      </c>
      <c r="V748" s="21">
        <f>HYPERLINK("https://dart.fss.or.kr/dsaf001/main.do?rcpNo=20260813000458", "공시열람")</f>
        <v/>
      </c>
    </row>
    <row r="749">
      <c r="A749" s="5" t="inlineStr">
        <is>
          <t>현대오토에버</t>
        </is>
      </c>
      <c r="B749" s="6" t="inlineStr">
        <is>
          <t>307950</t>
        </is>
      </c>
      <c r="C749" s="6" t="inlineStr">
        <is>
          <t>2026Q2</t>
        </is>
      </c>
      <c r="D749" s="6" t="inlineStr">
        <is>
          <t>20260814</t>
        </is>
      </c>
      <c r="E749" s="16" t="n">
        <v>18896</v>
      </c>
      <c r="F749" s="16" t="n">
        <v>6155</v>
      </c>
      <c r="G749" s="16" t="n">
        <v>12741</v>
      </c>
      <c r="H749" s="6" t="inlineStr">
        <is>
          <t>억원</t>
        </is>
      </c>
      <c r="I749" s="17" t="n">
        <v>13.8</v>
      </c>
      <c r="J749" s="18" t="n">
        <v>8031</v>
      </c>
      <c r="K749" s="19" t="n">
        <v>8660</v>
      </c>
      <c r="L749" s="18" t="n">
        <v>10167</v>
      </c>
      <c r="M749" s="19" t="n">
        <v>2888</v>
      </c>
      <c r="N749" s="18" t="n">
        <v>10743</v>
      </c>
      <c r="O749" s="19" t="n">
        <v>14200</v>
      </c>
      <c r="P749" s="18" t="n">
        <v>10072</v>
      </c>
      <c r="Q749" s="19" t="n">
        <v>10775</v>
      </c>
      <c r="R749" s="18" t="n">
        <v>11200</v>
      </c>
      <c r="S749" s="20" t="n">
        <v>12741</v>
      </c>
      <c r="T749" s="6" t="n">
        <v>1</v>
      </c>
      <c r="U749" s="5" t="inlineStr">
        <is>
          <t>시스템 구축 / -</t>
        </is>
      </c>
      <c r="V749" s="21">
        <f>HYPERLINK("https://dart.fss.or.kr/dsaf001/main.do?rcpNo=20260814003571", "공시열람")</f>
        <v/>
      </c>
    </row>
    <row r="750">
      <c r="A750" s="5" t="inlineStr">
        <is>
          <t>아이티켐</t>
        </is>
      </c>
      <c r="B750" s="6" t="inlineStr">
        <is>
          <t>309710</t>
        </is>
      </c>
      <c r="C750" s="6" t="inlineStr">
        <is>
          <t>2026Q1</t>
        </is>
      </c>
      <c r="D750" s="6" t="inlineStr">
        <is>
          <t>20260601</t>
        </is>
      </c>
      <c r="E750" s="16" t="n">
        <v>19921</v>
      </c>
      <c r="F750" s="16" t="n">
        <v>1519</v>
      </c>
      <c r="G750" s="16" t="n">
        <v>18402</v>
      </c>
      <c r="H750" s="6" t="inlineStr">
        <is>
          <t>Kg,백만원</t>
        </is>
      </c>
      <c r="I750" s="17" t="n">
        <v>8.800000000000001</v>
      </c>
      <c r="J750" s="18" t="inlineStr"/>
      <c r="K750" s="19" t="inlineStr"/>
      <c r="L750" s="18" t="inlineStr"/>
      <c r="M750" s="19" t="inlineStr"/>
      <c r="N750" s="18" t="inlineStr"/>
      <c r="O750" s="19" t="n">
        <v>11301</v>
      </c>
      <c r="P750" s="18" t="n">
        <v>9821</v>
      </c>
      <c r="Q750" s="19" t="n">
        <v>16918</v>
      </c>
      <c r="R750" s="18" t="n">
        <v>18402</v>
      </c>
      <c r="S750" s="20" t="inlineStr"/>
      <c r="T750" s="6" t="n">
        <v>14</v>
      </c>
      <c r="U750" s="5" t="inlineStr">
        <is>
          <t>BCBB / 2025-12-04 / 2027-05-31 | SK-BMK / 2026-02-28 / 2026-07- | TPB-100T / 2026-03-20 / 2027-0</t>
        </is>
      </c>
      <c r="V750" s="21">
        <f>HYPERLINK("https://dart.fss.or.kr/dsaf001/main.do?rcpNo=20260601001979", "공시열람")</f>
        <v/>
      </c>
    </row>
    <row r="751">
      <c r="A751" s="5" t="inlineStr">
        <is>
          <t>엘에이티</t>
        </is>
      </c>
      <c r="B751" s="6" t="inlineStr">
        <is>
          <t>311060</t>
        </is>
      </c>
      <c r="C751" s="6" t="inlineStr">
        <is>
          <t>2023Q4</t>
        </is>
      </c>
      <c r="D751" s="6" t="inlineStr">
        <is>
          <t>20240320</t>
        </is>
      </c>
      <c r="E751" s="16" t="n">
        <v>43849725</v>
      </c>
      <c r="F751" s="16" t="n">
        <v>7560166</v>
      </c>
      <c r="G751" s="16" t="n">
        <v>36289559</v>
      </c>
      <c r="H751" s="6" t="inlineStr">
        <is>
          <t>천원</t>
        </is>
      </c>
      <c r="I751" s="17" t="inlineStr"/>
      <c r="J751" s="18" t="inlineStr"/>
      <c r="K751" s="19" t="inlineStr"/>
      <c r="L751" s="18" t="inlineStr"/>
      <c r="M751" s="19" t="inlineStr"/>
      <c r="N751" s="18" t="inlineStr"/>
      <c r="O751" s="19" t="inlineStr"/>
      <c r="P751" s="18" t="inlineStr"/>
      <c r="Q751" s="19" t="inlineStr"/>
      <c r="R751" s="18" t="inlineStr"/>
      <c r="S751" s="20" t="inlineStr"/>
      <c r="T751" s="6" t="n">
        <v>1</v>
      </c>
      <c r="U751" s="5" t="inlineStr">
        <is>
          <t>반도체/Display 장비 등 / 2023년 / 202</t>
        </is>
      </c>
      <c r="V751" s="21">
        <f>HYPERLINK("https://dart.fss.or.kr/dsaf001/main.do?rcpNo=20240320001509", "공시열람")</f>
        <v/>
      </c>
    </row>
    <row r="752">
      <c r="A752" s="5" t="inlineStr">
        <is>
          <t>인터로이드</t>
        </is>
      </c>
      <c r="B752" s="6" t="inlineStr">
        <is>
          <t>311960</t>
        </is>
      </c>
      <c r="C752" s="6" t="inlineStr">
        <is>
          <t>2025Q4</t>
        </is>
      </c>
      <c r="D752" s="6" t="inlineStr">
        <is>
          <t>20260326</t>
        </is>
      </c>
      <c r="E752" s="16" t="inlineStr"/>
      <c r="F752" s="16" t="inlineStr"/>
      <c r="G752" s="16" t="n">
        <v>328458</v>
      </c>
      <c r="H752" s="6" t="inlineStr">
        <is>
          <t>천원</t>
        </is>
      </c>
      <c r="I752" s="17" t="n">
        <v>-65.40000000000001</v>
      </c>
      <c r="J752" s="18" t="inlineStr"/>
      <c r="K752" s="19" t="inlineStr"/>
      <c r="L752" s="18" t="inlineStr"/>
      <c r="M752" s="19" t="n">
        <v>948339</v>
      </c>
      <c r="N752" s="18" t="inlineStr"/>
      <c r="O752" s="19" t="inlineStr"/>
      <c r="P752" s="18" t="inlineStr"/>
      <c r="Q752" s="19" t="n">
        <v>328458</v>
      </c>
      <c r="R752" s="18" t="inlineStr"/>
      <c r="S752" s="20" t="inlineStr"/>
      <c r="T752" s="6" t="n">
        <v>2</v>
      </c>
      <c r="U752" s="5" t="inlineStr">
        <is>
          <t xml:space="preserve">공장설립인허가사전진단서비스시범구축 / 한국산업단지공단  | 24년 사회보장정보시스템 확대개편 사업 / 보건복지부 </t>
        </is>
      </c>
      <c r="V752" s="21">
        <f>HYPERLINK("https://dart.fss.or.kr/dsaf001/main.do?rcpNo=20260326000677", "공시열람")</f>
        <v/>
      </c>
    </row>
    <row r="753">
      <c r="A753" s="5" t="inlineStr">
        <is>
          <t>캐리</t>
        </is>
      </c>
      <c r="B753" s="6" t="inlineStr">
        <is>
          <t>313760</t>
        </is>
      </c>
      <c r="C753" s="6" t="inlineStr">
        <is>
          <t>2024Q4</t>
        </is>
      </c>
      <c r="D753" s="6" t="inlineStr">
        <is>
          <t>20250326</t>
        </is>
      </c>
      <c r="E753" s="16" t="inlineStr"/>
      <c r="F753" s="16" t="inlineStr"/>
      <c r="G753" s="16" t="n">
        <v>125654</v>
      </c>
      <c r="H753" s="6" t="inlineStr">
        <is>
          <t>천원</t>
        </is>
      </c>
      <c r="I753" s="17" t="n">
        <v>-96</v>
      </c>
      <c r="J753" s="18" t="inlineStr"/>
      <c r="K753" s="19" t="inlineStr"/>
      <c r="L753" s="18" t="inlineStr"/>
      <c r="M753" s="19" t="n">
        <v>125654</v>
      </c>
      <c r="N753" s="18" t="inlineStr"/>
      <c r="O753" s="19" t="inlineStr"/>
      <c r="P753" s="18" t="inlineStr"/>
      <c r="Q753" s="19" t="inlineStr"/>
      <c r="R753" s="18" t="inlineStr"/>
      <c r="S753" s="20" t="inlineStr"/>
      <c r="T753" s="6" t="n">
        <v>1</v>
      </c>
      <c r="U753" s="5" t="inlineStr">
        <is>
          <t>효성광양금호1호 태양광발전소 건설 공사</t>
        </is>
      </c>
      <c r="V753" s="21">
        <f>HYPERLINK("https://dart.fss.or.kr/dsaf001/main.do?rcpNo=20250326000865", "공시열람")</f>
        <v/>
      </c>
    </row>
    <row r="754">
      <c r="A754" s="5" t="inlineStr">
        <is>
          <t>지놈앤컴퍼니</t>
        </is>
      </c>
      <c r="B754" s="6" t="inlineStr">
        <is>
          <t>314130</t>
        </is>
      </c>
      <c r="C754" s="6" t="inlineStr">
        <is>
          <t>2026Q2</t>
        </is>
      </c>
      <c r="D754" s="6" t="inlineStr">
        <is>
          <t>20260814</t>
        </is>
      </c>
      <c r="E754" s="16" t="n">
        <v>4916</v>
      </c>
      <c r="F754" s="16" t="n">
        <v>-1484</v>
      </c>
      <c r="G754" s="16" t="n">
        <v>6400</v>
      </c>
      <c r="H754" s="6" t="inlineStr">
        <is>
          <t>백만원</t>
        </is>
      </c>
      <c r="I754" s="17" t="n">
        <v>102.1</v>
      </c>
      <c r="J754" s="18" t="n">
        <v>3298</v>
      </c>
      <c r="K754" s="19" t="n">
        <v>5178</v>
      </c>
      <c r="L754" s="18" t="n">
        <v>7935</v>
      </c>
      <c r="M754" s="19" t="n">
        <v>8000</v>
      </c>
      <c r="N754" s="18" t="n">
        <v>2270</v>
      </c>
      <c r="O754" s="19" t="n">
        <v>5006</v>
      </c>
      <c r="P754" s="18" t="n">
        <v>3501</v>
      </c>
      <c r="Q754" s="19" t="n">
        <v>3488</v>
      </c>
      <c r="R754" s="18" t="n">
        <v>3167</v>
      </c>
      <c r="S754" s="20" t="n">
        <v>6400</v>
      </c>
      <c r="T754" s="6" t="n">
        <v>1</v>
      </c>
      <c r="U754" s="5" t="inlineStr">
        <is>
          <t>CDMO / 2023~ / ~2026</t>
        </is>
      </c>
      <c r="V754" s="21">
        <f>HYPERLINK("https://dart.fss.or.kr/dsaf001/main.do?rcpNo=20260814003059", "공시열람")</f>
        <v/>
      </c>
    </row>
    <row r="755">
      <c r="A755" s="5" t="inlineStr">
        <is>
          <t>딥노이드</t>
        </is>
      </c>
      <c r="B755" s="6" t="inlineStr">
        <is>
          <t>315640</t>
        </is>
      </c>
      <c r="C755" s="6" t="inlineStr">
        <is>
          <t>2026Q2</t>
        </is>
      </c>
      <c r="D755" s="6" t="inlineStr">
        <is>
          <t>20260814</t>
        </is>
      </c>
      <c r="E755" s="16" t="n">
        <v>11954197</v>
      </c>
      <c r="F755" s="16" t="n">
        <v>9390406</v>
      </c>
      <c r="G755" s="16" t="n">
        <v>2563791</v>
      </c>
      <c r="H755" s="6" t="inlineStr">
        <is>
          <t>천원</t>
        </is>
      </c>
      <c r="I755" s="17" t="n">
        <v>-25.8</v>
      </c>
      <c r="J755" s="18" t="n">
        <v>9641359</v>
      </c>
      <c r="K755" s="19" t="n">
        <v>7863159</v>
      </c>
      <c r="L755" s="18" t="n">
        <v>6105915</v>
      </c>
      <c r="M755" s="19" t="n">
        <v>4071022</v>
      </c>
      <c r="N755" s="18" t="n">
        <v>3414278</v>
      </c>
      <c r="O755" s="19" t="n">
        <v>4293914</v>
      </c>
      <c r="P755" s="18" t="n">
        <v>2891025</v>
      </c>
      <c r="Q755" s="19" t="n">
        <v>3303459</v>
      </c>
      <c r="R755" s="18" t="n">
        <v>3455588</v>
      </c>
      <c r="S755" s="20" t="n">
        <v>2563791</v>
      </c>
      <c r="T755" s="6" t="n">
        <v>1</v>
      </c>
      <c r="U755" s="5" t="inlineStr">
        <is>
          <t>인공지능 솔루션 외</t>
        </is>
      </c>
      <c r="V755" s="21">
        <f>HYPERLINK("https://dart.fss.or.kr/dsaf001/main.do?rcpNo=20260814003155", "공시열람")</f>
        <v/>
      </c>
    </row>
    <row r="756">
      <c r="A756" s="5" t="inlineStr">
        <is>
          <t>자이에스앤디</t>
        </is>
      </c>
      <c r="B756" s="6" t="inlineStr">
        <is>
          <t>317400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n">
        <v>455806</v>
      </c>
      <c r="G756" s="16" t="n">
        <v>3222374</v>
      </c>
      <c r="H756" s="6" t="inlineStr">
        <is>
          <t>백만원</t>
        </is>
      </c>
      <c r="I756" s="17" t="n">
        <v>3.5</v>
      </c>
      <c r="J756" s="18" t="n">
        <v>1959428</v>
      </c>
      <c r="K756" s="19" t="n">
        <v>2163936</v>
      </c>
      <c r="L756" s="18" t="n">
        <v>2138083</v>
      </c>
      <c r="M756" s="19" t="n">
        <v>2096342</v>
      </c>
      <c r="N756" s="18" t="n">
        <v>893468</v>
      </c>
      <c r="O756" s="19" t="n">
        <v>1070282</v>
      </c>
      <c r="P756" s="18" t="n">
        <v>888890</v>
      </c>
      <c r="Q756" s="19" t="n">
        <v>3046867</v>
      </c>
      <c r="R756" s="18" t="n">
        <v>3111951</v>
      </c>
      <c r="S756" s="20" t="n">
        <v>3222374</v>
      </c>
      <c r="T756" s="6" t="n">
        <v>14</v>
      </c>
      <c r="U756" s="5" t="inlineStr">
        <is>
          <t>주택사업 / 기타 | Home Solution 사업 / 광주원주고속도로_BT | 주택사업 / 상주자이르네 / 고은건설</t>
        </is>
      </c>
      <c r="V756" s="21">
        <f>HYPERLINK("https://dart.fss.or.kr/dsaf001/main.do?rcpNo=20260814000451", "공시열람")</f>
        <v/>
      </c>
    </row>
    <row r="757">
      <c r="A757" s="5" t="inlineStr">
        <is>
          <t>에스피시스템스</t>
        </is>
      </c>
      <c r="B757" s="6" t="inlineStr">
        <is>
          <t>317830</t>
        </is>
      </c>
      <c r="C757" s="6" t="inlineStr">
        <is>
          <t>2026Q2</t>
        </is>
      </c>
      <c r="D757" s="6" t="inlineStr">
        <is>
          <t>20260930</t>
        </is>
      </c>
      <c r="E757" s="16" t="n">
        <v>107924386</v>
      </c>
      <c r="F757" s="16" t="n">
        <v>83301732</v>
      </c>
      <c r="G757" s="16" t="n">
        <v>24622654</v>
      </c>
      <c r="H757" s="6" t="inlineStr">
        <is>
          <t>천원</t>
        </is>
      </c>
      <c r="I757" s="17" t="n">
        <v>18.8</v>
      </c>
      <c r="J757" s="18" t="n">
        <v>36764409</v>
      </c>
      <c r="K757" s="19" t="n">
        <v>30105272</v>
      </c>
      <c r="L757" s="18" t="n">
        <v>27100452</v>
      </c>
      <c r="M757" s="19" t="n">
        <v>24782556</v>
      </c>
      <c r="N757" s="18" t="n">
        <v>23521045</v>
      </c>
      <c r="O757" s="19" t="n">
        <v>20825020</v>
      </c>
      <c r="P757" s="18" t="n">
        <v>22517781</v>
      </c>
      <c r="Q757" s="19" t="n">
        <v>16924168</v>
      </c>
      <c r="R757" s="18" t="n">
        <v>20718497</v>
      </c>
      <c r="S757" s="20" t="n">
        <v>24622654</v>
      </c>
      <c r="T757" s="6" t="n">
        <v>2</v>
      </c>
      <c r="U757" s="5" t="inlineStr">
        <is>
          <t>자동화시스템 / - | 스마트팩토리솔루션 / -</t>
        </is>
      </c>
      <c r="V757" s="21">
        <f>HYPERLINK("https://dart.fss.or.kr/dsaf001/main.do?rcpNo=20260930000593", "공시열람")</f>
        <v/>
      </c>
    </row>
    <row r="758">
      <c r="A758" s="5" t="inlineStr">
        <is>
          <t>대모</t>
        </is>
      </c>
      <c r="B758" s="6" t="inlineStr">
        <is>
          <t>317850</t>
        </is>
      </c>
      <c r="C758" s="6" t="inlineStr">
        <is>
          <t>2026Q2</t>
        </is>
      </c>
      <c r="D758" s="6" t="inlineStr">
        <is>
          <t>20260814</t>
        </is>
      </c>
      <c r="E758" s="16" t="n">
        <v>29056237</v>
      </c>
      <c r="F758" s="16" t="n">
        <v>22831190</v>
      </c>
      <c r="G758" s="16" t="n">
        <v>6225047</v>
      </c>
      <c r="H758" s="6" t="inlineStr">
        <is>
          <t>천원</t>
        </is>
      </c>
      <c r="I758" s="17" t="n">
        <v>30.9</v>
      </c>
      <c r="J758" s="18" t="n">
        <v>4880287</v>
      </c>
      <c r="K758" s="19" t="n">
        <v>5695854</v>
      </c>
      <c r="L758" s="18" t="n">
        <v>5343881</v>
      </c>
      <c r="M758" s="19" t="n">
        <v>4808916</v>
      </c>
      <c r="N758" s="18" t="n">
        <v>4520733</v>
      </c>
      <c r="O758" s="19" t="n">
        <v>4262696</v>
      </c>
      <c r="P758" s="18" t="n">
        <v>2846846</v>
      </c>
      <c r="Q758" s="19" t="n">
        <v>5646003</v>
      </c>
      <c r="R758" s="18" t="n">
        <v>4757243</v>
      </c>
      <c r="S758" s="20" t="n">
        <v>6225047</v>
      </c>
      <c r="T758" s="6" t="n">
        <v>1</v>
      </c>
      <c r="U758" s="5" t="inlineStr">
        <is>
          <t>유압브레이커 외 / 2026년 1월 ~ 현재 / 202</t>
        </is>
      </c>
      <c r="V758" s="21">
        <f>HYPERLINK("https://dart.fss.or.kr/dsaf001/main.do?rcpNo=20260814001352", "공시열람")</f>
        <v/>
      </c>
    </row>
    <row r="759">
      <c r="A759" s="5" t="inlineStr">
        <is>
          <t>타임기술</t>
        </is>
      </c>
      <c r="B759" s="6" t="inlineStr">
        <is>
          <t>318660</t>
        </is>
      </c>
      <c r="C759" s="6" t="inlineStr">
        <is>
          <t>2025Q4</t>
        </is>
      </c>
      <c r="D759" s="6" t="inlineStr">
        <is>
          <t>20260323</t>
        </is>
      </c>
      <c r="E759" s="16" t="n">
        <v>12050414</v>
      </c>
      <c r="F759" s="16" t="n">
        <v>6658852</v>
      </c>
      <c r="G759" s="16" t="n">
        <v>5391558</v>
      </c>
      <c r="H759" s="6" t="inlineStr">
        <is>
          <t>천원</t>
        </is>
      </c>
      <c r="I759" s="17" t="n">
        <v>-16.3</v>
      </c>
      <c r="J759" s="18" t="inlineStr"/>
      <c r="K759" s="19" t="inlineStr"/>
      <c r="L759" s="18" t="inlineStr"/>
      <c r="M759" s="19" t="n">
        <v>6438018</v>
      </c>
      <c r="N759" s="18" t="inlineStr"/>
      <c r="O759" s="19" t="inlineStr"/>
      <c r="P759" s="18" t="inlineStr"/>
      <c r="Q759" s="19" t="n">
        <v>5391558</v>
      </c>
      <c r="R759" s="18" t="inlineStr"/>
      <c r="S759" s="20" t="inlineStr"/>
      <c r="T759" s="6" t="n">
        <v>26</v>
      </c>
      <c r="U759" s="5" t="inlineStr">
        <is>
          <t>IPS / 한국항공우주산업 / 2025-01-01 | IPS / 한국항공우주산업 / 2024-09-10 | 콘텐츠 / 현대로템 / 2025-08-08</t>
        </is>
      </c>
      <c r="V759" s="21">
        <f>HYPERLINK("https://dart.fss.or.kr/dsaf001/main.do?rcpNo=20260323000081", "공시열람")</f>
        <v/>
      </c>
    </row>
    <row r="760">
      <c r="A760" s="5" t="inlineStr">
        <is>
          <t>현대무벡스</t>
        </is>
      </c>
      <c r="B760" s="6" t="inlineStr">
        <is>
          <t>319400</t>
        </is>
      </c>
      <c r="C760" s="6" t="inlineStr">
        <is>
          <t>2026Q2</t>
        </is>
      </c>
      <c r="D760" s="6" t="inlineStr">
        <is>
          <t>20260814</t>
        </is>
      </c>
      <c r="E760" s="16" t="n">
        <v>548128800</v>
      </c>
      <c r="F760" s="16" t="n">
        <v>166327510</v>
      </c>
      <c r="G760" s="16" t="n">
        <v>381801290</v>
      </c>
      <c r="H760" s="6" t="inlineStr">
        <is>
          <t>천원</t>
        </is>
      </c>
      <c r="I760" s="17" t="n">
        <v>3.9</v>
      </c>
      <c r="J760" s="18" t="n">
        <v>15268789</v>
      </c>
      <c r="K760" s="19" t="n">
        <v>540418228</v>
      </c>
      <c r="L760" s="18" t="n">
        <v>486486816</v>
      </c>
      <c r="M760" s="19" t="n">
        <v>426861169</v>
      </c>
      <c r="N760" s="18" t="n">
        <v>466303912</v>
      </c>
      <c r="O760" s="19" t="n">
        <v>421481842</v>
      </c>
      <c r="P760" s="18" t="n">
        <v>363174184</v>
      </c>
      <c r="Q760" s="19" t="n">
        <v>373176713</v>
      </c>
      <c r="R760" s="18" t="n">
        <v>367420774</v>
      </c>
      <c r="S760" s="20" t="n">
        <v>381801290</v>
      </c>
      <c r="T760" s="6" t="n">
        <v>3</v>
      </c>
      <c r="U760" s="5" t="inlineStr">
        <is>
          <t>물류자동화 / 2026.06.30. 까지 | 승강장 안전문 / 2026.06.30. 까지 | IT서비스 / 2026.06.30. 까지</t>
        </is>
      </c>
      <c r="V760" s="21">
        <f>HYPERLINK("https://dart.fss.or.kr/dsaf001/main.do?rcpNo=20260814003499", "공시열람")</f>
        <v/>
      </c>
    </row>
    <row r="761">
      <c r="A761" s="5" t="inlineStr">
        <is>
          <t>한울반도체</t>
        </is>
      </c>
      <c r="B761" s="6" t="inlineStr">
        <is>
          <t>320000</t>
        </is>
      </c>
      <c r="C761" s="6" t="inlineStr">
        <is>
          <t>2026Q2</t>
        </is>
      </c>
      <c r="D761" s="6" t="inlineStr">
        <is>
          <t>20260814</t>
        </is>
      </c>
      <c r="E761" s="16" t="n">
        <v>9908436</v>
      </c>
      <c r="F761" s="16" t="n">
        <v>4976149</v>
      </c>
      <c r="G761" s="16" t="n">
        <v>4932288</v>
      </c>
      <c r="H761" s="6" t="inlineStr">
        <is>
          <t>천원</t>
        </is>
      </c>
      <c r="I761" s="17" t="n">
        <v>-1.8</v>
      </c>
      <c r="J761" s="18" t="n">
        <v>8322663</v>
      </c>
      <c r="K761" s="19" t="n">
        <v>6124561</v>
      </c>
      <c r="L761" s="18" t="n">
        <v>6804608</v>
      </c>
      <c r="M761" s="19" t="n">
        <v>7629493</v>
      </c>
      <c r="N761" s="18" t="n">
        <v>8734250</v>
      </c>
      <c r="O761" s="19" t="n">
        <v>8959316</v>
      </c>
      <c r="P761" s="18" t="n">
        <v>9579565</v>
      </c>
      <c r="Q761" s="19" t="n">
        <v>6363585</v>
      </c>
      <c r="R761" s="18" t="n">
        <v>5020482</v>
      </c>
      <c r="S761" s="20" t="n">
        <v>4932288</v>
      </c>
      <c r="T761" s="6" t="n">
        <v>3</v>
      </c>
      <c r="U761" s="5" t="inlineStr">
        <is>
          <t>머신비전(주1) / Chip 검사장비 / - | 머신비전(주1) / Display 검사장비 / - | 머신비전(주1) / Film 검사장비 / -</t>
        </is>
      </c>
      <c r="V761" s="21">
        <f>HYPERLINK("https://dart.fss.or.kr/dsaf001/main.do?rcpNo=20260814003668", "공시열람")</f>
        <v/>
      </c>
    </row>
    <row r="762">
      <c r="A762" s="5" t="inlineStr">
        <is>
          <t>프로이천</t>
        </is>
      </c>
      <c r="B762" s="6" t="inlineStr">
        <is>
          <t>321260</t>
        </is>
      </c>
      <c r="C762" s="6" t="inlineStr">
        <is>
          <t>2026Q2</t>
        </is>
      </c>
      <c r="D762" s="6" t="inlineStr">
        <is>
          <t>20260813</t>
        </is>
      </c>
      <c r="E762" s="16" t="n">
        <v>15482</v>
      </c>
      <c r="F762" s="16" t="n">
        <v>15482</v>
      </c>
      <c r="G762" s="16" t="n">
        <v>0</v>
      </c>
      <c r="H762" s="6" t="inlineStr">
        <is>
          <t>백만원</t>
        </is>
      </c>
      <c r="I762" s="17" t="n">
        <v>-100</v>
      </c>
      <c r="J762" s="18" t="n">
        <v>9626</v>
      </c>
      <c r="K762" s="19" t="n">
        <v>4205</v>
      </c>
      <c r="L762" s="18" t="n">
        <v>2500</v>
      </c>
      <c r="M762" s="19" t="n">
        <v>4836</v>
      </c>
      <c r="N762" s="18" t="n">
        <v>2485</v>
      </c>
      <c r="O762" s="19" t="n">
        <v>2781</v>
      </c>
      <c r="P762" s="18" t="n">
        <v>4046</v>
      </c>
      <c r="Q762" s="19" t="n">
        <v>3069</v>
      </c>
      <c r="R762" s="18" t="n">
        <v>5221</v>
      </c>
      <c r="S762" s="20" t="n">
        <v>0</v>
      </c>
      <c r="T762" s="6" t="n">
        <v>2</v>
      </c>
      <c r="U762" s="5" t="inlineStr">
        <is>
          <t>디스플레이 검사장치 / - | 반도체 검사장치 / -</t>
        </is>
      </c>
      <c r="V762" s="21">
        <f>HYPERLINK("https://dart.fss.or.kr/dsaf001/main.do?rcpNo=20260813000508", "공시열람")</f>
        <v/>
      </c>
    </row>
    <row r="763">
      <c r="A763" s="5" t="inlineStr">
        <is>
          <t>센서뷰</t>
        </is>
      </c>
      <c r="B763" s="6" t="inlineStr">
        <is>
          <t>321370</t>
        </is>
      </c>
      <c r="C763" s="6" t="inlineStr">
        <is>
          <t>2026Q2</t>
        </is>
      </c>
      <c r="D763" s="6" t="inlineStr">
        <is>
          <t>20260814</t>
        </is>
      </c>
      <c r="E763" s="16" t="inlineStr"/>
      <c r="F763" s="16" t="inlineStr"/>
      <c r="G763" s="16" t="n">
        <v>22089913</v>
      </c>
      <c r="H763" s="6" t="inlineStr">
        <is>
          <t>천원</t>
        </is>
      </c>
      <c r="I763" s="17" t="n">
        <v>33.9</v>
      </c>
      <c r="J763" s="18" t="inlineStr"/>
      <c r="K763" s="19" t="inlineStr"/>
      <c r="L763" s="18" t="n">
        <v>945562</v>
      </c>
      <c r="M763" s="19" t="n">
        <v>4577353</v>
      </c>
      <c r="N763" s="18" t="n">
        <v>5679754</v>
      </c>
      <c r="O763" s="19" t="n">
        <v>10415701</v>
      </c>
      <c r="P763" s="18" t="n">
        <v>10449728</v>
      </c>
      <c r="Q763" s="19" t="n">
        <v>8177397</v>
      </c>
      <c r="R763" s="18" t="n">
        <v>16496947</v>
      </c>
      <c r="S763" s="20" t="n">
        <v>22089913</v>
      </c>
      <c r="T763" s="6" t="n">
        <v>0</v>
      </c>
      <c r="U763" s="5" t="inlineStr"/>
      <c r="V763" s="21">
        <f>HYPERLINK("https://dart.fss.or.kr/dsaf001/main.do?rcpNo=20260814002382", "공시열람")</f>
        <v/>
      </c>
    </row>
    <row r="764">
      <c r="A764" s="5" t="inlineStr">
        <is>
          <t>티움바이오</t>
        </is>
      </c>
      <c r="B764" s="6" t="inlineStr">
        <is>
          <t>321550</t>
        </is>
      </c>
      <c r="C764" s="6" t="inlineStr">
        <is>
          <t>2026Q2</t>
        </is>
      </c>
      <c r="D764" s="6" t="inlineStr">
        <is>
          <t>20260814</t>
        </is>
      </c>
      <c r="E764" s="16" t="n">
        <v>41513346</v>
      </c>
      <c r="F764" s="16" t="n">
        <v>16193935</v>
      </c>
      <c r="G764" s="16" t="n">
        <v>25319411</v>
      </c>
      <c r="H764" s="6" t="inlineStr">
        <is>
          <t>천원</t>
        </is>
      </c>
      <c r="I764" s="17" t="n">
        <v>3</v>
      </c>
      <c r="J764" s="18" t="n">
        <v>6459279</v>
      </c>
      <c r="K764" s="19" t="n">
        <v>6352419</v>
      </c>
      <c r="L764" s="18" t="n">
        <v>5391920</v>
      </c>
      <c r="M764" s="19" t="n">
        <v>4426646</v>
      </c>
      <c r="N764" s="18" t="n">
        <v>5494042</v>
      </c>
      <c r="O764" s="19" t="n">
        <v>14990431</v>
      </c>
      <c r="P764" s="18" t="n">
        <v>23035137</v>
      </c>
      <c r="Q764" s="19" t="n">
        <v>20577295</v>
      </c>
      <c r="R764" s="18" t="n">
        <v>24583961</v>
      </c>
      <c r="S764" s="20" t="n">
        <v>25319411</v>
      </c>
      <c r="T764" s="6" t="n">
        <v>2</v>
      </c>
      <c r="U764" s="5" t="inlineStr">
        <is>
          <t>위탁개발 및 분석 | 천연화장품 OEM/ODM</t>
        </is>
      </c>
      <c r="V764" s="21">
        <f>HYPERLINK("https://dart.fss.or.kr/dsaf001/main.do?rcpNo=20260814001441", "공시열람")</f>
        <v/>
      </c>
    </row>
    <row r="765">
      <c r="A765" s="5" t="inlineStr">
        <is>
          <t>HD현대에너지솔루션</t>
        </is>
      </c>
      <c r="B765" s="6" t="inlineStr">
        <is>
          <t>322000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14303229</v>
      </c>
      <c r="H765" s="6" t="inlineStr">
        <is>
          <t>천원</t>
        </is>
      </c>
      <c r="I765" s="17" t="n">
        <v>35.8</v>
      </c>
      <c r="J765" s="18" t="n">
        <v>27217550</v>
      </c>
      <c r="K765" s="19" t="n">
        <v>15399084</v>
      </c>
      <c r="L765" s="18" t="n">
        <v>19232675</v>
      </c>
      <c r="M765" s="19" t="n">
        <v>23807433</v>
      </c>
      <c r="N765" s="18" t="n">
        <v>23807433</v>
      </c>
      <c r="O765" s="19" t="n">
        <v>4927681</v>
      </c>
      <c r="P765" s="18" t="n">
        <v>4324569</v>
      </c>
      <c r="Q765" s="19" t="n">
        <v>5379590</v>
      </c>
      <c r="R765" s="18" t="n">
        <v>10529250</v>
      </c>
      <c r="S765" s="20" t="n">
        <v>14303229</v>
      </c>
      <c r="T765" s="6" t="n">
        <v>1</v>
      </c>
      <c r="U765" s="5" t="inlineStr">
        <is>
          <t>모듈설치 공사 / '26.06.30 까지 / -</t>
        </is>
      </c>
      <c r="V765" s="21">
        <f>HYPERLINK("https://dart.fss.or.kr/dsaf001/main.do?rcpNo=20260814002295", "공시열람")</f>
        <v/>
      </c>
    </row>
    <row r="766">
      <c r="A766" s="5" t="inlineStr">
        <is>
          <t>LS티라유텍</t>
        </is>
      </c>
      <c r="B766" s="6" t="inlineStr">
        <is>
          <t>322180</t>
        </is>
      </c>
      <c r="C766" s="6" t="inlineStr">
        <is>
          <t>2026Q2</t>
        </is>
      </c>
      <c r="D766" s="6" t="inlineStr">
        <is>
          <t>20260814</t>
        </is>
      </c>
      <c r="E766" s="16" t="n">
        <v>50590</v>
      </c>
      <c r="F766" s="16" t="n">
        <v>37187</v>
      </c>
      <c r="G766" s="16" t="n">
        <v>13404</v>
      </c>
      <c r="H766" s="6" t="inlineStr">
        <is>
          <t>백만원</t>
        </is>
      </c>
      <c r="I766" s="17" t="n">
        <v>-13.2</v>
      </c>
      <c r="J766" s="18" t="n">
        <v>17017</v>
      </c>
      <c r="K766" s="19" t="n">
        <v>16240</v>
      </c>
      <c r="L766" s="18" t="n">
        <v>11441</v>
      </c>
      <c r="M766" s="19" t="n">
        <v>1098</v>
      </c>
      <c r="N766" s="18" t="n">
        <v>14792</v>
      </c>
      <c r="O766" s="19" t="n">
        <v>581</v>
      </c>
      <c r="P766" s="18" t="n">
        <v>14469</v>
      </c>
      <c r="Q766" s="19" t="n">
        <v>309</v>
      </c>
      <c r="R766" s="18" t="n">
        <v>15445</v>
      </c>
      <c r="S766" s="20" t="n">
        <v>13404</v>
      </c>
      <c r="T766" s="6" t="n">
        <v>5</v>
      </c>
      <c r="U766" s="5" t="inlineStr">
        <is>
          <t>IT서비스 및 SW매출 / - | 파우치형 이차전지 스마트팩토리 구축 / 2024-05- | 물류자동화 공급 / 2025-07-28 / 2026-1</t>
        </is>
      </c>
      <c r="V766" s="21">
        <f>HYPERLINK("https://dart.fss.or.kr/dsaf001/main.do?rcpNo=20260814002493", "공시열람")</f>
        <v/>
      </c>
    </row>
    <row r="767">
      <c r="A767" s="5" t="inlineStr">
        <is>
          <t>제이엘케이</t>
        </is>
      </c>
      <c r="B767" s="6" t="inlineStr">
        <is>
          <t>322510</t>
        </is>
      </c>
      <c r="C767" s="6" t="inlineStr">
        <is>
          <t>2026Q2</t>
        </is>
      </c>
      <c r="D767" s="6" t="inlineStr">
        <is>
          <t>20260814</t>
        </is>
      </c>
      <c r="E767" s="16" t="n">
        <v>1000</v>
      </c>
      <c r="F767" s="16" t="n">
        <v>750</v>
      </c>
      <c r="G767" s="16" t="n">
        <v>250</v>
      </c>
      <c r="H767" s="6" t="inlineStr">
        <is>
          <t>백만원</t>
        </is>
      </c>
      <c r="I767" s="17" t="n">
        <v>0</v>
      </c>
      <c r="J767" s="18" t="n">
        <v>1360</v>
      </c>
      <c r="K767" s="19" t="n">
        <v>1360</v>
      </c>
      <c r="L767" s="18" t="n">
        <v>1360</v>
      </c>
      <c r="M767" s="19" t="n">
        <v>1360</v>
      </c>
      <c r="N767" s="18" t="n">
        <v>700</v>
      </c>
      <c r="O767" s="19" t="n">
        <v>500</v>
      </c>
      <c r="P767" s="18" t="n">
        <v>500</v>
      </c>
      <c r="Q767" s="19" t="n">
        <v>250</v>
      </c>
      <c r="R767" s="18" t="n">
        <v>250</v>
      </c>
      <c r="S767" s="20" t="n">
        <v>250</v>
      </c>
      <c r="T767" s="6" t="n">
        <v>1</v>
      </c>
      <c r="U767" s="5" t="inlineStr">
        <is>
          <t>JVIEWER-X(AI 기반 흉부 X-ray 폐영상 분</t>
        </is>
      </c>
      <c r="V767" s="21">
        <f>HYPERLINK("https://dart.fss.or.kr/dsaf001/main.do?rcpNo=20260814002418", "공시열람")</f>
        <v/>
      </c>
    </row>
    <row r="768">
      <c r="A768" s="5" t="inlineStr">
        <is>
          <t>태성</t>
        </is>
      </c>
      <c r="B768" s="6" t="inlineStr">
        <is>
          <t>323280</t>
        </is>
      </c>
      <c r="C768" s="6" t="inlineStr">
        <is>
          <t>2026Q2</t>
        </is>
      </c>
      <c r="D768" s="6" t="inlineStr">
        <is>
          <t>20260812</t>
        </is>
      </c>
      <c r="E768" s="16" t="n">
        <v>68975</v>
      </c>
      <c r="F768" s="16" t="n">
        <v>23382</v>
      </c>
      <c r="G768" s="16" t="n">
        <v>45593</v>
      </c>
      <c r="H768" s="6" t="inlineStr">
        <is>
          <t>백만원</t>
        </is>
      </c>
      <c r="I768" s="17" t="n">
        <v>43</v>
      </c>
      <c r="J768" s="18" t="n">
        <v>22375</v>
      </c>
      <c r="K768" s="19" t="n">
        <v>16537</v>
      </c>
      <c r="L768" s="18" t="n">
        <v>8512</v>
      </c>
      <c r="M768" s="19" t="n">
        <v>7468</v>
      </c>
      <c r="N768" s="18" t="n">
        <v>7737</v>
      </c>
      <c r="O768" s="19" t="n">
        <v>7076</v>
      </c>
      <c r="P768" s="18" t="n">
        <v>13999</v>
      </c>
      <c r="Q768" s="19" t="n">
        <v>38453</v>
      </c>
      <c r="R768" s="18" t="n">
        <v>31891</v>
      </c>
      <c r="S768" s="20" t="n">
        <v>45593</v>
      </c>
      <c r="T768" s="6" t="n">
        <v>9</v>
      </c>
      <c r="U768" s="5" t="inlineStr">
        <is>
          <t>제품 / - | 제품 / - | 제품 / -</t>
        </is>
      </c>
      <c r="V768" s="21">
        <f>HYPERLINK("https://dart.fss.or.kr/dsaf001/main.do?rcpNo=20260812000203", "공시열람")</f>
        <v/>
      </c>
    </row>
    <row r="769">
      <c r="A769" s="5" t="inlineStr">
        <is>
          <t>다원넥스뷰</t>
        </is>
      </c>
      <c r="B769" s="6" t="inlineStr">
        <is>
          <t>323350</t>
        </is>
      </c>
      <c r="C769" s="6" t="inlineStr">
        <is>
          <t>2023Q4</t>
        </is>
      </c>
      <c r="D769" s="6" t="inlineStr">
        <is>
          <t>20240314</t>
        </is>
      </c>
      <c r="E769" s="16" t="n">
        <v>20729</v>
      </c>
      <c r="F769" s="16" t="n">
        <v>6556</v>
      </c>
      <c r="G769" s="16" t="n">
        <v>14173</v>
      </c>
      <c r="H769" s="6" t="inlineStr"/>
      <c r="I769" s="17" t="inlineStr"/>
      <c r="J769" s="18" t="inlineStr"/>
      <c r="K769" s="19" t="inlineStr"/>
      <c r="L769" s="18" t="inlineStr"/>
      <c r="M769" s="19" t="inlineStr"/>
      <c r="N769" s="18" t="inlineStr"/>
      <c r="O769" s="19" t="inlineStr"/>
      <c r="P769" s="18" t="inlineStr"/>
      <c r="Q769" s="19" t="inlineStr"/>
      <c r="R769" s="18" t="inlineStr"/>
      <c r="S769" s="20" t="inlineStr"/>
      <c r="T769" s="6" t="n">
        <v>1</v>
      </c>
      <c r="U769" s="5" t="inlineStr">
        <is>
          <t>LSMB / 23.01.01 ~ 23.12.31 / 2</t>
        </is>
      </c>
      <c r="V769" s="21">
        <f>HYPERLINK("https://dart.fss.or.kr/dsaf001/main.do?rcpNo=20240314000984", "공시열람")</f>
        <v/>
      </c>
    </row>
    <row r="770">
      <c r="A770" s="5" t="inlineStr">
        <is>
          <t>루닛</t>
        </is>
      </c>
      <c r="B770" s="6" t="inlineStr">
        <is>
          <t>328130</t>
        </is>
      </c>
      <c r="C770" s="6" t="inlineStr">
        <is>
          <t>2026Q2</t>
        </is>
      </c>
      <c r="D770" s="6" t="inlineStr">
        <is>
          <t>20260811</t>
        </is>
      </c>
      <c r="E770" s="16" t="inlineStr"/>
      <c r="F770" s="16" t="inlineStr"/>
      <c r="G770" s="16" t="n">
        <v>20000000</v>
      </c>
      <c r="H770" s="6" t="inlineStr">
        <is>
          <t>USD</t>
        </is>
      </c>
      <c r="I770" s="17" t="n">
        <v>1846.5</v>
      </c>
      <c r="J770" s="18" t="n">
        <v>75903</v>
      </c>
      <c r="K770" s="19" t="n">
        <v>30473</v>
      </c>
      <c r="L770" s="18" t="n">
        <v>70894</v>
      </c>
      <c r="M770" s="19" t="n">
        <v>20650000</v>
      </c>
      <c r="N770" s="18" t="n">
        <v>870689</v>
      </c>
      <c r="O770" s="19" t="n">
        <v>96424</v>
      </c>
      <c r="P770" s="18" t="n">
        <v>23000000</v>
      </c>
      <c r="Q770" s="19" t="n">
        <v>490463</v>
      </c>
      <c r="R770" s="18" t="n">
        <v>1027482</v>
      </c>
      <c r="S770" s="20" t="n">
        <v>20000000</v>
      </c>
      <c r="T770" s="6" t="n">
        <v>1</v>
      </c>
      <c r="U770" s="5" t="inlineStr">
        <is>
          <t>통화선도 / USD</t>
        </is>
      </c>
      <c r="V770" s="21">
        <f>HYPERLINK("https://dart.fss.or.kr/dsaf001/main.do?rcpNo=20260811000657", "공시열람")</f>
        <v/>
      </c>
    </row>
    <row r="771">
      <c r="A771" s="5" t="inlineStr">
        <is>
          <t>HD현대중공업</t>
        </is>
      </c>
      <c r="B771" s="6" t="inlineStr">
        <is>
          <t>329180</t>
        </is>
      </c>
      <c r="C771" s="6" t="inlineStr">
        <is>
          <t>2026Q2</t>
        </is>
      </c>
      <c r="D771" s="6" t="inlineStr">
        <is>
          <t>20260814</t>
        </is>
      </c>
      <c r="E771" s="16" t="inlineStr"/>
      <c r="F771" s="16" t="inlineStr"/>
      <c r="G771" s="16" t="n">
        <v>69514154</v>
      </c>
      <c r="H771" s="6" t="inlineStr">
        <is>
          <t>백만원</t>
        </is>
      </c>
      <c r="I771" s="17" t="n">
        <v>11.8</v>
      </c>
      <c r="J771" s="18" t="n">
        <v>45978622</v>
      </c>
      <c r="K771" s="19" t="n">
        <v>46328902</v>
      </c>
      <c r="L771" s="18" t="n">
        <v>43957480</v>
      </c>
      <c r="M771" s="19" t="n">
        <v>46931768</v>
      </c>
      <c r="N771" s="18" t="n">
        <v>49633635</v>
      </c>
      <c r="O771" s="19" t="n">
        <v>46344247</v>
      </c>
      <c r="P771" s="18" t="n">
        <v>45018051</v>
      </c>
      <c r="Q771" s="19" t="n">
        <v>56384472</v>
      </c>
      <c r="R771" s="18" t="n">
        <v>62170777</v>
      </c>
      <c r="S771" s="20" t="n">
        <v>69514154</v>
      </c>
      <c r="T771" s="6" t="n">
        <v>3</v>
      </c>
      <c r="U771" s="5" t="inlineStr">
        <is>
          <t>조 선 / '26.06.30일까지 / - | 기 타 / '26.06.30일까지 / - | 해양플랜트 / '26.06.30일까지 / -</t>
        </is>
      </c>
      <c r="V771" s="21">
        <f>HYPERLINK("https://dart.fss.or.kr/dsaf001/main.do?rcpNo=20260814002879", "공시열람")</f>
        <v/>
      </c>
    </row>
    <row r="772">
      <c r="A772" s="5" t="inlineStr">
        <is>
          <t>아우토크립트</t>
        </is>
      </c>
      <c r="B772" s="6" t="inlineStr">
        <is>
          <t>331740</t>
        </is>
      </c>
      <c r="C772" s="6" t="inlineStr">
        <is>
          <t>2026Q2</t>
        </is>
      </c>
      <c r="D772" s="6" t="inlineStr">
        <is>
          <t>20260814</t>
        </is>
      </c>
      <c r="E772" s="16" t="n">
        <v>17521589</v>
      </c>
      <c r="F772" s="16" t="inlineStr"/>
      <c r="G772" s="16" t="n">
        <v>8919273</v>
      </c>
      <c r="H772" s="6" t="inlineStr">
        <is>
          <t>천원</t>
        </is>
      </c>
      <c r="I772" s="17" t="n">
        <v>-0.6</v>
      </c>
      <c r="J772" s="18" t="inlineStr"/>
      <c r="K772" s="19" t="inlineStr"/>
      <c r="L772" s="18" t="inlineStr"/>
      <c r="M772" s="19" t="inlineStr"/>
      <c r="N772" s="18" t="inlineStr"/>
      <c r="O772" s="19" t="n">
        <v>8837124</v>
      </c>
      <c r="P772" s="18" t="inlineStr"/>
      <c r="Q772" s="19" t="n">
        <v>8853891</v>
      </c>
      <c r="R772" s="18" t="n">
        <v>8969064</v>
      </c>
      <c r="S772" s="20" t="n">
        <v>8919273</v>
      </c>
      <c r="T772" s="6" t="n">
        <v>16</v>
      </c>
      <c r="U772" s="5" t="inlineStr">
        <is>
          <t xml:space="preserve">기타 | CryptoDev(IVS 사업) / 차량 제어기 보안  | CryptoComm (V2X 사업) / 차량통신 보안 </t>
        </is>
      </c>
      <c r="V772" s="21">
        <f>HYPERLINK("https://dart.fss.or.kr/dsaf001/main.do?rcpNo=20260814003908", "공시열람")</f>
        <v/>
      </c>
    </row>
    <row r="773">
      <c r="A773" s="5" t="inlineStr">
        <is>
          <t>누보</t>
        </is>
      </c>
      <c r="B773" s="6" t="inlineStr">
        <is>
          <t>332290</t>
        </is>
      </c>
      <c r="C773" s="6" t="inlineStr">
        <is>
          <t>2026Q2</t>
        </is>
      </c>
      <c r="D773" s="6" t="inlineStr">
        <is>
          <t>20260929</t>
        </is>
      </c>
      <c r="E773" s="16" t="n">
        <v>8267</v>
      </c>
      <c r="F773" s="16" t="n">
        <v>8153</v>
      </c>
      <c r="G773" s="16" t="n">
        <v>114</v>
      </c>
      <c r="H773" s="6" t="inlineStr">
        <is>
          <t>천KG,천USD</t>
        </is>
      </c>
      <c r="I773" s="17" t="n">
        <v>850</v>
      </c>
      <c r="J773" s="18" t="n">
        <v>794</v>
      </c>
      <c r="K773" s="19" t="n">
        <v>395</v>
      </c>
      <c r="L773" s="18" t="n">
        <v>22217</v>
      </c>
      <c r="M773" s="19" t="n">
        <v>6661</v>
      </c>
      <c r="N773" s="18" t="n">
        <v>2320</v>
      </c>
      <c r="O773" s="19" t="n">
        <v>4790</v>
      </c>
      <c r="P773" s="18" t="n">
        <v>5642</v>
      </c>
      <c r="Q773" s="19" t="n">
        <v>12956</v>
      </c>
      <c r="R773" s="18" t="n">
        <v>12</v>
      </c>
      <c r="S773" s="20" t="n">
        <v>114</v>
      </c>
      <c r="T773" s="6" t="n">
        <v>3</v>
      </c>
      <c r="U773" s="5" t="inlineStr">
        <is>
          <t>비료류 / 2025년~ / 2026년내 | 녹차류 / 2025년~ / 2026년내 | 기타 / 2025년~ / 2026년내</t>
        </is>
      </c>
      <c r="V773" s="21">
        <f>HYPERLINK("https://dart.fss.or.kr/dsaf001/main.do?rcpNo=20260929000100", "공시열람")</f>
        <v/>
      </c>
    </row>
    <row r="774">
      <c r="A774" s="5" t="inlineStr">
        <is>
          <t>이노테나</t>
        </is>
      </c>
      <c r="B774" s="6" t="inlineStr">
        <is>
          <t>333050</t>
        </is>
      </c>
      <c r="C774" s="6" t="inlineStr">
        <is>
          <t>2026Q2</t>
        </is>
      </c>
      <c r="D774" s="6" t="inlineStr">
        <is>
          <t>20260814</t>
        </is>
      </c>
      <c r="E774" s="16" t="n">
        <v>11495022</v>
      </c>
      <c r="F774" s="16" t="inlineStr"/>
      <c r="G774" s="16" t="n">
        <v>17339878</v>
      </c>
      <c r="H774" s="6" t="inlineStr">
        <is>
          <t>천원</t>
        </is>
      </c>
      <c r="I774" s="17" t="n">
        <v>-0.6</v>
      </c>
      <c r="J774" s="18" t="n">
        <v>25008165</v>
      </c>
      <c r="K774" s="19" t="n">
        <v>26825963</v>
      </c>
      <c r="L774" s="18" t="n">
        <v>16915661</v>
      </c>
      <c r="M774" s="19" t="n">
        <v>20391974</v>
      </c>
      <c r="N774" s="18" t="n">
        <v>19518222</v>
      </c>
      <c r="O774" s="19" t="n">
        <v>20026973</v>
      </c>
      <c r="P774" s="18" t="n">
        <v>16303465</v>
      </c>
      <c r="Q774" s="19" t="n">
        <v>18248026</v>
      </c>
      <c r="R774" s="18" t="n">
        <v>17450213</v>
      </c>
      <c r="S774" s="20" t="n">
        <v>17339878</v>
      </c>
      <c r="T774" s="6" t="n">
        <v>3</v>
      </c>
      <c r="U774" s="5" t="inlineStr">
        <is>
          <t>연계솔루션사업 | 클라우드솔루션사업 (APM솔루션 포함) | 보안솔루션사업</t>
        </is>
      </c>
      <c r="V774" s="21">
        <f>HYPERLINK("https://dart.fss.or.kr/dsaf001/main.do?rcpNo=20260814001122", "공시열람")</f>
        <v/>
      </c>
    </row>
    <row r="775">
      <c r="A775" s="5" t="inlineStr">
        <is>
          <t>일승</t>
        </is>
      </c>
      <c r="B775" s="6" t="inlineStr">
        <is>
          <t>333430</t>
        </is>
      </c>
      <c r="C775" s="6" t="inlineStr">
        <is>
          <t>2026Q2</t>
        </is>
      </c>
      <c r="D775" s="6" t="inlineStr">
        <is>
          <t>20260814</t>
        </is>
      </c>
      <c r="E775" s="16" t="n">
        <v>59575</v>
      </c>
      <c r="F775" s="16" t="n">
        <v>28308</v>
      </c>
      <c r="G775" s="16" t="n">
        <v>31267</v>
      </c>
      <c r="H775" s="6" t="inlineStr">
        <is>
          <t>백만원</t>
        </is>
      </c>
      <c r="I775" s="17" t="n">
        <v>10.2</v>
      </c>
      <c r="J775" s="18" t="n">
        <v>24571</v>
      </c>
      <c r="K775" s="19" t="n">
        <v>22487</v>
      </c>
      <c r="L775" s="18" t="n">
        <v>23948</v>
      </c>
      <c r="M775" s="19" t="n">
        <v>20527</v>
      </c>
      <c r="N775" s="18" t="n">
        <v>22835</v>
      </c>
      <c r="O775" s="19" t="n">
        <v>20899</v>
      </c>
      <c r="P775" s="18" t="n">
        <v>27380</v>
      </c>
      <c r="Q775" s="19" t="n">
        <v>27136</v>
      </c>
      <c r="R775" s="18" t="n">
        <v>28376</v>
      </c>
      <c r="S775" s="20" t="n">
        <v>31267</v>
      </c>
      <c r="T775" s="6" t="n">
        <v>1</v>
      </c>
      <c r="U775" s="5" t="inlineStr"/>
      <c r="V775" s="21">
        <f>HYPERLINK("https://dart.fss.or.kr/dsaf001/main.do?rcpNo=20260814000008", "공시열람")</f>
        <v/>
      </c>
    </row>
    <row r="776">
      <c r="A776" s="5" t="inlineStr">
        <is>
          <t>엔시스</t>
        </is>
      </c>
      <c r="B776" s="6" t="inlineStr">
        <is>
          <t>333620</t>
        </is>
      </c>
      <c r="C776" s="6" t="inlineStr">
        <is>
          <t>2026Q2</t>
        </is>
      </c>
      <c r="D776" s="6" t="inlineStr">
        <is>
          <t>20260814</t>
        </is>
      </c>
      <c r="E776" s="16" t="n">
        <v>45384</v>
      </c>
      <c r="F776" s="16" t="n">
        <v>26287</v>
      </c>
      <c r="G776" s="16" t="n">
        <v>61834</v>
      </c>
      <c r="H776" s="6" t="inlineStr">
        <is>
          <t>백만원</t>
        </is>
      </c>
      <c r="I776" s="17" t="n">
        <v>-8.800000000000001</v>
      </c>
      <c r="J776" s="18" t="n">
        <v>80195</v>
      </c>
      <c r="K776" s="19" t="n">
        <v>72779</v>
      </c>
      <c r="L776" s="18" t="n">
        <v>66953</v>
      </c>
      <c r="M776" s="19" t="n">
        <v>60589</v>
      </c>
      <c r="N776" s="18" t="n">
        <v>54683</v>
      </c>
      <c r="O776" s="19" t="n">
        <v>50059</v>
      </c>
      <c r="P776" s="18" t="n">
        <v>47821</v>
      </c>
      <c r="Q776" s="19" t="n">
        <v>53212</v>
      </c>
      <c r="R776" s="18" t="n">
        <v>67794</v>
      </c>
      <c r="S776" s="20" t="n">
        <v>61834</v>
      </c>
      <c r="T776" s="6" t="n">
        <v>1</v>
      </c>
      <c r="U776" s="5" t="inlineStr">
        <is>
          <t>2차전지 검사장비</t>
        </is>
      </c>
      <c r="V776" s="21">
        <f>HYPERLINK("https://dart.fss.or.kr/dsaf001/main.do?rcpNo=20260814000383", "공시열람")</f>
        <v/>
      </c>
    </row>
    <row r="777">
      <c r="A777" s="5" t="inlineStr">
        <is>
          <t>프레스티지바이오로직스</t>
        </is>
      </c>
      <c r="B777" s="6" t="inlineStr">
        <is>
          <t>334970</t>
        </is>
      </c>
      <c r="C777" s="6" t="inlineStr">
        <is>
          <t>2026Q2</t>
        </is>
      </c>
      <c r="D777" s="6" t="inlineStr">
        <is>
          <t>20260928</t>
        </is>
      </c>
      <c r="E777" s="16" t="n">
        <v>75363</v>
      </c>
      <c r="F777" s="16" t="n">
        <v>14890</v>
      </c>
      <c r="G777" s="16" t="n">
        <v>60473</v>
      </c>
      <c r="H777" s="6" t="inlineStr">
        <is>
          <t>천$,백만원</t>
        </is>
      </c>
      <c r="I777" s="17" t="n">
        <v>21.3</v>
      </c>
      <c r="J777" s="18" t="n">
        <v>11000</v>
      </c>
      <c r="K777" s="19" t="n">
        <v>88863</v>
      </c>
      <c r="L777" s="18" t="n">
        <v>11000</v>
      </c>
      <c r="M777" s="19" t="n">
        <v>19071047</v>
      </c>
      <c r="N777" s="18" t="n">
        <v>19320937</v>
      </c>
      <c r="O777" s="19" t="n">
        <v>21282648</v>
      </c>
      <c r="P777" s="18" t="n">
        <v>15074696</v>
      </c>
      <c r="Q777" s="19" t="n">
        <v>48008</v>
      </c>
      <c r="R777" s="18" t="n">
        <v>49863</v>
      </c>
      <c r="S777" s="20" t="n">
        <v>60473</v>
      </c>
      <c r="T777" s="6" t="n">
        <v>2</v>
      </c>
      <c r="U777" s="5" t="inlineStr">
        <is>
          <t>CDMO(CMO, CDO, QC분석서비스 등) / 바이 | CDMO(CMO, CDO, QC분석서비스 등) / 바이</t>
        </is>
      </c>
      <c r="V777" s="21">
        <f>HYPERLINK("https://dart.fss.or.kr/dsaf001/main.do?rcpNo=20260928000204", "공시열람")</f>
        <v/>
      </c>
    </row>
    <row r="778">
      <c r="A778" s="5" t="inlineStr">
        <is>
          <t>웨이버스</t>
        </is>
      </c>
      <c r="B778" s="6" t="inlineStr">
        <is>
          <t>336060</t>
        </is>
      </c>
      <c r="C778" s="6" t="inlineStr">
        <is>
          <t>2026Q2</t>
        </is>
      </c>
      <c r="D778" s="6" t="inlineStr">
        <is>
          <t>20260814</t>
        </is>
      </c>
      <c r="E778" s="16" t="n">
        <v>53408129</v>
      </c>
      <c r="F778" s="16" t="inlineStr"/>
      <c r="G778" s="16" t="n">
        <v>35117803</v>
      </c>
      <c r="H778" s="6" t="inlineStr">
        <is>
          <t>천원</t>
        </is>
      </c>
      <c r="I778" s="17" t="n">
        <v>36.1</v>
      </c>
      <c r="J778" s="18" t="n">
        <v>30551891</v>
      </c>
      <c r="K778" s="19" t="n">
        <v>39835879</v>
      </c>
      <c r="L778" s="18" t="n">
        <v>32261188</v>
      </c>
      <c r="M778" s="19" t="n">
        <v>31857383</v>
      </c>
      <c r="N778" s="18" t="n">
        <v>31807449</v>
      </c>
      <c r="O778" s="19" t="n">
        <v>33122474</v>
      </c>
      <c r="P778" s="18" t="n">
        <v>24962084</v>
      </c>
      <c r="Q778" s="19" t="n">
        <v>16944148</v>
      </c>
      <c r="R778" s="18" t="n">
        <v>25797203</v>
      </c>
      <c r="S778" s="20" t="n">
        <v>35117803</v>
      </c>
      <c r="T778" s="6" t="n">
        <v>9</v>
      </c>
      <c r="U778" s="5" t="inlineStr">
        <is>
          <t>공공기관 / 공간정보 SM / 2026-06-01 | 공공기관 / 공간정보 SM / 2026-01-01 | 공공기관 / 공간정보 SI / 2023-11-30</t>
        </is>
      </c>
      <c r="V778" s="21">
        <f>HYPERLINK("https://dart.fss.or.kr/dsaf001/main.do?rcpNo=20260814001981", "공시열람")</f>
        <v/>
      </c>
    </row>
    <row r="779">
      <c r="A779" s="5" t="inlineStr">
        <is>
          <t>뷰노</t>
        </is>
      </c>
      <c r="B779" s="6" t="inlineStr">
        <is>
          <t>338220</t>
        </is>
      </c>
      <c r="C779" s="6" t="inlineStr">
        <is>
          <t>2026Q2</t>
        </is>
      </c>
      <c r="D779" s="6" t="inlineStr">
        <is>
          <t>20260814</t>
        </is>
      </c>
      <c r="E779" s="16" t="n">
        <v>507</v>
      </c>
      <c r="F779" s="16" t="n">
        <v>487</v>
      </c>
      <c r="G779" s="16" t="n">
        <v>20</v>
      </c>
      <c r="H779" s="6" t="inlineStr">
        <is>
          <t>백만원</t>
        </is>
      </c>
      <c r="I779" s="17" t="n">
        <v>0</v>
      </c>
      <c r="J779" s="18" t="n">
        <v>1021</v>
      </c>
      <c r="K779" s="19" t="n">
        <v>1010</v>
      </c>
      <c r="L779" s="18" t="n">
        <v>962</v>
      </c>
      <c r="M779" s="19" t="n">
        <v>694</v>
      </c>
      <c r="N779" s="18" t="n">
        <v>615</v>
      </c>
      <c r="O779" s="19" t="n">
        <v>345</v>
      </c>
      <c r="P779" s="18" t="n">
        <v>40</v>
      </c>
      <c r="Q779" s="19" t="n">
        <v>40</v>
      </c>
      <c r="R779" s="18" t="n">
        <v>20</v>
      </c>
      <c r="S779" s="20" t="n">
        <v>20</v>
      </c>
      <c r="T779" s="6" t="n">
        <v>1</v>
      </c>
      <c r="U779" s="5" t="inlineStr">
        <is>
          <t>인공지능기반 희귀질환 스크리닝 솔루션 / 2021-11</t>
        </is>
      </c>
      <c r="V779" s="21">
        <f>HYPERLINK("https://dart.fss.or.kr/dsaf001/main.do?rcpNo=20260814002777", "공시열람")</f>
        <v/>
      </c>
    </row>
    <row r="780">
      <c r="A780" s="5" t="inlineStr">
        <is>
          <t>티앤엘</t>
        </is>
      </c>
      <c r="B780" s="6" t="inlineStr">
        <is>
          <t>340570</t>
        </is>
      </c>
      <c r="C780" s="6" t="inlineStr">
        <is>
          <t>2025Q1</t>
        </is>
      </c>
      <c r="D780" s="6" t="inlineStr">
        <is>
          <t>20250514</t>
        </is>
      </c>
      <c r="E780" s="16" t="n">
        <v>7679525</v>
      </c>
      <c r="F780" s="16" t="inlineStr"/>
      <c r="G780" s="16" t="n">
        <v>7679525</v>
      </c>
      <c r="H780" s="6" t="inlineStr">
        <is>
          <t>천원</t>
        </is>
      </c>
      <c r="I780" s="17" t="n">
        <v>-27.2</v>
      </c>
      <c r="J780" s="18" t="n">
        <v>41196255</v>
      </c>
      <c r="K780" s="19" t="n">
        <v>40239752</v>
      </c>
      <c r="L780" s="18" t="n">
        <v>35932640</v>
      </c>
      <c r="M780" s="19" t="n">
        <v>10545983</v>
      </c>
      <c r="N780" s="18" t="n">
        <v>7679525</v>
      </c>
      <c r="O780" s="19" t="inlineStr"/>
      <c r="P780" s="18" t="inlineStr"/>
      <c r="Q780" s="19" t="inlineStr"/>
      <c r="R780" s="18" t="inlineStr"/>
      <c r="S780" s="20" t="inlineStr"/>
      <c r="T780" s="6" t="n">
        <v>6</v>
      </c>
      <c r="U780" s="5" t="inlineStr">
        <is>
          <t>창상피복재 | 창상피복재 | 창상피복재</t>
        </is>
      </c>
      <c r="V780" s="21">
        <f>HYPERLINK("https://dart.fss.or.kr/dsaf001/main.do?rcpNo=20250514001008", "공시열람")</f>
        <v/>
      </c>
    </row>
    <row r="781">
      <c r="A781" s="5" t="inlineStr">
        <is>
          <t>시선AI</t>
        </is>
      </c>
      <c r="B781" s="6" t="inlineStr">
        <is>
          <t>340810</t>
        </is>
      </c>
      <c r="C781" s="6" t="inlineStr">
        <is>
          <t>2026Q2</t>
        </is>
      </c>
      <c r="D781" s="6" t="inlineStr">
        <is>
          <t>20260814</t>
        </is>
      </c>
      <c r="E781" s="16" t="n">
        <v>34780</v>
      </c>
      <c r="F781" s="16" t="n">
        <v>22514</v>
      </c>
      <c r="G781" s="16" t="n">
        <v>12266</v>
      </c>
      <c r="H781" s="6" t="inlineStr">
        <is>
          <t>백만원</t>
        </is>
      </c>
      <c r="I781" s="17" t="n">
        <v>9.4</v>
      </c>
      <c r="J781" s="18" t="n">
        <v>9313</v>
      </c>
      <c r="K781" s="19" t="n">
        <v>12286</v>
      </c>
      <c r="L781" s="18" t="n">
        <v>8608</v>
      </c>
      <c r="M781" s="19" t="n">
        <v>6071</v>
      </c>
      <c r="N781" s="18" t="n">
        <v>5469</v>
      </c>
      <c r="O781" s="19" t="n">
        <v>5180</v>
      </c>
      <c r="P781" s="18" t="n">
        <v>6798</v>
      </c>
      <c r="Q781" s="19" t="n">
        <v>12185</v>
      </c>
      <c r="R781" s="18" t="n">
        <v>11207</v>
      </c>
      <c r="S781" s="20" t="n">
        <v>12266</v>
      </c>
      <c r="T781" s="6" t="n">
        <v>12</v>
      </c>
      <c r="U781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1" s="21">
        <f>HYPERLINK("https://dart.fss.or.kr/dsaf001/main.do?rcpNo=20260814001583", "공시열람")</f>
        <v/>
      </c>
    </row>
    <row r="782">
      <c r="A782" s="5" t="inlineStr">
        <is>
          <t>케이씨씨글라스</t>
        </is>
      </c>
      <c r="B782" s="6" t="inlineStr">
        <is>
          <t>344820</t>
        </is>
      </c>
      <c r="C782" s="6" t="inlineStr">
        <is>
          <t>2026Q2</t>
        </is>
      </c>
      <c r="D782" s="6" t="inlineStr">
        <is>
          <t>20260820</t>
        </is>
      </c>
      <c r="E782" s="16" t="n">
        <v>175723</v>
      </c>
      <c r="F782" s="16" t="n">
        <v>63051</v>
      </c>
      <c r="G782" s="16" t="n">
        <v>112672</v>
      </c>
      <c r="H782" s="6" t="inlineStr">
        <is>
          <t>백만원</t>
        </is>
      </c>
      <c r="I782" s="17" t="n">
        <v>2.3</v>
      </c>
      <c r="J782" s="18" t="n">
        <v>127373</v>
      </c>
      <c r="K782" s="19" t="n">
        <v>96723</v>
      </c>
      <c r="L782" s="18" t="n">
        <v>79466</v>
      </c>
      <c r="M782" s="19" t="n">
        <v>93562</v>
      </c>
      <c r="N782" s="18" t="n">
        <v>49344</v>
      </c>
      <c r="O782" s="19" t="n">
        <v>75007</v>
      </c>
      <c r="P782" s="18" t="n">
        <v>87069</v>
      </c>
      <c r="Q782" s="19" t="n">
        <v>100686</v>
      </c>
      <c r="R782" s="18" t="n">
        <v>110139</v>
      </c>
      <c r="S782" s="20" t="n">
        <v>112672</v>
      </c>
      <c r="T782" s="6" t="n">
        <v>3</v>
      </c>
      <c r="U782" s="5" t="inlineStr">
        <is>
          <t>유리 / ~ 2026.06.30 / - | 인테리어 및 유통 / ~ 2026.06.30 / - | 파일사업 / ~ 2026.06.30 / -</t>
        </is>
      </c>
      <c r="V782" s="21">
        <f>HYPERLINK("https://dart.fss.or.kr/dsaf001/main.do?rcpNo=20260820000314", "공시열람")</f>
        <v/>
      </c>
    </row>
    <row r="783">
      <c r="A783" s="5" t="inlineStr">
        <is>
          <t>타이드</t>
        </is>
      </c>
      <c r="B783" s="6" t="inlineStr">
        <is>
          <t>346010</t>
        </is>
      </c>
      <c r="C783" s="6" t="inlineStr">
        <is>
          <t>2025Q4</t>
        </is>
      </c>
      <c r="D783" s="6" t="inlineStr">
        <is>
          <t>20260407</t>
        </is>
      </c>
      <c r="E783" s="16" t="n">
        <v>674925</v>
      </c>
      <c r="F783" s="16" t="inlineStr"/>
      <c r="G783" s="16" t="n">
        <v>674925</v>
      </c>
      <c r="H783" s="6" t="inlineStr">
        <is>
          <t>천원</t>
        </is>
      </c>
      <c r="I783" s="17" t="n">
        <v>-60.9</v>
      </c>
      <c r="J783" s="18" t="inlineStr"/>
      <c r="K783" s="19" t="inlineStr"/>
      <c r="L783" s="18" t="inlineStr"/>
      <c r="M783" s="19" t="n">
        <v>1728000</v>
      </c>
      <c r="N783" s="18" t="inlineStr"/>
      <c r="O783" s="19" t="inlineStr"/>
      <c r="P783" s="18" t="inlineStr"/>
      <c r="Q783" s="19" t="n">
        <v>674925</v>
      </c>
      <c r="R783" s="18" t="inlineStr"/>
      <c r="S783" s="20" t="inlineStr"/>
      <c r="T783" s="6" t="n">
        <v>1</v>
      </c>
      <c r="U783" s="5" t="inlineStr">
        <is>
          <t>PLC</t>
        </is>
      </c>
      <c r="V783" s="21">
        <f>HYPERLINK("https://dart.fss.or.kr/dsaf001/main.do?rcpNo=20260407000793", "공시열람")</f>
        <v/>
      </c>
    </row>
    <row r="784">
      <c r="A784" s="5" t="inlineStr">
        <is>
          <t>센코</t>
        </is>
      </c>
      <c r="B784" s="6" t="inlineStr">
        <is>
          <t>347000</t>
        </is>
      </c>
      <c r="C784" s="6" t="inlineStr">
        <is>
          <t>2026Q2</t>
        </is>
      </c>
      <c r="D784" s="6" t="inlineStr">
        <is>
          <t>20260814</t>
        </is>
      </c>
      <c r="E784" s="16" t="n">
        <v>6793472855</v>
      </c>
      <c r="F784" s="16" t="n">
        <v>4743282395</v>
      </c>
      <c r="G784" s="16" t="n">
        <v>2050190460</v>
      </c>
      <c r="H784" s="6" t="inlineStr">
        <is>
          <t>원</t>
        </is>
      </c>
      <c r="I784" s="17" t="n">
        <v>45.5</v>
      </c>
      <c r="J784" s="18" t="n">
        <v>2108055554</v>
      </c>
      <c r="K784" s="19" t="n">
        <v>2108055554</v>
      </c>
      <c r="L784" s="18" t="n">
        <v>4784929449</v>
      </c>
      <c r="M784" s="19" t="n">
        <v>3350630000</v>
      </c>
      <c r="N784" s="18" t="n">
        <v>10323012000</v>
      </c>
      <c r="O784" s="19" t="n">
        <v>10323012000</v>
      </c>
      <c r="P784" s="18" t="n">
        <v>10323012000</v>
      </c>
      <c r="Q784" s="19" t="n">
        <v>1409428095</v>
      </c>
      <c r="R784" s="18" t="n">
        <v>1409428095</v>
      </c>
      <c r="S784" s="20" t="n">
        <v>2050190460</v>
      </c>
      <c r="T784" s="6" t="n">
        <v>4</v>
      </c>
      <c r="U784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4" s="21">
        <f>HYPERLINK("https://dart.fss.or.kr/dsaf001/main.do?rcpNo=20260814001161", "공시열람")</f>
        <v/>
      </c>
    </row>
    <row r="785">
      <c r="A785" s="5" t="inlineStr">
        <is>
          <t>스피어</t>
        </is>
      </c>
      <c r="B785" s="6" t="inlineStr">
        <is>
          <t>347700</t>
        </is>
      </c>
      <c r="C785" s="6" t="inlineStr">
        <is>
          <t>2026Q2</t>
        </is>
      </c>
      <c r="D785" s="6" t="inlineStr">
        <is>
          <t>20260814</t>
        </is>
      </c>
      <c r="E785" s="16" t="n">
        <v>204787048</v>
      </c>
      <c r="F785" s="16" t="n">
        <v>89052955</v>
      </c>
      <c r="G785" s="16" t="n">
        <v>115734093</v>
      </c>
      <c r="H785" s="6" t="inlineStr">
        <is>
          <t>USD</t>
        </is>
      </c>
      <c r="I785" s="17" t="n">
        <v>20.8</v>
      </c>
      <c r="J785" s="18" t="inlineStr"/>
      <c r="K785" s="19" t="inlineStr"/>
      <c r="L785" s="18" t="inlineStr"/>
      <c r="M785" s="19" t="inlineStr"/>
      <c r="N785" s="18" t="inlineStr"/>
      <c r="O785" s="19" t="n">
        <v>30280260</v>
      </c>
      <c r="P785" s="18" t="n">
        <v>43545655</v>
      </c>
      <c r="Q785" s="19" t="n">
        <v>57635487</v>
      </c>
      <c r="R785" s="18" t="n">
        <v>95772506</v>
      </c>
      <c r="S785" s="20" t="n">
        <v>115734093</v>
      </c>
      <c r="T785" s="6" t="n">
        <v>31</v>
      </c>
      <c r="U785" s="5" t="inlineStr">
        <is>
          <t>특수합금 공급 / 2025-09-27 / 2027-02 | 특수합금 공급 / 2026-06-08 / 2026-12 | 특수합금 공급 / 2026-06-15 / 2026-07</t>
        </is>
      </c>
      <c r="V785" s="21">
        <f>HYPERLINK("https://dart.fss.or.kr/dsaf001/main.do?rcpNo=20260814003121", "공시열람")</f>
        <v/>
      </c>
    </row>
    <row r="786">
      <c r="A786" s="5" t="inlineStr">
        <is>
          <t>피엔케이피부임상연구센타</t>
        </is>
      </c>
      <c r="B786" s="6" t="inlineStr">
        <is>
          <t>347740</t>
        </is>
      </c>
      <c r="C786" s="6" t="inlineStr">
        <is>
          <t>2026Q2</t>
        </is>
      </c>
      <c r="D786" s="6" t="inlineStr">
        <is>
          <t>20260814</t>
        </is>
      </c>
      <c r="E786" s="16" t="n">
        <v>9261</v>
      </c>
      <c r="F786" s="16" t="n">
        <v>1017</v>
      </c>
      <c r="G786" s="16" t="n">
        <v>8244</v>
      </c>
      <c r="H786" s="6" t="inlineStr">
        <is>
          <t>백만원</t>
        </is>
      </c>
      <c r="I786" s="17" t="n">
        <v>36.9</v>
      </c>
      <c r="J786" s="18" t="n">
        <v>3049</v>
      </c>
      <c r="K786" s="19" t="n">
        <v>4757</v>
      </c>
      <c r="L786" s="18" t="n">
        <v>5786</v>
      </c>
      <c r="M786" s="19" t="n">
        <v>6148</v>
      </c>
      <c r="N786" s="18" t="n">
        <v>5009</v>
      </c>
      <c r="O786" s="19" t="n">
        <v>5216</v>
      </c>
      <c r="P786" s="18" t="n">
        <v>5389</v>
      </c>
      <c r="Q786" s="19" t="n">
        <v>6085</v>
      </c>
      <c r="R786" s="18" t="n">
        <v>6020</v>
      </c>
      <c r="S786" s="20" t="n">
        <v>8244</v>
      </c>
      <c r="T786" s="6" t="n">
        <v>1</v>
      </c>
      <c r="U786" s="5" t="inlineStr">
        <is>
          <t>화장품 인체적용시험외 / -</t>
        </is>
      </c>
      <c r="V786" s="21">
        <f>HYPERLINK("https://dart.fss.or.kr/dsaf001/main.do?rcpNo=20260814002845", "공시열람")</f>
        <v/>
      </c>
    </row>
    <row r="787">
      <c r="A787" s="5" t="inlineStr">
        <is>
          <t>알체라</t>
        </is>
      </c>
      <c r="B787" s="6" t="inlineStr">
        <is>
          <t>347860</t>
        </is>
      </c>
      <c r="C787" s="6" t="inlineStr">
        <is>
          <t>2026Q2</t>
        </is>
      </c>
      <c r="D787" s="6" t="inlineStr">
        <is>
          <t>20260814</t>
        </is>
      </c>
      <c r="E787" s="16" t="n">
        <v>16140</v>
      </c>
      <c r="F787" s="16" t="n">
        <v>3780</v>
      </c>
      <c r="G787" s="16" t="n">
        <v>12360</v>
      </c>
      <c r="H787" s="6" t="inlineStr">
        <is>
          <t>백만원</t>
        </is>
      </c>
      <c r="I787" s="17" t="n">
        <v>6.7</v>
      </c>
      <c r="J787" s="18" t="n">
        <v>9764</v>
      </c>
      <c r="K787" s="19" t="n">
        <v>13821</v>
      </c>
      <c r="L787" s="18" t="n">
        <v>14153</v>
      </c>
      <c r="M787" s="19" t="n">
        <v>9004</v>
      </c>
      <c r="N787" s="18" t="n">
        <v>9801</v>
      </c>
      <c r="O787" s="19" t="n">
        <v>12110</v>
      </c>
      <c r="P787" s="18" t="n">
        <v>12131</v>
      </c>
      <c r="Q787" s="19" t="n">
        <v>9630</v>
      </c>
      <c r="R787" s="18" t="n">
        <v>11583</v>
      </c>
      <c r="S787" s="20" t="n">
        <v>12360</v>
      </c>
      <c r="T787" s="6" t="n">
        <v>6</v>
      </c>
      <c r="U787" s="5" t="inlineStr">
        <is>
          <t>AI 학습 데이타구축 서비스 / ~ 2025년 | 안면인식 AI솔루션 등 / ~ 2025년 | AI 학습 데이타구축 서비스 / 2026년 1월 ~ 6</t>
        </is>
      </c>
      <c r="V787" s="21">
        <f>HYPERLINK("https://dart.fss.or.kr/dsaf001/main.do?rcpNo=20260814001661", "공시열람")</f>
        <v/>
      </c>
    </row>
    <row r="788">
      <c r="A788" s="5" t="inlineStr">
        <is>
          <t>엠엑스온</t>
        </is>
      </c>
      <c r="B788" s="6" t="inlineStr">
        <is>
          <t>347890</t>
        </is>
      </c>
      <c r="C788" s="6" t="inlineStr">
        <is>
          <t>2026Q2</t>
        </is>
      </c>
      <c r="D788" s="6" t="inlineStr">
        <is>
          <t>20260814</t>
        </is>
      </c>
      <c r="E788" s="16" t="n">
        <v>235918460</v>
      </c>
      <c r="F788" s="16" t="n">
        <v>46028966</v>
      </c>
      <c r="G788" s="16" t="n">
        <v>189889494</v>
      </c>
      <c r="H788" s="6" t="inlineStr">
        <is>
          <t>천원</t>
        </is>
      </c>
      <c r="I788" s="17" t="n">
        <v>3.9</v>
      </c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n">
        <v>164329344</v>
      </c>
      <c r="R788" s="18" t="n">
        <v>182779407</v>
      </c>
      <c r="S788" s="20" t="n">
        <v>189889494</v>
      </c>
      <c r="T788" s="6" t="n">
        <v>2</v>
      </c>
      <c r="U788" s="5" t="inlineStr">
        <is>
          <t xml:space="preserve">해외 자동화 물류시스템 외 / ~ 2026.06.30  | 국내 자동화 물류시스템 외 / ~ 2026.06.30 </t>
        </is>
      </c>
      <c r="V788" s="21">
        <f>HYPERLINK("https://dart.fss.or.kr/dsaf001/main.do?rcpNo=20260814004040", "공시열람")</f>
        <v/>
      </c>
    </row>
    <row r="789">
      <c r="A789" s="5" t="inlineStr">
        <is>
          <t>큐라티스</t>
        </is>
      </c>
      <c r="B789" s="6" t="inlineStr">
        <is>
          <t>348080</t>
        </is>
      </c>
      <c r="C789" s="6" t="inlineStr">
        <is>
          <t>2022Q4</t>
        </is>
      </c>
      <c r="D789" s="6" t="inlineStr">
        <is>
          <t>20250325</t>
        </is>
      </c>
      <c r="E789" s="16" t="n">
        <v>1851000</v>
      </c>
      <c r="F789" s="16" t="n">
        <v>1287314</v>
      </c>
      <c r="G789" s="16" t="n">
        <v>563686</v>
      </c>
      <c r="H789" s="6" t="inlineStr">
        <is>
          <t>천원</t>
        </is>
      </c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9</v>
      </c>
      <c r="U789" s="5" t="inlineStr">
        <is>
          <t>프로앱텍 / 2021.03.01 | 에이비온 / 2022.03.03 | 펩진 / 2022.09.21</t>
        </is>
      </c>
      <c r="V789" s="21">
        <f>HYPERLINK("https://dart.fss.or.kr/dsaf001/main.do?rcpNo=20250325000150", "공시열람")</f>
        <v/>
      </c>
    </row>
    <row r="790">
      <c r="A790" s="5" t="inlineStr">
        <is>
          <t>넥스틴</t>
        </is>
      </c>
      <c r="B790" s="6" t="inlineStr">
        <is>
          <t>348210</t>
        </is>
      </c>
      <c r="C790" s="6" t="inlineStr">
        <is>
          <t>2026Q2</t>
        </is>
      </c>
      <c r="D790" s="6" t="inlineStr">
        <is>
          <t>20260814</t>
        </is>
      </c>
      <c r="E790" s="16" t="n">
        <v>21012</v>
      </c>
      <c r="F790" s="16" t="n">
        <v>19770</v>
      </c>
      <c r="G790" s="16" t="n">
        <v>8978</v>
      </c>
      <c r="H790" s="6" t="inlineStr">
        <is>
          <t>백만원</t>
        </is>
      </c>
      <c r="I790" s="17" t="n">
        <v>-65.09999999999999</v>
      </c>
      <c r="J790" s="18" t="n">
        <v>22474</v>
      </c>
      <c r="K790" s="19" t="n">
        <v>25435</v>
      </c>
      <c r="L790" s="18" t="n">
        <v>27272</v>
      </c>
      <c r="M790" s="19" t="n">
        <v>11670</v>
      </c>
      <c r="N790" s="18" t="inlineStr"/>
      <c r="O790" s="19" t="n">
        <v>11855</v>
      </c>
      <c r="P790" s="18" t="n">
        <v>15214</v>
      </c>
      <c r="Q790" s="19" t="n">
        <v>7736</v>
      </c>
      <c r="R790" s="18" t="n">
        <v>25748</v>
      </c>
      <c r="S790" s="20" t="n">
        <v>8978</v>
      </c>
      <c r="T790" s="6" t="n">
        <v>1</v>
      </c>
      <c r="U790" s="5" t="inlineStr">
        <is>
          <t>Wafer InspectionSystem</t>
        </is>
      </c>
      <c r="V790" s="21">
        <f>HYPERLINK("https://dart.fss.or.kr/dsaf001/main.do?rcpNo=20260814003931", "공시열람")</f>
        <v/>
      </c>
    </row>
    <row r="791">
      <c r="A791" s="5" t="inlineStr">
        <is>
          <t>위드텍</t>
        </is>
      </c>
      <c r="B791" s="6" t="inlineStr">
        <is>
          <t>348350</t>
        </is>
      </c>
      <c r="C791" s="6" t="inlineStr">
        <is>
          <t>2026Q2</t>
        </is>
      </c>
      <c r="D791" s="6" t="inlineStr">
        <is>
          <t>20260814</t>
        </is>
      </c>
      <c r="E791" s="16" t="n">
        <v>54187</v>
      </c>
      <c r="F791" s="16" t="n">
        <v>23559</v>
      </c>
      <c r="G791" s="16" t="n">
        <v>30628</v>
      </c>
      <c r="H791" s="6" t="inlineStr">
        <is>
          <t>백만원</t>
        </is>
      </c>
      <c r="I791" s="17" t="n">
        <v>27.4</v>
      </c>
      <c r="J791" s="18" t="n">
        <v>7881</v>
      </c>
      <c r="K791" s="19" t="n">
        <v>7784</v>
      </c>
      <c r="L791" s="18" t="n">
        <v>8558</v>
      </c>
      <c r="M791" s="19" t="n">
        <v>7953</v>
      </c>
      <c r="N791" s="18" t="n">
        <v>14858</v>
      </c>
      <c r="O791" s="19" t="n">
        <v>22390</v>
      </c>
      <c r="P791" s="18" t="n">
        <v>16598</v>
      </c>
      <c r="Q791" s="19" t="n">
        <v>19428</v>
      </c>
      <c r="R791" s="18" t="n">
        <v>24042</v>
      </c>
      <c r="S791" s="20" t="n">
        <v>30628</v>
      </c>
      <c r="T791" s="6" t="n">
        <v>3</v>
      </c>
      <c r="U791" s="5" t="inlineStr">
        <is>
          <t>대기 / - | 공정 / - | 환경(TMS) / -</t>
        </is>
      </c>
      <c r="V791" s="21">
        <f>HYPERLINK("https://dart.fss.or.kr/dsaf001/main.do?rcpNo=20260814001848", "공시열람")</f>
        <v/>
      </c>
    </row>
    <row r="792">
      <c r="A792" s="5" t="inlineStr">
        <is>
          <t>넥사다이내믹스</t>
        </is>
      </c>
      <c r="B792" s="6" t="inlineStr">
        <is>
          <t>351320</t>
        </is>
      </c>
      <c r="C792" s="6" t="inlineStr">
        <is>
          <t>2026Q2</t>
        </is>
      </c>
      <c r="D792" s="6" t="inlineStr">
        <is>
          <t>20260814</t>
        </is>
      </c>
      <c r="E792" s="16" t="n">
        <v>6431</v>
      </c>
      <c r="F792" s="16" t="n">
        <v>627</v>
      </c>
      <c r="G792" s="16" t="n">
        <v>5804</v>
      </c>
      <c r="H792" s="6" t="inlineStr">
        <is>
          <t>백만원</t>
        </is>
      </c>
      <c r="I792" s="17" t="n">
        <v>267.8</v>
      </c>
      <c r="J792" s="18" t="n">
        <v>7652</v>
      </c>
      <c r="K792" s="19" t="n">
        <v>5427</v>
      </c>
      <c r="L792" s="18" t="n">
        <v>13849</v>
      </c>
      <c r="M792" s="19" t="n">
        <v>11413</v>
      </c>
      <c r="N792" s="18" t="n">
        <v>2676</v>
      </c>
      <c r="O792" s="19" t="n">
        <v>1721</v>
      </c>
      <c r="P792" s="18" t="n">
        <v>1409</v>
      </c>
      <c r="Q792" s="19" t="n">
        <v>1588</v>
      </c>
      <c r="R792" s="18" t="n">
        <v>1578</v>
      </c>
      <c r="S792" s="20" t="n">
        <v>5804</v>
      </c>
      <c r="T792" s="6" t="n">
        <v>1</v>
      </c>
      <c r="U792" s="5" t="inlineStr">
        <is>
          <t>제조장비 / -</t>
        </is>
      </c>
      <c r="V792" s="21">
        <f>HYPERLINK("https://dart.fss.or.kr/dsaf001/main.do?rcpNo=20260814003563", "공시열람")</f>
        <v/>
      </c>
    </row>
    <row r="793">
      <c r="A793" s="5" t="inlineStr">
        <is>
          <t>오비고</t>
        </is>
      </c>
      <c r="B793" s="6" t="inlineStr">
        <is>
          <t>352910</t>
        </is>
      </c>
      <c r="C793" s="6" t="inlineStr">
        <is>
          <t>2026Q2</t>
        </is>
      </c>
      <c r="D793" s="6" t="inlineStr">
        <is>
          <t>20260814</t>
        </is>
      </c>
      <c r="E793" s="16" t="n">
        <v>11914285</v>
      </c>
      <c r="F793" s="16" t="n">
        <v>5344424</v>
      </c>
      <c r="G793" s="16" t="n">
        <v>6569860</v>
      </c>
      <c r="H793" s="6" t="inlineStr">
        <is>
          <t>천원</t>
        </is>
      </c>
      <c r="I793" s="17" t="n">
        <v>108636.5</v>
      </c>
      <c r="J793" s="18" t="n">
        <v>5902815</v>
      </c>
      <c r="K793" s="19" t="n">
        <v>4950245</v>
      </c>
      <c r="L793" s="18" t="n">
        <v>4506260</v>
      </c>
      <c r="M793" s="19" t="n">
        <v>5251100</v>
      </c>
      <c r="N793" s="18" t="n">
        <v>5650308</v>
      </c>
      <c r="O793" s="19" t="n">
        <v>5641</v>
      </c>
      <c r="P793" s="18" t="n">
        <v>5545</v>
      </c>
      <c r="Q793" s="19" t="n">
        <v>2646</v>
      </c>
      <c r="R793" s="18" t="n">
        <v>6042</v>
      </c>
      <c r="S793" s="20" t="n">
        <v>6569860</v>
      </c>
      <c r="T793" s="6" t="n">
        <v>3</v>
      </c>
      <c r="U793" s="5" t="inlineStr">
        <is>
          <t>AI 콘텐츠 | AI 카케어 | 피지컬 AI 솔루션</t>
        </is>
      </c>
      <c r="V793" s="21">
        <f>HYPERLINK("https://dart.fss.or.kr/dsaf001/main.do?rcpNo=20260814002505", "공시열람")</f>
        <v/>
      </c>
    </row>
    <row r="794">
      <c r="A794" s="5" t="inlineStr">
        <is>
          <t>인바이오</t>
        </is>
      </c>
      <c r="B794" s="6" t="inlineStr">
        <is>
          <t>352940</t>
        </is>
      </c>
      <c r="C794" s="6" t="inlineStr">
        <is>
          <t>2026Q2</t>
        </is>
      </c>
      <c r="D794" s="6" t="inlineStr">
        <is>
          <t>20260813</t>
        </is>
      </c>
      <c r="E794" s="16" t="n">
        <v>9310088</v>
      </c>
      <c r="F794" s="16" t="n">
        <v>5720301</v>
      </c>
      <c r="G794" s="16" t="n">
        <v>3589787</v>
      </c>
      <c r="H794" s="6" t="inlineStr">
        <is>
          <t>병/봉,천원</t>
        </is>
      </c>
      <c r="I794" s="17" t="n">
        <v>-41</v>
      </c>
      <c r="J794" s="18" t="n">
        <v>3938317</v>
      </c>
      <c r="K794" s="19" t="n">
        <v>3376638</v>
      </c>
      <c r="L794" s="18" t="n">
        <v>1408326</v>
      </c>
      <c r="M794" s="19" t="n">
        <v>2389562</v>
      </c>
      <c r="N794" s="18" t="n">
        <v>1843689</v>
      </c>
      <c r="O794" s="19" t="n">
        <v>867162</v>
      </c>
      <c r="P794" s="18" t="n">
        <v>273113</v>
      </c>
      <c r="Q794" s="19" t="n">
        <v>544106</v>
      </c>
      <c r="R794" s="18" t="n">
        <v>6080203</v>
      </c>
      <c r="S794" s="20" t="n">
        <v>3589787</v>
      </c>
      <c r="T794" s="6" t="n">
        <v>1</v>
      </c>
      <c r="U794" s="5" t="inlineStr">
        <is>
          <t>농약 / 2026.01.31 / 2026.01.31~2</t>
        </is>
      </c>
      <c r="V794" s="21">
        <f>HYPERLINK("https://dart.fss.or.kr/dsaf001/main.do?rcpNo=20260813000903", "공시열람")</f>
        <v/>
      </c>
    </row>
    <row r="795">
      <c r="A795" s="5" t="inlineStr">
        <is>
          <t>대덕전자</t>
        </is>
      </c>
      <c r="B795" s="6" t="inlineStr">
        <is>
          <t>353200</t>
        </is>
      </c>
      <c r="C795" s="6" t="inlineStr">
        <is>
          <t>2026Q2</t>
        </is>
      </c>
      <c r="D795" s="6" t="inlineStr">
        <is>
          <t>20260813</t>
        </is>
      </c>
      <c r="E795" s="16" t="n">
        <v>10777</v>
      </c>
      <c r="F795" s="16" t="n">
        <v>7449</v>
      </c>
      <c r="G795" s="16" t="n">
        <v>3328</v>
      </c>
      <c r="H795" s="6" t="inlineStr">
        <is>
          <t>천㎡,억원</t>
        </is>
      </c>
      <c r="I795" s="17" t="n">
        <v>40.2</v>
      </c>
      <c r="J795" s="18" t="n">
        <v>723</v>
      </c>
      <c r="K795" s="19" t="n">
        <v>682</v>
      </c>
      <c r="L795" s="18" t="n">
        <v>776</v>
      </c>
      <c r="M795" s="19" t="n">
        <v>357</v>
      </c>
      <c r="N795" s="18" t="n">
        <v>792</v>
      </c>
      <c r="O795" s="19" t="n">
        <v>1283</v>
      </c>
      <c r="P795" s="18" t="n">
        <v>3110</v>
      </c>
      <c r="Q795" s="19" t="n">
        <v>2168</v>
      </c>
      <c r="R795" s="18" t="n">
        <v>2374</v>
      </c>
      <c r="S795" s="20" t="n">
        <v>3328</v>
      </c>
      <c r="T795" s="6" t="n">
        <v>1</v>
      </c>
      <c r="U795" s="5" t="inlineStr">
        <is>
          <t>PCB / 2026.01.01~ 2026.06.30</t>
        </is>
      </c>
      <c r="V795" s="21">
        <f>HYPERLINK("https://dart.fss.or.kr/dsaf001/main.do?rcpNo=20260813001620", "공시열람")</f>
        <v/>
      </c>
    </row>
    <row r="796">
      <c r="A796" s="5" t="inlineStr">
        <is>
          <t>바스칸바이오제약</t>
        </is>
      </c>
      <c r="B796" s="6" t="inlineStr">
        <is>
          <t>354390</t>
        </is>
      </c>
      <c r="C796" s="6" t="inlineStr">
        <is>
          <t>2023Q4</t>
        </is>
      </c>
      <c r="D796" s="6" t="inlineStr">
        <is>
          <t>20240318</t>
        </is>
      </c>
      <c r="E796" s="16" t="inlineStr"/>
      <c r="F796" s="16" t="inlineStr"/>
      <c r="G796" s="16" t="n">
        <v>6623811</v>
      </c>
      <c r="H796" s="6" t="inlineStr"/>
      <c r="I796" s="17" t="inlineStr"/>
      <c r="J796" s="18" t="inlineStr"/>
      <c r="K796" s="19" t="inlineStr"/>
      <c r="L796" s="18" t="inlineStr"/>
      <c r="M796" s="19" t="inlineStr"/>
      <c r="N796" s="18" t="inlineStr"/>
      <c r="O796" s="19" t="inlineStr"/>
      <c r="P796" s="18" t="inlineStr"/>
      <c r="Q796" s="19" t="inlineStr"/>
      <c r="R796" s="18" t="inlineStr"/>
      <c r="S796" s="20" t="inlineStr"/>
      <c r="T796" s="6" t="n">
        <v>69</v>
      </c>
      <c r="U796" s="5" t="inlineStr">
        <is>
          <t>마더스제약 / 메모엠연질캡슐 | 씨엠지제약 / 엘카르닌정 | 알리코제약 / 다이제틴정</t>
        </is>
      </c>
      <c r="V796" s="21">
        <f>HYPERLINK("https://dart.fss.or.kr/dsaf001/main.do?rcpNo=20240318000263", "공시열람")</f>
        <v/>
      </c>
    </row>
    <row r="797">
      <c r="A797" s="5" t="inlineStr">
        <is>
          <t>코스텍시스</t>
        </is>
      </c>
      <c r="B797" s="6" t="inlineStr">
        <is>
          <t>355150</t>
        </is>
      </c>
      <c r="C797" s="6" t="inlineStr">
        <is>
          <t>2025Q4</t>
        </is>
      </c>
      <c r="D797" s="6" t="inlineStr">
        <is>
          <t>20260318</t>
        </is>
      </c>
      <c r="E797" s="16" t="n">
        <v>7396</v>
      </c>
      <c r="F797" s="16" t="n">
        <v>6169</v>
      </c>
      <c r="G797" s="16" t="n">
        <v>1227</v>
      </c>
      <c r="H797" s="6" t="inlineStr"/>
      <c r="I797" s="17" t="n">
        <v>-63.8</v>
      </c>
      <c r="J797" s="18" t="n">
        <v>8953</v>
      </c>
      <c r="K797" s="19" t="n">
        <v>10252</v>
      </c>
      <c r="L797" s="18" t="n">
        <v>11707</v>
      </c>
      <c r="M797" s="19" t="n">
        <v>6418</v>
      </c>
      <c r="N797" s="18" t="n">
        <v>2079</v>
      </c>
      <c r="O797" s="19" t="n">
        <v>755</v>
      </c>
      <c r="P797" s="18" t="n">
        <v>3385</v>
      </c>
      <c r="Q797" s="19" t="n">
        <v>1227</v>
      </c>
      <c r="R797" s="18" t="inlineStr"/>
      <c r="S797" s="20" t="inlineStr"/>
      <c r="T797" s="6" t="n">
        <v>4</v>
      </c>
      <c r="U797" s="5" t="inlineStr">
        <is>
          <t>OM780 / 2025.09.23 / 2026.03.1 | OM780 / 2025.07.07 / 2026.03.1 | OM780 / 2025.02.10 / 2026.03.1</t>
        </is>
      </c>
      <c r="V797" s="21">
        <f>HYPERLINK("https://dart.fss.or.kr/dsaf001/main.do?rcpNo=20260318000866", "공시열람")</f>
        <v/>
      </c>
    </row>
    <row r="798">
      <c r="A798" s="5" t="inlineStr">
        <is>
          <t>크라우드웍스</t>
        </is>
      </c>
      <c r="B798" s="6" t="inlineStr">
        <is>
          <t>355390</t>
        </is>
      </c>
      <c r="C798" s="6" t="inlineStr">
        <is>
          <t>2026Q2</t>
        </is>
      </c>
      <c r="D798" s="6" t="inlineStr">
        <is>
          <t>20260814</t>
        </is>
      </c>
      <c r="E798" s="16" t="n">
        <v>10636</v>
      </c>
      <c r="F798" s="16" t="n">
        <v>7344</v>
      </c>
      <c r="G798" s="16" t="n">
        <v>3292</v>
      </c>
      <c r="H798" s="6" t="inlineStr">
        <is>
          <t>개,백만원</t>
        </is>
      </c>
      <c r="I798" s="17" t="n">
        <v>2.5</v>
      </c>
      <c r="J798" s="18" t="n">
        <v>6226</v>
      </c>
      <c r="K798" s="19" t="n">
        <v>7914</v>
      </c>
      <c r="L798" s="18" t="n">
        <v>7577</v>
      </c>
      <c r="M798" s="19" t="n">
        <v>3221</v>
      </c>
      <c r="N798" s="18" t="n">
        <v>3445</v>
      </c>
      <c r="O798" s="19" t="n">
        <v>3943</v>
      </c>
      <c r="P798" s="18" t="n">
        <v>5911</v>
      </c>
      <c r="Q798" s="19" t="n">
        <v>3212</v>
      </c>
      <c r="R798" s="18" t="n">
        <v>3212</v>
      </c>
      <c r="S798" s="20" t="n">
        <v>3292</v>
      </c>
      <c r="T798" s="6" t="n">
        <v>7</v>
      </c>
      <c r="U798" s="5" t="inlineStr">
        <is>
          <t>Enterprise AI Solution / 주1) | LLM Data / 주1) | AI Data / 주1)</t>
        </is>
      </c>
      <c r="V798" s="21">
        <f>HYPERLINK("https://dart.fss.or.kr/dsaf001/main.do?rcpNo=20260814001178", "공시열람")</f>
        <v/>
      </c>
    </row>
    <row r="799">
      <c r="A799" s="5" t="inlineStr">
        <is>
          <t>티엘비</t>
        </is>
      </c>
      <c r="B799" s="6" t="inlineStr">
        <is>
          <t>356860</t>
        </is>
      </c>
      <c r="C799" s="6" t="inlineStr">
        <is>
          <t>2026Q2</t>
        </is>
      </c>
      <c r="D799" s="6" t="inlineStr">
        <is>
          <t>20260814</t>
        </is>
      </c>
      <c r="E799" s="16" t="n">
        <v>2959</v>
      </c>
      <c r="F799" s="16" t="n">
        <v>1641</v>
      </c>
      <c r="G799" s="16" t="n">
        <v>1318</v>
      </c>
      <c r="H799" s="6" t="inlineStr">
        <is>
          <t>억원</t>
        </is>
      </c>
      <c r="I799" s="17" t="n">
        <v>144.5</v>
      </c>
      <c r="J799" s="18" t="n">
        <v>140</v>
      </c>
      <c r="K799" s="19" t="n">
        <v>178</v>
      </c>
      <c r="L799" s="18" t="n">
        <v>158</v>
      </c>
      <c r="M799" s="19" t="n">
        <v>130</v>
      </c>
      <c r="N799" s="18" t="n">
        <v>362</v>
      </c>
      <c r="O799" s="19" t="n">
        <v>442</v>
      </c>
      <c r="P799" s="18" t="n">
        <v>445</v>
      </c>
      <c r="Q799" s="19" t="n">
        <v>526</v>
      </c>
      <c r="R799" s="18" t="n">
        <v>539</v>
      </c>
      <c r="S799" s="20" t="n">
        <v>1318</v>
      </c>
      <c r="T799" s="6" t="n">
        <v>1</v>
      </c>
      <c r="U799" s="5" t="inlineStr">
        <is>
          <t>인쇄회로기판 / 2026.01.01~2026.06.30</t>
        </is>
      </c>
      <c r="V799" s="21">
        <f>HYPERLINK("https://dart.fss.or.kr/dsaf001/main.do?rcpNo=20260814000485", "공시열람")</f>
        <v/>
      </c>
    </row>
    <row r="800">
      <c r="A800" s="5" t="inlineStr">
        <is>
          <t>싸이버원</t>
        </is>
      </c>
      <c r="B800" s="6" t="inlineStr">
        <is>
          <t>356890</t>
        </is>
      </c>
      <c r="C800" s="6" t="inlineStr">
        <is>
          <t>2025Q1</t>
        </is>
      </c>
      <c r="D800" s="6" t="inlineStr">
        <is>
          <t>20250514</t>
        </is>
      </c>
      <c r="E800" s="16" t="n">
        <v>13849</v>
      </c>
      <c r="F800" s="16" t="n">
        <v>4368</v>
      </c>
      <c r="G800" s="16" t="n">
        <v>9481</v>
      </c>
      <c r="H800" s="6" t="inlineStr">
        <is>
          <t>백만원</t>
        </is>
      </c>
      <c r="I800" s="17" t="n">
        <v>33.4</v>
      </c>
      <c r="J800" s="18" t="n">
        <v>8235</v>
      </c>
      <c r="K800" s="19" t="n">
        <v>10145</v>
      </c>
      <c r="L800" s="18" t="n">
        <v>8608</v>
      </c>
      <c r="M800" s="19" t="n">
        <v>7108</v>
      </c>
      <c r="N800" s="18" t="n">
        <v>9481</v>
      </c>
      <c r="O800" s="19" t="inlineStr"/>
      <c r="P800" s="18" t="inlineStr"/>
      <c r="Q800" s="19" t="inlineStr"/>
      <c r="R800" s="18" t="inlineStr"/>
      <c r="S800" s="20" t="inlineStr"/>
      <c r="T800" s="6" t="n">
        <v>3</v>
      </c>
      <c r="U800" s="5" t="inlineStr">
        <is>
          <t>보안컨설팅 용역 / 2025.03.07 / 2025.1 | 클라우드 운영 / 2024.04.01 / 2027.03 | 보안컨설팅 용역 / 2024.01.01 / 2026.1</t>
        </is>
      </c>
      <c r="V800" s="21">
        <f>HYPERLINK("https://dart.fss.or.kr/dsaf001/main.do?rcpNo=20250514001216", "공시열람")</f>
        <v/>
      </c>
    </row>
    <row r="801">
      <c r="A801" s="5" t="inlineStr">
        <is>
          <t>씨엔알리서치</t>
        </is>
      </c>
      <c r="B801" s="6" t="inlineStr">
        <is>
          <t>359090</t>
        </is>
      </c>
      <c r="C801" s="6" t="inlineStr">
        <is>
          <t>2026Q2</t>
        </is>
      </c>
      <c r="D801" s="6" t="inlineStr">
        <is>
          <t>20260814</t>
        </is>
      </c>
      <c r="E801" s="16" t="n">
        <v>370486</v>
      </c>
      <c r="F801" s="16" t="n">
        <v>210425</v>
      </c>
      <c r="G801" s="16" t="n">
        <v>160061</v>
      </c>
      <c r="H801" s="6" t="inlineStr">
        <is>
          <t>백만원</t>
        </is>
      </c>
      <c r="I801" s="17" t="n">
        <v>7.1</v>
      </c>
      <c r="J801" s="18" t="n">
        <v>145157</v>
      </c>
      <c r="K801" s="19" t="n">
        <v>152409</v>
      </c>
      <c r="L801" s="18" t="n">
        <v>151856</v>
      </c>
      <c r="M801" s="19" t="n">
        <v>154569</v>
      </c>
      <c r="N801" s="18" t="n">
        <v>160868</v>
      </c>
      <c r="O801" s="19" t="n">
        <v>153206</v>
      </c>
      <c r="P801" s="18" t="n">
        <v>148944</v>
      </c>
      <c r="Q801" s="19" t="n">
        <v>151038</v>
      </c>
      <c r="R801" s="18" t="n">
        <v>149422</v>
      </c>
      <c r="S801" s="20" t="n">
        <v>160061</v>
      </c>
      <c r="T801" s="6" t="n">
        <v>0</v>
      </c>
      <c r="U801" s="5" t="inlineStr"/>
      <c r="V801" s="21">
        <f>HYPERLINK("https://dart.fss.or.kr/dsaf001/main.do?rcpNo=20260814001641", "공시열람")</f>
        <v/>
      </c>
    </row>
    <row r="802">
      <c r="A802" s="5" t="inlineStr">
        <is>
          <t>탑머티리얼</t>
        </is>
      </c>
      <c r="B802" s="6" t="inlineStr">
        <is>
          <t>360070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240113958</v>
      </c>
      <c r="F802" s="16" t="n">
        <v>195334760</v>
      </c>
      <c r="G802" s="16" t="n">
        <v>55223846</v>
      </c>
      <c r="H802" s="6" t="inlineStr">
        <is>
          <t>천원</t>
        </is>
      </c>
      <c r="I802" s="17" t="n">
        <v>15.7</v>
      </c>
      <c r="J802" s="18" t="n">
        <v>75108043</v>
      </c>
      <c r="K802" s="19" t="n">
        <v>98673944</v>
      </c>
      <c r="L802" s="18" t="n">
        <v>59906801</v>
      </c>
      <c r="M802" s="19" t="n">
        <v>38902313</v>
      </c>
      <c r="N802" s="18" t="n">
        <v>39469802</v>
      </c>
      <c r="O802" s="19" t="n">
        <v>37185938</v>
      </c>
      <c r="P802" s="18" t="n">
        <v>30863438</v>
      </c>
      <c r="Q802" s="19" t="n">
        <v>37222316</v>
      </c>
      <c r="R802" s="18" t="n">
        <v>47741532</v>
      </c>
      <c r="S802" s="20" t="n">
        <v>55223846</v>
      </c>
      <c r="T802" s="6" t="n">
        <v>1</v>
      </c>
      <c r="U802" s="5" t="inlineStr">
        <is>
          <t>2차전지시스템엔지니어링 / -</t>
        </is>
      </c>
      <c r="V802" s="21">
        <f>HYPERLINK("https://dart.fss.or.kr/dsaf001/main.do?rcpNo=20260814004277", "공시열람")</f>
        <v/>
      </c>
    </row>
    <row r="803">
      <c r="A803" s="5" t="inlineStr">
        <is>
          <t>코셈</t>
        </is>
      </c>
      <c r="B803" s="6" t="inlineStr">
        <is>
          <t>360350</t>
        </is>
      </c>
      <c r="C803" s="6" t="inlineStr">
        <is>
          <t>2026Q2</t>
        </is>
      </c>
      <c r="D803" s="6" t="inlineStr">
        <is>
          <t>20260814</t>
        </is>
      </c>
      <c r="E803" s="16" t="inlineStr"/>
      <c r="F803" s="16" t="inlineStr"/>
      <c r="G803" s="16" t="n">
        <v>1776.2</v>
      </c>
      <c r="H803" s="6" t="inlineStr">
        <is>
          <t>백만원</t>
        </is>
      </c>
      <c r="I803" s="17" t="n">
        <v>54.6</v>
      </c>
      <c r="J803" s="18" t="n">
        <v>1463.1</v>
      </c>
      <c r="K803" s="19" t="n">
        <v>1467.5</v>
      </c>
      <c r="L803" s="18" t="n">
        <v>2643.3</v>
      </c>
      <c r="M803" s="19" t="n">
        <v>1278.5</v>
      </c>
      <c r="N803" s="18" t="n">
        <v>1261.4</v>
      </c>
      <c r="O803" s="19" t="n">
        <v>726.6</v>
      </c>
      <c r="P803" s="18" t="n">
        <v>1535.4</v>
      </c>
      <c r="Q803" s="19" t="n">
        <v>972.9</v>
      </c>
      <c r="R803" s="18" t="n">
        <v>1148.9</v>
      </c>
      <c r="S803" s="20" t="n">
        <v>1776.2</v>
      </c>
      <c r="T803" s="6" t="n">
        <v>19</v>
      </c>
      <c r="U803" s="5" t="inlineStr">
        <is>
          <t>IJ사 / CX시리즈 / 2026-05-20 | SB사 / EM시리즈 / 2026-06-16 | TR대학교 / EM시리즈 / 2026-05-25</t>
        </is>
      </c>
      <c r="V803" s="21">
        <f>HYPERLINK("https://dart.fss.or.kr/dsaf001/main.do?rcpNo=20260814001928", "공시열람")</f>
        <v/>
      </c>
    </row>
    <row r="804">
      <c r="A804" s="5" t="inlineStr">
        <is>
          <t>제노코</t>
        </is>
      </c>
      <c r="B804" s="6" t="inlineStr">
        <is>
          <t>361390</t>
        </is>
      </c>
      <c r="C804" s="6" t="inlineStr">
        <is>
          <t>2026Q2</t>
        </is>
      </c>
      <c r="D804" s="6" t="inlineStr">
        <is>
          <t>20260814</t>
        </is>
      </c>
      <c r="E804" s="16" t="n">
        <v>183312</v>
      </c>
      <c r="F804" s="16" t="n">
        <v>118819</v>
      </c>
      <c r="G804" s="16" t="n">
        <v>64492</v>
      </c>
      <c r="H804" s="6" t="inlineStr">
        <is>
          <t>백만원</t>
        </is>
      </c>
      <c r="I804" s="17" t="n">
        <v>-5.8</v>
      </c>
      <c r="J804" s="18" t="n">
        <v>97312790</v>
      </c>
      <c r="K804" s="19" t="n">
        <v>98527556</v>
      </c>
      <c r="L804" s="18" t="n">
        <v>105139348</v>
      </c>
      <c r="M804" s="19" t="n">
        <v>93242557</v>
      </c>
      <c r="N804" s="18" t="n">
        <v>93673409</v>
      </c>
      <c r="O804" s="19" t="n">
        <v>89997</v>
      </c>
      <c r="P804" s="18" t="n">
        <v>82149293</v>
      </c>
      <c r="Q804" s="19" t="n">
        <v>63572</v>
      </c>
      <c r="R804" s="18" t="n">
        <v>68487</v>
      </c>
      <c r="S804" s="20" t="n">
        <v>64492</v>
      </c>
      <c r="T804" s="6" t="n">
        <v>4</v>
      </c>
      <c r="U804" s="5" t="inlineStr">
        <is>
          <t>위성통신 / 2016년 / ~2028년 | 핵심부품 등 / 2021년 / ~2030년 | 항공전자 등 / 2019년 / ~2031년</t>
        </is>
      </c>
      <c r="V804" s="21">
        <f>HYPERLINK("https://dart.fss.or.kr/dsaf001/main.do?rcpNo=20260814000659", "공시열람")</f>
        <v/>
      </c>
    </row>
    <row r="805">
      <c r="A805" s="5" t="inlineStr">
        <is>
          <t>티와이홀딩스</t>
        </is>
      </c>
      <c r="B805" s="6" t="inlineStr">
        <is>
          <t>363280</t>
        </is>
      </c>
      <c r="C805" s="6" t="inlineStr">
        <is>
          <t>2024Q3</t>
        </is>
      </c>
      <c r="D805" s="6" t="inlineStr">
        <is>
          <t>20241114</t>
        </is>
      </c>
      <c r="E805" s="16" t="inlineStr"/>
      <c r="F805" s="16" t="n">
        <v>24483448702</v>
      </c>
      <c r="G805" s="16" t="n">
        <v>16332763222</v>
      </c>
      <c r="H805" s="6" t="inlineStr">
        <is>
          <t>천원</t>
        </is>
      </c>
      <c r="I805" s="17" t="n">
        <v>-7.8</v>
      </c>
      <c r="J805" s="18" t="n">
        <v>18879296934</v>
      </c>
      <c r="K805" s="19" t="n">
        <v>17707786106</v>
      </c>
      <c r="L805" s="18" t="n">
        <v>16332763222</v>
      </c>
      <c r="M805" s="19" t="inlineStr"/>
      <c r="N805" s="18" t="inlineStr"/>
      <c r="O805" s="19" t="inlineStr"/>
      <c r="P805" s="18" t="inlineStr"/>
      <c r="Q805" s="19" t="inlineStr"/>
      <c r="R805" s="18" t="inlineStr"/>
      <c r="S805" s="20" t="inlineStr"/>
      <c r="T805" s="6" t="n">
        <v>135</v>
      </c>
      <c r="U805" s="5" t="inlineStr">
        <is>
          <t>합계 - 전체 | 건축사업본부 - 국내 | 토목환경사업본부-전체</t>
        </is>
      </c>
      <c r="V805" s="21">
        <f>HYPERLINK("https://dart.fss.or.kr/dsaf001/main.do?rcpNo=20241114002955", "공시열람")</f>
        <v/>
      </c>
    </row>
    <row r="806">
      <c r="A806" s="5" t="inlineStr">
        <is>
          <t>에이아이코리아</t>
        </is>
      </c>
      <c r="B806" s="6" t="inlineStr">
        <is>
          <t>364950</t>
        </is>
      </c>
      <c r="C806" s="6" t="inlineStr">
        <is>
          <t>2025Q4</t>
        </is>
      </c>
      <c r="D806" s="6" t="inlineStr">
        <is>
          <t>20260313</t>
        </is>
      </c>
      <c r="E806" s="16" t="inlineStr"/>
      <c r="F806" s="16" t="inlineStr"/>
      <c r="G806" s="16" t="n">
        <v>634446</v>
      </c>
      <c r="H806" s="6" t="inlineStr">
        <is>
          <t>천원</t>
        </is>
      </c>
      <c r="I806" s="17" t="n">
        <v>-95.09999999999999</v>
      </c>
      <c r="J806" s="18" t="inlineStr"/>
      <c r="K806" s="19" t="inlineStr"/>
      <c r="L806" s="18" t="inlineStr"/>
      <c r="M806" s="19" t="inlineStr"/>
      <c r="N806" s="18" t="inlineStr"/>
      <c r="O806" s="19" t="n">
        <v>16606163</v>
      </c>
      <c r="P806" s="18" t="n">
        <v>12900287</v>
      </c>
      <c r="Q806" s="19" t="n">
        <v>634446</v>
      </c>
      <c r="R806" s="18" t="inlineStr"/>
      <c r="S806" s="20" t="inlineStr"/>
      <c r="T806" s="6" t="n">
        <v>1</v>
      </c>
      <c r="U806" s="5" t="inlineStr">
        <is>
          <t>동일알루미늄 청주공장 신축공사(소방) / 2025-07</t>
        </is>
      </c>
      <c r="V806" s="21">
        <f>HYPERLINK("https://dart.fss.or.kr/dsaf001/main.do?rcpNo=20260313001213", "공시열람")</f>
        <v/>
      </c>
    </row>
    <row r="807">
      <c r="A807" s="5" t="inlineStr">
        <is>
          <t>에스와이스틸텍</t>
        </is>
      </c>
      <c r="B807" s="6" t="inlineStr">
        <is>
          <t>365330</t>
        </is>
      </c>
      <c r="C807" s="6" t="inlineStr">
        <is>
          <t>2026Q2</t>
        </is>
      </c>
      <c r="D807" s="6" t="inlineStr">
        <is>
          <t>20260814</t>
        </is>
      </c>
      <c r="E807" s="16" t="n">
        <v>84986415</v>
      </c>
      <c r="F807" s="16" t="inlineStr"/>
      <c r="G807" s="16" t="n">
        <v>58149665</v>
      </c>
      <c r="H807" s="6" t="inlineStr">
        <is>
          <t>천㎡,천원</t>
        </is>
      </c>
      <c r="I807" s="17" t="n">
        <v>43.9</v>
      </c>
      <c r="J807" s="18" t="n">
        <v>64512846</v>
      </c>
      <c r="K807" s="19" t="n">
        <v>56887936</v>
      </c>
      <c r="L807" s="18" t="n">
        <v>56091469</v>
      </c>
      <c r="M807" s="19" t="n">
        <v>32436031</v>
      </c>
      <c r="N807" s="18" t="n">
        <v>39422856</v>
      </c>
      <c r="O807" s="19" t="n">
        <v>40863398</v>
      </c>
      <c r="P807" s="18" t="n">
        <v>28886919</v>
      </c>
      <c r="Q807" s="19" t="n">
        <v>37433656</v>
      </c>
      <c r="R807" s="18" t="n">
        <v>40398240</v>
      </c>
      <c r="S807" s="20" t="n">
        <v>58149665</v>
      </c>
      <c r="T807" s="6" t="n">
        <v>22</v>
      </c>
      <c r="U807" s="5" t="inlineStr">
        <is>
          <t>기타 / - | 현대건설(주) / 더현대광주 신축공사 / 2026년7월 | 한화건설 / (1-2공구)서울역북부 1-2공구 / 20</t>
        </is>
      </c>
      <c r="V807" s="21">
        <f>HYPERLINK("https://dart.fss.or.kr/dsaf001/main.do?rcpNo=20260814003676", "공시열람")</f>
        <v/>
      </c>
    </row>
    <row r="808">
      <c r="A808" s="5" t="inlineStr">
        <is>
          <t>레몬헬스케어</t>
        </is>
      </c>
      <c r="B808" s="6" t="inlineStr">
        <is>
          <t>365660</t>
        </is>
      </c>
      <c r="C808" s="6" t="inlineStr">
        <is>
          <t>2026Q2</t>
        </is>
      </c>
      <c r="D808" s="6" t="inlineStr">
        <is>
          <t>20260814</t>
        </is>
      </c>
      <c r="E808" s="16" t="n">
        <v>16424453</v>
      </c>
      <c r="F808" s="16" t="n">
        <v>4959383</v>
      </c>
      <c r="G808" s="16" t="n">
        <v>11465069</v>
      </c>
      <c r="H808" s="6" t="inlineStr">
        <is>
          <t>천원</t>
        </is>
      </c>
      <c r="I808" s="17" t="inlineStr"/>
      <c r="J808" s="18" t="inlineStr"/>
      <c r="K808" s="19" t="inlineStr"/>
      <c r="L808" s="18" t="inlineStr"/>
      <c r="M808" s="19" t="inlineStr"/>
      <c r="N808" s="18" t="inlineStr"/>
      <c r="O808" s="19" t="inlineStr"/>
      <c r="P808" s="18" t="inlineStr"/>
      <c r="Q808" s="19" t="inlineStr"/>
      <c r="R808" s="18" t="inlineStr"/>
      <c r="S808" s="20" t="n">
        <v>11465069</v>
      </c>
      <c r="T808" s="6" t="n">
        <v>2</v>
      </c>
      <c r="U808" s="5" t="inlineStr">
        <is>
          <t>LDB-E | LDB-H</t>
        </is>
      </c>
      <c r="V808" s="21">
        <f>HYPERLINK("https://dart.fss.or.kr/dsaf001/main.do?rcpNo=20260814002913", "공시열람")</f>
        <v/>
      </c>
    </row>
    <row r="809">
      <c r="A809" s="5" t="inlineStr">
        <is>
          <t>플래티어</t>
        </is>
      </c>
      <c r="B809" s="6" t="inlineStr">
        <is>
          <t>367000</t>
        </is>
      </c>
      <c r="C809" s="6" t="inlineStr">
        <is>
          <t>2026Q2</t>
        </is>
      </c>
      <c r="D809" s="6" t="inlineStr">
        <is>
          <t>20260814</t>
        </is>
      </c>
      <c r="E809" s="16" t="inlineStr"/>
      <c r="F809" s="16" t="n">
        <v>18976</v>
      </c>
      <c r="G809" s="16" t="n">
        <v>10453</v>
      </c>
      <c r="H809" s="6" t="inlineStr">
        <is>
          <t>백만원</t>
        </is>
      </c>
      <c r="I809" s="17" t="n">
        <v>41</v>
      </c>
      <c r="J809" s="18" t="n">
        <v>5746</v>
      </c>
      <c r="K809" s="19" t="n">
        <v>5245</v>
      </c>
      <c r="L809" s="18" t="n">
        <v>5720</v>
      </c>
      <c r="M809" s="19" t="n">
        <v>2597</v>
      </c>
      <c r="N809" s="18" t="n">
        <v>19782</v>
      </c>
      <c r="O809" s="19" t="n">
        <v>13739</v>
      </c>
      <c r="P809" s="18" t="n">
        <v>8309</v>
      </c>
      <c r="Q809" s="19" t="n">
        <v>5657</v>
      </c>
      <c r="R809" s="18" t="n">
        <v>7412</v>
      </c>
      <c r="S809" s="20" t="n">
        <v>10453</v>
      </c>
      <c r="T809" s="6" t="n">
        <v>3</v>
      </c>
      <c r="U809" s="5" t="inlineStr">
        <is>
          <t>AI 커머스 | 디지털 전환 | AI CX</t>
        </is>
      </c>
      <c r="V809" s="21">
        <f>HYPERLINK("https://dart.fss.or.kr/dsaf001/main.do?rcpNo=20260814002629", "공시열람")</f>
        <v/>
      </c>
    </row>
    <row r="810">
      <c r="A810" s="5" t="inlineStr">
        <is>
          <t>파이버프로</t>
        </is>
      </c>
      <c r="B810" s="6" t="inlineStr">
        <is>
          <t>368770</t>
        </is>
      </c>
      <c r="C810" s="6" t="inlineStr">
        <is>
          <t>2026Q1</t>
        </is>
      </c>
      <c r="D810" s="6" t="inlineStr">
        <is>
          <t>20260511</t>
        </is>
      </c>
      <c r="E810" s="16" t="n">
        <v>55707</v>
      </c>
      <c r="F810" s="16" t="n">
        <v>22078</v>
      </c>
      <c r="G810" s="16" t="n">
        <v>33629</v>
      </c>
      <c r="H810" s="6" t="inlineStr">
        <is>
          <t>백만원,천$</t>
        </is>
      </c>
      <c r="I810" s="17" t="n">
        <v>-7.2</v>
      </c>
      <c r="J810" s="18" t="n">
        <v>27354</v>
      </c>
      <c r="K810" s="19" t="n">
        <v>44043</v>
      </c>
      <c r="L810" s="18" t="n">
        <v>43306</v>
      </c>
      <c r="M810" s="19" t="n">
        <v>43306</v>
      </c>
      <c r="N810" s="18" t="n">
        <v>36629</v>
      </c>
      <c r="O810" s="19" t="n">
        <v>42788</v>
      </c>
      <c r="P810" s="18" t="n">
        <v>38257</v>
      </c>
      <c r="Q810" s="19" t="n">
        <v>36249</v>
      </c>
      <c r="R810" s="18" t="n">
        <v>33629</v>
      </c>
      <c r="S810" s="20" t="inlineStr"/>
      <c r="T810" s="6" t="n">
        <v>1</v>
      </c>
      <c r="U810" s="5" t="inlineStr">
        <is>
          <t>관성측정기 외 / '23년~ '26년. / -</t>
        </is>
      </c>
      <c r="V810" s="21">
        <f>HYPERLINK("https://dart.fss.or.kr/dsaf001/main.do?rcpNo=20260511000209", "공시열람")</f>
        <v/>
      </c>
    </row>
    <row r="811">
      <c r="A811" s="5" t="inlineStr">
        <is>
          <t>퓨런티어</t>
        </is>
      </c>
      <c r="B811" s="6" t="inlineStr">
        <is>
          <t>370090</t>
        </is>
      </c>
      <c r="C811" s="6" t="inlineStr">
        <is>
          <t>2026Q2</t>
        </is>
      </c>
      <c r="D811" s="6" t="inlineStr">
        <is>
          <t>20260813</t>
        </is>
      </c>
      <c r="E811" s="16" t="n">
        <v>18396303080</v>
      </c>
      <c r="F811" s="16" t="n">
        <v>12009554809</v>
      </c>
      <c r="G811" s="16" t="n">
        <v>6386748271</v>
      </c>
      <c r="H811" s="6" t="inlineStr">
        <is>
          <t>원</t>
        </is>
      </c>
      <c r="I811" s="17" t="n">
        <v>81194258.90000001</v>
      </c>
      <c r="J811" s="18" t="n">
        <v>8966</v>
      </c>
      <c r="K811" s="19" t="n">
        <v>4614</v>
      </c>
      <c r="L811" s="18" t="n">
        <v>3665</v>
      </c>
      <c r="M811" s="19" t="n">
        <v>5995</v>
      </c>
      <c r="N811" s="18" t="n">
        <v>5990</v>
      </c>
      <c r="O811" s="19" t="n">
        <v>5992</v>
      </c>
      <c r="P811" s="18" t="n">
        <v>6155</v>
      </c>
      <c r="Q811" s="19" t="n">
        <v>7872</v>
      </c>
      <c r="R811" s="18" t="n">
        <v>7866</v>
      </c>
      <c r="S811" s="20" t="n">
        <v>6386748271</v>
      </c>
      <c r="T811" s="6" t="n">
        <v>3</v>
      </c>
      <c r="U811" s="5" t="inlineStr">
        <is>
          <t>기타 장비 / 2025~ / 2026~ | 전장용 장비 / 2025~ / 2026~ | PC,광원등 / 2025~ / 2026~</t>
        </is>
      </c>
      <c r="V811" s="21">
        <f>HYPERLINK("https://dart.fss.or.kr/dsaf001/main.do?rcpNo=20260813001157", "공시열람")</f>
        <v/>
      </c>
    </row>
    <row r="812">
      <c r="A812" s="5" t="inlineStr">
        <is>
          <t>윤성에프앤씨</t>
        </is>
      </c>
      <c r="B812" s="6" t="inlineStr">
        <is>
          <t>372170</t>
        </is>
      </c>
      <c r="C812" s="6" t="inlineStr">
        <is>
          <t>2026Q2</t>
        </is>
      </c>
      <c r="D812" s="6" t="inlineStr">
        <is>
          <t>20260814</t>
        </is>
      </c>
      <c r="E812" s="16" t="n">
        <v>274420</v>
      </c>
      <c r="F812" s="16" t="n">
        <v>81735</v>
      </c>
      <c r="G812" s="16" t="n">
        <v>192685</v>
      </c>
      <c r="H812" s="6" t="inlineStr">
        <is>
          <t>백만원</t>
        </is>
      </c>
      <c r="I812" s="17" t="n">
        <v>-8.1</v>
      </c>
      <c r="J812" s="18" t="n">
        <v>252626</v>
      </c>
      <c r="K812" s="19" t="n">
        <v>300161</v>
      </c>
      <c r="L812" s="18" t="n">
        <v>286681</v>
      </c>
      <c r="M812" s="19" t="n">
        <v>238188</v>
      </c>
      <c r="N812" s="18" t="n">
        <v>228592</v>
      </c>
      <c r="O812" s="19" t="n">
        <v>194682</v>
      </c>
      <c r="P812" s="18" t="n">
        <v>189016</v>
      </c>
      <c r="Q812" s="19" t="n">
        <v>218676</v>
      </c>
      <c r="R812" s="18" t="n">
        <v>209671</v>
      </c>
      <c r="S812" s="20" t="n">
        <v>192685</v>
      </c>
      <c r="T812" s="6" t="n">
        <v>1</v>
      </c>
      <c r="U812" s="5" t="inlineStr">
        <is>
          <t>믹싱장비 및 시스템 / -</t>
        </is>
      </c>
      <c r="V812" s="21">
        <f>HYPERLINK("https://dart.fss.or.kr/dsaf001/main.do?rcpNo=20260814000641", "공시열람")</f>
        <v/>
      </c>
    </row>
    <row r="813">
      <c r="A813" s="5" t="inlineStr">
        <is>
          <t>아이티아이즈</t>
        </is>
      </c>
      <c r="B813" s="6" t="inlineStr">
        <is>
          <t>372800</t>
        </is>
      </c>
      <c r="C813" s="6" t="inlineStr">
        <is>
          <t>2026Q2</t>
        </is>
      </c>
      <c r="D813" s="6" t="inlineStr">
        <is>
          <t>20260814</t>
        </is>
      </c>
      <c r="E813" s="16" t="n">
        <v>116472</v>
      </c>
      <c r="F813" s="16" t="n">
        <v>64638</v>
      </c>
      <c r="G813" s="16" t="n">
        <v>51834</v>
      </c>
      <c r="H813" s="6" t="inlineStr">
        <is>
          <t>백만원</t>
        </is>
      </c>
      <c r="I813" s="17" t="n">
        <v>67.59999999999999</v>
      </c>
      <c r="J813" s="18" t="n">
        <v>49616</v>
      </c>
      <c r="K813" s="19" t="n">
        <v>47487</v>
      </c>
      <c r="L813" s="18" t="n">
        <v>48765</v>
      </c>
      <c r="M813" s="19" t="n">
        <v>66734</v>
      </c>
      <c r="N813" s="18" t="n">
        <v>55729</v>
      </c>
      <c r="O813" s="19" t="n">
        <v>44280</v>
      </c>
      <c r="P813" s="18" t="n">
        <v>35435</v>
      </c>
      <c r="Q813" s="19" t="n">
        <v>34711</v>
      </c>
      <c r="R813" s="18" t="n">
        <v>30929</v>
      </c>
      <c r="S813" s="20" t="n">
        <v>51834</v>
      </c>
      <c r="T813" s="6" t="n">
        <v>21</v>
      </c>
      <c r="U813" s="5" t="inlineStr">
        <is>
          <t>2026~2029년도 전력시장운영시스템 유지관리 위탁용 | 신용보증재단 및 신보중앙회 정보시스템 통합유지보수 /  | 기타 / 2022.06.01 / 2029.12.04</t>
        </is>
      </c>
      <c r="V813" s="21">
        <f>HYPERLINK("https://dart.fss.or.kr/dsaf001/main.do?rcpNo=20260814003419", "공시열람")</f>
        <v/>
      </c>
    </row>
    <row r="814">
      <c r="A814" s="5" t="inlineStr">
        <is>
          <t>한컴라이프케어</t>
        </is>
      </c>
      <c r="B814" s="6" t="inlineStr">
        <is>
          <t>372910</t>
        </is>
      </c>
      <c r="C814" s="6" t="inlineStr">
        <is>
          <t>2025Q1</t>
        </is>
      </c>
      <c r="D814" s="6" t="inlineStr">
        <is>
          <t>20250512</t>
        </is>
      </c>
      <c r="E814" s="16" t="n">
        <v>93929</v>
      </c>
      <c r="F814" s="16" t="inlineStr"/>
      <c r="G814" s="16" t="n">
        <v>93929</v>
      </c>
      <c r="H814" s="6" t="inlineStr">
        <is>
          <t>개,백만원</t>
        </is>
      </c>
      <c r="I814" s="17" t="n">
        <v>7.2</v>
      </c>
      <c r="J814" s="18" t="n">
        <v>116585</v>
      </c>
      <c r="K814" s="19" t="n">
        <v>108259</v>
      </c>
      <c r="L814" s="18" t="n">
        <v>98588</v>
      </c>
      <c r="M814" s="19" t="n">
        <v>87636</v>
      </c>
      <c r="N814" s="18" t="n">
        <v>93929</v>
      </c>
      <c r="O814" s="19" t="inlineStr"/>
      <c r="P814" s="18" t="inlineStr"/>
      <c r="Q814" s="19" t="inlineStr"/>
      <c r="R814" s="18" t="inlineStr"/>
      <c r="S814" s="20" t="inlineStr"/>
      <c r="T814" s="6" t="n">
        <v>5</v>
      </c>
      <c r="U814" s="5" t="inlineStr">
        <is>
          <t>지상레이저 표적지시기 2차 사업 / 2023.06.23 | 23년 예비군 교전훈련장비체계 / 2023.07.12  | 기갑/기계화 중대급 교전훈련체계 연구개발 / 2024.</t>
        </is>
      </c>
      <c r="V814" s="21">
        <f>HYPERLINK("https://dart.fss.or.kr/dsaf001/main.do?rcpNo=20250512000052", "공시열람")</f>
        <v/>
      </c>
    </row>
    <row r="815">
      <c r="A815" s="5" t="inlineStr">
        <is>
          <t>엠아이큐브솔루션</t>
        </is>
      </c>
      <c r="B815" s="6" t="inlineStr">
        <is>
          <t>373170</t>
        </is>
      </c>
      <c r="C815" s="6" t="inlineStr">
        <is>
          <t>2026Q2</t>
        </is>
      </c>
      <c r="D815" s="6" t="inlineStr">
        <is>
          <t>20260814</t>
        </is>
      </c>
      <c r="E815" s="16" t="n">
        <v>36684348</v>
      </c>
      <c r="F815" s="16" t="n">
        <v>24959327</v>
      </c>
      <c r="G815" s="16" t="n">
        <v>11725021</v>
      </c>
      <c r="H815" s="6" t="inlineStr">
        <is>
          <t>천원</t>
        </is>
      </c>
      <c r="I815" s="17" t="n">
        <v>2.3</v>
      </c>
      <c r="J815" s="18" t="n">
        <v>13718864</v>
      </c>
      <c r="K815" s="19" t="n">
        <v>11491924</v>
      </c>
      <c r="L815" s="18" t="n">
        <v>10636548</v>
      </c>
      <c r="M815" s="19" t="n">
        <v>7716711</v>
      </c>
      <c r="N815" s="18" t="n">
        <v>11923582</v>
      </c>
      <c r="O815" s="19" t="n">
        <v>11834</v>
      </c>
      <c r="P815" s="18" t="n">
        <v>9573750</v>
      </c>
      <c r="Q815" s="19" t="n">
        <v>5866654</v>
      </c>
      <c r="R815" s="18" t="n">
        <v>11462098</v>
      </c>
      <c r="S815" s="20" t="n">
        <v>11725021</v>
      </c>
      <c r="T815" s="6" t="n">
        <v>1</v>
      </c>
      <c r="U815" s="5" t="inlineStr">
        <is>
          <t>IT서비스 및 SW매출 / -</t>
        </is>
      </c>
      <c r="V815" s="21">
        <f>HYPERLINK("https://dart.fss.or.kr/dsaf001/main.do?rcpNo=20260814003216", "공시열람")</f>
        <v/>
      </c>
    </row>
    <row r="816">
      <c r="A816" s="5" t="inlineStr">
        <is>
          <t>DL이앤씨</t>
        </is>
      </c>
      <c r="B816" s="6" t="inlineStr">
        <is>
          <t>375500</t>
        </is>
      </c>
      <c r="C816" s="6" t="inlineStr">
        <is>
          <t>2026Q2</t>
        </is>
      </c>
      <c r="D816" s="6" t="inlineStr">
        <is>
          <t>20260814</t>
        </is>
      </c>
      <c r="E816" s="16" t="n">
        <v>40867535</v>
      </c>
      <c r="F816" s="16" t="n">
        <v>15227906</v>
      </c>
      <c r="G816" s="16" t="n">
        <v>25639629</v>
      </c>
      <c r="H816" s="6" t="inlineStr">
        <is>
          <t>백만원</t>
        </is>
      </c>
      <c r="I816" s="17" t="n">
        <v>15.4</v>
      </c>
      <c r="J816" s="18" t="n">
        <v>21748252</v>
      </c>
      <c r="K816" s="19" t="n">
        <v>21553212</v>
      </c>
      <c r="L816" s="18" t="n">
        <v>21322311</v>
      </c>
      <c r="M816" s="19" t="n">
        <v>21872078</v>
      </c>
      <c r="N816" s="18" t="n">
        <v>21652989</v>
      </c>
      <c r="O816" s="19" t="n">
        <v>20621363</v>
      </c>
      <c r="P816" s="18" t="n">
        <v>20570366</v>
      </c>
      <c r="Q816" s="19" t="n">
        <v>22436982</v>
      </c>
      <c r="R816" s="18" t="n">
        <v>22225195</v>
      </c>
      <c r="S816" s="20" t="n">
        <v>25639629</v>
      </c>
      <c r="T816" s="6" t="n">
        <v>114</v>
      </c>
      <c r="U81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6" s="21">
        <f>HYPERLINK("https://dart.fss.or.kr/dsaf001/main.do?rcpNo=20260814003712", "공시열람")</f>
        <v/>
      </c>
    </row>
    <row r="817">
      <c r="A817" s="5" t="inlineStr">
        <is>
          <t>노을</t>
        </is>
      </c>
      <c r="B817" s="6" t="inlineStr">
        <is>
          <t>376930</t>
        </is>
      </c>
      <c r="C817" s="6" t="inlineStr">
        <is>
          <t>2026Q2</t>
        </is>
      </c>
      <c r="D817" s="6" t="inlineStr">
        <is>
          <t>20260813</t>
        </is>
      </c>
      <c r="E817" s="16" t="n">
        <v>26057</v>
      </c>
      <c r="F817" s="16" t="n">
        <v>4886</v>
      </c>
      <c r="G817" s="16" t="n">
        <v>21172</v>
      </c>
      <c r="H817" s="6" t="inlineStr">
        <is>
          <t>백만원</t>
        </is>
      </c>
      <c r="I817" s="17" t="n">
        <v>-2.9</v>
      </c>
      <c r="J817" s="18" t="n">
        <v>12160</v>
      </c>
      <c r="K817" s="19" t="n">
        <v>11903</v>
      </c>
      <c r="L817" s="18" t="n">
        <v>11731</v>
      </c>
      <c r="M817" s="19" t="n">
        <v>13878</v>
      </c>
      <c r="N817" s="18" t="n">
        <v>20818</v>
      </c>
      <c r="O817" s="19" t="n">
        <v>22382</v>
      </c>
      <c r="P817" s="18" t="n">
        <v>22516</v>
      </c>
      <c r="Q817" s="19" t="n">
        <v>21923</v>
      </c>
      <c r="R817" s="18" t="n">
        <v>21799</v>
      </c>
      <c r="S817" s="20" t="n">
        <v>21172</v>
      </c>
      <c r="T817" s="6" t="n">
        <v>11</v>
      </c>
      <c r="U817" s="5" t="inlineStr">
        <is>
          <t>miLab™ 디바이스 및 카트리지 / 2023-08-0 | miLab™ 디바이스 및 카트리지 / 2025-02-2 | miLab™ 디바이스 및 카트리지 / 2024-11-0</t>
        </is>
      </c>
      <c r="V817" s="21">
        <f>HYPERLINK("https://dart.fss.or.kr/dsaf001/main.do?rcpNo=20260812000889", "공시열람")</f>
        <v/>
      </c>
    </row>
    <row r="818">
      <c r="A818" s="5" t="inlineStr">
        <is>
          <t>비트맥스</t>
        </is>
      </c>
      <c r="B818" s="6" t="inlineStr">
        <is>
          <t>377030</t>
        </is>
      </c>
      <c r="C818" s="6" t="inlineStr">
        <is>
          <t>2025Q1</t>
        </is>
      </c>
      <c r="D818" s="6" t="inlineStr">
        <is>
          <t>20250515</t>
        </is>
      </c>
      <c r="E818" s="16" t="n">
        <v>496</v>
      </c>
      <c r="F818" s="16" t="inlineStr"/>
      <c r="G818" s="16" t="n">
        <v>496</v>
      </c>
      <c r="H818" s="6" t="inlineStr">
        <is>
          <t>백만원</t>
        </is>
      </c>
      <c r="I818" s="17" t="n">
        <v>-94.7</v>
      </c>
      <c r="J818" s="18" t="n">
        <v>10823</v>
      </c>
      <c r="K818" s="19" t="n">
        <v>11630</v>
      </c>
      <c r="L818" s="18" t="n">
        <v>9529</v>
      </c>
      <c r="M818" s="19" t="n">
        <v>9443</v>
      </c>
      <c r="N818" s="18" t="n">
        <v>496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IT서비스 / ㈜아이엘포유 / 시스템구축 및 운영 유지</t>
        </is>
      </c>
      <c r="V818" s="21">
        <f>HYPERLINK("https://dart.fss.or.kr/dsaf001/main.do?rcpNo=20250515001562", "공시열람")</f>
        <v/>
      </c>
    </row>
    <row r="819">
      <c r="A819" s="5" t="inlineStr">
        <is>
          <t>이지트로닉스</t>
        </is>
      </c>
      <c r="B819" s="6" t="inlineStr">
        <is>
          <t>377330</t>
        </is>
      </c>
      <c r="C819" s="6" t="inlineStr">
        <is>
          <t>2026Q2</t>
        </is>
      </c>
      <c r="D819" s="6" t="inlineStr">
        <is>
          <t>20260814</t>
        </is>
      </c>
      <c r="E819" s="16" t="n">
        <v>9495</v>
      </c>
      <c r="F819" s="16" t="n">
        <v>4905</v>
      </c>
      <c r="G819" s="16" t="n">
        <v>4590</v>
      </c>
      <c r="H819" s="6" t="inlineStr">
        <is>
          <t>백만원</t>
        </is>
      </c>
      <c r="I819" s="17" t="n">
        <v>-38.7</v>
      </c>
      <c r="J819" s="18" t="n">
        <v>2886</v>
      </c>
      <c r="K819" s="19" t="n">
        <v>5024</v>
      </c>
      <c r="L819" s="18" t="n">
        <v>12497</v>
      </c>
      <c r="M819" s="19" t="n">
        <v>3039</v>
      </c>
      <c r="N819" s="18" t="n">
        <v>5157</v>
      </c>
      <c r="O819" s="19" t="n">
        <v>3361</v>
      </c>
      <c r="P819" s="18" t="n">
        <v>3325</v>
      </c>
      <c r="Q819" s="19" t="n">
        <v>4939</v>
      </c>
      <c r="R819" s="18" t="n">
        <v>7486</v>
      </c>
      <c r="S819" s="20" t="n">
        <v>4590</v>
      </c>
      <c r="T819" s="6" t="n">
        <v>1</v>
      </c>
      <c r="U819" s="5" t="inlineStr">
        <is>
          <t>전력변환장치(제품) 외 / 2026년</t>
        </is>
      </c>
      <c r="V819" s="21">
        <f>HYPERLINK("https://dart.fss.or.kr/dsaf001/main.do?rcpNo=20260814002509", "공시열람")</f>
        <v/>
      </c>
    </row>
    <row r="820">
      <c r="A820" s="5" t="inlineStr">
        <is>
          <t>마음AI</t>
        </is>
      </c>
      <c r="B820" s="6" t="inlineStr">
        <is>
          <t>377480</t>
        </is>
      </c>
      <c r="C820" s="6" t="inlineStr">
        <is>
          <t>2026Q2</t>
        </is>
      </c>
      <c r="D820" s="6" t="inlineStr">
        <is>
          <t>20260814</t>
        </is>
      </c>
      <c r="E820" s="16" t="n">
        <v>4015317</v>
      </c>
      <c r="F820" s="16" t="n">
        <v>1598358</v>
      </c>
      <c r="G820" s="16" t="n">
        <v>2416959</v>
      </c>
      <c r="H820" s="6" t="inlineStr">
        <is>
          <t>천원</t>
        </is>
      </c>
      <c r="I820" s="17" t="n">
        <v>2218.6</v>
      </c>
      <c r="J820" s="18" t="n">
        <v>1395846</v>
      </c>
      <c r="K820" s="19" t="n">
        <v>1943692</v>
      </c>
      <c r="L820" s="18" t="n">
        <v>1619015</v>
      </c>
      <c r="M820" s="19" t="n">
        <v>518080</v>
      </c>
      <c r="N820" s="18" t="n">
        <v>673648</v>
      </c>
      <c r="O820" s="19" t="n">
        <v>1229587</v>
      </c>
      <c r="P820" s="18" t="n">
        <v>774501</v>
      </c>
      <c r="Q820" s="19" t="n">
        <v>2646480</v>
      </c>
      <c r="R820" s="18" t="n">
        <v>104240</v>
      </c>
      <c r="S820" s="20" t="n">
        <v>2416959</v>
      </c>
      <c r="T820" s="6" t="n">
        <v>14</v>
      </c>
      <c r="U82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20" s="21">
        <f>HYPERLINK("https://dart.fss.or.kr/dsaf001/main.do?rcpNo=20260814002855", "공시열람")</f>
        <v/>
      </c>
    </row>
    <row r="821">
      <c r="A821" s="5" t="inlineStr">
        <is>
          <t>필에너지</t>
        </is>
      </c>
      <c r="B821" s="6" t="inlineStr">
        <is>
          <t>378340</t>
        </is>
      </c>
      <c r="C821" s="6" t="inlineStr">
        <is>
          <t>2026Q2</t>
        </is>
      </c>
      <c r="D821" s="6" t="inlineStr">
        <is>
          <t>20260814</t>
        </is>
      </c>
      <c r="E821" s="16" t="n">
        <v>99387</v>
      </c>
      <c r="F821" s="16" t="n">
        <v>4129</v>
      </c>
      <c r="G821" s="16" t="n">
        <v>95258</v>
      </c>
      <c r="H821" s="6" t="inlineStr">
        <is>
          <t>백만원</t>
        </is>
      </c>
      <c r="I821" s="17" t="n">
        <v>16.4</v>
      </c>
      <c r="J821" s="18" t="n">
        <v>291171</v>
      </c>
      <c r="K821" s="19" t="n">
        <v>199885</v>
      </c>
      <c r="L821" s="18" t="n">
        <v>148244</v>
      </c>
      <c r="M821" s="19" t="n">
        <v>79163</v>
      </c>
      <c r="N821" s="18" t="n">
        <v>82878</v>
      </c>
      <c r="O821" s="19" t="n">
        <v>62162</v>
      </c>
      <c r="P821" s="18" t="n">
        <v>64638</v>
      </c>
      <c r="Q821" s="19" t="n">
        <v>73666</v>
      </c>
      <c r="R821" s="18" t="n">
        <v>81832</v>
      </c>
      <c r="S821" s="20" t="n">
        <v>95258</v>
      </c>
      <c r="T821" s="6" t="n">
        <v>1</v>
      </c>
      <c r="U821" s="5" t="inlineStr">
        <is>
          <t>이차전지 공정장비 / -</t>
        </is>
      </c>
      <c r="V821" s="21">
        <f>HYPERLINK("https://dart.fss.or.kr/dsaf001/main.do?rcpNo=20260814002628", "공시열람")</f>
        <v/>
      </c>
    </row>
    <row r="822">
      <c r="A822" s="5" t="inlineStr">
        <is>
          <t>이성씨엔아이</t>
        </is>
      </c>
      <c r="B822" s="6" t="inlineStr">
        <is>
          <t>379390</t>
        </is>
      </c>
      <c r="C822" s="6" t="inlineStr">
        <is>
          <t>2025Q4</t>
        </is>
      </c>
      <c r="D822" s="6" t="inlineStr">
        <is>
          <t>20260323</t>
        </is>
      </c>
      <c r="E822" s="16" t="n">
        <v>40691</v>
      </c>
      <c r="F822" s="16" t="n">
        <v>23305</v>
      </c>
      <c r="G822" s="16" t="n">
        <v>17386</v>
      </c>
      <c r="H822" s="6" t="inlineStr">
        <is>
          <t>백만원,천USD</t>
        </is>
      </c>
      <c r="I822" s="17" t="n">
        <v>4.6</v>
      </c>
      <c r="J822" s="18" t="inlineStr"/>
      <c r="K822" s="19" t="inlineStr"/>
      <c r="L822" s="18" t="inlineStr"/>
      <c r="M822" s="19" t="n">
        <v>16617</v>
      </c>
      <c r="N822" s="18" t="inlineStr"/>
      <c r="O822" s="19" t="inlineStr"/>
      <c r="P822" s="18" t="inlineStr"/>
      <c r="Q822" s="19" t="n">
        <v>17386</v>
      </c>
      <c r="R822" s="18" t="inlineStr"/>
      <c r="S822" s="20" t="inlineStr"/>
      <c r="T822" s="6" t="n">
        <v>5</v>
      </c>
      <c r="U822" s="5" t="inlineStr">
        <is>
          <t>교전훈련체계 / - | 운송 물류주선 사업 / - | 원자력 / -</t>
        </is>
      </c>
      <c r="V822" s="21">
        <f>HYPERLINK("https://dart.fss.or.kr/dsaf001/main.do?rcpNo=20260323000676", "공시열람")</f>
        <v/>
      </c>
    </row>
    <row r="823">
      <c r="A823" s="5" t="inlineStr">
        <is>
          <t>옵티코어</t>
        </is>
      </c>
      <c r="B823" s="6" t="inlineStr">
        <is>
          <t>380540</t>
        </is>
      </c>
      <c r="C823" s="6" t="inlineStr">
        <is>
          <t>2026Q2</t>
        </is>
      </c>
      <c r="D823" s="6" t="inlineStr">
        <is>
          <t>20260814</t>
        </is>
      </c>
      <c r="E823" s="16" t="n">
        <v>17859</v>
      </c>
      <c r="F823" s="16" t="n">
        <v>14317</v>
      </c>
      <c r="G823" s="16" t="n">
        <v>3543</v>
      </c>
      <c r="H823" s="6" t="inlineStr">
        <is>
          <t>EA,백만원</t>
        </is>
      </c>
      <c r="I823" s="17" t="n">
        <v>25.7</v>
      </c>
      <c r="J823" s="18" t="n">
        <v>2542</v>
      </c>
      <c r="K823" s="19" t="n">
        <v>3422</v>
      </c>
      <c r="L823" s="18" t="n">
        <v>6104</v>
      </c>
      <c r="M823" s="19" t="n">
        <v>1603</v>
      </c>
      <c r="N823" s="18" t="n">
        <v>837</v>
      </c>
      <c r="O823" s="19" t="n">
        <v>1859</v>
      </c>
      <c r="P823" s="18" t="n">
        <v>9151</v>
      </c>
      <c r="Q823" s="19" t="n">
        <v>10808</v>
      </c>
      <c r="R823" s="18" t="n">
        <v>2819</v>
      </c>
      <c r="S823" s="20" t="n">
        <v>3543</v>
      </c>
      <c r="T823" s="6" t="n">
        <v>2</v>
      </c>
      <c r="U823" s="5" t="inlineStr">
        <is>
          <t>광트랜시버 / - | 기타</t>
        </is>
      </c>
      <c r="V823" s="21">
        <f>HYPERLINK("https://dart.fss.or.kr/dsaf001/main.do?rcpNo=20260814003643", "공시열람")</f>
        <v/>
      </c>
    </row>
    <row r="824">
      <c r="A824" s="5" t="inlineStr">
        <is>
          <t>뉴로핏</t>
        </is>
      </c>
      <c r="B824" s="6" t="inlineStr">
        <is>
          <t>380550</t>
        </is>
      </c>
      <c r="C824" s="6" t="inlineStr">
        <is>
          <t>2026Q2</t>
        </is>
      </c>
      <c r="D824" s="6" t="inlineStr">
        <is>
          <t>20260814</t>
        </is>
      </c>
      <c r="E824" s="16" t="n">
        <v>2310528</v>
      </c>
      <c r="F824" s="16" t="inlineStr"/>
      <c r="G824" s="16" t="n">
        <v>1141644</v>
      </c>
      <c r="H824" s="6" t="inlineStr">
        <is>
          <t>천원</t>
        </is>
      </c>
      <c r="I824" s="17" t="n">
        <v>2.4</v>
      </c>
      <c r="J824" s="18" t="inlineStr"/>
      <c r="K824" s="19" t="inlineStr"/>
      <c r="L824" s="18" t="inlineStr"/>
      <c r="M824" s="19" t="inlineStr"/>
      <c r="N824" s="18" t="inlineStr"/>
      <c r="O824" s="19" t="n">
        <v>1386125</v>
      </c>
      <c r="P824" s="18" t="n">
        <v>1146114</v>
      </c>
      <c r="Q824" s="19" t="n">
        <v>1161535</v>
      </c>
      <c r="R824" s="18" t="n">
        <v>1114642</v>
      </c>
      <c r="S824" s="20" t="n">
        <v>1141644</v>
      </c>
      <c r="T824" s="6" t="n">
        <v>38</v>
      </c>
      <c r="U824" s="5" t="inlineStr">
        <is>
          <t>Imaging CRO | Imaging CRO | Neurophet AQUA</t>
        </is>
      </c>
      <c r="V824" s="21">
        <f>HYPERLINK("https://dart.fss.or.kr/dsaf001/main.do?rcpNo=20260814002605", "공시열람")</f>
        <v/>
      </c>
    </row>
    <row r="825">
      <c r="A825" s="5" t="inlineStr">
        <is>
          <t>지앤비에스 에코</t>
        </is>
      </c>
      <c r="B825" s="6" t="inlineStr">
        <is>
          <t>382800</t>
        </is>
      </c>
      <c r="C825" s="6" t="inlineStr">
        <is>
          <t>2025Q1</t>
        </is>
      </c>
      <c r="D825" s="6" t="inlineStr">
        <is>
          <t>20250530</t>
        </is>
      </c>
      <c r="E825" s="16" t="inlineStr"/>
      <c r="F825" s="16" t="inlineStr"/>
      <c r="G825" s="16" t="n">
        <v>9169</v>
      </c>
      <c r="H825" s="6" t="inlineStr">
        <is>
          <t>백만원</t>
        </is>
      </c>
      <c r="I825" s="17" t="n">
        <v>-27.5</v>
      </c>
      <c r="J825" s="18" t="n">
        <v>6300</v>
      </c>
      <c r="K825" s="19" t="n">
        <v>2761</v>
      </c>
      <c r="L825" s="18" t="n">
        <v>2373</v>
      </c>
      <c r="M825" s="19" t="n">
        <v>12648</v>
      </c>
      <c r="N825" s="18" t="n">
        <v>9169</v>
      </c>
      <c r="O825" s="19" t="inlineStr"/>
      <c r="P825" s="18" t="inlineStr"/>
      <c r="Q825" s="19" t="inlineStr"/>
      <c r="R825" s="18" t="inlineStr"/>
      <c r="S825" s="20" t="inlineStr"/>
      <c r="T825" s="6" t="n">
        <v>1</v>
      </c>
      <c r="U825" s="5" t="inlineStr">
        <is>
          <t>SCRUBBER 외 / -</t>
        </is>
      </c>
      <c r="V825" s="21">
        <f>HYPERLINK("https://dart.fss.or.kr/dsaf001/main.do?rcpNo=20250530001989", "공시열람")</f>
        <v/>
      </c>
    </row>
    <row r="826">
      <c r="A826" s="5" t="inlineStr">
        <is>
          <t>원준</t>
        </is>
      </c>
      <c r="B826" s="6" t="inlineStr">
        <is>
          <t>382840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121812</v>
      </c>
      <c r="F826" s="16" t="n">
        <v>71639</v>
      </c>
      <c r="G826" s="16" t="n">
        <v>50173</v>
      </c>
      <c r="H826" s="6" t="inlineStr">
        <is>
          <t>백만원</t>
        </is>
      </c>
      <c r="I826" s="17" t="n">
        <v>3.3</v>
      </c>
      <c r="J826" s="18" t="n">
        <v>246010</v>
      </c>
      <c r="K826" s="19" t="n">
        <v>198246</v>
      </c>
      <c r="L826" s="18" t="n">
        <v>178613</v>
      </c>
      <c r="M826" s="19" t="n">
        <v>147154</v>
      </c>
      <c r="N826" s="18" t="n">
        <v>53005</v>
      </c>
      <c r="O826" s="19" t="n">
        <v>48866</v>
      </c>
      <c r="P826" s="18" t="n">
        <v>47606</v>
      </c>
      <c r="Q826" s="19" t="n">
        <v>48218</v>
      </c>
      <c r="R826" s="18" t="n">
        <v>48589</v>
      </c>
      <c r="S826" s="20" t="n">
        <v>50173</v>
      </c>
      <c r="T826" s="6" t="n">
        <v>1</v>
      </c>
      <c r="U826" s="5" t="inlineStr">
        <is>
          <t>열처리 장비 및 공정설비 / -</t>
        </is>
      </c>
      <c r="V826" s="21">
        <f>HYPERLINK("https://dart.fss.or.kr/dsaf001/main.do?rcpNo=20260814003223", "공시열람")</f>
        <v/>
      </c>
    </row>
    <row r="827">
      <c r="A827" s="5" t="inlineStr">
        <is>
          <t>범한퓨얼셀</t>
        </is>
      </c>
      <c r="B827" s="6" t="inlineStr">
        <is>
          <t>382900</t>
        </is>
      </c>
      <c r="C827" s="6" t="inlineStr">
        <is>
          <t>2026Q2</t>
        </is>
      </c>
      <c r="D827" s="6" t="inlineStr">
        <is>
          <t>20260814</t>
        </is>
      </c>
      <c r="E827" s="16" t="n">
        <v>87645</v>
      </c>
      <c r="F827" s="16" t="n">
        <v>26574</v>
      </c>
      <c r="G827" s="16" t="n">
        <v>61071</v>
      </c>
      <c r="H827" s="6" t="inlineStr">
        <is>
          <t>백만원</t>
        </is>
      </c>
      <c r="I827" s="17" t="n">
        <v>-19.5</v>
      </c>
      <c r="J827" s="18" t="n">
        <v>3382</v>
      </c>
      <c r="K827" s="19" t="n">
        <v>2971</v>
      </c>
      <c r="L827" s="18" t="n">
        <v>2560</v>
      </c>
      <c r="M827" s="19" t="n">
        <v>12934</v>
      </c>
      <c r="N827" s="18" t="n">
        <v>12667</v>
      </c>
      <c r="O827" s="19" t="n">
        <v>13550</v>
      </c>
      <c r="P827" s="18" t="n">
        <v>76263</v>
      </c>
      <c r="Q827" s="19" t="n">
        <v>67853</v>
      </c>
      <c r="R827" s="18" t="n">
        <v>75879</v>
      </c>
      <c r="S827" s="20" t="n">
        <v>61071</v>
      </c>
      <c r="T827" s="6" t="n">
        <v>1</v>
      </c>
      <c r="U827" s="5" t="inlineStr">
        <is>
          <t xml:space="preserve">수소충전소 / '21.07.23~'26.04.29 / </t>
        </is>
      </c>
      <c r="V827" s="21">
        <f>HYPERLINK("https://dart.fss.or.kr/dsaf001/main.do?rcpNo=20260814003724", "공시열람")</f>
        <v/>
      </c>
    </row>
    <row r="828">
      <c r="A828" s="5" t="inlineStr">
        <is>
          <t>에코프로에이치엔</t>
        </is>
      </c>
      <c r="B828" s="6" t="inlineStr">
        <is>
          <t>383310</t>
        </is>
      </c>
      <c r="C828" s="6" t="inlineStr">
        <is>
          <t>2026Q2</t>
        </is>
      </c>
      <c r="D828" s="6" t="inlineStr">
        <is>
          <t>20260814</t>
        </is>
      </c>
      <c r="E828" s="16" t="n">
        <v>162441</v>
      </c>
      <c r="F828" s="16" t="n">
        <v>79411</v>
      </c>
      <c r="G828" s="16" t="n">
        <v>83030</v>
      </c>
      <c r="H828" s="6" t="inlineStr">
        <is>
          <t>백만원</t>
        </is>
      </c>
      <c r="I828" s="17" t="n">
        <v>-7.5</v>
      </c>
      <c r="J828" s="18" t="n">
        <v>129684</v>
      </c>
      <c r="K828" s="19" t="n">
        <v>105484</v>
      </c>
      <c r="L828" s="18" t="n">
        <v>89347</v>
      </c>
      <c r="M828" s="19" t="n">
        <v>77099</v>
      </c>
      <c r="N828" s="18" t="n">
        <v>72058</v>
      </c>
      <c r="O828" s="19" t="n">
        <v>78334</v>
      </c>
      <c r="P828" s="18" t="n">
        <v>82744</v>
      </c>
      <c r="Q828" s="19" t="n">
        <v>64269</v>
      </c>
      <c r="R828" s="18" t="n">
        <v>89753</v>
      </c>
      <c r="S828" s="20" t="n">
        <v>83030</v>
      </c>
      <c r="T828" s="6" t="n">
        <v>5</v>
      </c>
      <c r="U828" s="5" t="inlineStr">
        <is>
          <t>온실가스 감축 솔루션 / ~2026.06.30 / - | 미세먼지 저감 솔루션 / ~2026.06.30 / - | 클린룸 케미컬 필터 / ~2026.06.30 / -</t>
        </is>
      </c>
      <c r="V828" s="21">
        <f>HYPERLINK("https://dart.fss.or.kr/dsaf001/main.do?rcpNo=20260814001912", "공시열람")</f>
        <v/>
      </c>
    </row>
    <row r="829">
      <c r="A829" s="5" t="inlineStr">
        <is>
          <t>디티앤씨알오</t>
        </is>
      </c>
      <c r="B829" s="6" t="inlineStr">
        <is>
          <t>383930</t>
        </is>
      </c>
      <c r="C829" s="6" t="inlineStr">
        <is>
          <t>2026Q2</t>
        </is>
      </c>
      <c r="D829" s="6" t="inlineStr">
        <is>
          <t>20260814</t>
        </is>
      </c>
      <c r="E829" s="16" t="n">
        <v>113413974</v>
      </c>
      <c r="F829" s="16" t="n">
        <v>57221612</v>
      </c>
      <c r="G829" s="16" t="n">
        <v>56192362</v>
      </c>
      <c r="H829" s="6" t="inlineStr">
        <is>
          <t>천원</t>
        </is>
      </c>
      <c r="I829" s="17" t="n">
        <v>8.6</v>
      </c>
      <c r="J829" s="18" t="n">
        <v>39874739</v>
      </c>
      <c r="K829" s="19" t="n">
        <v>42712496</v>
      </c>
      <c r="L829" s="18" t="n">
        <v>42739514</v>
      </c>
      <c r="M829" s="19" t="n">
        <v>47914244</v>
      </c>
      <c r="N829" s="18" t="n">
        <v>44770378</v>
      </c>
      <c r="O829" s="19" t="n">
        <v>48764533</v>
      </c>
      <c r="P829" s="18" t="n">
        <v>49558403</v>
      </c>
      <c r="Q829" s="19" t="n">
        <v>51756226</v>
      </c>
      <c r="R829" s="18" t="n">
        <v>51756226</v>
      </c>
      <c r="S829" s="20" t="n">
        <v>56192362</v>
      </c>
      <c r="T829" s="6" t="n">
        <v>4</v>
      </c>
      <c r="U829" s="5" t="inlineStr">
        <is>
          <t>임상사업부 / - | 안전성센터 / - | 효능평가센터 / -</t>
        </is>
      </c>
      <c r="V829" s="21">
        <f>HYPERLINK("https://dart.fss.or.kr/dsaf001/main.do?rcpNo=20260814003017", "공시열람")</f>
        <v/>
      </c>
    </row>
    <row r="830">
      <c r="A830" s="5" t="inlineStr">
        <is>
          <t>지투파워</t>
        </is>
      </c>
      <c r="B830" s="6" t="inlineStr">
        <is>
          <t>388050</t>
        </is>
      </c>
      <c r="C830" s="6" t="inlineStr">
        <is>
          <t>2026Q2</t>
        </is>
      </c>
      <c r="D830" s="6" t="inlineStr">
        <is>
          <t>20260930</t>
        </is>
      </c>
      <c r="E830" s="16" t="n">
        <v>114135</v>
      </c>
      <c r="F830" s="16" t="inlineStr"/>
      <c r="G830" s="16" t="n">
        <v>114135</v>
      </c>
      <c r="H830" s="6" t="inlineStr">
        <is>
          <t>백만원</t>
        </is>
      </c>
      <c r="I830" s="17" t="n">
        <v>6.8</v>
      </c>
      <c r="J830" s="18" t="n">
        <v>55747</v>
      </c>
      <c r="K830" s="19" t="n">
        <v>71115</v>
      </c>
      <c r="L830" s="18" t="n">
        <v>80667</v>
      </c>
      <c r="M830" s="19" t="n">
        <v>76880</v>
      </c>
      <c r="N830" s="18" t="n">
        <v>120348</v>
      </c>
      <c r="O830" s="19" t="n">
        <v>129623</v>
      </c>
      <c r="P830" s="18" t="n">
        <v>128156</v>
      </c>
      <c r="Q830" s="19" t="n">
        <v>115314</v>
      </c>
      <c r="R830" s="18" t="n">
        <v>106896</v>
      </c>
      <c r="S830" s="20" t="n">
        <v>114135</v>
      </c>
      <c r="T830" s="6" t="n">
        <v>5</v>
      </c>
      <c r="U830" s="5" t="inlineStr">
        <is>
          <t xml:space="preserve">수배전반 / 2022-04-06 ~2026-06-30  | 태양광 / 2023-06-23 ~ 2026-06-30  | ESS / 2024-08-28 ~ 2026-06-01 </t>
        </is>
      </c>
      <c r="V830" s="21">
        <f>HYPERLINK("https://dart.fss.or.kr/dsaf001/main.do?rcpNo=20260930000636", "공시열람")</f>
        <v/>
      </c>
    </row>
    <row r="831">
      <c r="A831" s="5" t="inlineStr">
        <is>
          <t>유일로보틱스</t>
        </is>
      </c>
      <c r="B831" s="6" t="inlineStr">
        <is>
          <t>388720</t>
        </is>
      </c>
      <c r="C831" s="6" t="inlineStr">
        <is>
          <t>2026Q2</t>
        </is>
      </c>
      <c r="D831" s="6" t="inlineStr">
        <is>
          <t>20260814</t>
        </is>
      </c>
      <c r="E831" s="16" t="n">
        <v>11120</v>
      </c>
      <c r="F831" s="16" t="inlineStr"/>
      <c r="G831" s="16" t="n">
        <v>11120</v>
      </c>
      <c r="H831" s="6" t="inlineStr">
        <is>
          <t>백만원</t>
        </is>
      </c>
      <c r="I831" s="17" t="n">
        <v>87.7</v>
      </c>
      <c r="J831" s="18" t="inlineStr"/>
      <c r="K831" s="19" t="inlineStr"/>
      <c r="L831" s="18" t="inlineStr"/>
      <c r="M831" s="19" t="inlineStr"/>
      <c r="N831" s="18" t="inlineStr"/>
      <c r="O831" s="19" t="inlineStr"/>
      <c r="P831" s="18" t="inlineStr"/>
      <c r="Q831" s="19" t="n">
        <v>5925</v>
      </c>
      <c r="R831" s="18" t="n">
        <v>5925</v>
      </c>
      <c r="S831" s="20" t="n">
        <v>11120</v>
      </c>
      <c r="T831" s="6" t="n">
        <v>2</v>
      </c>
      <c r="U831" s="5" t="inlineStr">
        <is>
          <t>진공기상건조로 제4호기, 제5호기 / 2026.02.1 | 신공장 자동화 구축 (물류자동화+MES시스템) / 20</t>
        </is>
      </c>
      <c r="V831" s="21">
        <f>HYPERLINK("https://dart.fss.or.kr/dsaf001/main.do?rcpNo=20260814002610", "공시열람")</f>
        <v/>
      </c>
    </row>
    <row r="832">
      <c r="A832" s="5" t="inlineStr">
        <is>
          <t>라이콤</t>
        </is>
      </c>
      <c r="B832" s="6" t="inlineStr">
        <is>
          <t>388790</t>
        </is>
      </c>
      <c r="C832" s="6" t="inlineStr">
        <is>
          <t>2026Q2</t>
        </is>
      </c>
      <c r="D832" s="6" t="inlineStr">
        <is>
          <t>20260814</t>
        </is>
      </c>
      <c r="E832" s="16" t="n">
        <v>26337</v>
      </c>
      <c r="F832" s="16" t="n">
        <v>7224</v>
      </c>
      <c r="G832" s="16" t="n">
        <v>19115</v>
      </c>
      <c r="H832" s="6" t="inlineStr">
        <is>
          <t>백만원</t>
        </is>
      </c>
      <c r="I832" s="17" t="n">
        <v>78.2</v>
      </c>
      <c r="J832" s="18" t="n">
        <v>5099</v>
      </c>
      <c r="K832" s="19" t="n">
        <v>4345</v>
      </c>
      <c r="L832" s="18" t="n">
        <v>5331</v>
      </c>
      <c r="M832" s="19" t="n">
        <v>4706</v>
      </c>
      <c r="N832" s="18" t="n">
        <v>3180</v>
      </c>
      <c r="O832" s="19" t="n">
        <v>3902</v>
      </c>
      <c r="P832" s="18" t="n">
        <v>10200</v>
      </c>
      <c r="Q832" s="19" t="n">
        <v>6583</v>
      </c>
      <c r="R832" s="18" t="n">
        <v>10726</v>
      </c>
      <c r="S832" s="20" t="n">
        <v>19115</v>
      </c>
      <c r="T832" s="6" t="n">
        <v>4</v>
      </c>
      <c r="U832" s="5" t="inlineStr">
        <is>
          <t>광증폭기 / - | 광섬유레이저 / - | 광중계기 / -</t>
        </is>
      </c>
      <c r="V832" s="21">
        <f>HYPERLINK("https://dart.fss.or.kr/dsaf001/main.do?rcpNo=20260814001795", "공시열람")</f>
        <v/>
      </c>
    </row>
    <row r="833">
      <c r="A833" s="5" t="inlineStr">
        <is>
          <t>자람테크놀로지</t>
        </is>
      </c>
      <c r="B833" s="6" t="inlineStr">
        <is>
          <t>389020</t>
        </is>
      </c>
      <c r="C833" s="6" t="inlineStr">
        <is>
          <t>2026Q2</t>
        </is>
      </c>
      <c r="D833" s="6" t="inlineStr">
        <is>
          <t>20260929</t>
        </is>
      </c>
      <c r="E833" s="16" t="inlineStr"/>
      <c r="F833" s="16" t="inlineStr"/>
      <c r="G833" s="16" t="n">
        <v>24178</v>
      </c>
      <c r="H833" s="6" t="inlineStr">
        <is>
          <t>백만원</t>
        </is>
      </c>
      <c r="I833" s="17" t="n">
        <v>-7.8</v>
      </c>
      <c r="J833" s="18" t="n">
        <v>12805</v>
      </c>
      <c r="K833" s="19" t="n">
        <v>10508</v>
      </c>
      <c r="L833" s="18" t="n">
        <v>6926</v>
      </c>
      <c r="M833" s="19" t="n">
        <v>5184</v>
      </c>
      <c r="N833" s="18" t="n">
        <v>4820</v>
      </c>
      <c r="O833" s="19" t="n">
        <v>5080</v>
      </c>
      <c r="P833" s="18" t="n">
        <v>4927</v>
      </c>
      <c r="Q833" s="19" t="n">
        <v>27886</v>
      </c>
      <c r="R833" s="18" t="n">
        <v>26228</v>
      </c>
      <c r="S833" s="20" t="n">
        <v>24178</v>
      </c>
      <c r="T833" s="6" t="n">
        <v>2</v>
      </c>
      <c r="U833" s="5" t="inlineStr">
        <is>
          <t>N社 등 / XGSPON 및 개발비 | B社 등 / 광트랜시버</t>
        </is>
      </c>
      <c r="V833" s="21">
        <f>HYPERLINK("https://dart.fss.or.kr/dsaf001/main.do?rcpNo=20260929000500", "공시열람")</f>
        <v/>
      </c>
    </row>
    <row r="834">
      <c r="A834" s="5" t="inlineStr">
        <is>
          <t>포바이포</t>
        </is>
      </c>
      <c r="B834" s="6" t="inlineStr">
        <is>
          <t>389140</t>
        </is>
      </c>
      <c r="C834" s="6" t="inlineStr">
        <is>
          <t>2026Q2</t>
        </is>
      </c>
      <c r="D834" s="6" t="inlineStr">
        <is>
          <t>20260814</t>
        </is>
      </c>
      <c r="E834" s="16" t="n">
        <v>14444</v>
      </c>
      <c r="F834" s="16" t="n">
        <v>8143</v>
      </c>
      <c r="G834" s="16" t="n">
        <v>6301</v>
      </c>
      <c r="H834" s="6" t="inlineStr">
        <is>
          <t>백만원</t>
        </is>
      </c>
      <c r="I834" s="17" t="n">
        <v>-37.2</v>
      </c>
      <c r="J834" s="18" t="inlineStr"/>
      <c r="K834" s="19" t="inlineStr"/>
      <c r="L834" s="18" t="inlineStr"/>
      <c r="M834" s="19" t="inlineStr"/>
      <c r="N834" s="18" t="inlineStr"/>
      <c r="O834" s="19" t="n">
        <v>11660</v>
      </c>
      <c r="P834" s="18" t="n">
        <v>12417</v>
      </c>
      <c r="Q834" s="19" t="n">
        <v>12343</v>
      </c>
      <c r="R834" s="18" t="n">
        <v>10029</v>
      </c>
      <c r="S834" s="20" t="n">
        <v>6301</v>
      </c>
      <c r="T834" s="6" t="n">
        <v>5</v>
      </c>
      <c r="U83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4" s="21">
        <f>HYPERLINK("https://dart.fss.or.kr/dsaf001/main.do?rcpNo=20260814002740", "공시열람")</f>
        <v/>
      </c>
    </row>
    <row r="835">
      <c r="A835" s="5" t="inlineStr">
        <is>
          <t>대명에너지</t>
        </is>
      </c>
      <c r="B835" s="6" t="inlineStr">
        <is>
          <t>389260</t>
        </is>
      </c>
      <c r="C835" s="6" t="inlineStr">
        <is>
          <t>2026Q2</t>
        </is>
      </c>
      <c r="D835" s="6" t="inlineStr">
        <is>
          <t>20260814</t>
        </is>
      </c>
      <c r="E835" s="16" t="n">
        <v>693698738</v>
      </c>
      <c r="F835" s="16" t="n">
        <v>238515675</v>
      </c>
      <c r="G835" s="16" t="n">
        <v>455183064</v>
      </c>
      <c r="H835" s="6" t="inlineStr">
        <is>
          <t>천원</t>
        </is>
      </c>
      <c r="I835" s="17" t="n">
        <v>292895.4</v>
      </c>
      <c r="J835" s="18" t="n">
        <v>266114002</v>
      </c>
      <c r="K835" s="19" t="n">
        <v>239306177</v>
      </c>
      <c r="L835" s="18" t="n">
        <v>223076312</v>
      </c>
      <c r="M835" s="19" t="n">
        <v>210571971</v>
      </c>
      <c r="N835" s="18" t="n">
        <v>201797290</v>
      </c>
      <c r="O835" s="19" t="n">
        <v>284434629</v>
      </c>
      <c r="P835" s="18" t="n">
        <v>251950525</v>
      </c>
      <c r="Q835" s="19" t="n">
        <v>238608268</v>
      </c>
      <c r="R835" s="18" t="n">
        <v>155355</v>
      </c>
      <c r="S835" s="20" t="n">
        <v>455183064</v>
      </c>
      <c r="T835" s="6" t="n">
        <v>45</v>
      </c>
      <c r="U835" s="5" t="inlineStr">
        <is>
          <t>개발 / 2026.02.05 / 2029.03.01 | 개발 / 2026.03.18 / 2027.03.31 | 운영 / 2021.07.23 / 2043.06.26</t>
        </is>
      </c>
      <c r="V835" s="21">
        <f>HYPERLINK("https://dart.fss.or.kr/dsaf001/main.do?rcpNo=20260814000931", "공시열람")</f>
        <v/>
      </c>
    </row>
    <row r="836">
      <c r="A836" s="5" t="inlineStr">
        <is>
          <t>인벤티지랩</t>
        </is>
      </c>
      <c r="B836" s="6" t="inlineStr">
        <is>
          <t>389470</t>
        </is>
      </c>
      <c r="C836" s="6" t="inlineStr">
        <is>
          <t>2026Q2</t>
        </is>
      </c>
      <c r="D836" s="6" t="inlineStr">
        <is>
          <t>20260826</t>
        </is>
      </c>
      <c r="E836" s="16" t="n">
        <v>6891</v>
      </c>
      <c r="F836" s="16" t="n">
        <v>6457</v>
      </c>
      <c r="G836" s="16" t="n">
        <v>434</v>
      </c>
      <c r="H836" s="6" t="inlineStr">
        <is>
          <t>백만원</t>
        </is>
      </c>
      <c r="I836" s="17" t="n">
        <v>-32.4</v>
      </c>
      <c r="J836" s="18" t="inlineStr"/>
      <c r="K836" s="19" t="inlineStr"/>
      <c r="L836" s="18" t="inlineStr"/>
      <c r="M836" s="19" t="inlineStr"/>
      <c r="N836" s="18" t="inlineStr"/>
      <c r="O836" s="19" t="n">
        <v>6891</v>
      </c>
      <c r="P836" s="18" t="n">
        <v>6891</v>
      </c>
      <c r="Q836" s="19" t="n">
        <v>4627</v>
      </c>
      <c r="R836" s="18" t="n">
        <v>642</v>
      </c>
      <c r="S836" s="20" t="n">
        <v>434</v>
      </c>
      <c r="T836" s="6" t="n">
        <v>1</v>
      </c>
      <c r="U836" s="5" t="inlineStr">
        <is>
          <t>장기지속형 주사제 제조설비구축 / 2026.02.</t>
        </is>
      </c>
      <c r="V836" s="21">
        <f>HYPERLINK("https://dart.fss.or.kr/dsaf001/main.do?rcpNo=20260826000836", "공시열람")</f>
        <v/>
      </c>
    </row>
    <row r="837">
      <c r="A837" s="5" t="inlineStr">
        <is>
          <t>에스비비테크</t>
        </is>
      </c>
      <c r="B837" s="6" t="inlineStr">
        <is>
          <t>389500</t>
        </is>
      </c>
      <c r="C837" s="6" t="inlineStr">
        <is>
          <t>2026Q2</t>
        </is>
      </c>
      <c r="D837" s="6" t="inlineStr">
        <is>
          <t>20260814</t>
        </is>
      </c>
      <c r="E837" s="16" t="n">
        <v>15400</v>
      </c>
      <c r="F837" s="16" t="n">
        <v>4284</v>
      </c>
      <c r="G837" s="16" t="n">
        <v>11116</v>
      </c>
      <c r="H837" s="6" t="inlineStr">
        <is>
          <t>백만원</t>
        </is>
      </c>
      <c r="I837" s="17" t="n">
        <v>-1.5</v>
      </c>
      <c r="J837" s="18" t="n">
        <v>5263</v>
      </c>
      <c r="K837" s="19" t="n">
        <v>9186</v>
      </c>
      <c r="L837" s="18" t="n">
        <v>4474</v>
      </c>
      <c r="M837" s="19" t="n">
        <v>7772</v>
      </c>
      <c r="N837" s="18" t="n">
        <v>7633</v>
      </c>
      <c r="O837" s="19" t="n">
        <v>7571</v>
      </c>
      <c r="P837" s="18" t="n">
        <v>7530</v>
      </c>
      <c r="Q837" s="19" t="n">
        <v>10069</v>
      </c>
      <c r="R837" s="18" t="n">
        <v>11280</v>
      </c>
      <c r="S837" s="20" t="n">
        <v>11116</v>
      </c>
      <c r="T837" s="6" t="n">
        <v>1</v>
      </c>
      <c r="U837" s="5" t="inlineStr">
        <is>
          <t>감속기 / 2024.01 ~ 2026.06 / 2024</t>
        </is>
      </c>
      <c r="V837" s="21">
        <f>HYPERLINK("https://dart.fss.or.kr/dsaf001/main.do?rcpNo=20260814000984", "공시열람")</f>
        <v/>
      </c>
    </row>
    <row r="838">
      <c r="A838" s="5" t="inlineStr">
        <is>
          <t>토마토시스템</t>
        </is>
      </c>
      <c r="B838" s="6" t="inlineStr">
        <is>
          <t>393210</t>
        </is>
      </c>
      <c r="C838" s="6" t="inlineStr">
        <is>
          <t>2026Q2</t>
        </is>
      </c>
      <c r="D838" s="6" t="inlineStr">
        <is>
          <t>20260812</t>
        </is>
      </c>
      <c r="E838" s="16" t="n">
        <v>45381687</v>
      </c>
      <c r="F838" s="16" t="inlineStr"/>
      <c r="G838" s="16" t="n">
        <v>18414317</v>
      </c>
      <c r="H838" s="6" t="inlineStr">
        <is>
          <t>천원</t>
        </is>
      </c>
      <c r="I838" s="17" t="n">
        <v>-22.1</v>
      </c>
      <c r="J838" s="18" t="n">
        <v>11517922</v>
      </c>
      <c r="K838" s="19" t="n">
        <v>8361159</v>
      </c>
      <c r="L838" s="18" t="n">
        <v>6117139</v>
      </c>
      <c r="M838" s="19" t="n">
        <v>19477998</v>
      </c>
      <c r="N838" s="18" t="n">
        <v>19239044</v>
      </c>
      <c r="O838" s="19" t="n">
        <v>17557845</v>
      </c>
      <c r="P838" s="18" t="n">
        <v>29956698</v>
      </c>
      <c r="Q838" s="19" t="n">
        <v>27622934</v>
      </c>
      <c r="R838" s="18" t="n">
        <v>23638058</v>
      </c>
      <c r="S838" s="20" t="n">
        <v>18414317</v>
      </c>
      <c r="T838" s="6" t="n">
        <v>10</v>
      </c>
      <c r="U838" s="5" t="inlineStr">
        <is>
          <t>기타 / - | 원광대학교 / 2025-09-25 / 2027-09-1 | 서울대학교 / 2024-12-30 / 2028-02-2</t>
        </is>
      </c>
      <c r="V838" s="21">
        <f>HYPERLINK("https://dart.fss.or.kr/dsaf001/main.do?rcpNo=20260812000435", "공시열람")</f>
        <v/>
      </c>
    </row>
    <row r="839">
      <c r="A839" s="5" t="inlineStr">
        <is>
          <t>쓰리빌리언</t>
        </is>
      </c>
      <c r="B839" s="6" t="inlineStr">
        <is>
          <t>394800</t>
        </is>
      </c>
      <c r="C839" s="6" t="inlineStr">
        <is>
          <t>2026Q2</t>
        </is>
      </c>
      <c r="D839" s="6" t="inlineStr">
        <is>
          <t>20260813</t>
        </is>
      </c>
      <c r="E839" s="16" t="n">
        <v>2631818</v>
      </c>
      <c r="F839" s="16" t="n">
        <v>916601</v>
      </c>
      <c r="G839" s="16" t="n">
        <v>1715217</v>
      </c>
      <c r="H839" s="6" t="inlineStr">
        <is>
          <t>건,천원</t>
        </is>
      </c>
      <c r="I839" s="17" t="n">
        <v>376.4</v>
      </c>
      <c r="J839" s="18" t="inlineStr"/>
      <c r="K839" s="19" t="inlineStr"/>
      <c r="L839" s="18" t="inlineStr"/>
      <c r="M839" s="19" t="inlineStr"/>
      <c r="N839" s="18" t="n">
        <v>654545</v>
      </c>
      <c r="O839" s="19" t="n">
        <v>208636</v>
      </c>
      <c r="P839" s="18" t="n">
        <v>486819</v>
      </c>
      <c r="Q839" s="19" t="n">
        <v>306819</v>
      </c>
      <c r="R839" s="18" t="n">
        <v>360000</v>
      </c>
      <c r="S839" s="20" t="n">
        <v>1715217</v>
      </c>
      <c r="T839" s="6" t="n">
        <v>3</v>
      </c>
      <c r="U839" s="5" t="inlineStr">
        <is>
          <t>전장유전체 염기서열기반 신생아 선별검사 / 2026.0 | 전장유전체 염기서열 분석 / 2026.04.09 / 2 | 급성 중증 신생아 희귀질환 진단 / 2025.07.01</t>
        </is>
      </c>
      <c r="V839" s="21">
        <f>HYPERLINK("https://dart.fss.or.kr/dsaf001/main.do?rcpNo=20260813000733", "공시열람")</f>
        <v/>
      </c>
    </row>
    <row r="840">
      <c r="A840" s="5" t="inlineStr">
        <is>
          <t>세아메카닉스</t>
        </is>
      </c>
      <c r="B840" s="6" t="inlineStr">
        <is>
          <t>396300</t>
        </is>
      </c>
      <c r="C840" s="6" t="inlineStr">
        <is>
          <t>2026Q2</t>
        </is>
      </c>
      <c r="D840" s="6" t="inlineStr">
        <is>
          <t>20260813</t>
        </is>
      </c>
      <c r="E840" s="16" t="inlineStr"/>
      <c r="F840" s="16" t="inlineStr"/>
      <c r="G840" s="16" t="n">
        <v>577539</v>
      </c>
      <c r="H840" s="6" t="inlineStr">
        <is>
          <t>백만원</t>
        </is>
      </c>
      <c r="I840" s="17" t="n">
        <v>-5.6</v>
      </c>
      <c r="J840" s="18" t="n">
        <v>553975</v>
      </c>
      <c r="K840" s="19" t="n">
        <v>461535</v>
      </c>
      <c r="L840" s="18" t="n">
        <v>467737</v>
      </c>
      <c r="M840" s="19" t="n">
        <v>555070</v>
      </c>
      <c r="N840" s="18" t="n">
        <v>727579</v>
      </c>
      <c r="O840" s="19" t="n">
        <v>708425</v>
      </c>
      <c r="P840" s="18" t="n">
        <v>705298</v>
      </c>
      <c r="Q840" s="19" t="n">
        <v>611844</v>
      </c>
      <c r="R840" s="18" t="n">
        <v>611910</v>
      </c>
      <c r="S840" s="20" t="n">
        <v>577539</v>
      </c>
      <c r="T840" s="6" t="n">
        <v>1</v>
      </c>
      <c r="U840" s="5" t="inlineStr">
        <is>
          <t>자동차부품 / -</t>
        </is>
      </c>
      <c r="V840" s="21">
        <f>HYPERLINK("https://dart.fss.or.kr/dsaf001/main.do?rcpNo=20260813001552", "공시열람")</f>
        <v/>
      </c>
    </row>
    <row r="841">
      <c r="A841" s="5" t="inlineStr">
        <is>
          <t>에스지헬스케어</t>
        </is>
      </c>
      <c r="B841" s="6" t="inlineStr">
        <is>
          <t>398120</t>
        </is>
      </c>
      <c r="C841" s="6" t="inlineStr">
        <is>
          <t>2026Q2</t>
        </is>
      </c>
      <c r="D841" s="6" t="inlineStr">
        <is>
          <t>20260831</t>
        </is>
      </c>
      <c r="E841" s="16" t="n">
        <v>14269</v>
      </c>
      <c r="F841" s="16" t="n">
        <v>12842</v>
      </c>
      <c r="G841" s="16" t="n">
        <v>1427</v>
      </c>
      <c r="H841" s="6" t="inlineStr">
        <is>
          <t>백만</t>
        </is>
      </c>
      <c r="I841" s="17" t="n">
        <v>-27</v>
      </c>
      <c r="J841" s="18" t="inlineStr"/>
      <c r="K841" s="19" t="inlineStr"/>
      <c r="L841" s="18" t="inlineStr"/>
      <c r="M841" s="19" t="n">
        <v>1909.5</v>
      </c>
      <c r="N841" s="18" t="n">
        <v>1448</v>
      </c>
      <c r="O841" s="19" t="n">
        <v>13257</v>
      </c>
      <c r="P841" s="18" t="n">
        <v>12987</v>
      </c>
      <c r="Q841" s="19" t="n">
        <v>3442</v>
      </c>
      <c r="R841" s="18" t="n">
        <v>1954</v>
      </c>
      <c r="S841" s="20" t="n">
        <v>1427</v>
      </c>
      <c r="T841" s="6" t="n">
        <v>2</v>
      </c>
      <c r="U841" s="5" t="inlineStr">
        <is>
          <t>Jumong GeneralC-arm 외2 / 2025. | 의료기자재 / 2025.08.29 / 2026.10.3</t>
        </is>
      </c>
      <c r="V841" s="21">
        <f>HYPERLINK("https://dart.fss.or.kr/dsaf001/main.do?rcpNo=20260831001202", "공시열람")</f>
        <v/>
      </c>
    </row>
    <row r="842">
      <c r="A842" s="5" t="inlineStr">
        <is>
          <t>가온칩스</t>
        </is>
      </c>
      <c r="B842" s="6" t="inlineStr">
        <is>
          <t>399720</t>
        </is>
      </c>
      <c r="C842" s="6" t="inlineStr">
        <is>
          <t>2026Q2</t>
        </is>
      </c>
      <c r="D842" s="6" t="inlineStr">
        <is>
          <t>20260814</t>
        </is>
      </c>
      <c r="E842" s="16" t="n">
        <v>151279</v>
      </c>
      <c r="F842" s="16" t="inlineStr"/>
      <c r="G842" s="16" t="n">
        <v>76412</v>
      </c>
      <c r="H842" s="6" t="inlineStr">
        <is>
          <t>백만원</t>
        </is>
      </c>
      <c r="I842" s="17" t="n">
        <v>52</v>
      </c>
      <c r="J842" s="18" t="inlineStr"/>
      <c r="K842" s="19" t="inlineStr"/>
      <c r="L842" s="18" t="inlineStr"/>
      <c r="M842" s="19" t="inlineStr"/>
      <c r="N842" s="18" t="inlineStr"/>
      <c r="O842" s="19" t="n">
        <v>25003</v>
      </c>
      <c r="P842" s="18" t="n">
        <v>34747</v>
      </c>
      <c r="Q842" s="19" t="n">
        <v>61051</v>
      </c>
      <c r="R842" s="18" t="n">
        <v>50267</v>
      </c>
      <c r="S842" s="20" t="n">
        <v>76412</v>
      </c>
      <c r="T842" s="6" t="n">
        <v>5</v>
      </c>
      <c r="U842" s="5" t="inlineStr">
        <is>
          <t>주문형 반도체 설계 개발 / 2026-06-10 / 2 | 주문형 반도체 설계 개발 / 2025-10-29 / 2 | 주문형 반도체 설계 개발 / 2025-12-26 / 2</t>
        </is>
      </c>
      <c r="V842" s="21">
        <f>HYPERLINK("https://dart.fss.or.kr/dsaf001/main.do?rcpNo=20260814003050", "공시열람")</f>
        <v/>
      </c>
    </row>
    <row r="843">
      <c r="A843" s="5" t="inlineStr">
        <is>
          <t>코난테크놀로지</t>
        </is>
      </c>
      <c r="B843" s="6" t="inlineStr">
        <is>
          <t>402030</t>
        </is>
      </c>
      <c r="C843" s="6" t="inlineStr">
        <is>
          <t>2026Q2</t>
        </is>
      </c>
      <c r="D843" s="6" t="inlineStr">
        <is>
          <t>20260814</t>
        </is>
      </c>
      <c r="E843" s="16" t="inlineStr"/>
      <c r="F843" s="16" t="inlineStr"/>
      <c r="G843" s="16" t="n">
        <v>22501</v>
      </c>
      <c r="H843" s="6" t="inlineStr">
        <is>
          <t>백만원</t>
        </is>
      </c>
      <c r="I843" s="17" t="n">
        <v>853</v>
      </c>
      <c r="J843" s="18" t="n">
        <v>5286</v>
      </c>
      <c r="K843" s="19" t="n">
        <v>5676</v>
      </c>
      <c r="L843" s="18" t="n">
        <v>15007</v>
      </c>
      <c r="M843" s="19" t="n">
        <v>8067</v>
      </c>
      <c r="N843" s="18" t="n">
        <v>4379</v>
      </c>
      <c r="O843" s="19" t="n">
        <v>7487</v>
      </c>
      <c r="P843" s="18" t="n">
        <v>18434</v>
      </c>
      <c r="Q843" s="19" t="n">
        <v>14077</v>
      </c>
      <c r="R843" s="18" t="n">
        <v>2361</v>
      </c>
      <c r="S843" s="20" t="n">
        <v>22501</v>
      </c>
      <c r="T843" s="6" t="n">
        <v>1</v>
      </c>
      <c r="U843" s="5" t="inlineStr"/>
      <c r="V843" s="21">
        <f>HYPERLINK("https://dart.fss.or.kr/dsaf001/main.do?rcpNo=20260814002288", "공시열람")</f>
        <v/>
      </c>
    </row>
    <row r="844">
      <c r="A844" s="5" t="inlineStr">
        <is>
          <t>라피치</t>
        </is>
      </c>
      <c r="B844" s="6" t="inlineStr">
        <is>
          <t>403360</t>
        </is>
      </c>
      <c r="C844" s="6" t="inlineStr">
        <is>
          <t>2026Q2</t>
        </is>
      </c>
      <c r="D844" s="6" t="inlineStr">
        <is>
          <t>20260814</t>
        </is>
      </c>
      <c r="E844" s="16" t="n">
        <v>32180</v>
      </c>
      <c r="F844" s="16" t="n">
        <v>19427</v>
      </c>
      <c r="G844" s="16" t="n">
        <v>12752</v>
      </c>
      <c r="H844" s="6" t="inlineStr">
        <is>
          <t>백만원</t>
        </is>
      </c>
      <c r="I844" s="17" t="n">
        <v>-99.5</v>
      </c>
      <c r="J844" s="18" t="inlineStr"/>
      <c r="K844" s="19" t="n">
        <v>4348331</v>
      </c>
      <c r="L844" s="18" t="inlineStr"/>
      <c r="M844" s="19" t="n">
        <v>2725658</v>
      </c>
      <c r="N844" s="18" t="inlineStr"/>
      <c r="O844" s="19" t="inlineStr"/>
      <c r="P844" s="18" t="inlineStr"/>
      <c r="Q844" s="19" t="n">
        <v>2684112</v>
      </c>
      <c r="R844" s="18" t="inlineStr"/>
      <c r="S844" s="20" t="n">
        <v>12752</v>
      </c>
      <c r="T844" s="6" t="n">
        <v>6</v>
      </c>
      <c r="U844" s="5" t="inlineStr">
        <is>
          <t>AI 인프라(국내) / 진행중 | AI 인프라(국내) / 진행중 | ConvAI / 진행중</t>
        </is>
      </c>
      <c r="V844" s="21">
        <f>HYPERLINK("https://dart.fss.or.kr/dsaf001/main.do?rcpNo=20260814001610", "공시열람")</f>
        <v/>
      </c>
    </row>
    <row r="845">
      <c r="A845" s="5" t="inlineStr">
        <is>
          <t>아이엘로보틱스</t>
        </is>
      </c>
      <c r="B845" s="6" t="inlineStr">
        <is>
          <t>403810</t>
        </is>
      </c>
      <c r="C845" s="6" t="inlineStr">
        <is>
          <t>2025Q4</t>
        </is>
      </c>
      <c r="D845" s="6" t="inlineStr">
        <is>
          <t>20260320</t>
        </is>
      </c>
      <c r="E845" s="16" t="n">
        <v>3738</v>
      </c>
      <c r="F845" s="16" t="n">
        <v>134</v>
      </c>
      <c r="G845" s="16" t="n">
        <v>3604</v>
      </c>
      <c r="H845" s="6" t="inlineStr">
        <is>
          <t>백만원</t>
        </is>
      </c>
      <c r="I845" s="17" t="n">
        <v>-3.6</v>
      </c>
      <c r="J845" s="18" t="inlineStr"/>
      <c r="K845" s="19" t="inlineStr"/>
      <c r="L845" s="18" t="inlineStr"/>
      <c r="M845" s="19" t="n">
        <v>3738</v>
      </c>
      <c r="N845" s="18" t="inlineStr"/>
      <c r="O845" s="19" t="inlineStr"/>
      <c r="P845" s="18" t="inlineStr"/>
      <c r="Q845" s="19" t="n">
        <v>3604</v>
      </c>
      <c r="R845" s="18" t="inlineStr"/>
      <c r="S845" s="20" t="inlineStr"/>
      <c r="T845" s="6" t="n">
        <v>3</v>
      </c>
      <c r="U845" s="5" t="inlineStr">
        <is>
          <t>미세먼지 측정 보안등 / - | 터널등 제어 시스템 / - | IoT 제어 시스템 / -</t>
        </is>
      </c>
      <c r="V845" s="21">
        <f>HYPERLINK("https://dart.fss.or.kr/dsaf001/main.do?rcpNo=20260320001132", "공시열람")</f>
        <v/>
      </c>
    </row>
    <row r="846">
      <c r="A846" s="5" t="inlineStr">
        <is>
          <t>제일엠앤에스</t>
        </is>
      </c>
      <c r="B846" s="6" t="inlineStr">
        <is>
          <t>412540</t>
        </is>
      </c>
      <c r="C846" s="6" t="inlineStr">
        <is>
          <t>2026Q2</t>
        </is>
      </c>
      <c r="D846" s="6" t="inlineStr">
        <is>
          <t>20260814</t>
        </is>
      </c>
      <c r="E846" s="16" t="n">
        <v>421407</v>
      </c>
      <c r="F846" s="16" t="n">
        <v>127076</v>
      </c>
      <c r="G846" s="16" t="n">
        <v>294331</v>
      </c>
      <c r="H846" s="6" t="inlineStr">
        <is>
          <t>백만원</t>
        </is>
      </c>
      <c r="I846" s="17" t="n">
        <v>-25.4</v>
      </c>
      <c r="J846" s="18" t="inlineStr"/>
      <c r="K846" s="19" t="n">
        <v>289130</v>
      </c>
      <c r="L846" s="18" t="n">
        <v>338297</v>
      </c>
      <c r="M846" s="19" t="n">
        <v>579212</v>
      </c>
      <c r="N846" s="18" t="n">
        <v>278268</v>
      </c>
      <c r="O846" s="19" t="n">
        <v>248229</v>
      </c>
      <c r="P846" s="18" t="n">
        <v>393928</v>
      </c>
      <c r="Q846" s="19" t="n">
        <v>393120</v>
      </c>
      <c r="R846" s="18" t="n">
        <v>394291</v>
      </c>
      <c r="S846" s="20" t="n">
        <v>294331</v>
      </c>
      <c r="T846" s="6" t="n">
        <v>1</v>
      </c>
      <c r="U846" s="5" t="inlineStr">
        <is>
          <t>믹싱장비 및 믹싱시스템 / -</t>
        </is>
      </c>
      <c r="V846" s="21">
        <f>HYPERLINK("https://dart.fss.or.kr/dsaf001/main.do?rcpNo=20260814000819", "공시열람")</f>
        <v/>
      </c>
    </row>
    <row r="847">
      <c r="A847" s="5" t="inlineStr">
        <is>
          <t>티엘엔지니어링</t>
        </is>
      </c>
      <c r="B847" s="6" t="inlineStr">
        <is>
          <t>413300</t>
        </is>
      </c>
      <c r="C847" s="6" t="inlineStr">
        <is>
          <t>2025Q4</t>
        </is>
      </c>
      <c r="D847" s="6" t="inlineStr">
        <is>
          <t>20260323</t>
        </is>
      </c>
      <c r="E847" s="16" t="n">
        <v>7533807754</v>
      </c>
      <c r="F847" s="16" t="inlineStr"/>
      <c r="G847" s="16" t="n">
        <v>1633785854</v>
      </c>
      <c r="H847" s="6" t="inlineStr">
        <is>
          <t>원</t>
        </is>
      </c>
      <c r="I847" s="17" t="n">
        <v>-51.8</v>
      </c>
      <c r="J847" s="18" t="inlineStr"/>
      <c r="K847" s="19" t="inlineStr"/>
      <c r="L847" s="18" t="inlineStr"/>
      <c r="M847" s="19" t="n">
        <v>3388457253</v>
      </c>
      <c r="N847" s="18" t="inlineStr"/>
      <c r="O847" s="19" t="inlineStr"/>
      <c r="P847" s="18" t="inlineStr"/>
      <c r="Q847" s="19" t="n">
        <v>1633785854</v>
      </c>
      <c r="R847" s="18" t="inlineStr"/>
      <c r="S847" s="20" t="inlineStr"/>
      <c r="T847" s="6" t="n">
        <v>28</v>
      </c>
      <c r="U847" s="5" t="inlineStr">
        <is>
          <t>N / 2025-11-24 | AA / 2026-01-12 | BB / 2026-01-05</t>
        </is>
      </c>
      <c r="V847" s="21">
        <f>HYPERLINK("https://dart.fss.or.kr/dsaf001/main.do?rcpNo=20260323000750", "공시열람")</f>
        <v/>
      </c>
    </row>
    <row r="848">
      <c r="A848" s="5" t="inlineStr">
        <is>
          <t>비아이매트릭스</t>
        </is>
      </c>
      <c r="B848" s="6" t="inlineStr">
        <is>
          <t>413640</t>
        </is>
      </c>
      <c r="C848" s="6" t="inlineStr">
        <is>
          <t>2026Q2</t>
        </is>
      </c>
      <c r="D848" s="6" t="inlineStr">
        <is>
          <t>20260814</t>
        </is>
      </c>
      <c r="E848" s="16" t="n">
        <v>49635</v>
      </c>
      <c r="F848" s="16" t="inlineStr"/>
      <c r="G848" s="16" t="n">
        <v>13868</v>
      </c>
      <c r="H848" s="6" t="inlineStr">
        <is>
          <t>백만원</t>
        </is>
      </c>
      <c r="I848" s="17" t="n">
        <v>3.1</v>
      </c>
      <c r="J848" s="18" t="n">
        <v>3855</v>
      </c>
      <c r="K848" s="19" t="n">
        <v>3850</v>
      </c>
      <c r="L848" s="18" t="n">
        <v>6956</v>
      </c>
      <c r="M848" s="19" t="n">
        <v>7435</v>
      </c>
      <c r="N848" s="18" t="n">
        <v>10173</v>
      </c>
      <c r="O848" s="19" t="n">
        <v>10234</v>
      </c>
      <c r="P848" s="18" t="n">
        <v>10543</v>
      </c>
      <c r="Q848" s="19" t="n">
        <v>11651</v>
      </c>
      <c r="R848" s="18" t="n">
        <v>13447</v>
      </c>
      <c r="S848" s="20" t="n">
        <v>13868</v>
      </c>
      <c r="T848" s="6" t="n">
        <v>9</v>
      </c>
      <c r="U848" s="5" t="inlineStr">
        <is>
          <t>비아이매트릭스 / 기타 / - | 비아이매트릭스 / 솔루션 외 / 2026-06-01 / | 비아이매트릭스 / 솔루션 / 2026-03-27 / 2</t>
        </is>
      </c>
      <c r="V848" s="21">
        <f>HYPERLINK("https://dart.fss.or.kr/dsaf001/main.do?rcpNo=20260814003267", "공시열람")</f>
        <v/>
      </c>
    </row>
    <row r="849">
      <c r="A849" s="5" t="inlineStr">
        <is>
          <t>니어스랩</t>
        </is>
      </c>
      <c r="B849" s="6" t="inlineStr">
        <is>
          <t>417030</t>
        </is>
      </c>
      <c r="C849" s="6" t="inlineStr">
        <is>
          <t>2026Q2</t>
        </is>
      </c>
      <c r="D849" s="6" t="inlineStr">
        <is>
          <t>20260828</t>
        </is>
      </c>
      <c r="E849" s="16" t="n">
        <v>6490</v>
      </c>
      <c r="F849" s="16" t="inlineStr"/>
      <c r="G849" s="16" t="n">
        <v>5922</v>
      </c>
      <c r="H849" s="6" t="inlineStr">
        <is>
          <t>백만원</t>
        </is>
      </c>
      <c r="I849" s="17" t="inlineStr"/>
      <c r="J849" s="18" t="inlineStr"/>
      <c r="K849" s="19" t="inlineStr"/>
      <c r="L849" s="18" t="inlineStr"/>
      <c r="M849" s="19" t="inlineStr"/>
      <c r="N849" s="18" t="inlineStr"/>
      <c r="O849" s="19" t="inlineStr"/>
      <c r="P849" s="18" t="inlineStr"/>
      <c r="Q849" s="19" t="inlineStr"/>
      <c r="R849" s="18" t="inlineStr"/>
      <c r="S849" s="20" t="n">
        <v>5922</v>
      </c>
      <c r="T849" s="6" t="n">
        <v>10</v>
      </c>
      <c r="U849" s="5" t="inlineStr">
        <is>
          <t>국내 A사 / KAiDEN 시제품 개발 / 2026-0 | 기타 / 풍력발전기 점검솔루션 / 계약일 | UAE A사 / XAiDEN 교육훈련 서비스 / 202</t>
        </is>
      </c>
      <c r="V849" s="21">
        <f>HYPERLINK("https://dart.fss.or.kr/dsaf001/main.do?rcpNo=20260828000598", "공시열람")</f>
        <v/>
      </c>
    </row>
    <row r="850">
      <c r="A850" s="5" t="inlineStr">
        <is>
          <t>오브젠</t>
        </is>
      </c>
      <c r="B850" s="6" t="inlineStr">
        <is>
          <t>417860</t>
        </is>
      </c>
      <c r="C850" s="6" t="inlineStr">
        <is>
          <t>2026Q2</t>
        </is>
      </c>
      <c r="D850" s="6" t="inlineStr">
        <is>
          <t>20260814</t>
        </is>
      </c>
      <c r="E850" s="16" t="n">
        <v>52960</v>
      </c>
      <c r="F850" s="16" t="n">
        <v>25600</v>
      </c>
      <c r="G850" s="16" t="n">
        <v>27360</v>
      </c>
      <c r="H850" s="6" t="inlineStr">
        <is>
          <t>백만원</t>
        </is>
      </c>
      <c r="I850" s="17" t="n">
        <v>22.4</v>
      </c>
      <c r="J850" s="18" t="n">
        <v>5993</v>
      </c>
      <c r="K850" s="19" t="n">
        <v>9936</v>
      </c>
      <c r="L850" s="18" t="n">
        <v>7903</v>
      </c>
      <c r="M850" s="19" t="n">
        <v>16262</v>
      </c>
      <c r="N850" s="18" t="n">
        <v>14409</v>
      </c>
      <c r="O850" s="19" t="n">
        <v>10682</v>
      </c>
      <c r="P850" s="18" t="n">
        <v>7948</v>
      </c>
      <c r="Q850" s="19" t="n">
        <v>12172145</v>
      </c>
      <c r="R850" s="18" t="n">
        <v>22355</v>
      </c>
      <c r="S850" s="20" t="n">
        <v>27360</v>
      </c>
      <c r="T850" s="6" t="n">
        <v>7</v>
      </c>
      <c r="U850" s="5" t="inlineStr">
        <is>
          <t>데이터 분석 플랫폼 사업부문 / 용역 / - | 고객 데이터&amp; 경험관리 플랫폼(CDXP+) 사업부문 / | 데이터 분석 플랫폼 사업부문 / 유지보수 / -</t>
        </is>
      </c>
      <c r="V850" s="21">
        <f>HYPERLINK("https://dart.fss.or.kr/dsaf001/main.do?rcpNo=20260814003882", "공시열람")</f>
        <v/>
      </c>
    </row>
    <row r="851">
      <c r="A851" s="5" t="inlineStr">
        <is>
          <t>제이오</t>
        </is>
      </c>
      <c r="B851" s="6" t="inlineStr">
        <is>
          <t>418550</t>
        </is>
      </c>
      <c r="C851" s="6" t="inlineStr">
        <is>
          <t>2026Q2</t>
        </is>
      </c>
      <c r="D851" s="6" t="inlineStr">
        <is>
          <t>20260814</t>
        </is>
      </c>
      <c r="E851" s="16" t="n">
        <v>92030314</v>
      </c>
      <c r="F851" s="16" t="inlineStr"/>
      <c r="G851" s="16" t="n">
        <v>13111428</v>
      </c>
      <c r="H851" s="6" t="inlineStr">
        <is>
          <t>천원</t>
        </is>
      </c>
      <c r="I851" s="17" t="n">
        <v>267.8</v>
      </c>
      <c r="J851" s="18" t="n">
        <v>52816834</v>
      </c>
      <c r="K851" s="19" t="n">
        <v>39991099</v>
      </c>
      <c r="L851" s="18" t="n">
        <v>23146090</v>
      </c>
      <c r="M851" s="19" t="n">
        <v>10964569</v>
      </c>
      <c r="N851" s="18" t="n">
        <v>20946902</v>
      </c>
      <c r="O851" s="19" t="n">
        <v>16110238</v>
      </c>
      <c r="P851" s="18" t="n">
        <v>8177068</v>
      </c>
      <c r="Q851" s="19" t="n">
        <v>5511204</v>
      </c>
      <c r="R851" s="18" t="n">
        <v>3565238</v>
      </c>
      <c r="S851" s="20" t="n">
        <v>13111428</v>
      </c>
      <c r="T851" s="6" t="n">
        <v>1</v>
      </c>
      <c r="U851" s="5" t="inlineStr">
        <is>
          <t>국내 / 에코프로머티리얼즈 등 / 플랜트공사 외</t>
        </is>
      </c>
      <c r="V851" s="21">
        <f>HYPERLINK("https://dart.fss.or.kr/dsaf001/main.do?rcpNo=20260814001514", "공시열람")</f>
        <v/>
      </c>
    </row>
    <row r="852">
      <c r="A852" s="5" t="inlineStr">
        <is>
          <t>E8</t>
        </is>
      </c>
      <c r="B852" s="6" t="inlineStr">
        <is>
          <t>418620</t>
        </is>
      </c>
      <c r="C852" s="6" t="inlineStr">
        <is>
          <t>2026Q2</t>
        </is>
      </c>
      <c r="D852" s="6" t="inlineStr">
        <is>
          <t>20260814</t>
        </is>
      </c>
      <c r="E852" s="16" t="n">
        <v>11540115</v>
      </c>
      <c r="F852" s="16" t="inlineStr"/>
      <c r="G852" s="16" t="n">
        <v>7406797</v>
      </c>
      <c r="H852" s="6" t="inlineStr">
        <is>
          <t>천원</t>
        </is>
      </c>
      <c r="I852" s="17" t="n">
        <v>-6.5</v>
      </c>
      <c r="J852" s="18" t="n">
        <v>6973600</v>
      </c>
      <c r="K852" s="19" t="n">
        <v>6583</v>
      </c>
      <c r="L852" s="18" t="n">
        <v>6876946</v>
      </c>
      <c r="M852" s="19" t="n">
        <v>6703241</v>
      </c>
      <c r="N852" s="18" t="n">
        <v>6450193</v>
      </c>
      <c r="O852" s="19" t="n">
        <v>6417667</v>
      </c>
      <c r="P852" s="18" t="n">
        <v>7252909</v>
      </c>
      <c r="Q852" s="19" t="n">
        <v>7161634</v>
      </c>
      <c r="R852" s="18" t="n">
        <v>7919338</v>
      </c>
      <c r="S852" s="20" t="n">
        <v>7406797</v>
      </c>
      <c r="T852" s="6" t="n">
        <v>2</v>
      </c>
      <c r="U852" s="5" t="inlineStr">
        <is>
          <t>용역 | 서비스</t>
        </is>
      </c>
      <c r="V852" s="21">
        <f>HYPERLINK("https://dart.fss.or.kr/dsaf001/main.do?rcpNo=20260814002560", "공시열람")</f>
        <v/>
      </c>
    </row>
    <row r="853">
      <c r="A853" s="5" t="inlineStr">
        <is>
          <t>삼기에너지솔루션즈</t>
        </is>
      </c>
      <c r="B853" s="6" t="inlineStr">
        <is>
          <t>419050</t>
        </is>
      </c>
      <c r="C853" s="6" t="inlineStr">
        <is>
          <t>2026Q2</t>
        </is>
      </c>
      <c r="D853" s="6" t="inlineStr">
        <is>
          <t>20260813</t>
        </is>
      </c>
      <c r="E853" s="16" t="n">
        <v>535943</v>
      </c>
      <c r="F853" s="16" t="n">
        <v>433448</v>
      </c>
      <c r="G853" s="16" t="n">
        <v>146838</v>
      </c>
      <c r="H853" s="6" t="inlineStr">
        <is>
          <t>백만원</t>
        </is>
      </c>
      <c r="I853" s="17" t="n">
        <v>-11.8</v>
      </c>
      <c r="J853" s="18" t="n">
        <v>859330924</v>
      </c>
      <c r="K853" s="19" t="n">
        <v>847035043</v>
      </c>
      <c r="L853" s="18" t="n">
        <v>830674207</v>
      </c>
      <c r="M853" s="19" t="n">
        <v>279496</v>
      </c>
      <c r="N853" s="18" t="n">
        <v>266391</v>
      </c>
      <c r="O853" s="19" t="n">
        <v>257201</v>
      </c>
      <c r="P853" s="18" t="n">
        <v>257201</v>
      </c>
      <c r="Q853" s="19" t="n">
        <v>181246</v>
      </c>
      <c r="R853" s="18" t="n">
        <v>166559</v>
      </c>
      <c r="S853" s="20" t="n">
        <v>146838</v>
      </c>
      <c r="T853" s="6" t="n">
        <v>4</v>
      </c>
      <c r="U853" s="5" t="inlineStr">
        <is>
          <t>End-Plate | End-Plate | End-Plate</t>
        </is>
      </c>
      <c r="V853" s="21">
        <f>HYPERLINK("https://dart.fss.or.kr/dsaf001/main.do?rcpNo=20260813000643", "공시열람")</f>
        <v/>
      </c>
    </row>
    <row r="854">
      <c r="A854" s="5" t="inlineStr">
        <is>
          <t>산돌</t>
        </is>
      </c>
      <c r="B854" s="6" t="inlineStr">
        <is>
          <t>419120</t>
        </is>
      </c>
      <c r="C854" s="6" t="inlineStr">
        <is>
          <t>2026Q2</t>
        </is>
      </c>
      <c r="D854" s="6" t="inlineStr">
        <is>
          <t>20260814</t>
        </is>
      </c>
      <c r="E854" s="16" t="n">
        <v>3362535620</v>
      </c>
      <c r="F854" s="16" t="inlineStr"/>
      <c r="G854" s="16" t="n">
        <v>1629888881</v>
      </c>
      <c r="H854" s="6" t="inlineStr">
        <is>
          <t>연결,원</t>
        </is>
      </c>
      <c r="I854" s="17" t="n">
        <v>-17.1</v>
      </c>
      <c r="J854" s="18" t="n">
        <v>252200000</v>
      </c>
      <c r="K854" s="19" t="n">
        <v>264198488</v>
      </c>
      <c r="L854" s="18" t="n">
        <v>520200046</v>
      </c>
      <c r="M854" s="19" t="n">
        <v>1493318867</v>
      </c>
      <c r="N854" s="18" t="n">
        <v>2255671606</v>
      </c>
      <c r="O854" s="19" t="n">
        <v>2393741288</v>
      </c>
      <c r="P854" s="18" t="n">
        <v>2121142108</v>
      </c>
      <c r="Q854" s="19" t="n">
        <v>2556153560</v>
      </c>
      <c r="R854" s="18" t="n">
        <v>1965102545</v>
      </c>
      <c r="S854" s="20" t="n">
        <v>1629888881</v>
      </c>
      <c r="T854" s="6" t="n">
        <v>1</v>
      </c>
      <c r="U854" s="5" t="inlineStr">
        <is>
          <t>커스텀폰트</t>
        </is>
      </c>
      <c r="V854" s="21">
        <f>HYPERLINK("https://dart.fss.or.kr/dsaf001/main.do?rcpNo=20260814000109", "공시열람")</f>
        <v/>
      </c>
    </row>
    <row r="855">
      <c r="A855" s="5" t="inlineStr">
        <is>
          <t>기가비스</t>
        </is>
      </c>
      <c r="B855" s="6" t="inlineStr">
        <is>
          <t>420770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inlineStr"/>
      <c r="G855" s="16" t="n">
        <v>65266</v>
      </c>
      <c r="H855" s="6" t="inlineStr">
        <is>
          <t>백만원</t>
        </is>
      </c>
      <c r="I855" s="17" t="n">
        <v>251.4</v>
      </c>
      <c r="J855" s="18" t="inlineStr"/>
      <c r="K855" s="19" t="inlineStr"/>
      <c r="L855" s="18" t="inlineStr"/>
      <c r="M855" s="19" t="inlineStr"/>
      <c r="N855" s="18" t="n">
        <v>33402</v>
      </c>
      <c r="O855" s="19" t="n">
        <v>34423</v>
      </c>
      <c r="P855" s="18" t="n">
        <v>34604</v>
      </c>
      <c r="Q855" s="19" t="n">
        <v>13566</v>
      </c>
      <c r="R855" s="18" t="n">
        <v>18575</v>
      </c>
      <c r="S855" s="20" t="n">
        <v>65266</v>
      </c>
      <c r="T855" s="6" t="n">
        <v>1</v>
      </c>
      <c r="U855" s="5" t="inlineStr">
        <is>
          <t>반도체 기판 검사 및 수리장비</t>
        </is>
      </c>
      <c r="V855" s="21">
        <f>HYPERLINK("https://dart.fss.or.kr/dsaf001/main.do?rcpNo=20260814003218", "공시열람")</f>
        <v/>
      </c>
    </row>
    <row r="856">
      <c r="A856" s="5" t="inlineStr">
        <is>
          <t>벨로크</t>
        </is>
      </c>
      <c r="B856" s="6" t="inlineStr">
        <is>
          <t>424760</t>
        </is>
      </c>
      <c r="C856" s="6" t="inlineStr">
        <is>
          <t>2026Q2</t>
        </is>
      </c>
      <c r="D856" s="6" t="inlineStr">
        <is>
          <t>20260814</t>
        </is>
      </c>
      <c r="E856" s="16" t="n">
        <v>23653</v>
      </c>
      <c r="F856" s="16" t="n">
        <v>8952</v>
      </c>
      <c r="G856" s="16" t="n">
        <v>14700</v>
      </c>
      <c r="H856" s="6" t="inlineStr">
        <is>
          <t>백만원</t>
        </is>
      </c>
      <c r="I856" s="17" t="n">
        <v>-1.2</v>
      </c>
      <c r="J856" s="18" t="n">
        <v>10016</v>
      </c>
      <c r="K856" s="19" t="n">
        <v>8613</v>
      </c>
      <c r="L856" s="18" t="n">
        <v>9280</v>
      </c>
      <c r="M856" s="19" t="n">
        <v>6130</v>
      </c>
      <c r="N856" s="18" t="n">
        <v>6069</v>
      </c>
      <c r="O856" s="19" t="n">
        <v>8753</v>
      </c>
      <c r="P856" s="18" t="n">
        <v>19064</v>
      </c>
      <c r="Q856" s="19" t="n">
        <v>14845</v>
      </c>
      <c r="R856" s="18" t="n">
        <v>14885</v>
      </c>
      <c r="S856" s="20" t="n">
        <v>14700</v>
      </c>
      <c r="T856" s="6" t="n">
        <v>2</v>
      </c>
      <c r="U856" s="5" t="inlineStr">
        <is>
          <t>보안서비스 / 주1) | 보안솔루션 / 주1)</t>
        </is>
      </c>
      <c r="V856" s="21">
        <f>HYPERLINK("https://dart.fss.or.kr/dsaf001/main.do?rcpNo=20260814002442", "공시열람")</f>
        <v/>
      </c>
    </row>
    <row r="857">
      <c r="A857" s="5" t="inlineStr">
        <is>
          <t>스마트레이더시스템</t>
        </is>
      </c>
      <c r="B857" s="6" t="inlineStr">
        <is>
          <t>424960</t>
        </is>
      </c>
      <c r="C857" s="6" t="inlineStr">
        <is>
          <t>2023Q4</t>
        </is>
      </c>
      <c r="D857" s="6" t="inlineStr">
        <is>
          <t>20240320</t>
        </is>
      </c>
      <c r="E857" s="16" t="n">
        <v>2505</v>
      </c>
      <c r="F857" s="16" t="n">
        <v>473</v>
      </c>
      <c r="G857" s="16" t="n">
        <v>2032</v>
      </c>
      <c r="H857" s="6" t="inlineStr"/>
      <c r="I857" s="17" t="inlineStr"/>
      <c r="J857" s="18" t="inlineStr"/>
      <c r="K857" s="19" t="inlineStr"/>
      <c r="L857" s="18" t="inlineStr"/>
      <c r="M857" s="19" t="inlineStr"/>
      <c r="N857" s="18" t="inlineStr"/>
      <c r="O857" s="19" t="inlineStr"/>
      <c r="P857" s="18" t="inlineStr"/>
      <c r="Q857" s="19" t="inlineStr"/>
      <c r="R857" s="18" t="inlineStr"/>
      <c r="S857" s="20" t="inlineStr"/>
      <c r="T857" s="6" t="n">
        <v>6</v>
      </c>
      <c r="U857" s="5" t="inlineStr">
        <is>
          <t>비모빌리티 / 스마트시티 / 2023~ | 비모빌리티 / 산업 / 2023~ | 모빌리티 / 특수장비차 / 2023~</t>
        </is>
      </c>
      <c r="V857" s="21">
        <f>HYPERLINK("https://dart.fss.or.kr/dsaf001/main.do?rcpNo=20240320001173", "공시열람")</f>
        <v/>
      </c>
    </row>
    <row r="858">
      <c r="A858" s="5" t="inlineStr">
        <is>
          <t>케이쓰리아이</t>
        </is>
      </c>
      <c r="B858" s="6" t="inlineStr">
        <is>
          <t>431190</t>
        </is>
      </c>
      <c r="C858" s="6" t="inlineStr">
        <is>
          <t>2026Q2</t>
        </is>
      </c>
      <c r="D858" s="6" t="inlineStr">
        <is>
          <t>20260813</t>
        </is>
      </c>
      <c r="E858" s="16" t="n">
        <v>7103</v>
      </c>
      <c r="F858" s="16" t="n">
        <v>6103</v>
      </c>
      <c r="G858" s="16" t="n">
        <v>7783</v>
      </c>
      <c r="H858" s="6" t="inlineStr">
        <is>
          <t>백만원</t>
        </is>
      </c>
      <c r="I858" s="17" t="n">
        <v>30.7</v>
      </c>
      <c r="J858" s="18" t="inlineStr"/>
      <c r="K858" s="19" t="inlineStr"/>
      <c r="L858" s="18" t="n">
        <v>5952</v>
      </c>
      <c r="M858" s="19" t="n">
        <v>4677</v>
      </c>
      <c r="N858" s="18" t="n">
        <v>3230</v>
      </c>
      <c r="O858" s="19" t="n">
        <v>7058</v>
      </c>
      <c r="P858" s="18" t="n">
        <v>8413</v>
      </c>
      <c r="Q858" s="19" t="n">
        <v>6783</v>
      </c>
      <c r="R858" s="18" t="n">
        <v>5955</v>
      </c>
      <c r="S858" s="20" t="n">
        <v>7783</v>
      </c>
      <c r="T858" s="6" t="n">
        <v>2</v>
      </c>
      <c r="U858" s="5" t="inlineStr">
        <is>
          <t>XR 사업 / - | 디지털트윈 및 기타 / -</t>
        </is>
      </c>
      <c r="V858" s="21">
        <f>HYPERLINK("https://dart.fss.or.kr/dsaf001/main.do?rcpNo=20260813001741", "공시열람")</f>
        <v/>
      </c>
    </row>
    <row r="859">
      <c r="A859" s="5" t="inlineStr">
        <is>
          <t>와이랩</t>
        </is>
      </c>
      <c r="B859" s="6" t="inlineStr">
        <is>
          <t>432430</t>
        </is>
      </c>
      <c r="C859" s="6" t="inlineStr">
        <is>
          <t>2026Q2</t>
        </is>
      </c>
      <c r="D859" s="6" t="inlineStr">
        <is>
          <t>20260814</t>
        </is>
      </c>
      <c r="E859" s="16" t="n">
        <v>5600000</v>
      </c>
      <c r="F859" s="16" t="inlineStr"/>
      <c r="G859" s="16" t="n">
        <v>5600000</v>
      </c>
      <c r="H859" s="6" t="inlineStr">
        <is>
          <t>천원</t>
        </is>
      </c>
      <c r="I859" s="17" t="n">
        <v>0</v>
      </c>
      <c r="J859" s="18" t="inlineStr"/>
      <c r="K859" s="19" t="inlineStr"/>
      <c r="L859" s="18" t="inlineStr"/>
      <c r="M859" s="19" t="inlineStr"/>
      <c r="N859" s="18" t="inlineStr"/>
      <c r="O859" s="19" t="n">
        <v>5600000</v>
      </c>
      <c r="P859" s="18" t="n">
        <v>5600000</v>
      </c>
      <c r="Q859" s="19" t="n">
        <v>5600000</v>
      </c>
      <c r="R859" s="18" t="n">
        <v>5600000</v>
      </c>
      <c r="S859" s="20" t="n">
        <v>5600000</v>
      </c>
      <c r="T859" s="6" t="n">
        <v>1</v>
      </c>
      <c r="U859" s="5" t="inlineStr">
        <is>
          <t>드라마 제작 대행 계약 / 2024-06-28 / 20</t>
        </is>
      </c>
      <c r="V859" s="21">
        <f>HYPERLINK("https://dart.fss.or.kr/dsaf001/main.do?rcpNo=20260814001850", "공시열람")</f>
        <v/>
      </c>
    </row>
    <row r="860">
      <c r="A860" s="5" t="inlineStr">
        <is>
          <t>버넥트</t>
        </is>
      </c>
      <c r="B860" s="6" t="inlineStr">
        <is>
          <t>438700</t>
        </is>
      </c>
      <c r="C860" s="6" t="inlineStr">
        <is>
          <t>2026Q2</t>
        </is>
      </c>
      <c r="D860" s="6" t="inlineStr">
        <is>
          <t>20260814</t>
        </is>
      </c>
      <c r="E860" s="16" t="n">
        <v>1038</v>
      </c>
      <c r="F860" s="16" t="n">
        <v>727</v>
      </c>
      <c r="G860" s="16" t="n">
        <v>311</v>
      </c>
      <c r="H860" s="6" t="inlineStr"/>
      <c r="I860" s="17" t="n">
        <v>-65.90000000000001</v>
      </c>
      <c r="J860" s="18" t="n">
        <v>1032</v>
      </c>
      <c r="K860" s="19" t="n">
        <v>874</v>
      </c>
      <c r="L860" s="18" t="n">
        <v>835</v>
      </c>
      <c r="M860" s="19" t="n">
        <v>558</v>
      </c>
      <c r="N860" s="18" t="n">
        <v>764</v>
      </c>
      <c r="O860" s="19" t="n">
        <v>1274</v>
      </c>
      <c r="P860" s="18" t="n">
        <v>1061</v>
      </c>
      <c r="Q860" s="19" t="n">
        <v>892</v>
      </c>
      <c r="R860" s="18" t="n">
        <v>912</v>
      </c>
      <c r="S860" s="20" t="n">
        <v>311</v>
      </c>
      <c r="T860" s="6" t="n">
        <v>5</v>
      </c>
      <c r="U860" s="5" t="inlineStr">
        <is>
          <t>D / 라이선스 / 2026.01.19 | E / 솔루션 / 2026.06.04 | B / 솔루션 / 2026.01.14</t>
        </is>
      </c>
      <c r="V860" s="21">
        <f>HYPERLINK("https://dart.fss.or.kr/dsaf001/main.do?rcpNo=20260814002340", "공시열람")</f>
        <v/>
      </c>
    </row>
    <row r="861">
      <c r="A861" s="5" t="inlineStr">
        <is>
          <t>대한조선</t>
        </is>
      </c>
      <c r="B861" s="6" t="inlineStr">
        <is>
          <t>439260</t>
        </is>
      </c>
      <c r="C861" s="6" t="inlineStr">
        <is>
          <t>2026Q2</t>
        </is>
      </c>
      <c r="D861" s="6" t="inlineStr">
        <is>
          <t>20260814</t>
        </is>
      </c>
      <c r="E861" s="16" t="inlineStr"/>
      <c r="F861" s="16" t="n">
        <v>657618</v>
      </c>
      <c r="G861" s="16" t="n">
        <v>2366510</v>
      </c>
      <c r="H861" s="6" t="inlineStr">
        <is>
          <t>척,백만원</t>
        </is>
      </c>
      <c r="I861" s="17" t="n">
        <v>39.7</v>
      </c>
      <c r="J861" s="18" t="inlineStr"/>
      <c r="K861" s="19" t="inlineStr"/>
      <c r="L861" s="18" t="inlineStr"/>
      <c r="M861" s="19" t="inlineStr"/>
      <c r="N861" s="18" t="inlineStr"/>
      <c r="O861" s="19" t="n">
        <v>1821580</v>
      </c>
      <c r="P861" s="18" t="n">
        <v>1572066</v>
      </c>
      <c r="Q861" s="19" t="n">
        <v>1723129</v>
      </c>
      <c r="R861" s="18" t="n">
        <v>1694146</v>
      </c>
      <c r="S861" s="20" t="n">
        <v>2366510</v>
      </c>
      <c r="T861" s="6" t="n">
        <v>1</v>
      </c>
      <c r="U861" s="5" t="inlineStr">
        <is>
          <t>선박 / 26년 6월 30일까지 / -</t>
        </is>
      </c>
      <c r="V861" s="21">
        <f>HYPERLINK("https://dart.fss.or.kr/dsaf001/main.do?rcpNo=20260814001422", "공시열람")</f>
        <v/>
      </c>
    </row>
    <row r="862">
      <c r="A862" s="5" t="inlineStr">
        <is>
          <t>파두</t>
        </is>
      </c>
      <c r="B862" s="6" t="inlineStr">
        <is>
          <t>440110</t>
        </is>
      </c>
      <c r="C862" s="6" t="inlineStr">
        <is>
          <t>2026Q2</t>
        </is>
      </c>
      <c r="D862" s="6" t="inlineStr">
        <is>
          <t>20260813</t>
        </is>
      </c>
      <c r="E862" s="16" t="n">
        <v>205625</v>
      </c>
      <c r="F862" s="16" t="n">
        <v>13870</v>
      </c>
      <c r="G862" s="16" t="n">
        <v>191755</v>
      </c>
      <c r="H862" s="6" t="inlineStr">
        <is>
          <t>천USD</t>
        </is>
      </c>
      <c r="I862" s="17" t="n">
        <v>65</v>
      </c>
      <c r="J862" s="18" t="inlineStr"/>
      <c r="K862" s="19" t="n">
        <v>13985</v>
      </c>
      <c r="L862" s="18" t="n">
        <v>17671</v>
      </c>
      <c r="M862" s="19" t="n">
        <v>28971</v>
      </c>
      <c r="N862" s="18" t="n">
        <v>24070</v>
      </c>
      <c r="O862" s="19" t="n">
        <v>6292</v>
      </c>
      <c r="P862" s="18" t="n">
        <v>20675</v>
      </c>
      <c r="Q862" s="19" t="n">
        <v>69906</v>
      </c>
      <c r="R862" s="18" t="n">
        <v>116208</v>
      </c>
      <c r="S862" s="20" t="n">
        <v>191755</v>
      </c>
      <c r="T862" s="6" t="n">
        <v>11</v>
      </c>
      <c r="U862" s="5" t="inlineStr">
        <is>
          <t>SSD 컨트롤러 (주1) / 2026.05.05 / 2 | SSD 완제품 (주1) / 2025.11.04 / 20 | SSD 컨트롤러 / 2026.05.28 / 2026.1</t>
        </is>
      </c>
      <c r="V862" s="21">
        <f>HYPERLINK("https://dart.fss.or.kr/dsaf001/main.do?rcpNo=20260813001260", "공시열람")</f>
        <v/>
      </c>
    </row>
    <row r="863">
      <c r="A863" s="5" t="inlineStr">
        <is>
          <t>오픈놀</t>
        </is>
      </c>
      <c r="B863" s="6" t="inlineStr">
        <is>
          <t>440320</t>
        </is>
      </c>
      <c r="C863" s="6" t="inlineStr">
        <is>
          <t>2026Q2</t>
        </is>
      </c>
      <c r="D863" s="6" t="inlineStr">
        <is>
          <t>20260812</t>
        </is>
      </c>
      <c r="E863" s="16" t="n">
        <v>63805</v>
      </c>
      <c r="F863" s="16" t="n">
        <v>39285</v>
      </c>
      <c r="G863" s="16" t="n">
        <v>24520</v>
      </c>
      <c r="H863" s="6" t="inlineStr">
        <is>
          <t>백만원</t>
        </is>
      </c>
      <c r="I863" s="17" t="n">
        <v>-17.6</v>
      </c>
      <c r="J863" s="18" t="n">
        <v>17333</v>
      </c>
      <c r="K863" s="19" t="n">
        <v>13782</v>
      </c>
      <c r="L863" s="18" t="n">
        <v>8543</v>
      </c>
      <c r="M863" s="19" t="n">
        <v>626</v>
      </c>
      <c r="N863" s="18" t="n">
        <v>17577</v>
      </c>
      <c r="O863" s="19" t="n">
        <v>17477</v>
      </c>
      <c r="P863" s="18" t="n">
        <v>9512</v>
      </c>
      <c r="Q863" s="19" t="n">
        <v>5995</v>
      </c>
      <c r="R863" s="18" t="n">
        <v>29769</v>
      </c>
      <c r="S863" s="20" t="n">
        <v>24520</v>
      </c>
      <c r="T863" s="6" t="n">
        <v>1</v>
      </c>
      <c r="U863" s="5" t="inlineStr">
        <is>
          <t xml:space="preserve">미니인턴 및 플랫폼서비스 등 / 수주과업에 따라 다름 </t>
        </is>
      </c>
      <c r="V863" s="21">
        <f>HYPERLINK("https://dart.fss.or.kr/dsaf001/main.do?rcpNo=20260812000706", "공시열람")</f>
        <v/>
      </c>
    </row>
    <row r="864">
      <c r="A864" s="5" t="inlineStr">
        <is>
          <t>HD현대마린솔루션</t>
        </is>
      </c>
      <c r="B864" s="6" t="inlineStr">
        <is>
          <t>443060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n">
        <v>50122</v>
      </c>
      <c r="G864" s="16" t="n">
        <v>206776</v>
      </c>
      <c r="H864" s="6" t="inlineStr">
        <is>
          <t>백만원</t>
        </is>
      </c>
      <c r="I864" s="17" t="n">
        <v>-7.7</v>
      </c>
      <c r="J864" s="18" t="inlineStr"/>
      <c r="K864" s="19" t="n">
        <v>212169</v>
      </c>
      <c r="L864" s="18" t="n">
        <v>208069</v>
      </c>
      <c r="M864" s="19" t="n">
        <v>189745</v>
      </c>
      <c r="N864" s="18" t="n">
        <v>166251</v>
      </c>
      <c r="O864" s="19" t="n">
        <v>198690</v>
      </c>
      <c r="P864" s="18" t="n">
        <v>245057</v>
      </c>
      <c r="Q864" s="19" t="n">
        <v>230592</v>
      </c>
      <c r="R864" s="18" t="n">
        <v>224108</v>
      </c>
      <c r="S864" s="20" t="n">
        <v>206776</v>
      </c>
      <c r="T864" s="6" t="n">
        <v>1</v>
      </c>
      <c r="U864" s="5" t="inlineStr">
        <is>
          <t>친환경솔루션(FSRU, FSU, EPLO, EGCS 등</t>
        </is>
      </c>
      <c r="V864" s="21">
        <f>HYPERLINK("https://dart.fss.or.kr/dsaf001/main.do?rcpNo=20260814001752", "공시열람")</f>
        <v/>
      </c>
    </row>
    <row r="865">
      <c r="A865" s="5" t="inlineStr">
        <is>
          <t>에스피소프트</t>
        </is>
      </c>
      <c r="B865" s="6" t="inlineStr">
        <is>
          <t>443670</t>
        </is>
      </c>
      <c r="C865" s="6" t="inlineStr">
        <is>
          <t>2026Q2</t>
        </is>
      </c>
      <c r="D865" s="6" t="inlineStr">
        <is>
          <t>20260813</t>
        </is>
      </c>
      <c r="E865" s="16" t="n">
        <v>3407554637</v>
      </c>
      <c r="F865" s="16" t="n">
        <v>1946409832</v>
      </c>
      <c r="G865" s="16" t="n">
        <v>1461144805</v>
      </c>
      <c r="H865" s="6" t="inlineStr">
        <is>
          <t>원</t>
        </is>
      </c>
      <c r="I865" s="17" t="n">
        <v>-15.2</v>
      </c>
      <c r="J865" s="18" t="n">
        <v>233127200</v>
      </c>
      <c r="K865" s="19" t="n">
        <v>281341222</v>
      </c>
      <c r="L865" s="18" t="n">
        <v>725537324</v>
      </c>
      <c r="M865" s="19" t="n">
        <v>587056645</v>
      </c>
      <c r="N865" s="18" t="n">
        <v>771439808</v>
      </c>
      <c r="O865" s="19" t="n">
        <v>735886927</v>
      </c>
      <c r="P865" s="18" t="n">
        <v>1244237864</v>
      </c>
      <c r="Q865" s="19" t="n">
        <v>1656260847</v>
      </c>
      <c r="R865" s="18" t="n">
        <v>1723488129</v>
      </c>
      <c r="S865" s="20" t="n">
        <v>1461144805</v>
      </c>
      <c r="T865" s="6" t="n">
        <v>3</v>
      </c>
      <c r="U865" s="5" t="inlineStr">
        <is>
          <t>M365 / - | SPLA / - | 라이선스 / -</t>
        </is>
      </c>
      <c r="V865" s="21">
        <f>HYPERLINK("https://dart.fss.or.kr/dsaf001/main.do?rcpNo=20260813001182", "공시열람")</f>
        <v/>
      </c>
    </row>
    <row r="866">
      <c r="A866" s="5" t="inlineStr">
        <is>
          <t>심플랫폼</t>
        </is>
      </c>
      <c r="B866" s="6" t="inlineStr">
        <is>
          <t>444530</t>
        </is>
      </c>
      <c r="C866" s="6" t="inlineStr">
        <is>
          <t>2026Q2</t>
        </is>
      </c>
      <c r="D866" s="6" t="inlineStr">
        <is>
          <t>20260814</t>
        </is>
      </c>
      <c r="E866" s="16" t="n">
        <v>8009183</v>
      </c>
      <c r="F866" s="16" t="inlineStr"/>
      <c r="G866" s="16" t="n">
        <v>5291531</v>
      </c>
      <c r="H866" s="6" t="inlineStr">
        <is>
          <t>천원</t>
        </is>
      </c>
      <c r="I866" s="17" t="n">
        <v>45.4</v>
      </c>
      <c r="J866" s="18" t="inlineStr"/>
      <c r="K866" s="19" t="inlineStr"/>
      <c r="L866" s="18" t="inlineStr"/>
      <c r="M866" s="19" t="inlineStr"/>
      <c r="N866" s="18" t="inlineStr"/>
      <c r="O866" s="19" t="inlineStr"/>
      <c r="P866" s="18" t="n">
        <v>3467214</v>
      </c>
      <c r="Q866" s="19" t="n">
        <v>707420</v>
      </c>
      <c r="R866" s="18" t="n">
        <v>3638291</v>
      </c>
      <c r="S866" s="20" t="n">
        <v>5291531</v>
      </c>
      <c r="T866" s="6" t="n">
        <v>1</v>
      </c>
      <c r="U866" s="5" t="inlineStr">
        <is>
          <t>NUBISON AX</t>
        </is>
      </c>
      <c r="V866" s="21">
        <f>HYPERLINK("https://dart.fss.or.kr/dsaf001/main.do?rcpNo=20260814002308", "공시열람")</f>
        <v/>
      </c>
    </row>
    <row r="867">
      <c r="A867" s="5" t="inlineStr">
        <is>
          <t>에이직랜드</t>
        </is>
      </c>
      <c r="B867" s="6" t="inlineStr">
        <is>
          <t>445090</t>
        </is>
      </c>
      <c r="C867" s="6" t="inlineStr">
        <is>
          <t>2026Q2</t>
        </is>
      </c>
      <c r="D867" s="6" t="inlineStr">
        <is>
          <t>20260814</t>
        </is>
      </c>
      <c r="E867" s="16" t="n">
        <v>179082</v>
      </c>
      <c r="F867" s="16" t="n">
        <v>16510</v>
      </c>
      <c r="G867" s="16" t="n">
        <v>61821</v>
      </c>
      <c r="H867" s="6" t="inlineStr">
        <is>
          <t>백만원</t>
        </is>
      </c>
      <c r="I867" s="17" t="n">
        <v>-29.6</v>
      </c>
      <c r="J867" s="18" t="n">
        <v>93489</v>
      </c>
      <c r="K867" s="19" t="inlineStr"/>
      <c r="L867" s="18" t="inlineStr"/>
      <c r="M867" s="19" t="n">
        <v>62757</v>
      </c>
      <c r="N867" s="18" t="n">
        <v>64207</v>
      </c>
      <c r="O867" s="19" t="inlineStr"/>
      <c r="P867" s="18" t="n">
        <v>84994</v>
      </c>
      <c r="Q867" s="19" t="n">
        <v>100686</v>
      </c>
      <c r="R867" s="18" t="n">
        <v>87824</v>
      </c>
      <c r="S867" s="20" t="n">
        <v>61821</v>
      </c>
      <c r="T867" s="6" t="n">
        <v>7</v>
      </c>
      <c r="U867" s="5" t="inlineStr">
        <is>
          <t>주문형 반도체 설계 / 2024.11.01 / 2026 | 주문형 반도체 설계 / 2025.05.27 / 2027 | 양산 계약 / 2026.01.08 / 2026.12.3</t>
        </is>
      </c>
      <c r="V867" s="21">
        <f>HYPERLINK("https://dart.fss.or.kr/dsaf001/main.do?rcpNo=20260814000520", "공시열람")</f>
        <v/>
      </c>
    </row>
    <row r="868">
      <c r="A868" s="5" t="inlineStr">
        <is>
          <t>큐리옥스바이오시스템즈</t>
        </is>
      </c>
      <c r="B868" s="6" t="inlineStr">
        <is>
          <t>445680</t>
        </is>
      </c>
      <c r="C868" s="6" t="inlineStr">
        <is>
          <t>2026Q2</t>
        </is>
      </c>
      <c r="D868" s="6" t="inlineStr">
        <is>
          <t>20260814</t>
        </is>
      </c>
      <c r="E868" s="16" t="n">
        <v>3532</v>
      </c>
      <c r="F868" s="16" t="n">
        <v>619</v>
      </c>
      <c r="G868" s="16" t="n">
        <v>2913</v>
      </c>
      <c r="H868" s="6" t="inlineStr">
        <is>
          <t>대,백만원</t>
        </is>
      </c>
      <c r="I868" s="17" t="n">
        <v>0</v>
      </c>
      <c r="J868" s="18" t="n">
        <v>2643056640</v>
      </c>
      <c r="K868" s="19" t="n">
        <v>2643056640</v>
      </c>
      <c r="L868" s="18" t="n">
        <v>2643056640</v>
      </c>
      <c r="M868" s="19" t="n">
        <v>2643</v>
      </c>
      <c r="N868" s="18" t="n">
        <v>2643</v>
      </c>
      <c r="O868" s="19" t="n">
        <v>3454</v>
      </c>
      <c r="P868" s="18" t="n">
        <v>2934</v>
      </c>
      <c r="Q868" s="19" t="n">
        <v>2913</v>
      </c>
      <c r="R868" s="18" t="n">
        <v>2913</v>
      </c>
      <c r="S868" s="20" t="n">
        <v>2913</v>
      </c>
      <c r="T868" s="6" t="n">
        <v>1</v>
      </c>
      <c r="U868" s="5" t="inlineStr">
        <is>
          <t>Laminar Wash HT 2000 시스템/Lamin</t>
        </is>
      </c>
      <c r="V868" s="21">
        <f>HYPERLINK("https://dart.fss.or.kr/dsaf001/main.do?rcpNo=20260814004125", "공시열람")</f>
        <v/>
      </c>
    </row>
    <row r="869">
      <c r="A869" s="5" t="inlineStr">
        <is>
          <t>에코아이</t>
        </is>
      </c>
      <c r="B869" s="6" t="inlineStr">
        <is>
          <t>448280</t>
        </is>
      </c>
      <c r="C869" s="6" t="inlineStr">
        <is>
          <t>2026Q2</t>
        </is>
      </c>
      <c r="D869" s="6" t="inlineStr">
        <is>
          <t>20260814</t>
        </is>
      </c>
      <c r="E869" s="16" t="n">
        <v>2825303</v>
      </c>
      <c r="F869" s="16" t="n">
        <v>6999</v>
      </c>
      <c r="G869" s="16" t="n">
        <v>8480</v>
      </c>
      <c r="H869" s="6" t="inlineStr">
        <is>
          <t>톤,백만원</t>
        </is>
      </c>
      <c r="I869" s="17" t="n">
        <v>0</v>
      </c>
      <c r="J869" s="18" t="n">
        <v>8476</v>
      </c>
      <c r="K869" s="19" t="n">
        <v>8476</v>
      </c>
      <c r="L869" s="18" t="n">
        <v>8476</v>
      </c>
      <c r="M869" s="19" t="n">
        <v>8476</v>
      </c>
      <c r="N869" s="18" t="n">
        <v>8476</v>
      </c>
      <c r="O869" s="19" t="n">
        <v>8480</v>
      </c>
      <c r="P869" s="18" t="n">
        <v>8480</v>
      </c>
      <c r="Q869" s="19" t="n">
        <v>8480</v>
      </c>
      <c r="R869" s="18" t="n">
        <v>8480</v>
      </c>
      <c r="S869" s="20" t="n">
        <v>8480</v>
      </c>
      <c r="T869" s="6" t="n">
        <v>11</v>
      </c>
      <c r="U869" s="5" t="inlineStr">
        <is>
          <t>방글라데시 / 쿡스토브 / i-KOC / 2019-09 | 미얀마 / 쿡스토브 / i-KOC / 2020-02-2 | 미얀마 / 쿡스토브 / i-KOC / 2020-02-2</t>
        </is>
      </c>
      <c r="V869" s="21">
        <f>HYPERLINK("https://dart.fss.or.kr/dsaf001/main.do?rcpNo=20260814000143", "공시열람")</f>
        <v/>
      </c>
    </row>
    <row r="870">
      <c r="A870" s="5" t="inlineStr">
        <is>
          <t>한국피아이엠</t>
        </is>
      </c>
      <c r="B870" s="6" t="inlineStr">
        <is>
          <t>448900</t>
        </is>
      </c>
      <c r="C870" s="6" t="inlineStr">
        <is>
          <t>2026Q2</t>
        </is>
      </c>
      <c r="D870" s="6" t="inlineStr">
        <is>
          <t>20260814</t>
        </is>
      </c>
      <c r="E870" s="16" t="n">
        <v>48337998</v>
      </c>
      <c r="F870" s="16" t="n">
        <v>5920553</v>
      </c>
      <c r="G870" s="16" t="n">
        <v>42417445</v>
      </c>
      <c r="H870" s="6" t="inlineStr">
        <is>
          <t>천원</t>
        </is>
      </c>
      <c r="I870" s="17" t="n">
        <v>7.4</v>
      </c>
      <c r="J870" s="18" t="inlineStr"/>
      <c r="K870" s="19" t="inlineStr"/>
      <c r="L870" s="18" t="inlineStr"/>
      <c r="M870" s="19" t="n">
        <v>27015058</v>
      </c>
      <c r="N870" s="18" t="n">
        <v>31114346</v>
      </c>
      <c r="O870" s="19" t="n">
        <v>35687974</v>
      </c>
      <c r="P870" s="18" t="n">
        <v>35516371</v>
      </c>
      <c r="Q870" s="19" t="n">
        <v>39811667</v>
      </c>
      <c r="R870" s="18" t="n">
        <v>39492025</v>
      </c>
      <c r="S870" s="20" t="n">
        <v>42417445</v>
      </c>
      <c r="T870" s="6" t="n">
        <v>10</v>
      </c>
      <c r="U870" s="5" t="inlineStr">
        <is>
          <t>V / 수시 | M / 수시 | A / 수시</t>
        </is>
      </c>
      <c r="V870" s="21">
        <f>HYPERLINK("https://dart.fss.or.kr/dsaf001/main.do?rcpNo=20260814004093", "공시열람")</f>
        <v/>
      </c>
    </row>
    <row r="871">
      <c r="A871" s="5" t="inlineStr">
        <is>
          <t>인스웨이브</t>
        </is>
      </c>
      <c r="B871" s="6" t="inlineStr">
        <is>
          <t>450520</t>
        </is>
      </c>
      <c r="C871" s="6" t="inlineStr">
        <is>
          <t>2026Q2</t>
        </is>
      </c>
      <c r="D871" s="6" t="inlineStr">
        <is>
          <t>20260813</t>
        </is>
      </c>
      <c r="E871" s="16" t="n">
        <v>57030</v>
      </c>
      <c r="F871" s="16" t="n">
        <v>12916</v>
      </c>
      <c r="G871" s="16" t="n">
        <v>44114</v>
      </c>
      <c r="H871" s="6" t="inlineStr">
        <is>
          <t>백만원</t>
        </is>
      </c>
      <c r="I871" s="17" t="n">
        <v>39.9</v>
      </c>
      <c r="J871" s="18" t="n">
        <v>8064</v>
      </c>
      <c r="K871" s="19" t="n">
        <v>7103</v>
      </c>
      <c r="L871" s="18" t="n">
        <v>14142</v>
      </c>
      <c r="M871" s="19" t="n">
        <v>12212</v>
      </c>
      <c r="N871" s="18" t="n">
        <v>12176</v>
      </c>
      <c r="O871" s="19" t="n">
        <v>10862</v>
      </c>
      <c r="P871" s="18" t="n">
        <v>13744</v>
      </c>
      <c r="Q871" s="19" t="n">
        <v>20855</v>
      </c>
      <c r="R871" s="18" t="n">
        <v>31529</v>
      </c>
      <c r="S871" s="20" t="n">
        <v>44114</v>
      </c>
      <c r="T871" s="6" t="n">
        <v>4</v>
      </c>
      <c r="U871" s="5" t="inlineStr">
        <is>
          <t>농협은행 계정계 차세대 (프로젝트 NEO) / 2026 | 기타 | 코어뱅킹현대화_웹단말전환 / 2026-06-01 / 2</t>
        </is>
      </c>
      <c r="V871" s="21">
        <f>HYPERLINK("https://dart.fss.or.kr/dsaf001/main.do?rcpNo=20260813001397", "공시열람")</f>
        <v/>
      </c>
    </row>
    <row r="872">
      <c r="A872" s="5" t="inlineStr">
        <is>
          <t>아이엠티</t>
        </is>
      </c>
      <c r="B872" s="6" t="inlineStr">
        <is>
          <t>451220</t>
        </is>
      </c>
      <c r="C872" s="6" t="inlineStr">
        <is>
          <t>2026Q2</t>
        </is>
      </c>
      <c r="D872" s="6" t="inlineStr">
        <is>
          <t>20260814</t>
        </is>
      </c>
      <c r="E872" s="16" t="n">
        <v>1280000</v>
      </c>
      <c r="F872" s="16" t="inlineStr"/>
      <c r="G872" s="16" t="n">
        <v>1280000</v>
      </c>
      <c r="H872" s="6" t="inlineStr">
        <is>
          <t>대,USD</t>
        </is>
      </c>
      <c r="I872" s="17" t="n">
        <v>0</v>
      </c>
      <c r="J872" s="18" t="inlineStr"/>
      <c r="K872" s="19" t="inlineStr"/>
      <c r="L872" s="18" t="inlineStr"/>
      <c r="M872" s="19" t="n">
        <v>1295000</v>
      </c>
      <c r="N872" s="18" t="n">
        <v>1295000</v>
      </c>
      <c r="O872" s="19" t="n">
        <v>2625000</v>
      </c>
      <c r="P872" s="18" t="n">
        <v>2742000</v>
      </c>
      <c r="Q872" s="19" t="n">
        <v>2742000</v>
      </c>
      <c r="R872" s="18" t="n">
        <v>1280000</v>
      </c>
      <c r="S872" s="20" t="n">
        <v>1280000</v>
      </c>
      <c r="T872" s="6" t="n">
        <v>1</v>
      </c>
      <c r="U872" s="5" t="inlineStr">
        <is>
          <t>HBM용 Wafer 세정장비 / 2025-09-02 /</t>
        </is>
      </c>
      <c r="V872" s="21">
        <f>HYPERLINK("https://dart.fss.or.kr/dsaf001/main.do?rcpNo=20260814001618", "공시열람")</f>
        <v/>
      </c>
    </row>
    <row r="873">
      <c r="A873" s="5" t="inlineStr">
        <is>
          <t>컨텍</t>
        </is>
      </c>
      <c r="B873" s="6" t="inlineStr">
        <is>
          <t>451760</t>
        </is>
      </c>
      <c r="C873" s="6" t="inlineStr">
        <is>
          <t>2026Q2</t>
        </is>
      </c>
      <c r="D873" s="6" t="inlineStr">
        <is>
          <t>20260814</t>
        </is>
      </c>
      <c r="E873" s="16" t="inlineStr"/>
      <c r="F873" s="16" t="inlineStr"/>
      <c r="G873" s="16" t="n">
        <v>32777553</v>
      </c>
      <c r="H873" s="6" t="inlineStr">
        <is>
          <t>천원</t>
        </is>
      </c>
      <c r="I873" s="17" t="n">
        <v>-51.8</v>
      </c>
      <c r="J873" s="18" t="n">
        <v>26019</v>
      </c>
      <c r="K873" s="19" t="n">
        <v>21362334</v>
      </c>
      <c r="L873" s="18" t="n">
        <v>70717698</v>
      </c>
      <c r="M873" s="19" t="n">
        <v>70647949</v>
      </c>
      <c r="N873" s="18" t="n">
        <v>70225551</v>
      </c>
      <c r="O873" s="19" t="n">
        <v>58061079</v>
      </c>
      <c r="P873" s="18" t="n">
        <v>56043528</v>
      </c>
      <c r="Q873" s="19" t="n">
        <v>63004833</v>
      </c>
      <c r="R873" s="18" t="n">
        <v>68071376</v>
      </c>
      <c r="S873" s="20" t="n">
        <v>32777553</v>
      </c>
      <c r="T873" s="6" t="n">
        <v>4</v>
      </c>
      <c r="U873" s="5" t="inlineStr">
        <is>
          <t>위성제조 및 서비스 솔루션 | 기 타 | 지상국솔루션 / -</t>
        </is>
      </c>
      <c r="V873" s="21">
        <f>HYPERLINK("https://dart.fss.or.kr/dsaf001/main.do?rcpNo=20260814001522", "공시열람")</f>
        <v/>
      </c>
    </row>
    <row r="874">
      <c r="A874" s="5" t="inlineStr">
        <is>
          <t>제이엔비</t>
        </is>
      </c>
      <c r="B874" s="6" t="inlineStr">
        <is>
          <t>452160</t>
        </is>
      </c>
      <c r="C874" s="6" t="inlineStr">
        <is>
          <t>2024Q1</t>
        </is>
      </c>
      <c r="D874" s="6" t="inlineStr">
        <is>
          <t>20240514</t>
        </is>
      </c>
      <c r="E874" s="16" t="inlineStr"/>
      <c r="F874" s="16" t="inlineStr"/>
      <c r="G874" s="16" t="n">
        <v>1773800</v>
      </c>
      <c r="H874" s="6" t="inlineStr">
        <is>
          <t>USD</t>
        </is>
      </c>
      <c r="I874" s="17" t="n">
        <v>0</v>
      </c>
      <c r="J874" s="18" t="n">
        <v>1773800</v>
      </c>
      <c r="K874" s="19" t="inlineStr"/>
      <c r="L874" s="18" t="inlineStr"/>
      <c r="M874" s="19" t="inlineStr"/>
      <c r="N874" s="18" t="inlineStr"/>
      <c r="O874" s="19" t="inlineStr"/>
      <c r="P874" s="18" t="inlineStr"/>
      <c r="Q874" s="19" t="inlineStr"/>
      <c r="R874" s="18" t="inlineStr"/>
      <c r="S874" s="20" t="inlineStr"/>
      <c r="T874" s="6" t="n">
        <v>1</v>
      </c>
      <c r="U874" s="5" t="inlineStr">
        <is>
          <t>통화선물환 / 중소기업은행</t>
        </is>
      </c>
      <c r="V874" s="21">
        <f>HYPERLINK("https://dart.fss.or.kr/dsaf001/main.do?rcpNo=20240514001502", "공시열람")</f>
        <v/>
      </c>
    </row>
    <row r="875">
      <c r="A875" s="5" t="inlineStr">
        <is>
          <t>한빛레이저</t>
        </is>
      </c>
      <c r="B875" s="6" t="inlineStr">
        <is>
          <t>452190</t>
        </is>
      </c>
      <c r="C875" s="6" t="inlineStr">
        <is>
          <t>2026Q2</t>
        </is>
      </c>
      <c r="D875" s="6" t="inlineStr">
        <is>
          <t>20260813</t>
        </is>
      </c>
      <c r="E875" s="16" t="inlineStr"/>
      <c r="F875" s="16" t="inlineStr"/>
      <c r="G875" s="16" t="n">
        <v>11569483</v>
      </c>
      <c r="H875" s="6" t="inlineStr">
        <is>
          <t>천원</t>
        </is>
      </c>
      <c r="I875" s="17" t="n">
        <v>-4.5</v>
      </c>
      <c r="J875" s="18" t="n">
        <v>13255538</v>
      </c>
      <c r="K875" s="19" t="n">
        <v>14992788</v>
      </c>
      <c r="L875" s="18" t="n">
        <v>12317390</v>
      </c>
      <c r="M875" s="19" t="n">
        <v>12297801</v>
      </c>
      <c r="N875" s="18" t="n">
        <v>18611946</v>
      </c>
      <c r="O875" s="19" t="n">
        <v>14920180</v>
      </c>
      <c r="P875" s="18" t="n">
        <v>15709023</v>
      </c>
      <c r="Q875" s="19" t="n">
        <v>10190703</v>
      </c>
      <c r="R875" s="18" t="n">
        <v>12109195</v>
      </c>
      <c r="S875" s="20" t="n">
        <v>11569483</v>
      </c>
      <c r="T875" s="6" t="n">
        <v>0</v>
      </c>
      <c r="U875" s="5" t="inlineStr"/>
      <c r="V875" s="21">
        <f>HYPERLINK("https://dart.fss.or.kr/dsaf001/main.do?rcpNo=20260813001626", "공시열람")</f>
        <v/>
      </c>
    </row>
    <row r="876">
      <c r="A876" s="5" t="inlineStr">
        <is>
          <t>민테크</t>
        </is>
      </c>
      <c r="B876" s="6" t="inlineStr">
        <is>
          <t>452200</t>
        </is>
      </c>
      <c r="C876" s="6" t="inlineStr">
        <is>
          <t>2026Q2</t>
        </is>
      </c>
      <c r="D876" s="6" t="inlineStr">
        <is>
          <t>20260814</t>
        </is>
      </c>
      <c r="E876" s="16" t="n">
        <v>5486</v>
      </c>
      <c r="F876" s="16" t="n">
        <v>3143</v>
      </c>
      <c r="G876" s="16" t="n">
        <v>2343</v>
      </c>
      <c r="H876" s="6" t="inlineStr">
        <is>
          <t>백만원</t>
        </is>
      </c>
      <c r="I876" s="17" t="n">
        <v>-19.2</v>
      </c>
      <c r="J876" s="18" t="inlineStr"/>
      <c r="K876" s="19" t="n">
        <v>11595</v>
      </c>
      <c r="L876" s="18" t="n">
        <v>11535</v>
      </c>
      <c r="M876" s="19" t="n">
        <v>13841</v>
      </c>
      <c r="N876" s="18" t="n">
        <v>14035</v>
      </c>
      <c r="O876" s="19" t="n">
        <v>17366</v>
      </c>
      <c r="P876" s="18" t="n">
        <v>9319</v>
      </c>
      <c r="Q876" s="19" t="n">
        <v>3917</v>
      </c>
      <c r="R876" s="18" t="n">
        <v>2901</v>
      </c>
      <c r="S876" s="20" t="n">
        <v>2343</v>
      </c>
      <c r="T876" s="6" t="n">
        <v>3</v>
      </c>
      <c r="U876" s="5" t="inlineStr">
        <is>
          <t>기타 / - | 배터리 진단시스템 / - | 충방전검사장비 / -</t>
        </is>
      </c>
      <c r="V876" s="21">
        <f>HYPERLINK("https://dart.fss.or.kr/dsaf001/main.do?rcpNo=20260814002464", "공시열람")</f>
        <v/>
      </c>
    </row>
    <row r="877">
      <c r="A877" s="5" t="inlineStr">
        <is>
          <t>피아이이</t>
        </is>
      </c>
      <c r="B877" s="6" t="inlineStr">
        <is>
          <t>452450</t>
        </is>
      </c>
      <c r="C877" s="6" t="inlineStr">
        <is>
          <t>2026Q2</t>
        </is>
      </c>
      <c r="D877" s="6" t="inlineStr">
        <is>
          <t>20260813</t>
        </is>
      </c>
      <c r="E877" s="16" t="n">
        <v>44944443</v>
      </c>
      <c r="F877" s="16" t="n">
        <v>14691076</v>
      </c>
      <c r="G877" s="16" t="n">
        <v>30253367</v>
      </c>
      <c r="H877" s="6" t="inlineStr">
        <is>
          <t>천원</t>
        </is>
      </c>
      <c r="I877" s="17" t="n">
        <v>-21</v>
      </c>
      <c r="J877" s="18" t="inlineStr"/>
      <c r="K877" s="19" t="inlineStr"/>
      <c r="L877" s="18" t="inlineStr"/>
      <c r="M877" s="19" t="n">
        <v>29345690821</v>
      </c>
      <c r="N877" s="18" t="n">
        <v>29458734</v>
      </c>
      <c r="O877" s="19" t="n">
        <v>28596758</v>
      </c>
      <c r="P877" s="18" t="n">
        <v>31483810</v>
      </c>
      <c r="Q877" s="19" t="n">
        <v>24862774</v>
      </c>
      <c r="R877" s="18" t="n">
        <v>38319372</v>
      </c>
      <c r="S877" s="20" t="n">
        <v>30253367</v>
      </c>
      <c r="T877" s="6" t="n">
        <v>2</v>
      </c>
      <c r="U877" s="5" t="inlineStr">
        <is>
          <t>비전 및 장비 솔루션 | 기타</t>
        </is>
      </c>
      <c r="V877" s="21">
        <f>HYPERLINK("https://dart.fss.or.kr/dsaf001/main.do?rcpNo=20260813001351", "공시열람")</f>
        <v/>
      </c>
    </row>
    <row r="878">
      <c r="A878" s="5" t="inlineStr">
        <is>
          <t>두산로보틱스</t>
        </is>
      </c>
      <c r="B878" s="6" t="inlineStr">
        <is>
          <t>454910</t>
        </is>
      </c>
      <c r="C878" s="6" t="inlineStr">
        <is>
          <t>2026Q1</t>
        </is>
      </c>
      <c r="D878" s="6" t="inlineStr">
        <is>
          <t>20260515</t>
        </is>
      </c>
      <c r="E878" s="16" t="n">
        <v>18100</v>
      </c>
      <c r="F878" s="16" t="n">
        <v>4553</v>
      </c>
      <c r="G878" s="16" t="n">
        <v>13547</v>
      </c>
      <c r="H878" s="6" t="inlineStr">
        <is>
          <t>USD천</t>
        </is>
      </c>
      <c r="I878" s="17" t="n">
        <v>-9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n">
        <v>9343</v>
      </c>
      <c r="Q878" s="19" t="n">
        <v>14884</v>
      </c>
      <c r="R878" s="18" t="n">
        <v>13547</v>
      </c>
      <c r="S878" s="20" t="inlineStr"/>
      <c r="T878" s="6" t="n">
        <v>1</v>
      </c>
      <c r="U878" s="5" t="inlineStr">
        <is>
          <t>자동화 솔루션 / EOL/CMI 등</t>
        </is>
      </c>
      <c r="V878" s="21">
        <f>HYPERLINK("https://dart.fss.or.kr/dsaf001/main.do?rcpNo=20260515001834", "공시열람")</f>
        <v/>
      </c>
    </row>
    <row r="879">
      <c r="A879" s="5" t="inlineStr">
        <is>
          <t>케이지에이</t>
        </is>
      </c>
      <c r="B879" s="6" t="inlineStr">
        <is>
          <t>455180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22483930</v>
      </c>
      <c r="F879" s="16" t="n">
        <v>2558748</v>
      </c>
      <c r="G879" s="16" t="n">
        <v>19925182</v>
      </c>
      <c r="H879" s="6" t="inlineStr">
        <is>
          <t>천원</t>
        </is>
      </c>
      <c r="I879" s="17" t="n">
        <v>-99.7</v>
      </c>
      <c r="J879" s="18" t="inlineStr"/>
      <c r="K879" s="19" t="inlineStr"/>
      <c r="L879" s="18" t="inlineStr"/>
      <c r="M879" s="19" t="inlineStr"/>
      <c r="N879" s="18" t="inlineStr"/>
      <c r="O879" s="19" t="inlineStr"/>
      <c r="P879" s="18" t="inlineStr"/>
      <c r="Q879" s="19" t="inlineStr"/>
      <c r="R879" s="18" t="n">
        <v>7546000000</v>
      </c>
      <c r="S879" s="20" t="n">
        <v>19925182</v>
      </c>
      <c r="T879" s="6" t="n">
        <v>2</v>
      </c>
      <c r="U879" s="5" t="inlineStr">
        <is>
          <t>2차전지 전극공정 장비 / - | 기타 / -</t>
        </is>
      </c>
      <c r="V879" s="21">
        <f>HYPERLINK("https://dart.fss.or.kr/dsaf001/main.do?rcpNo=20260814002235", "공시열람")</f>
        <v/>
      </c>
    </row>
    <row r="880">
      <c r="A880" s="5" t="inlineStr">
        <is>
          <t>아이씨티케이</t>
        </is>
      </c>
      <c r="B880" s="6" t="inlineStr">
        <is>
          <t>456010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14772860</v>
      </c>
      <c r="F880" s="16" t="n">
        <v>3365175</v>
      </c>
      <c r="G880" s="16" t="n">
        <v>11407685</v>
      </c>
      <c r="H880" s="6" t="inlineStr">
        <is>
          <t>천원</t>
        </is>
      </c>
      <c r="I880" s="17" t="n">
        <v>-6.3</v>
      </c>
      <c r="J880" s="18" t="n">
        <v>3710000</v>
      </c>
      <c r="K880" s="19" t="n">
        <v>3345000</v>
      </c>
      <c r="L880" s="18" t="n">
        <v>1700000</v>
      </c>
      <c r="M880" s="19" t="n">
        <v>329700</v>
      </c>
      <c r="N880" s="18" t="n">
        <v>250000</v>
      </c>
      <c r="O880" s="19" t="n">
        <v>360561</v>
      </c>
      <c r="P880" s="18" t="n">
        <v>228859</v>
      </c>
      <c r="Q880" s="19" t="n">
        <v>12761850</v>
      </c>
      <c r="R880" s="18" t="n">
        <v>12180535</v>
      </c>
      <c r="S880" s="20" t="n">
        <v>11407685</v>
      </c>
      <c r="T880" s="6" t="n">
        <v>3</v>
      </c>
      <c r="U880" s="5" t="inlineStr">
        <is>
          <t>개발용역 / 양자암호 솔루션 개발 | 개발용역 / 이동통신사 | 연구용역 / 보안기술연구소</t>
        </is>
      </c>
      <c r="V880" s="21">
        <f>HYPERLINK("https://dart.fss.or.kr/dsaf001/main.do?rcpNo=20260814003391", "공시열람")</f>
        <v/>
      </c>
    </row>
    <row r="881">
      <c r="A881" s="5" t="inlineStr">
        <is>
          <t>이엔셀</t>
        </is>
      </c>
      <c r="B881" s="6" t="inlineStr">
        <is>
          <t>456070</t>
        </is>
      </c>
      <c r="C881" s="6" t="inlineStr">
        <is>
          <t>2026Q2</t>
        </is>
      </c>
      <c r="D881" s="6" t="inlineStr">
        <is>
          <t>20260814</t>
        </is>
      </c>
      <c r="E881" s="16" t="n">
        <v>14676</v>
      </c>
      <c r="F881" s="16" t="n">
        <v>5491</v>
      </c>
      <c r="G881" s="16" t="n">
        <v>9185</v>
      </c>
      <c r="H881" s="6" t="inlineStr">
        <is>
          <t>백만원</t>
        </is>
      </c>
      <c r="I881" s="17" t="n">
        <v>19.6</v>
      </c>
      <c r="J881" s="18" t="inlineStr"/>
      <c r="K881" s="19" t="inlineStr"/>
      <c r="L881" s="18" t="n">
        <v>9202</v>
      </c>
      <c r="M881" s="19" t="n">
        <v>4014</v>
      </c>
      <c r="N881" s="18" t="n">
        <v>3858</v>
      </c>
      <c r="O881" s="19" t="n">
        <v>5047</v>
      </c>
      <c r="P881" s="18" t="n">
        <v>9101</v>
      </c>
      <c r="Q881" s="19" t="n">
        <v>8001</v>
      </c>
      <c r="R881" s="18" t="n">
        <v>7681</v>
      </c>
      <c r="S881" s="20" t="n">
        <v>9185</v>
      </c>
      <c r="T881" s="6" t="n">
        <v>1</v>
      </c>
      <c r="U881" s="5" t="inlineStr">
        <is>
          <t>CDMO / 2023년~ (계약별 상이) / ~2029</t>
        </is>
      </c>
      <c r="V881" s="21">
        <f>HYPERLINK("https://dart.fss.or.kr/dsaf001/main.do?rcpNo=20260814003945", "공시열람")</f>
        <v/>
      </c>
    </row>
    <row r="882">
      <c r="A882" s="5" t="inlineStr">
        <is>
          <t>우진엔텍</t>
        </is>
      </c>
      <c r="B882" s="6" t="inlineStr">
        <is>
          <t>457550</t>
        </is>
      </c>
      <c r="C882" s="6" t="inlineStr">
        <is>
          <t>2026Q2</t>
        </is>
      </c>
      <c r="D882" s="6" t="inlineStr">
        <is>
          <t>20260814</t>
        </is>
      </c>
      <c r="E882" s="16" t="n">
        <v>167239</v>
      </c>
      <c r="F882" s="16" t="n">
        <v>146153</v>
      </c>
      <c r="G882" s="16" t="n">
        <v>21086</v>
      </c>
      <c r="H882" s="6" t="inlineStr">
        <is>
          <t>백만원</t>
        </is>
      </c>
      <c r="I882" s="17" t="n">
        <v>-17.8</v>
      </c>
      <c r="J882" s="18" t="n">
        <v>50044</v>
      </c>
      <c r="K882" s="19" t="n">
        <v>40484</v>
      </c>
      <c r="L882" s="18" t="n">
        <v>53494</v>
      </c>
      <c r="M882" s="19" t="n">
        <v>45661</v>
      </c>
      <c r="N882" s="18" t="n">
        <v>43724</v>
      </c>
      <c r="O882" s="19" t="n">
        <v>36259</v>
      </c>
      <c r="P882" s="18" t="n">
        <v>32608</v>
      </c>
      <c r="Q882" s="19" t="n">
        <v>26383</v>
      </c>
      <c r="R882" s="18" t="n">
        <v>25641</v>
      </c>
      <c r="S882" s="20" t="n">
        <v>21086</v>
      </c>
      <c r="T882" s="6" t="n">
        <v>9</v>
      </c>
      <c r="U882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2" s="21">
        <f>HYPERLINK("https://dart.fss.or.kr/dsaf001/main.do?rcpNo=20260814000513", "공시열람")</f>
        <v/>
      </c>
    </row>
    <row r="883">
      <c r="A883" s="5" t="inlineStr">
        <is>
          <t>나우로보틱스</t>
        </is>
      </c>
      <c r="B883" s="6" t="inlineStr">
        <is>
          <t>459510</t>
        </is>
      </c>
      <c r="C883" s="6" t="inlineStr">
        <is>
          <t>2025Q4</t>
        </is>
      </c>
      <c r="D883" s="6" t="inlineStr">
        <is>
          <t>20260323</t>
        </is>
      </c>
      <c r="E883" s="16" t="inlineStr"/>
      <c r="F883" s="16" t="inlineStr"/>
      <c r="G883" s="16" t="n">
        <v>723234</v>
      </c>
      <c r="H883" s="6" t="inlineStr">
        <is>
          <t>천원</t>
        </is>
      </c>
      <c r="I883" s="17" t="inlineStr"/>
      <c r="J883" s="18" t="inlineStr"/>
      <c r="K883" s="19" t="inlineStr"/>
      <c r="L883" s="18" t="inlineStr"/>
      <c r="M883" s="19" t="inlineStr"/>
      <c r="N883" s="18" t="inlineStr"/>
      <c r="O883" s="19" t="inlineStr"/>
      <c r="P883" s="18" t="inlineStr"/>
      <c r="Q883" s="19" t="n">
        <v>723234</v>
      </c>
      <c r="R883" s="18" t="inlineStr"/>
      <c r="S883" s="20" t="inlineStr"/>
      <c r="T883" s="6" t="n">
        <v>1</v>
      </c>
      <c r="U883" s="5" t="inlineStr">
        <is>
          <t>주문제작 방식 산업용로봇 / -</t>
        </is>
      </c>
      <c r="V883" s="21">
        <f>HYPERLINK("https://dart.fss.or.kr/dsaf001/main.do?rcpNo=20260323000990", "공시열람")</f>
        <v/>
      </c>
    </row>
    <row r="884">
      <c r="A884" s="5" t="inlineStr">
        <is>
          <t>아이빔테크놀로지</t>
        </is>
      </c>
      <c r="B884" s="6" t="inlineStr">
        <is>
          <t>460470</t>
        </is>
      </c>
      <c r="C884" s="6" t="inlineStr">
        <is>
          <t>2026Q2</t>
        </is>
      </c>
      <c r="D884" s="6" t="inlineStr">
        <is>
          <t>20260813</t>
        </is>
      </c>
      <c r="E884" s="16" t="n">
        <v>301837</v>
      </c>
      <c r="F884" s="16" t="inlineStr"/>
      <c r="G884" s="16" t="n">
        <v>301837</v>
      </c>
      <c r="H884" s="6" t="inlineStr">
        <is>
          <t>천원</t>
        </is>
      </c>
      <c r="I884" s="17" t="n">
        <v>-83</v>
      </c>
      <c r="J884" s="18" t="inlineStr"/>
      <c r="K884" s="19" t="n">
        <v>782352</v>
      </c>
      <c r="L884" s="18" t="n">
        <v>647060</v>
      </c>
      <c r="M884" s="19" t="n">
        <v>525603</v>
      </c>
      <c r="N884" s="18" t="n">
        <v>572245</v>
      </c>
      <c r="O884" s="19" t="n">
        <v>880989</v>
      </c>
      <c r="P884" s="18" t="n">
        <v>532362</v>
      </c>
      <c r="Q884" s="19" t="n">
        <v>711083</v>
      </c>
      <c r="R884" s="18" t="n">
        <v>1772405</v>
      </c>
      <c r="S884" s="20" t="n">
        <v>301837</v>
      </c>
      <c r="T884" s="6" t="n">
        <v>8</v>
      </c>
      <c r="U884" s="5" t="inlineStr">
        <is>
          <t>CRO서비스 / 2025-03-18 / 2026년 예정 | CRO서비스 / 2026-06-05 / 2026년 예정 | CRO서비스 / 2026-05-26 / 2026년 예정</t>
        </is>
      </c>
      <c r="V884" s="21">
        <f>HYPERLINK("https://dart.fss.or.kr/dsaf001/main.do?rcpNo=20260813000688", "공시열람")</f>
        <v/>
      </c>
    </row>
    <row r="885">
      <c r="A885" s="5" t="inlineStr">
        <is>
          <t>동국제강</t>
        </is>
      </c>
      <c r="B885" s="6" t="inlineStr">
        <is>
          <t>460860</t>
        </is>
      </c>
      <c r="C885" s="6" t="inlineStr">
        <is>
          <t>2026Q2</t>
        </is>
      </c>
      <c r="D885" s="6" t="inlineStr">
        <is>
          <t>20260814</t>
        </is>
      </c>
      <c r="E885" s="16" t="n">
        <v>699010</v>
      </c>
      <c r="F885" s="16" t="n">
        <v>87896</v>
      </c>
      <c r="G885" s="16" t="n">
        <v>611114</v>
      </c>
      <c r="H885" s="6" t="inlineStr">
        <is>
          <t>톤,백만원</t>
        </is>
      </c>
      <c r="I885" s="17" t="n">
        <v>-5.3</v>
      </c>
      <c r="J885" s="18" t="n">
        <v>86719</v>
      </c>
      <c r="K885" s="19" t="n">
        <v>239931</v>
      </c>
      <c r="L885" s="18" t="n">
        <v>198900</v>
      </c>
      <c r="M885" s="19" t="n">
        <v>140695</v>
      </c>
      <c r="N885" s="18" t="n">
        <v>109957</v>
      </c>
      <c r="O885" s="19" t="n">
        <v>58781</v>
      </c>
      <c r="P885" s="18" t="n">
        <v>19179</v>
      </c>
      <c r="Q885" s="19" t="n">
        <v>668827</v>
      </c>
      <c r="R885" s="18" t="n">
        <v>645314</v>
      </c>
      <c r="S885" s="20" t="n">
        <v>611114</v>
      </c>
      <c r="T885" s="6" t="n">
        <v>1</v>
      </c>
      <c r="U885" s="5" t="inlineStr">
        <is>
          <t>이형철근 / 조달청 / 2025.10.29</t>
        </is>
      </c>
      <c r="V885" s="21">
        <f>HYPERLINK("https://dart.fss.or.kr/dsaf001/main.do?rcpNo=20260814001702", "공시열람")</f>
        <v/>
      </c>
    </row>
    <row r="886">
      <c r="A886" s="5" t="inlineStr">
        <is>
          <t>현대힘스</t>
        </is>
      </c>
      <c r="B886" s="6" t="inlineStr">
        <is>
          <t>460930</t>
        </is>
      </c>
      <c r="C886" s="6" t="inlineStr">
        <is>
          <t>2026Q2</t>
        </is>
      </c>
      <c r="D886" s="6" t="inlineStr">
        <is>
          <t>20260813</t>
        </is>
      </c>
      <c r="E886" s="16" t="n">
        <v>202343</v>
      </c>
      <c r="F886" s="16" t="n">
        <v>152481</v>
      </c>
      <c r="G886" s="16" t="n">
        <v>49862</v>
      </c>
      <c r="H886" s="6" t="inlineStr">
        <is>
          <t>백만원</t>
        </is>
      </c>
      <c r="I886" s="17" t="n">
        <v>-13.5</v>
      </c>
      <c r="J886" s="18" t="n">
        <v>38283</v>
      </c>
      <c r="K886" s="19" t="n">
        <v>36280</v>
      </c>
      <c r="L886" s="18" t="n">
        <v>34724</v>
      </c>
      <c r="M886" s="19" t="n">
        <v>35684</v>
      </c>
      <c r="N886" s="18" t="n">
        <v>41194</v>
      </c>
      <c r="O886" s="19" t="n">
        <v>60520</v>
      </c>
      <c r="P886" s="18" t="n">
        <v>54815</v>
      </c>
      <c r="Q886" s="19" t="n">
        <v>65375</v>
      </c>
      <c r="R886" s="18" t="n">
        <v>57628</v>
      </c>
      <c r="S886" s="20" t="n">
        <v>49862</v>
      </c>
      <c r="T886" s="6" t="n">
        <v>4</v>
      </c>
      <c r="U886" s="5" t="inlineStr">
        <is>
          <t>블록 / '26.06.30까지 / - | 항만크레인 / '26.06.30까지 / - | 배관/철의장 / '26.06.30까지 / -</t>
        </is>
      </c>
      <c r="V886" s="21">
        <f>HYPERLINK("https://dart.fss.or.kr/dsaf001/main.do?rcpNo=20260813000095", "공시열람")</f>
        <v/>
      </c>
    </row>
    <row r="887">
      <c r="A887" s="5" t="inlineStr">
        <is>
          <t>이노스페이스</t>
        </is>
      </c>
      <c r="B887" s="6" t="inlineStr">
        <is>
          <t>462350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11750</v>
      </c>
      <c r="F887" s="16" t="n">
        <v>5827</v>
      </c>
      <c r="G887" s="16" t="n">
        <v>5923</v>
      </c>
      <c r="H887" s="6" t="inlineStr">
        <is>
          <t>백만원</t>
        </is>
      </c>
      <c r="I887" s="17" t="n">
        <v>-27.3</v>
      </c>
      <c r="J887" s="18" t="n">
        <v>12608</v>
      </c>
      <c r="K887" s="19" t="n">
        <v>14149</v>
      </c>
      <c r="L887" s="18" t="n">
        <v>14932</v>
      </c>
      <c r="M887" s="19" t="n">
        <v>16204</v>
      </c>
      <c r="N887" s="18" t="n">
        <v>14389</v>
      </c>
      <c r="O887" s="19" t="n">
        <v>14432</v>
      </c>
      <c r="P887" s="18" t="n">
        <v>7374</v>
      </c>
      <c r="Q887" s="19" t="n">
        <v>9065</v>
      </c>
      <c r="R887" s="18" t="n">
        <v>8148</v>
      </c>
      <c r="S887" s="20" t="n">
        <v>5923</v>
      </c>
      <c r="T887" s="6" t="n">
        <v>2</v>
      </c>
      <c r="U887" s="5" t="inlineStr">
        <is>
          <t>모의 발사체 공급계약 / 2025년 / 2025년 ~  | 재사용 기술 시연체 유공압 엄빌리컬 위탁 개발 계약 /</t>
        </is>
      </c>
      <c r="V887" s="21">
        <f>HYPERLINK("https://dart.fss.or.kr/dsaf001/main.do?rcpNo=20260814003448", "공시열람")</f>
        <v/>
      </c>
    </row>
    <row r="888">
      <c r="A888" s="5" t="inlineStr">
        <is>
          <t>라메디텍</t>
        </is>
      </c>
      <c r="B888" s="6" t="inlineStr">
        <is>
          <t>462510</t>
        </is>
      </c>
      <c r="C888" s="6" t="inlineStr">
        <is>
          <t>2025Q1</t>
        </is>
      </c>
      <c r="D888" s="6" t="inlineStr">
        <is>
          <t>20250514</t>
        </is>
      </c>
      <c r="E888" s="16" t="n">
        <v>1493379</v>
      </c>
      <c r="F888" s="16" t="n">
        <v>1391379</v>
      </c>
      <c r="G888" s="16" t="n">
        <v>102000</v>
      </c>
      <c r="H888" s="6" t="inlineStr">
        <is>
          <t>천원</t>
        </is>
      </c>
      <c r="I888" s="17" t="n">
        <v>51.7</v>
      </c>
      <c r="J888" s="18" t="inlineStr"/>
      <c r="K888" s="19" t="n">
        <v>749000</v>
      </c>
      <c r="L888" s="18" t="n">
        <v>433000</v>
      </c>
      <c r="M888" s="19" t="n">
        <v>67244</v>
      </c>
      <c r="N888" s="18" t="n">
        <v>102000</v>
      </c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레이저 미용기기 / 2025-01-02 / 2025-0</t>
        </is>
      </c>
      <c r="V888" s="21">
        <f>HYPERLINK("https://dart.fss.or.kr/dsaf001/main.do?rcpNo=20250514000373", "공시열람")</f>
        <v/>
      </c>
    </row>
    <row r="889">
      <c r="A889" s="5" t="inlineStr">
        <is>
          <t>조선내화</t>
        </is>
      </c>
      <c r="B889" s="6" t="inlineStr">
        <is>
          <t>462520</t>
        </is>
      </c>
      <c r="C889" s="6" t="inlineStr">
        <is>
          <t>2023Q4</t>
        </is>
      </c>
      <c r="D889" s="6" t="inlineStr">
        <is>
          <t>20240315</t>
        </is>
      </c>
      <c r="E889" s="16" t="inlineStr"/>
      <c r="F889" s="16" t="inlineStr"/>
      <c r="G889" s="16" t="n">
        <v>49000000</v>
      </c>
      <c r="H889" s="6" t="inlineStr">
        <is>
          <t>천원</t>
        </is>
      </c>
      <c r="I889" s="17" t="inlineStr"/>
      <c r="J889" s="18" t="inlineStr"/>
      <c r="K889" s="19" t="inlineStr"/>
      <c r="L889" s="18" t="inlineStr"/>
      <c r="M889" s="19" t="inlineStr"/>
      <c r="N889" s="18" t="inlineStr"/>
      <c r="O889" s="19" t="inlineStr"/>
      <c r="P889" s="18" t="inlineStr"/>
      <c r="Q889" s="19" t="inlineStr"/>
      <c r="R889" s="18" t="inlineStr"/>
      <c r="S889" s="20" t="inlineStr"/>
      <c r="T889" s="6" t="n">
        <v>1</v>
      </c>
      <c r="U889" s="5" t="inlineStr">
        <is>
          <t>국내플랜트공사 / -</t>
        </is>
      </c>
      <c r="V889" s="21">
        <f>HYPERLINK("https://dart.fss.or.kr/dsaf001/main.do?rcpNo=20240315000658", "공시열람")</f>
        <v/>
      </c>
    </row>
    <row r="890">
      <c r="A890" s="5" t="inlineStr">
        <is>
          <t>에스오에스랩</t>
        </is>
      </c>
      <c r="B890" s="6" t="inlineStr">
        <is>
          <t>464080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2240</v>
      </c>
      <c r="F890" s="16" t="inlineStr"/>
      <c r="G890" s="16" t="n">
        <v>1808</v>
      </c>
      <c r="H890" s="6" t="inlineStr">
        <is>
          <t>백만원</t>
        </is>
      </c>
      <c r="I890" s="17" t="n">
        <v>203.4</v>
      </c>
      <c r="J890" s="18" t="inlineStr"/>
      <c r="K890" s="19" t="n">
        <v>2986</v>
      </c>
      <c r="L890" s="18" t="n">
        <v>2247</v>
      </c>
      <c r="M890" s="19" t="n">
        <v>2038</v>
      </c>
      <c r="N890" s="18" t="n">
        <v>2674</v>
      </c>
      <c r="O890" s="19" t="n">
        <v>1503</v>
      </c>
      <c r="P890" s="18" t="n">
        <v>1503</v>
      </c>
      <c r="Q890" s="19" t="n">
        <v>370</v>
      </c>
      <c r="R890" s="18" t="n">
        <v>596</v>
      </c>
      <c r="S890" s="20" t="n">
        <v>1808</v>
      </c>
      <c r="T890" s="6" t="n">
        <v>7</v>
      </c>
      <c r="U890" s="5" t="inlineStr">
        <is>
          <t>인프라 / 스마트시티 / E사 / ML / 2026-0 | 인프라 / 기타 / E사 / 2023-08-16 | 모빌리티 / 로보틱스 / C사 / GL / 2026-0</t>
        </is>
      </c>
      <c r="V890" s="21">
        <f>HYPERLINK("https://dart.fss.or.kr/dsaf001/main.do?rcpNo=20260814003376", "공시열람")</f>
        <v/>
      </c>
    </row>
    <row r="891">
      <c r="A891" s="5" t="inlineStr">
        <is>
          <t>닷밀</t>
        </is>
      </c>
      <c r="B891" s="6" t="inlineStr">
        <is>
          <t>464580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27443</v>
      </c>
      <c r="F891" s="16" t="n">
        <v>24763</v>
      </c>
      <c r="G891" s="16" t="n">
        <v>2680</v>
      </c>
      <c r="H891" s="6" t="inlineStr">
        <is>
          <t>백만원</t>
        </is>
      </c>
      <c r="I891" s="17" t="n">
        <v>-59.8</v>
      </c>
      <c r="J891" s="18" t="inlineStr"/>
      <c r="K891" s="19" t="inlineStr"/>
      <c r="L891" s="18" t="inlineStr"/>
      <c r="M891" s="19" t="n">
        <v>7371</v>
      </c>
      <c r="N891" s="18" t="n">
        <v>8263</v>
      </c>
      <c r="O891" s="19" t="n">
        <v>9922</v>
      </c>
      <c r="P891" s="18" t="n">
        <v>1378</v>
      </c>
      <c r="Q891" s="19" t="n">
        <v>9012</v>
      </c>
      <c r="R891" s="18" t="n">
        <v>6669</v>
      </c>
      <c r="S891" s="20" t="n">
        <v>2680</v>
      </c>
      <c r="T891" s="6" t="n">
        <v>7</v>
      </c>
      <c r="U891" s="5" t="inlineStr">
        <is>
          <t>프로젝트 4 / 2025.06.20 / 2027.06. | 프로젝트 5 / 2025.12.24 / 2026.11. | 프로젝트 6 / 2025.12.29 / 2026.12.</t>
        </is>
      </c>
      <c r="V891" s="21">
        <f>HYPERLINK("https://dart.fss.or.kr/dsaf001/main.do?rcpNo=20260814000901", "공시열람")</f>
        <v/>
      </c>
    </row>
    <row r="892">
      <c r="A892" s="5" t="inlineStr">
        <is>
          <t>인스피언</t>
        </is>
      </c>
      <c r="B892" s="6" t="inlineStr">
        <is>
          <t>465480</t>
        </is>
      </c>
      <c r="C892" s="6" t="inlineStr">
        <is>
          <t>2026Q2</t>
        </is>
      </c>
      <c r="D892" s="6" t="inlineStr">
        <is>
          <t>20260813</t>
        </is>
      </c>
      <c r="E892" s="16" t="n">
        <v>17672576</v>
      </c>
      <c r="F892" s="16" t="inlineStr"/>
      <c r="G892" s="16" t="n">
        <v>8634035</v>
      </c>
      <c r="H892" s="6" t="inlineStr">
        <is>
          <t>건,천원</t>
        </is>
      </c>
      <c r="I892" s="17" t="n">
        <v>-4.5</v>
      </c>
      <c r="J892" s="18" t="inlineStr"/>
      <c r="K892" s="19" t="inlineStr"/>
      <c r="L892" s="18" t="inlineStr"/>
      <c r="M892" s="19" t="n">
        <v>8523195</v>
      </c>
      <c r="N892" s="18" t="n">
        <v>11527551</v>
      </c>
      <c r="O892" s="19" t="n">
        <v>10814854</v>
      </c>
      <c r="P892" s="18" t="n">
        <v>10676233</v>
      </c>
      <c r="Q892" s="19" t="n">
        <v>7686628</v>
      </c>
      <c r="R892" s="18" t="n">
        <v>9040396</v>
      </c>
      <c r="S892" s="20" t="n">
        <v>8634035</v>
      </c>
      <c r="T892" s="6" t="n">
        <v>7</v>
      </c>
      <c r="U892" s="5" t="inlineStr">
        <is>
          <t>솔루션 사업 / SW/HW | 솔루션 사업 / 유지보수 | 컨설팅 사업 / SM</t>
        </is>
      </c>
      <c r="V892" s="21">
        <f>HYPERLINK("https://dart.fss.or.kr/dsaf001/main.do?rcpNo=20260813001070", "공시열람")</f>
        <v/>
      </c>
    </row>
    <row r="893">
      <c r="A893" s="5" t="inlineStr">
        <is>
          <t>이노테크</t>
        </is>
      </c>
      <c r="B893" s="6" t="inlineStr">
        <is>
          <t>469610</t>
        </is>
      </c>
      <c r="C893" s="6" t="inlineStr">
        <is>
          <t>2026Q2</t>
        </is>
      </c>
      <c r="D893" s="6" t="inlineStr">
        <is>
          <t>20260811</t>
        </is>
      </c>
      <c r="E893" s="16" t="n">
        <v>3841</v>
      </c>
      <c r="F893" s="16" t="n">
        <v>602</v>
      </c>
      <c r="G893" s="16" t="n">
        <v>3239</v>
      </c>
      <c r="H893" s="6" t="inlineStr">
        <is>
          <t>백만원</t>
        </is>
      </c>
      <c r="I893" s="17" t="n">
        <v>-14.2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n">
        <v>3355830.98</v>
      </c>
      <c r="Q893" s="19" t="n">
        <v>3352366663</v>
      </c>
      <c r="R893" s="18" t="n">
        <v>3774</v>
      </c>
      <c r="S893" s="20" t="n">
        <v>3239</v>
      </c>
      <c r="T893" s="6" t="n">
        <v>3</v>
      </c>
      <c r="U893" s="5" t="inlineStr">
        <is>
          <t>디스플레이 | 반도체 | 기타</t>
        </is>
      </c>
      <c r="V893" s="21">
        <f>HYPERLINK("https://dart.fss.or.kr/dsaf001/main.do?rcpNo=20260811000295", "공시열람")</f>
        <v/>
      </c>
    </row>
    <row r="894">
      <c r="A894" s="5" t="inlineStr">
        <is>
          <t>아이비젼웍스</t>
        </is>
      </c>
      <c r="B894" s="6" t="inlineStr">
        <is>
          <t>469750</t>
        </is>
      </c>
      <c r="C894" s="6" t="inlineStr">
        <is>
          <t>2026Q2</t>
        </is>
      </c>
      <c r="D894" s="6" t="inlineStr">
        <is>
          <t>20260929</t>
        </is>
      </c>
      <c r="E894" s="16" t="n">
        <v>11579</v>
      </c>
      <c r="F894" s="16" t="n">
        <v>1742</v>
      </c>
      <c r="G894" s="16" t="n">
        <v>9508</v>
      </c>
      <c r="H894" s="6" t="inlineStr">
        <is>
          <t>백만원</t>
        </is>
      </c>
      <c r="I894" s="17" t="n">
        <v>45.4</v>
      </c>
      <c r="J894" s="18" t="inlineStr"/>
      <c r="K894" s="19" t="inlineStr"/>
      <c r="L894" s="18" t="n">
        <v>9175</v>
      </c>
      <c r="M894" s="19" t="n">
        <v>10423</v>
      </c>
      <c r="N894" s="18" t="n">
        <v>10744</v>
      </c>
      <c r="O894" s="19" t="n">
        <v>16645</v>
      </c>
      <c r="P894" s="18" t="n">
        <v>8244</v>
      </c>
      <c r="Q894" s="19" t="n">
        <v>7077</v>
      </c>
      <c r="R894" s="18" t="n">
        <v>6538</v>
      </c>
      <c r="S894" s="20" t="n">
        <v>9508</v>
      </c>
      <c r="T894" s="6" t="n">
        <v>1</v>
      </c>
      <c r="U894" s="5" t="inlineStr">
        <is>
          <t>이차전지검사시스템</t>
        </is>
      </c>
      <c r="V894" s="21">
        <f>HYPERLINK("https://dart.fss.or.kr/dsaf001/main.do?rcpNo=20260929000426", "공시열람")</f>
        <v/>
      </c>
    </row>
    <row r="895">
      <c r="A895" s="5" t="inlineStr">
        <is>
          <t>루미르</t>
        </is>
      </c>
      <c r="B895" s="6" t="inlineStr">
        <is>
          <t>474170</t>
        </is>
      </c>
      <c r="C895" s="6" t="inlineStr">
        <is>
          <t>2026Q2</t>
        </is>
      </c>
      <c r="D895" s="6" t="inlineStr">
        <is>
          <t>20260814</t>
        </is>
      </c>
      <c r="E895" s="16" t="n">
        <v>30992654</v>
      </c>
      <c r="F895" s="16" t="n">
        <v>26537861</v>
      </c>
      <c r="G895" s="16" t="n">
        <v>4454793</v>
      </c>
      <c r="H895" s="6" t="inlineStr">
        <is>
          <t>천원</t>
        </is>
      </c>
      <c r="I895" s="17" t="n">
        <v>-37.1</v>
      </c>
      <c r="J895" s="18" t="inlineStr"/>
      <c r="K895" s="19" t="inlineStr"/>
      <c r="L895" s="18" t="inlineStr"/>
      <c r="M895" s="19" t="n">
        <v>13201090</v>
      </c>
      <c r="N895" s="18" t="n">
        <v>11992186</v>
      </c>
      <c r="O895" s="19" t="n">
        <v>11103409</v>
      </c>
      <c r="P895" s="18" t="n">
        <v>8775404</v>
      </c>
      <c r="Q895" s="19" t="n">
        <v>7471105</v>
      </c>
      <c r="R895" s="18" t="n">
        <v>7083658</v>
      </c>
      <c r="S895" s="20" t="n">
        <v>4454793</v>
      </c>
      <c r="T895" s="6" t="n">
        <v>1</v>
      </c>
      <c r="U895" s="5" t="inlineStr">
        <is>
          <t>위성제조 분야</t>
        </is>
      </c>
      <c r="V895" s="21">
        <f>HYPERLINK("https://dart.fss.or.kr/dsaf001/main.do?rcpNo=20260814002463", "공시열람")</f>
        <v/>
      </c>
    </row>
    <row r="896">
      <c r="A896" s="5" t="inlineStr">
        <is>
          <t>SK이터닉스</t>
        </is>
      </c>
      <c r="B896" s="6" t="inlineStr">
        <is>
          <t>475150</t>
        </is>
      </c>
      <c r="C896" s="6" t="inlineStr">
        <is>
          <t>2026Q2</t>
        </is>
      </c>
      <c r="D896" s="6" t="inlineStr">
        <is>
          <t>20260813</t>
        </is>
      </c>
      <c r="E896" s="16" t="n">
        <v>614961</v>
      </c>
      <c r="F896" s="16" t="n">
        <v>385443</v>
      </c>
      <c r="G896" s="16" t="n">
        <v>229518</v>
      </c>
      <c r="H896" s="6" t="inlineStr">
        <is>
          <t>백만원</t>
        </is>
      </c>
      <c r="I896" s="17" t="n">
        <v>-49.6</v>
      </c>
      <c r="J896" s="18" t="n">
        <v>506429</v>
      </c>
      <c r="K896" s="19" t="n">
        <v>504048</v>
      </c>
      <c r="L896" s="18" t="n">
        <v>727912</v>
      </c>
      <c r="M896" s="19" t="n">
        <v>598423</v>
      </c>
      <c r="N896" s="18" t="n">
        <v>587955</v>
      </c>
      <c r="O896" s="19" t="n">
        <v>561909</v>
      </c>
      <c r="P896" s="18" t="n">
        <v>638702</v>
      </c>
      <c r="Q896" s="19" t="n">
        <v>457876</v>
      </c>
      <c r="R896" s="18" t="n">
        <v>455070</v>
      </c>
      <c r="S896" s="20" t="n">
        <v>229518</v>
      </c>
      <c r="T896" s="6" t="n">
        <v>4</v>
      </c>
      <c r="U896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6" s="21">
        <f>HYPERLINK("https://dart.fss.or.kr/dsaf001/main.do?rcpNo=20260813000561", "공시열람")</f>
        <v/>
      </c>
    </row>
    <row r="897">
      <c r="A897" s="5" t="inlineStr">
        <is>
          <t>엔알비</t>
        </is>
      </c>
      <c r="B897" s="6" t="inlineStr">
        <is>
          <t>475230</t>
        </is>
      </c>
      <c r="C897" s="6" t="inlineStr">
        <is>
          <t>2026Q2</t>
        </is>
      </c>
      <c r="D897" s="6" t="inlineStr">
        <is>
          <t>20260814</t>
        </is>
      </c>
      <c r="E897" s="16" t="n">
        <v>194985</v>
      </c>
      <c r="F897" s="16" t="n">
        <v>53989</v>
      </c>
      <c r="G897" s="16" t="n">
        <v>140996</v>
      </c>
      <c r="H897" s="6" t="inlineStr">
        <is>
          <t>백만원,%</t>
        </is>
      </c>
      <c r="I897" s="17" t="n">
        <v>-2.8</v>
      </c>
      <c r="J897" s="18" t="inlineStr"/>
      <c r="K897" s="19" t="inlineStr"/>
      <c r="L897" s="18" t="inlineStr"/>
      <c r="M897" s="19" t="inlineStr"/>
      <c r="N897" s="18" t="inlineStr"/>
      <c r="O897" s="19" t="n">
        <v>152323</v>
      </c>
      <c r="P897" s="18" t="n">
        <v>160603</v>
      </c>
      <c r="Q897" s="19" t="inlineStr"/>
      <c r="R897" s="18" t="n">
        <v>145000</v>
      </c>
      <c r="S897" s="20" t="n">
        <v>140996</v>
      </c>
      <c r="T897" s="6" t="n">
        <v>2</v>
      </c>
      <c r="U897" s="5" t="inlineStr">
        <is>
          <t>주거시설 | 교육시설</t>
        </is>
      </c>
      <c r="V897" s="21">
        <f>HYPERLINK("https://dart.fss.or.kr/dsaf001/main.do?rcpNo=20260814001087", "공시열람")</f>
        <v/>
      </c>
    </row>
    <row r="898">
      <c r="A898" s="5" t="inlineStr">
        <is>
          <t>씨메스로보틱스</t>
        </is>
      </c>
      <c r="B898" s="6" t="inlineStr">
        <is>
          <t>475400</t>
        </is>
      </c>
      <c r="C898" s="6" t="inlineStr">
        <is>
          <t>2026Q2</t>
        </is>
      </c>
      <c r="D898" s="6" t="inlineStr">
        <is>
          <t>20260813</t>
        </is>
      </c>
      <c r="E898" s="16" t="inlineStr"/>
      <c r="F898" s="16" t="inlineStr"/>
      <c r="G898" s="16" t="n">
        <v>22552014</v>
      </c>
      <c r="H898" s="6" t="inlineStr">
        <is>
          <t>천원</t>
        </is>
      </c>
      <c r="I898" s="17" t="n">
        <v>143.9</v>
      </c>
      <c r="J898" s="18" t="inlineStr"/>
      <c r="K898" s="19" t="inlineStr"/>
      <c r="L898" s="18" t="inlineStr"/>
      <c r="M898" s="19" t="n">
        <v>7021</v>
      </c>
      <c r="N898" s="18" t="n">
        <v>7127971</v>
      </c>
      <c r="O898" s="19" t="n">
        <v>7559603</v>
      </c>
      <c r="P898" s="18" t="n">
        <v>10912070</v>
      </c>
      <c r="Q898" s="19" t="n">
        <v>9796130</v>
      </c>
      <c r="R898" s="18" t="n">
        <v>9245848</v>
      </c>
      <c r="S898" s="20" t="n">
        <v>22552014</v>
      </c>
      <c r="T898" s="6" t="n">
        <v>0</v>
      </c>
      <c r="U898" s="5" t="inlineStr"/>
      <c r="V898" s="21">
        <f>HYPERLINK("https://dart.fss.or.kr/dsaf001/main.do?rcpNo=20260813000340", "공시열람")</f>
        <v/>
      </c>
    </row>
    <row r="899">
      <c r="A899" s="5" t="inlineStr">
        <is>
          <t>키스트론</t>
        </is>
      </c>
      <c r="B899" s="6" t="inlineStr">
        <is>
          <t>475430</t>
        </is>
      </c>
      <c r="C899" s="6" t="inlineStr">
        <is>
          <t>2025Q3</t>
        </is>
      </c>
      <c r="D899" s="6" t="inlineStr">
        <is>
          <t>20251114</t>
        </is>
      </c>
      <c r="E899" s="16" t="n">
        <v>61298</v>
      </c>
      <c r="F899" s="16" t="n">
        <v>47915</v>
      </c>
      <c r="G899" s="16" t="n">
        <v>13383</v>
      </c>
      <c r="H899" s="6" t="inlineStr">
        <is>
          <t>톤,백만원</t>
        </is>
      </c>
      <c r="I899" s="17" t="n">
        <v>94.7</v>
      </c>
      <c r="J899" s="18" t="inlineStr"/>
      <c r="K899" s="19" t="inlineStr"/>
      <c r="L899" s="18" t="inlineStr"/>
      <c r="M899" s="19" t="inlineStr"/>
      <c r="N899" s="18" t="inlineStr"/>
      <c r="O899" s="19" t="n">
        <v>6875</v>
      </c>
      <c r="P899" s="18" t="n">
        <v>13383</v>
      </c>
      <c r="Q899" s="19" t="inlineStr"/>
      <c r="R899" s="18" t="inlineStr"/>
      <c r="S899" s="20" t="inlineStr"/>
      <c r="T899" s="6" t="n">
        <v>2</v>
      </c>
      <c r="U899" s="5" t="inlineStr">
        <is>
          <t>전자부품용 | 케이블용</t>
        </is>
      </c>
      <c r="V899" s="21">
        <f>HYPERLINK("https://dart.fss.or.kr/dsaf001/main.do?rcpNo=20251114001576", "공시열람")</f>
        <v/>
      </c>
    </row>
    <row r="900">
      <c r="A900" s="5" t="inlineStr">
        <is>
          <t>에이럭스</t>
        </is>
      </c>
      <c r="B900" s="6" t="inlineStr">
        <is>
          <t>475580</t>
        </is>
      </c>
      <c r="C900" s="6" t="inlineStr">
        <is>
          <t>2026Q2</t>
        </is>
      </c>
      <c r="D900" s="6" t="inlineStr">
        <is>
          <t>20260814</t>
        </is>
      </c>
      <c r="E900" s="16" t="n">
        <v>2593962</v>
      </c>
      <c r="F900" s="16" t="n">
        <v>381146640</v>
      </c>
      <c r="G900" s="16" t="n">
        <v>2212815</v>
      </c>
      <c r="H900" s="6" t="inlineStr">
        <is>
          <t>건,천원</t>
        </is>
      </c>
      <c r="I900" s="17" t="n">
        <v>-14.7</v>
      </c>
      <c r="J900" s="18" t="inlineStr"/>
      <c r="K900" s="19" t="inlineStr"/>
      <c r="L900" s="18" t="inlineStr"/>
      <c r="M900" s="19" t="n">
        <v>2512817</v>
      </c>
      <c r="N900" s="18" t="n">
        <v>3964234</v>
      </c>
      <c r="O900" s="19" t="n">
        <v>2358111</v>
      </c>
      <c r="P900" s="18" t="n">
        <v>1917027</v>
      </c>
      <c r="Q900" s="19" t="n">
        <v>2343761</v>
      </c>
      <c r="R900" s="18" t="n">
        <v>2593962</v>
      </c>
      <c r="S900" s="20" t="n">
        <v>2212815</v>
      </c>
      <c r="T900" s="6" t="n">
        <v>6</v>
      </c>
      <c r="U900" s="5" t="inlineStr">
        <is>
          <t>로보링크주식회사 / 드론 / 2026-08-07 / 2 | 로보링크주식회사 / 드론 / 2026-01-07 / 2 | 로보링크주식회사 / 드론 / 2026-07-13 / 2</t>
        </is>
      </c>
      <c r="V900" s="21">
        <f>HYPERLINK("https://dart.fss.or.kr/dsaf001/main.do?rcpNo=20260814002568", "공시열람")</f>
        <v/>
      </c>
    </row>
    <row r="901">
      <c r="A901" s="5" t="inlineStr">
        <is>
          <t>토모큐브</t>
        </is>
      </c>
      <c r="B901" s="6" t="inlineStr">
        <is>
          <t>475960</t>
        </is>
      </c>
      <c r="C901" s="6" t="inlineStr">
        <is>
          <t>2026Q2</t>
        </is>
      </c>
      <c r="D901" s="6" t="inlineStr">
        <is>
          <t>20260814</t>
        </is>
      </c>
      <c r="E901" s="16" t="n">
        <v>4879</v>
      </c>
      <c r="F901" s="16" t="inlineStr"/>
      <c r="G901" s="16" t="n">
        <v>2006</v>
      </c>
      <c r="H901" s="6" t="inlineStr">
        <is>
          <t>백만원</t>
        </is>
      </c>
      <c r="I901" s="17" t="n">
        <v>-43.6</v>
      </c>
      <c r="J901" s="18" t="inlineStr"/>
      <c r="K901" s="19" t="inlineStr"/>
      <c r="L901" s="18" t="inlineStr"/>
      <c r="M901" s="19" t="inlineStr"/>
      <c r="N901" s="18" t="inlineStr"/>
      <c r="O901" s="19" t="n">
        <v>1731</v>
      </c>
      <c r="P901" s="18" t="n">
        <v>2535</v>
      </c>
      <c r="Q901" s="19" t="n">
        <v>1422</v>
      </c>
      <c r="R901" s="18" t="n">
        <v>3555</v>
      </c>
      <c r="S901" s="20" t="n">
        <v>2006</v>
      </c>
      <c r="T901" s="6" t="n">
        <v>1</v>
      </c>
      <c r="U901" s="5" t="inlineStr">
        <is>
          <t>HT 제품군 등</t>
        </is>
      </c>
      <c r="V901" s="21">
        <f>HYPERLINK("https://dart.fss.or.kr/dsaf001/main.do?rcpNo=20260814001367", "공시열람")</f>
        <v/>
      </c>
    </row>
    <row r="902">
      <c r="A902" s="5" t="inlineStr">
        <is>
          <t>오가노이드사이언스</t>
        </is>
      </c>
      <c r="B902" s="6" t="inlineStr">
        <is>
          <t>476040</t>
        </is>
      </c>
      <c r="C902" s="6" t="inlineStr">
        <is>
          <t>2026Q2</t>
        </is>
      </c>
      <c r="D902" s="6" t="inlineStr">
        <is>
          <t>20260814</t>
        </is>
      </c>
      <c r="E902" s="16" t="n">
        <v>422525882</v>
      </c>
      <c r="F902" s="16" t="n">
        <v>162313417</v>
      </c>
      <c r="G902" s="16" t="n">
        <v>260212465</v>
      </c>
      <c r="H902" s="6" t="inlineStr">
        <is>
          <t>원</t>
        </is>
      </c>
      <c r="I902" s="17" t="n">
        <v>66.59999999999999</v>
      </c>
      <c r="J902" s="18" t="inlineStr"/>
      <c r="K902" s="19" t="inlineStr"/>
      <c r="L902" s="18" t="inlineStr"/>
      <c r="M902" s="19" t="inlineStr"/>
      <c r="N902" s="18" t="inlineStr"/>
      <c r="O902" s="19" t="n">
        <v>620345026</v>
      </c>
      <c r="P902" s="18" t="n">
        <v>279593635</v>
      </c>
      <c r="Q902" s="19" t="n">
        <v>88671815</v>
      </c>
      <c r="R902" s="18" t="n">
        <v>156184575</v>
      </c>
      <c r="S902" s="20" t="n">
        <v>260212465</v>
      </c>
      <c r="T902" s="6" t="n">
        <v>10</v>
      </c>
      <c r="U902" s="5" t="inlineStr">
        <is>
          <t>약물평가 / 2026-02-01 / 2028-02-01 | 약물평가 / 2026-05-05 / 2026-12-31 | 약물평가 / 2026-05-01 / 2027-02-28</t>
        </is>
      </c>
      <c r="V902" s="21">
        <f>HYPERLINK("https://dart.fss.or.kr/dsaf001/main.do?rcpNo=20260814002513", "공시열람")</f>
        <v/>
      </c>
    </row>
    <row r="903">
      <c r="A903" s="5" t="inlineStr">
        <is>
          <t>M83</t>
        </is>
      </c>
      <c r="B903" s="6" t="inlineStr">
        <is>
          <t>476080</t>
        </is>
      </c>
      <c r="C903" s="6" t="inlineStr">
        <is>
          <t>2026Q2</t>
        </is>
      </c>
      <c r="D903" s="6" t="inlineStr">
        <is>
          <t>20260813</t>
        </is>
      </c>
      <c r="E903" s="16" t="n">
        <v>21588</v>
      </c>
      <c r="F903" s="16" t="n">
        <v>8873</v>
      </c>
      <c r="G903" s="16" t="n">
        <v>12715</v>
      </c>
      <c r="H903" s="6" t="inlineStr">
        <is>
          <t>백만원</t>
        </is>
      </c>
      <c r="I903" s="17" t="n">
        <v>11.6</v>
      </c>
      <c r="J903" s="18" t="inlineStr"/>
      <c r="K903" s="19" t="inlineStr"/>
      <c r="L903" s="18" t="n">
        <v>6546</v>
      </c>
      <c r="M903" s="19" t="n">
        <v>3246</v>
      </c>
      <c r="N903" s="18" t="n">
        <v>1234</v>
      </c>
      <c r="O903" s="19" t="n">
        <v>4987</v>
      </c>
      <c r="P903" s="18" t="n">
        <v>4013</v>
      </c>
      <c r="Q903" s="19" t="n">
        <v>3821</v>
      </c>
      <c r="R903" s="18" t="n">
        <v>11390</v>
      </c>
      <c r="S903" s="20" t="n">
        <v>12715</v>
      </c>
      <c r="T903" s="6" t="n">
        <v>3</v>
      </c>
      <c r="U903" s="5" t="inlineStr">
        <is>
          <t>VFX 용역(주3) / 2026년 03월 26일. /  | VFX 용역 / 2026년 06월 29일 / 최종 납품 | J(가제) VFX 용역(주4) / 2025년 06월 0</t>
        </is>
      </c>
      <c r="V903" s="21">
        <f>HYPERLINK("https://dart.fss.or.kr/dsaf001/main.do?rcpNo=20260813000320", "공시열람")</f>
        <v/>
      </c>
    </row>
    <row r="904">
      <c r="A904" s="5" t="inlineStr">
        <is>
          <t>마키나락스</t>
        </is>
      </c>
      <c r="B904" s="6" t="inlineStr">
        <is>
          <t>477850</t>
        </is>
      </c>
      <c r="C904" s="6" t="inlineStr">
        <is>
          <t>2026Q2</t>
        </is>
      </c>
      <c r="D904" s="6" t="inlineStr">
        <is>
          <t>20260814</t>
        </is>
      </c>
      <c r="E904" s="16" t="n">
        <v>23687</v>
      </c>
      <c r="F904" s="16" t="n">
        <v>8884</v>
      </c>
      <c r="G904" s="16" t="n">
        <v>14777</v>
      </c>
      <c r="H904" s="6" t="inlineStr">
        <is>
          <t>백만원</t>
        </is>
      </c>
      <c r="I904" s="17" t="n">
        <v>-100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inlineStr"/>
      <c r="R904" s="18" t="n">
        <v>15191903640</v>
      </c>
      <c r="S904" s="20" t="n">
        <v>14777</v>
      </c>
      <c r="T904" s="6" t="n">
        <v>3</v>
      </c>
      <c r="U904" s="5" t="inlineStr">
        <is>
          <t>AI 연구개발 / 특화 AI 솔루션 연구개발 | AI 운영체제 / AI 솔루션 공급 | AI 운영체제 / AI OS (Runway)</t>
        </is>
      </c>
      <c r="V904" s="21">
        <f>HYPERLINK("https://dart.fss.or.kr/dsaf001/main.do?rcpNo=20260814001400", "공시열람")</f>
        <v/>
      </c>
    </row>
    <row r="905">
      <c r="A905" s="5" t="inlineStr">
        <is>
          <t>나라스페이스테크놀로지</t>
        </is>
      </c>
      <c r="B905" s="6" t="inlineStr">
        <is>
          <t>478340</t>
        </is>
      </c>
      <c r="C905" s="6" t="inlineStr">
        <is>
          <t>2026Q2</t>
        </is>
      </c>
      <c r="D905" s="6" t="inlineStr">
        <is>
          <t>20260814</t>
        </is>
      </c>
      <c r="E905" s="16" t="n">
        <v>43128614</v>
      </c>
      <c r="F905" s="16" t="inlineStr"/>
      <c r="G905" s="16" t="n">
        <v>28605889</v>
      </c>
      <c r="H905" s="6" t="inlineStr">
        <is>
          <t>천원</t>
        </is>
      </c>
      <c r="I905" s="17" t="n">
        <v>46.1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19815524</v>
      </c>
      <c r="Q905" s="19" t="n">
        <v>17637906</v>
      </c>
      <c r="R905" s="18" t="n">
        <v>19583035</v>
      </c>
      <c r="S905" s="20" t="n">
        <v>28605889</v>
      </c>
      <c r="T905" s="6" t="n">
        <v>11</v>
      </c>
      <c r="U905" s="5" t="inlineStr">
        <is>
          <t>위성제조 분야 / 2026-06-19 / 2030-07 | 위성영상 분야 등 / 2025-05-26 / 2029- | 위성제조 분야 / 2024-11-07 / 2028-12</t>
        </is>
      </c>
      <c r="V905" s="21">
        <f>HYPERLINK("https://dart.fss.or.kr/dsaf001/main.do?rcpNo=20260814002537", "공시열람")</f>
        <v/>
      </c>
    </row>
    <row r="906">
      <c r="A906" s="5" t="inlineStr">
        <is>
          <t>씨케이솔루션</t>
        </is>
      </c>
      <c r="B906" s="6" t="inlineStr">
        <is>
          <t>480370</t>
        </is>
      </c>
      <c r="C906" s="6" t="inlineStr">
        <is>
          <t>2026Q2</t>
        </is>
      </c>
      <c r="D906" s="6" t="inlineStr">
        <is>
          <t>20260814</t>
        </is>
      </c>
      <c r="E906" s="16" t="n">
        <v>660947</v>
      </c>
      <c r="F906" s="16" t="n">
        <v>407631</v>
      </c>
      <c r="G906" s="16" t="n">
        <v>253316</v>
      </c>
      <c r="H906" s="6" t="inlineStr">
        <is>
          <t>백만원</t>
        </is>
      </c>
      <c r="I906" s="17" t="n">
        <v>19.5</v>
      </c>
      <c r="J906" s="18" t="inlineStr"/>
      <c r="K906" s="19" t="inlineStr"/>
      <c r="L906" s="18" t="inlineStr"/>
      <c r="M906" s="19" t="n">
        <v>252345</v>
      </c>
      <c r="N906" s="18" t="n">
        <v>202545</v>
      </c>
      <c r="O906" s="19" t="n">
        <v>192631</v>
      </c>
      <c r="P906" s="18" t="n">
        <v>250229</v>
      </c>
      <c r="Q906" s="19" t="n">
        <v>238406</v>
      </c>
      <c r="R906" s="18" t="n">
        <v>211974</v>
      </c>
      <c r="S906" s="20" t="n">
        <v>253316</v>
      </c>
      <c r="T906" s="6" t="n">
        <v>3</v>
      </c>
      <c r="U906" s="5" t="inlineStr">
        <is>
          <t>드라이룸 | 클린룸 | 기타</t>
        </is>
      </c>
      <c r="V906" s="21">
        <f>HYPERLINK("https://dart.fss.or.kr/dsaf001/main.do?rcpNo=20260814001347", "공시열람")</f>
        <v/>
      </c>
    </row>
    <row r="907">
      <c r="A907" s="5" t="inlineStr">
        <is>
          <t>삼양컴텍</t>
        </is>
      </c>
      <c r="B907" s="6" t="inlineStr">
        <is>
          <t>484590</t>
        </is>
      </c>
      <c r="C907" s="6" t="inlineStr">
        <is>
          <t>2025Q2</t>
        </is>
      </c>
      <c r="D907" s="6" t="inlineStr">
        <is>
          <t>20250822</t>
        </is>
      </c>
      <c r="E907" s="16" t="n">
        <v>281584</v>
      </c>
      <c r="F907" s="16" t="n">
        <v>65514</v>
      </c>
      <c r="G907" s="16" t="n">
        <v>216070</v>
      </c>
      <c r="H907" s="6" t="inlineStr">
        <is>
          <t>백만원</t>
        </is>
      </c>
      <c r="I907" s="17" t="inlineStr"/>
      <c r="J907" s="18" t="inlineStr"/>
      <c r="K907" s="19" t="inlineStr"/>
      <c r="L907" s="18" t="inlineStr"/>
      <c r="M907" s="19" t="inlineStr"/>
      <c r="N907" s="18" t="inlineStr"/>
      <c r="O907" s="19" t="n">
        <v>216070</v>
      </c>
      <c r="P907" s="18" t="inlineStr"/>
      <c r="Q907" s="19" t="inlineStr"/>
      <c r="R907" s="18" t="inlineStr"/>
      <c r="S907" s="20" t="inlineStr"/>
      <c r="T907" s="6" t="n">
        <v>1</v>
      </c>
      <c r="U907" s="5" t="inlineStr">
        <is>
          <t>방산부품 / 2025.06.30 / -</t>
        </is>
      </c>
      <c r="V907" s="21">
        <f>HYPERLINK("https://dart.fss.or.kr/dsaf001/main.do?rcpNo=20250822000351", "공시열람")</f>
        <v/>
      </c>
    </row>
    <row r="908">
      <c r="A908" s="5" t="inlineStr">
        <is>
          <t>엠앤씨솔루션</t>
        </is>
      </c>
      <c r="B908" s="6" t="inlineStr">
        <is>
          <t>484870</t>
        </is>
      </c>
      <c r="C908" s="6" t="inlineStr">
        <is>
          <t>2026Q2</t>
        </is>
      </c>
      <c r="D908" s="6" t="inlineStr">
        <is>
          <t>20260814</t>
        </is>
      </c>
      <c r="E908" s="16" t="n">
        <v>17788</v>
      </c>
      <c r="F908" s="16" t="n">
        <v>8457</v>
      </c>
      <c r="G908" s="16" t="n">
        <v>28938</v>
      </c>
      <c r="H908" s="6" t="inlineStr">
        <is>
          <t>억원</t>
        </is>
      </c>
      <c r="I908" s="17" t="n">
        <v>-1</v>
      </c>
      <c r="J908" s="18" t="inlineStr"/>
      <c r="K908" s="19" t="inlineStr"/>
      <c r="L908" s="18" t="inlineStr"/>
      <c r="M908" s="19" t="n">
        <v>9570</v>
      </c>
      <c r="N908" s="18" t="n">
        <v>9035</v>
      </c>
      <c r="O908" s="19" t="n">
        <v>8797</v>
      </c>
      <c r="P908" s="18" t="n">
        <v>8273</v>
      </c>
      <c r="Q908" s="19" t="n">
        <v>10037</v>
      </c>
      <c r="R908" s="18" t="n">
        <v>29229</v>
      </c>
      <c r="S908" s="20" t="n">
        <v>28938</v>
      </c>
      <c r="T908" s="6" t="n">
        <v>3</v>
      </c>
      <c r="U908" s="5" t="inlineStr">
        <is>
          <t>방산부품 / 2025.12.31 / - | 방산부품 / 2024.12.31 / - | 방산부품 / 2026.06.30 / -</t>
        </is>
      </c>
      <c r="V908" s="21">
        <f>HYPERLINK("https://dart.fss.or.kr/dsaf001/main.do?rcpNo=20260814000987", "공시열람")</f>
        <v/>
      </c>
    </row>
    <row r="909">
      <c r="A909" s="5" t="inlineStr">
        <is>
          <t>노타</t>
        </is>
      </c>
      <c r="B909" s="6" t="inlineStr">
        <is>
          <t>486990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n">
        <v>7407957</v>
      </c>
      <c r="G909" s="16" t="n">
        <v>11600415</v>
      </c>
      <c r="H909" s="6" t="inlineStr">
        <is>
          <t>천원</t>
        </is>
      </c>
      <c r="I909" s="17" t="n">
        <v>-4.3</v>
      </c>
      <c r="J909" s="18" t="inlineStr"/>
      <c r="K909" s="19" t="inlineStr"/>
      <c r="L909" s="18" t="inlineStr"/>
      <c r="M909" s="19" t="inlineStr"/>
      <c r="N909" s="18" t="inlineStr"/>
      <c r="O909" s="19" t="inlineStr"/>
      <c r="P909" s="18" t="n">
        <v>9228051</v>
      </c>
      <c r="Q909" s="19" t="n">
        <v>1090864</v>
      </c>
      <c r="R909" s="18" t="n">
        <v>12123360</v>
      </c>
      <c r="S909" s="20" t="n">
        <v>11600415</v>
      </c>
      <c r="T909" s="6" t="n">
        <v>2</v>
      </c>
      <c r="U909" s="5" t="inlineStr">
        <is>
          <t>플랫폼 / 6건 | 솔루션 / 33건</t>
        </is>
      </c>
      <c r="V909" s="21">
        <f>HYPERLINK("https://dart.fss.or.kr/dsaf001/main.do?rcpNo=20260814003297", "공시열람")</f>
        <v/>
      </c>
    </row>
    <row r="910">
      <c r="A910" s="5" t="inlineStr">
        <is>
          <t>케이앤에스아이앤씨</t>
        </is>
      </c>
      <c r="B910" s="6" t="inlineStr">
        <is>
          <t>487400</t>
        </is>
      </c>
      <c r="C910" s="6" t="inlineStr">
        <is>
          <t>2026Q2</t>
        </is>
      </c>
      <c r="D910" s="6" t="inlineStr">
        <is>
          <t>20260814</t>
        </is>
      </c>
      <c r="E910" s="16" t="inlineStr"/>
      <c r="F910" s="16" t="inlineStr"/>
      <c r="G910" s="16" t="n">
        <v>33999743</v>
      </c>
      <c r="H910" s="6" t="inlineStr">
        <is>
          <t>천원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n">
        <v>33999743</v>
      </c>
      <c r="T910" s="6" t="n">
        <v>5</v>
      </c>
      <c r="U910" s="5" t="inlineStr">
        <is>
          <t>A고객사 / 군용 VSAT | B고객사 / 군용 VSAT | C고객사 / 상용 VSAT</t>
        </is>
      </c>
      <c r="V910" s="21">
        <f>HYPERLINK("https://dart.fss.or.kr/dsaf001/main.do?rcpNo=20260814000925", "공시열람")</f>
        <v/>
      </c>
    </row>
    <row r="911">
      <c r="A911" s="5" t="inlineStr">
        <is>
          <t>에스투더블유</t>
        </is>
      </c>
      <c r="B911" s="6" t="inlineStr">
        <is>
          <t>488280</t>
        </is>
      </c>
      <c r="C911" s="6" t="inlineStr">
        <is>
          <t>2026Q2</t>
        </is>
      </c>
      <c r="D911" s="6" t="inlineStr">
        <is>
          <t>20260813</t>
        </is>
      </c>
      <c r="E911" s="16" t="n">
        <v>11195</v>
      </c>
      <c r="F911" s="16" t="n">
        <v>5844</v>
      </c>
      <c r="G911" s="16" t="n">
        <v>5351</v>
      </c>
      <c r="H911" s="6" t="inlineStr">
        <is>
          <t>백만원</t>
        </is>
      </c>
      <c r="I911" s="17" t="n">
        <v>-9</v>
      </c>
      <c r="J911" s="18" t="inlineStr"/>
      <c r="K911" s="19" t="inlineStr"/>
      <c r="L911" s="18" t="inlineStr"/>
      <c r="M911" s="19" t="inlineStr"/>
      <c r="N911" s="18" t="inlineStr"/>
      <c r="O911" s="19" t="inlineStr"/>
      <c r="P911" s="18" t="n">
        <v>6544</v>
      </c>
      <c r="Q911" s="19" t="n">
        <v>5825</v>
      </c>
      <c r="R911" s="18" t="n">
        <v>5881</v>
      </c>
      <c r="S911" s="20" t="n">
        <v>5351</v>
      </c>
      <c r="T911" s="6" t="n">
        <v>1</v>
      </c>
      <c r="U911" s="5" t="inlineStr">
        <is>
          <t>서비스</t>
        </is>
      </c>
      <c r="V911" s="21">
        <f>HYPERLINK("https://dart.fss.or.kr/dsaf001/main.do?rcpNo=20260813001570", "공시열람")</f>
        <v/>
      </c>
    </row>
    <row r="912">
      <c r="A912" s="5" t="inlineStr">
        <is>
          <t>비츠로넥스텍</t>
        </is>
      </c>
      <c r="B912" s="6" t="inlineStr">
        <is>
          <t>488900</t>
        </is>
      </c>
      <c r="C912" s="6" t="inlineStr">
        <is>
          <t>2026Q1</t>
        </is>
      </c>
      <c r="D912" s="6" t="inlineStr">
        <is>
          <t>20260515</t>
        </is>
      </c>
      <c r="E912" s="16" t="n">
        <v>137393</v>
      </c>
      <c r="F912" s="16" t="n">
        <v>71658</v>
      </c>
      <c r="G912" s="16" t="n">
        <v>65735</v>
      </c>
      <c r="H912" s="6" t="inlineStr">
        <is>
          <t>백만원</t>
        </is>
      </c>
      <c r="I912" s="17" t="inlineStr"/>
      <c r="J912" s="18" t="inlineStr"/>
      <c r="K912" s="19" t="inlineStr"/>
      <c r="L912" s="18" t="inlineStr"/>
      <c r="M912" s="19" t="inlineStr"/>
      <c r="N912" s="18" t="inlineStr"/>
      <c r="O912" s="19" t="inlineStr"/>
      <c r="P912" s="18" t="inlineStr"/>
      <c r="Q912" s="19" t="inlineStr"/>
      <c r="R912" s="18" t="n">
        <v>65735</v>
      </c>
      <c r="S912" s="20" t="inlineStr"/>
      <c r="T912" s="6" t="n">
        <v>1</v>
      </c>
      <c r="U912" s="5" t="inlineStr">
        <is>
          <t>연소기외 / -</t>
        </is>
      </c>
      <c r="V912" s="21">
        <f>HYPERLINK("https://dart.fss.or.kr/dsaf001/main.do?rcpNo=20260515002341", "공시열람")</f>
        <v/>
      </c>
    </row>
    <row r="913">
      <c r="A913" s="5" t="inlineStr">
        <is>
          <t>한화비전</t>
        </is>
      </c>
      <c r="B913" s="6" t="inlineStr">
        <is>
          <t>489790</t>
        </is>
      </c>
      <c r="C913" s="6" t="inlineStr">
        <is>
          <t>2026Q2</t>
        </is>
      </c>
      <c r="D913" s="6" t="inlineStr">
        <is>
          <t>20260813</t>
        </is>
      </c>
      <c r="E913" s="16" t="n">
        <v>29459</v>
      </c>
      <c r="F913" s="16" t="n">
        <v>16154</v>
      </c>
      <c r="G913" s="16" t="n">
        <v>13305</v>
      </c>
      <c r="H913" s="6" t="inlineStr">
        <is>
          <t>백만원</t>
        </is>
      </c>
      <c r="I913" s="17" t="n">
        <v>-14</v>
      </c>
      <c r="J913" s="18" t="inlineStr"/>
      <c r="K913" s="19" t="inlineStr"/>
      <c r="L913" s="18" t="n">
        <v>44966</v>
      </c>
      <c r="M913" s="19" t="n">
        <v>41331</v>
      </c>
      <c r="N913" s="18" t="n">
        <v>27365</v>
      </c>
      <c r="O913" s="19" t="n">
        <v>40652</v>
      </c>
      <c r="P913" s="18" t="n">
        <v>29986</v>
      </c>
      <c r="Q913" s="19" t="n">
        <v>22106</v>
      </c>
      <c r="R913" s="18" t="n">
        <v>15476</v>
      </c>
      <c r="S913" s="20" t="n">
        <v>13305</v>
      </c>
      <c r="T913" s="6" t="n">
        <v>1</v>
      </c>
      <c r="U913" s="5" t="inlineStr">
        <is>
          <t>CCTV설치공사 등 / -</t>
        </is>
      </c>
      <c r="V913" s="21">
        <f>HYPERLINK("https://dart.fss.or.kr/dsaf001/main.do?rcpNo=20260813001301", "공시열람")</f>
        <v/>
      </c>
    </row>
    <row r="914">
      <c r="A914" s="5" t="inlineStr">
        <is>
          <t>지에프아이</t>
        </is>
      </c>
      <c r="B914" s="6" t="inlineStr">
        <is>
          <t>493330</t>
        </is>
      </c>
      <c r="C914" s="6" t="inlineStr">
        <is>
          <t>2026Q2</t>
        </is>
      </c>
      <c r="D914" s="6" t="inlineStr">
        <is>
          <t>20260813</t>
        </is>
      </c>
      <c r="E914" s="16" t="n">
        <v>1088896</v>
      </c>
      <c r="F914" s="16" t="n">
        <v>1088896</v>
      </c>
      <c r="G914" s="16" t="n">
        <v>0</v>
      </c>
      <c r="H914" s="6" t="inlineStr">
        <is>
          <t>천원</t>
        </is>
      </c>
      <c r="I914" s="17" t="n">
        <v>-100</v>
      </c>
      <c r="J914" s="18" t="inlineStr"/>
      <c r="K914" s="19" t="inlineStr"/>
      <c r="L914" s="18" t="inlineStr"/>
      <c r="M914" s="19" t="inlineStr"/>
      <c r="N914" s="18" t="inlineStr"/>
      <c r="O914" s="19" t="inlineStr"/>
      <c r="P914" s="18" t="n">
        <v>663499</v>
      </c>
      <c r="Q914" s="19" t="n">
        <v>552241</v>
      </c>
      <c r="R914" s="18" t="n">
        <v>80864</v>
      </c>
      <c r="S914" s="20" t="n">
        <v>0</v>
      </c>
      <c r="T914" s="6" t="n">
        <v>2</v>
      </c>
      <c r="U914" s="5" t="inlineStr">
        <is>
          <t>국내 ESS 직분사 확대적용 300MWh_13차 / - | 국내 소규모 ESS Site 직분사 / - / 2026</t>
        </is>
      </c>
      <c r="V914" s="21">
        <f>HYPERLINK("https://dart.fss.or.kr/dsaf001/main.do?rcpNo=20260813000372", "공시열람")</f>
        <v/>
      </c>
    </row>
    <row r="915">
      <c r="A915" s="5" t="inlineStr">
        <is>
          <t>유비씨</t>
        </is>
      </c>
      <c r="B915" s="6" t="inlineStr">
        <is>
          <t>495810</t>
        </is>
      </c>
      <c r="C915" s="6" t="inlineStr">
        <is>
          <t>2025Q4</t>
        </is>
      </c>
      <c r="D915" s="6" t="inlineStr">
        <is>
          <t>20260323</t>
        </is>
      </c>
      <c r="E915" s="16" t="n">
        <v>1942940</v>
      </c>
      <c r="F915" s="16" t="n">
        <v>1160275</v>
      </c>
      <c r="G915" s="16" t="n">
        <v>782665</v>
      </c>
      <c r="H915" s="6" t="inlineStr">
        <is>
          <t>천원</t>
        </is>
      </c>
      <c r="I915" s="17" t="n">
        <v>28.2</v>
      </c>
      <c r="J915" s="18" t="inlineStr"/>
      <c r="K915" s="19" t="inlineStr"/>
      <c r="L915" s="18" t="inlineStr"/>
      <c r="M915" s="19" t="n">
        <v>610375</v>
      </c>
      <c r="N915" s="18" t="inlineStr"/>
      <c r="O915" s="19" t="inlineStr"/>
      <c r="P915" s="18" t="inlineStr"/>
      <c r="Q915" s="19" t="n">
        <v>782665</v>
      </c>
      <c r="R915" s="18" t="inlineStr"/>
      <c r="S915" s="20" t="inlineStr"/>
      <c r="T915" s="6" t="n">
        <v>13</v>
      </c>
      <c r="U915" s="5" t="inlineStr">
        <is>
          <t>On-Premise DT / 2025-08-11 / 2 | On-Premise DT / 2025-10-15 / 2 | On-Premise DT / 2024-12-26 / 2</t>
        </is>
      </c>
      <c r="V915" s="21">
        <f>HYPERLINK("https://dart.fss.or.kr/dsaf001/main.do?rcpNo=20260323000238", "공시열람")</f>
        <v/>
      </c>
    </row>
    <row r="916">
      <c r="A916" s="5" t="inlineStr">
        <is>
          <t>본시스템즈</t>
        </is>
      </c>
      <c r="B916" s="6" t="inlineStr">
        <is>
          <t>496320</t>
        </is>
      </c>
      <c r="C916" s="6" t="inlineStr">
        <is>
          <t>2025Q4</t>
        </is>
      </c>
      <c r="D916" s="6" t="inlineStr">
        <is>
          <t>20260804</t>
        </is>
      </c>
      <c r="E916" s="16" t="inlineStr"/>
      <c r="F916" s="16" t="inlineStr"/>
      <c r="G916" s="16" t="n">
        <v>1221466</v>
      </c>
      <c r="H916" s="6" t="inlineStr">
        <is>
          <t>천원</t>
        </is>
      </c>
      <c r="I916" s="17" t="n">
        <v>-43.4</v>
      </c>
      <c r="J916" s="18" t="inlineStr"/>
      <c r="K916" s="19" t="inlineStr"/>
      <c r="L916" s="18" t="inlineStr"/>
      <c r="M916" s="19" t="n">
        <v>2156946</v>
      </c>
      <c r="N916" s="18" t="inlineStr"/>
      <c r="O916" s="19" t="inlineStr"/>
      <c r="P916" s="18" t="inlineStr"/>
      <c r="Q916" s="19" t="n">
        <v>1221466</v>
      </c>
      <c r="R916" s="18" t="inlineStr"/>
      <c r="S916" s="20" t="inlineStr"/>
      <c r="T916" s="6" t="n">
        <v>1</v>
      </c>
      <c r="U916" s="5" t="inlineStr">
        <is>
          <t>건설공사</t>
        </is>
      </c>
      <c r="V916" s="21">
        <f>HYPERLINK("https://dart.fss.or.kr/dsaf001/main.do?rcpNo=20260804000177", "공시열람")</f>
        <v/>
      </c>
    </row>
    <row r="917">
      <c r="A917" s="5" t="inlineStr">
        <is>
          <t>크리스탈신소재</t>
        </is>
      </c>
      <c r="B917" s="6" t="inlineStr">
        <is>
          <t>900250</t>
        </is>
      </c>
      <c r="C917" s="6" t="inlineStr">
        <is>
          <t>2023Q4</t>
        </is>
      </c>
      <c r="D917" s="6" t="inlineStr">
        <is>
          <t>20240422</t>
        </is>
      </c>
      <c r="E917" s="16" t="n">
        <v>52000000</v>
      </c>
      <c r="F917" s="16" t="n">
        <v>23200000</v>
      </c>
      <c r="G917" s="16" t="n">
        <v>28800000</v>
      </c>
      <c r="H917" s="6" t="inlineStr">
        <is>
          <t>kg,RMB</t>
        </is>
      </c>
      <c r="I917" s="17" t="inlineStr"/>
      <c r="J917" s="18" t="inlineStr"/>
      <c r="K917" s="19" t="inlineStr"/>
      <c r="L917" s="18" t="inlineStr"/>
      <c r="M917" s="19" t="inlineStr"/>
      <c r="N917" s="18" t="inlineStr"/>
      <c r="O917" s="19" t="inlineStr"/>
      <c r="P917" s="18" t="inlineStr"/>
      <c r="Q917" s="19" t="inlineStr"/>
      <c r="R917" s="18" t="inlineStr"/>
      <c r="S917" s="20" t="inlineStr"/>
      <c r="T917" s="6" t="n">
        <v>2</v>
      </c>
      <c r="U917" s="5" t="inlineStr">
        <is>
          <t>그래핀 파우더 / 2023.08.29 / 2024.03 | 그래핀 파우더 / 2023.10.18 / 2024.02</t>
        </is>
      </c>
      <c r="V917" s="21">
        <f>HYPERLINK("https://dart.fss.or.kr/dsaf001/main.do?rcpNo=20240422000050", "공시열람")</f>
        <v/>
      </c>
    </row>
    <row r="918">
      <c r="A918" s="5" t="inlineStr">
        <is>
          <t>오가닉티코스메틱</t>
        </is>
      </c>
      <c r="B918" s="6" t="inlineStr">
        <is>
          <t>900300</t>
        </is>
      </c>
      <c r="C918" s="6" t="inlineStr">
        <is>
          <t>2026Q2</t>
        </is>
      </c>
      <c r="D918" s="6" t="inlineStr">
        <is>
          <t>20260831</t>
        </is>
      </c>
      <c r="E918" s="16" t="n">
        <v>409698532</v>
      </c>
      <c r="F918" s="16" t="n">
        <v>409698532</v>
      </c>
      <c r="G918" s="16" t="n">
        <v>0</v>
      </c>
      <c r="H918" s="6" t="inlineStr">
        <is>
          <t>CNY</t>
        </is>
      </c>
      <c r="I918" s="17" t="inlineStr"/>
      <c r="J918" s="18" t="n">
        <v>0</v>
      </c>
      <c r="K918" s="19" t="n">
        <v>0</v>
      </c>
      <c r="L918" s="18" t="n">
        <v>0</v>
      </c>
      <c r="M918" s="19" t="n">
        <v>0</v>
      </c>
      <c r="N918" s="18" t="n">
        <v>0</v>
      </c>
      <c r="O918" s="19" t="n">
        <v>0</v>
      </c>
      <c r="P918" s="18" t="n">
        <v>0</v>
      </c>
      <c r="Q918" s="19" t="n">
        <v>0</v>
      </c>
      <c r="R918" s="18" t="n">
        <v>0</v>
      </c>
      <c r="S918" s="20" t="n">
        <v>0</v>
      </c>
      <c r="T918" s="6" t="n">
        <v>8</v>
      </c>
      <c r="U918" s="5" t="inlineStr">
        <is>
          <t>클렌징 화장품 / 2026.03.03~2026.06.3 | 여름용 화장품 / 2026.03.03~2026.06.3 | 기능성 화장품 / 2026.03.03~2026.06.3</t>
        </is>
      </c>
      <c r="V918" s="21">
        <f>HYPERLINK("https://dart.fss.or.kr/dsaf001/main.do?rcpNo=20260831001530", "공시열람")</f>
        <v/>
      </c>
    </row>
    <row r="919">
      <c r="A919" s="5" t="inlineStr">
        <is>
          <t>컬러레이</t>
        </is>
      </c>
      <c r="B919" s="6" t="inlineStr">
        <is>
          <t>900310</t>
        </is>
      </c>
      <c r="C919" s="6" t="inlineStr">
        <is>
          <t>2026Q2</t>
        </is>
      </c>
      <c r="D919" s="6" t="inlineStr">
        <is>
          <t>20260825</t>
        </is>
      </c>
      <c r="E919" s="16" t="n">
        <v>17388650</v>
      </c>
      <c r="F919" s="16" t="inlineStr"/>
      <c r="G919" s="16" t="n">
        <v>17635917</v>
      </c>
      <c r="H919" s="6" t="inlineStr">
        <is>
          <t>RMB</t>
        </is>
      </c>
      <c r="I919" s="17" t="n">
        <v>0</v>
      </c>
      <c r="J919" s="18" t="n">
        <v>18915869</v>
      </c>
      <c r="K919" s="19" t="n">
        <v>18915869</v>
      </c>
      <c r="L919" s="18" t="n">
        <v>18915869</v>
      </c>
      <c r="M919" s="19" t="n">
        <v>18915869</v>
      </c>
      <c r="N919" s="18" t="n">
        <v>17571498</v>
      </c>
      <c r="O919" s="19" t="n">
        <v>17571498</v>
      </c>
      <c r="P919" s="18" t="n">
        <v>17571498</v>
      </c>
      <c r="Q919" s="19" t="n">
        <v>17571498</v>
      </c>
      <c r="R919" s="18" t="n">
        <v>17635917</v>
      </c>
      <c r="S919" s="20" t="n">
        <v>17635917</v>
      </c>
      <c r="T919" s="6" t="n">
        <v>10</v>
      </c>
      <c r="U919" s="5" t="inlineStr">
        <is>
          <t>골든시리즈 | 실버화이트시리즈 | 색조컬러시리즈</t>
        </is>
      </c>
      <c r="V919" s="21">
        <f>HYPERLINK("https://dart.fss.or.kr/dsaf001/main.do?rcpNo=20260825000446", "공시열람")</f>
        <v/>
      </c>
    </row>
    <row r="920">
      <c r="A920" s="5" t="inlineStr">
        <is>
          <t>윙입푸드</t>
        </is>
      </c>
      <c r="B920" s="6" t="inlineStr">
        <is>
          <t>900340</t>
        </is>
      </c>
      <c r="C920" s="6" t="inlineStr">
        <is>
          <t>2026Q2</t>
        </is>
      </c>
      <c r="D920" s="6" t="inlineStr">
        <is>
          <t>20260831</t>
        </is>
      </c>
      <c r="E920" s="16" t="n">
        <v>436831792</v>
      </c>
      <c r="F920" s="16" t="n">
        <v>436831792</v>
      </c>
      <c r="G920" s="16" t="n">
        <v>0</v>
      </c>
      <c r="H920" s="6" t="inlineStr">
        <is>
          <t>KG,RMB</t>
        </is>
      </c>
      <c r="I920" s="17" t="inlineStr"/>
      <c r="J920" s="18" t="n">
        <v>0</v>
      </c>
      <c r="K920" s="19" t="n">
        <v>0</v>
      </c>
      <c r="L920" s="18" t="n">
        <v>0</v>
      </c>
      <c r="M920" s="19" t="n">
        <v>0</v>
      </c>
      <c r="N920" s="18" t="n">
        <v>0</v>
      </c>
      <c r="O920" s="19" t="n">
        <v>0</v>
      </c>
      <c r="P920" s="18" t="n">
        <v>0</v>
      </c>
      <c r="Q920" s="19" t="n">
        <v>0</v>
      </c>
      <c r="R920" s="18" t="n">
        <v>0</v>
      </c>
      <c r="S920" s="20" t="n">
        <v>0</v>
      </c>
      <c r="T920" s="6" t="n">
        <v>3</v>
      </c>
      <c r="U920" s="5" t="inlineStr">
        <is>
          <t>전통식품 / 2026.01.01~2026.06.30 | 간편식품 / 2026.01.01~2026.06.30 | 냉동식품 / 2026.01.01~2026.06.30</t>
        </is>
      </c>
      <c r="V920" s="21">
        <f>HYPERLINK("https://dart.fss.or.kr/dsaf001/main.do?rcpNo=20260831001473", "공시열람")</f>
        <v/>
      </c>
    </row>
    <row r="921">
      <c r="A921" s="5" t="inlineStr">
        <is>
          <t>프레스티지바이오파마</t>
        </is>
      </c>
      <c r="B921" s="6" t="inlineStr">
        <is>
          <t>950210</t>
        </is>
      </c>
      <c r="C921" s="6" t="inlineStr">
        <is>
          <t>2026Q2</t>
        </is>
      </c>
      <c r="D921" s="6" t="inlineStr">
        <is>
          <t>20260923</t>
        </is>
      </c>
      <c r="E921" s="16" t="n">
        <v>33539987</v>
      </c>
      <c r="F921" s="16" t="n">
        <v>14208431</v>
      </c>
      <c r="G921" s="16" t="n">
        <v>9722962</v>
      </c>
      <c r="H921" s="6" t="inlineStr">
        <is>
          <t>USD</t>
        </is>
      </c>
      <c r="I921" s="17" t="n">
        <v>1028.7</v>
      </c>
      <c r="J921" s="18" t="n">
        <v>136320000</v>
      </c>
      <c r="K921" s="19" t="n">
        <v>136320000</v>
      </c>
      <c r="L921" s="18" t="n">
        <v>136320000</v>
      </c>
      <c r="M921" s="19" t="n">
        <v>141071840</v>
      </c>
      <c r="N921" s="18" t="n">
        <v>141321730</v>
      </c>
      <c r="O921" s="19" t="n">
        <v>149592656</v>
      </c>
      <c r="P921" s="18" t="n">
        <v>13171629</v>
      </c>
      <c r="Q921" s="19" t="n">
        <v>48008</v>
      </c>
      <c r="R921" s="18" t="n">
        <v>861413</v>
      </c>
      <c r="S921" s="20" t="n">
        <v>9722962</v>
      </c>
      <c r="T921" s="6" t="n">
        <v>5</v>
      </c>
      <c r="U921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1" s="21">
        <f>HYPERLINK("https://dart.fss.or.kr/dsaf001/main.do?rcpNo=20260923000252", "공시열람")</f>
        <v/>
      </c>
    </row>
  </sheetData>
  <autoFilter ref="A1:V9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2026-10-20T12:35:34Z</dcterms:created>
  <dcterms:modified xmlns:dcterms="http://purl.org/dc/terms/" xmlns:xsi="http://www.w3.org/2001/XMLSchema-instance" xsi:type="dcterms:W3CDTF">2026-10-20T12:35:38Z</dcterms:modified>
</cp:coreProperties>
</file>