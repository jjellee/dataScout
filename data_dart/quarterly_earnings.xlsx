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'실적(종목별)'!$A$1:$AS$2667</definedName>
    <definedName name="_xlnm._FilterDatabase" localSheetId="1" hidden="1">'수주잔고'!$A$1:$V$921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S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2" t="inlineStr">
        <is>
          <t>26Q2 매출</t>
        </is>
      </c>
      <c r="AK1" s="2" t="inlineStr">
        <is>
          <t>26Q2 영업이익</t>
        </is>
      </c>
      <c r="AL1" s="2" t="inlineStr">
        <is>
          <t>26Q2 순이익</t>
        </is>
      </c>
      <c r="AM1" s="4" t="inlineStr">
        <is>
          <t>26Q3 매출</t>
        </is>
      </c>
      <c r="AN1" s="4" t="inlineStr">
        <is>
          <t>26Q3 영업이익</t>
        </is>
      </c>
      <c r="AO1" s="4" t="inlineStr">
        <is>
          <t>26Q3 순이익</t>
        </is>
      </c>
      <c r="AP1" s="4" t="inlineStr">
        <is>
          <t>26Q3 매출 QoQ%</t>
        </is>
      </c>
      <c r="AQ1" s="4" t="inlineStr">
        <is>
          <t>26Q3 매출 YoY%</t>
        </is>
      </c>
      <c r="AR1" s="4" t="inlineStr">
        <is>
          <t>26Q3 영업이익 QoQ%</t>
        </is>
      </c>
      <c r="AS1" s="4" t="inlineStr">
        <is>
          <t>26Q3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7" t="n">
        <v>136933</v>
      </c>
      <c r="AK2" s="8" t="n">
        <v>10290</v>
      </c>
      <c r="AL2" s="8" t="n">
        <v>6461</v>
      </c>
      <c r="AM2" s="11" t="inlineStr"/>
      <c r="AN2" s="12" t="inlineStr"/>
      <c r="AO2" s="12" t="inlineStr"/>
      <c r="AP2" s="13" t="inlineStr"/>
      <c r="AQ2" s="13" t="inlineStr"/>
      <c r="AR2" s="13" t="inlineStr"/>
      <c r="AS2" s="13" t="inlineStr"/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7" t="n">
        <v>26348</v>
      </c>
      <c r="AK3" s="8" t="n">
        <v>435</v>
      </c>
      <c r="AL3" s="8" t="n">
        <v>9502</v>
      </c>
      <c r="AM3" s="11" t="inlineStr"/>
      <c r="AN3" s="12" t="inlineStr"/>
      <c r="AO3" s="12" t="inlineStr"/>
      <c r="AP3" s="13" t="inlineStr"/>
      <c r="AQ3" s="13" t="inlineStr"/>
      <c r="AR3" s="13" t="inlineStr"/>
      <c r="AS3" s="13" t="inlineStr"/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7" t="n">
        <v>117108</v>
      </c>
      <c r="AK4" s="8" t="n">
        <v>11166</v>
      </c>
      <c r="AL4" s="8" t="n">
        <v>-2198</v>
      </c>
      <c r="AM4" s="11" t="inlineStr"/>
      <c r="AN4" s="12" t="inlineStr"/>
      <c r="AO4" s="12" t="inlineStr"/>
      <c r="AP4" s="13" t="inlineStr"/>
      <c r="AQ4" s="13" t="inlineStr"/>
      <c r="AR4" s="13" t="inlineStr"/>
      <c r="AS4" s="13" t="inlineStr"/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7" t="n">
        <v>962967</v>
      </c>
      <c r="AK5" s="8" t="n">
        <v>60528</v>
      </c>
      <c r="AL5" s="8" t="n">
        <v>51730</v>
      </c>
      <c r="AM5" s="11" t="inlineStr"/>
      <c r="AN5" s="12" t="inlineStr"/>
      <c r="AO5" s="12" t="inlineStr"/>
      <c r="AP5" s="13" t="inlineStr"/>
      <c r="AQ5" s="13" t="inlineStr"/>
      <c r="AR5" s="13" t="inlineStr"/>
      <c r="AS5" s="13" t="inlineStr"/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7" t="n">
        <v>618592</v>
      </c>
      <c r="AK6" s="8" t="n">
        <v>64938</v>
      </c>
      <c r="AL6" s="8" t="n">
        <v>40549</v>
      </c>
      <c r="AM6" s="11" t="inlineStr"/>
      <c r="AN6" s="12" t="inlineStr"/>
      <c r="AO6" s="12" t="inlineStr"/>
      <c r="AP6" s="13" t="inlineStr"/>
      <c r="AQ6" s="13" t="inlineStr"/>
      <c r="AR6" s="13" t="inlineStr"/>
      <c r="AS6" s="13" t="inlineStr"/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7" t="n">
        <v>639452</v>
      </c>
      <c r="AK7" s="8" t="n">
        <v>66869</v>
      </c>
      <c r="AL7" s="8" t="n">
        <v>68044</v>
      </c>
      <c r="AM7" s="11" t="inlineStr"/>
      <c r="AN7" s="12" t="inlineStr"/>
      <c r="AO7" s="12" t="inlineStr"/>
      <c r="AP7" s="13" t="inlineStr"/>
      <c r="AQ7" s="13" t="inlineStr"/>
      <c r="AR7" s="13" t="inlineStr"/>
      <c r="AS7" s="13" t="inlineStr"/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7" t="n">
        <v>3379979</v>
      </c>
      <c r="AK8" s="8" t="n">
        <v>101566</v>
      </c>
      <c r="AL8" s="8" t="n">
        <v>36767</v>
      </c>
      <c r="AM8" s="11" t="inlineStr"/>
      <c r="AN8" s="12" t="inlineStr"/>
      <c r="AO8" s="12" t="inlineStr"/>
      <c r="AP8" s="13" t="inlineStr"/>
      <c r="AQ8" s="13" t="inlineStr"/>
      <c r="AR8" s="13" t="inlineStr"/>
      <c r="AS8" s="13" t="inlineStr"/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7" t="n">
        <v>615278</v>
      </c>
      <c r="AK9" s="8" t="n">
        <v>64352</v>
      </c>
      <c r="AL9" s="8" t="n">
        <v>36885</v>
      </c>
      <c r="AM9" s="11" t="inlineStr"/>
      <c r="AN9" s="12" t="inlineStr"/>
      <c r="AO9" s="12" t="inlineStr"/>
      <c r="AP9" s="13" t="inlineStr"/>
      <c r="AQ9" s="13" t="inlineStr"/>
      <c r="AR9" s="13" t="inlineStr"/>
      <c r="AS9" s="13" t="inlineStr"/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7" t="n">
        <v>5586147</v>
      </c>
      <c r="AK10" s="8" t="n">
        <v>488426</v>
      </c>
      <c r="AL10" s="8" t="n">
        <v>535611</v>
      </c>
      <c r="AM10" s="11" t="inlineStr"/>
      <c r="AN10" s="12" t="inlineStr"/>
      <c r="AO10" s="12" t="inlineStr"/>
      <c r="AP10" s="13" t="inlineStr"/>
      <c r="AQ10" s="13" t="inlineStr"/>
      <c r="AR10" s="13" t="inlineStr"/>
      <c r="AS10" s="13" t="inlineStr"/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7" t="n">
        <v>34722</v>
      </c>
      <c r="AK11" s="8" t="n">
        <v>391</v>
      </c>
      <c r="AL11" s="8" t="n">
        <v>951</v>
      </c>
      <c r="AM11" s="11" t="inlineStr"/>
      <c r="AN11" s="12" t="inlineStr"/>
      <c r="AO11" s="12" t="inlineStr"/>
      <c r="AP11" s="13" t="inlineStr"/>
      <c r="AQ11" s="13" t="inlineStr"/>
      <c r="AR11" s="13" t="inlineStr"/>
      <c r="AS11" s="13" t="inlineStr"/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7" t="n">
        <v>35316</v>
      </c>
      <c r="AK12" s="8" t="n">
        <v>3189</v>
      </c>
      <c r="AL12" s="8" t="n">
        <v>462</v>
      </c>
      <c r="AM12" s="11" t="inlineStr"/>
      <c r="AN12" s="12" t="inlineStr"/>
      <c r="AO12" s="12" t="inlineStr"/>
      <c r="AP12" s="13" t="inlineStr"/>
      <c r="AQ12" s="13" t="inlineStr"/>
      <c r="AR12" s="13" t="inlineStr"/>
      <c r="AS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7" t="n">
        <v>1667871</v>
      </c>
      <c r="AK13" s="8" t="n">
        <v>256507</v>
      </c>
      <c r="AL13" s="8" t="n">
        <v>152719</v>
      </c>
      <c r="AM13" s="11" t="inlineStr"/>
      <c r="AN13" s="12" t="inlineStr"/>
      <c r="AO13" s="12" t="inlineStr"/>
      <c r="AP13" s="13" t="inlineStr"/>
      <c r="AQ13" s="13" t="inlineStr"/>
      <c r="AR13" s="13" t="inlineStr"/>
      <c r="AS13" s="13" t="inlineStr"/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7" t="n">
        <v>36697</v>
      </c>
      <c r="AK14" s="8" t="n">
        <v>4002</v>
      </c>
      <c r="AL14" s="8" t="n">
        <v>3555</v>
      </c>
      <c r="AM14" s="11" t="inlineStr"/>
      <c r="AN14" s="12" t="inlineStr"/>
      <c r="AO14" s="12" t="inlineStr"/>
      <c r="AP14" s="13" t="inlineStr"/>
      <c r="AQ14" s="13" t="inlineStr"/>
      <c r="AR14" s="13" t="inlineStr"/>
      <c r="AS14" s="13" t="inlineStr"/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7" t="n">
        <v>153985</v>
      </c>
      <c r="AK15" s="8" t="n">
        <v>1930</v>
      </c>
      <c r="AL15" s="8" t="n">
        <v>2751</v>
      </c>
      <c r="AM15" s="11" t="inlineStr"/>
      <c r="AN15" s="12" t="inlineStr"/>
      <c r="AO15" s="12" t="inlineStr"/>
      <c r="AP15" s="13" t="inlineStr"/>
      <c r="AQ15" s="13" t="inlineStr"/>
      <c r="AR15" s="13" t="inlineStr"/>
      <c r="AS15" s="13" t="inlineStr"/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7" t="n">
        <v>339568</v>
      </c>
      <c r="AK16" s="8" t="n">
        <v>100150</v>
      </c>
      <c r="AL16" s="8" t="n">
        <v>95692</v>
      </c>
      <c r="AM16" s="11" t="inlineStr"/>
      <c r="AN16" s="12" t="inlineStr"/>
      <c r="AO16" s="12" t="inlineStr"/>
      <c r="AP16" s="13" t="inlineStr"/>
      <c r="AQ16" s="13" t="inlineStr"/>
      <c r="AR16" s="13" t="inlineStr"/>
      <c r="AS16" s="13" t="inlineStr"/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7" t="n">
        <v>70745</v>
      </c>
      <c r="AK17" s="8" t="n">
        <v>3439</v>
      </c>
      <c r="AL17" s="8" t="n">
        <v>6199</v>
      </c>
      <c r="AM17" s="11" t="inlineStr"/>
      <c r="AN17" s="12" t="inlineStr"/>
      <c r="AO17" s="12" t="inlineStr"/>
      <c r="AP17" s="13" t="inlineStr"/>
      <c r="AQ17" s="13" t="inlineStr"/>
      <c r="AR17" s="13" t="inlineStr"/>
      <c r="AS17" s="13" t="inlineStr"/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7" t="n">
        <v>33037055</v>
      </c>
      <c r="AK18" s="8" t="n">
        <v>2628559</v>
      </c>
      <c r="AL18" s="8" t="n">
        <v>2327742</v>
      </c>
      <c r="AM18" s="11" t="inlineStr"/>
      <c r="AN18" s="12" t="inlineStr"/>
      <c r="AO18" s="12" t="inlineStr"/>
      <c r="AP18" s="13" t="inlineStr"/>
      <c r="AQ18" s="13" t="inlineStr"/>
      <c r="AR18" s="13" t="inlineStr"/>
      <c r="AS18" s="13" t="inlineStr"/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7" t="n">
        <v>7816</v>
      </c>
      <c r="AK19" s="8" t="n">
        <v>-1911</v>
      </c>
      <c r="AL19" s="8" t="n">
        <v>-2258</v>
      </c>
      <c r="AM19" s="11" t="inlineStr"/>
      <c r="AN19" s="12" t="inlineStr"/>
      <c r="AO19" s="12" t="inlineStr"/>
      <c r="AP19" s="13" t="inlineStr"/>
      <c r="AQ19" s="13" t="inlineStr"/>
      <c r="AR19" s="13" t="inlineStr"/>
      <c r="AS19" s="13" t="inlineStr"/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7" t="n">
        <v>356230</v>
      </c>
      <c r="AK20" s="8" t="n">
        <v>30822</v>
      </c>
      <c r="AL20" s="8" t="n">
        <v>27087</v>
      </c>
      <c r="AM20" s="11" t="inlineStr"/>
      <c r="AN20" s="12" t="inlineStr"/>
      <c r="AO20" s="12" t="inlineStr"/>
      <c r="AP20" s="13" t="inlineStr"/>
      <c r="AQ20" s="13" t="inlineStr"/>
      <c r="AR20" s="13" t="inlineStr"/>
      <c r="AS20" s="13" t="inlineStr"/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8" t="n">
        <v>140774</v>
      </c>
      <c r="AL21" s="8" t="n">
        <v>121174</v>
      </c>
      <c r="AM21" s="11" t="inlineStr"/>
      <c r="AN21" s="12" t="inlineStr"/>
      <c r="AO21" s="12" t="inlineStr"/>
      <c r="AP21" s="13" t="inlineStr"/>
      <c r="AQ21" s="13" t="inlineStr"/>
      <c r="AR21" s="13" t="inlineStr"/>
      <c r="AS21" s="13" t="inlineStr"/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7" t="n">
        <v>177547</v>
      </c>
      <c r="AK22" s="8" t="n">
        <v>13751</v>
      </c>
      <c r="AL22" s="8" t="n">
        <v>9557</v>
      </c>
      <c r="AM22" s="11" t="inlineStr"/>
      <c r="AN22" s="12" t="inlineStr"/>
      <c r="AO22" s="12" t="inlineStr"/>
      <c r="AP22" s="13" t="inlineStr"/>
      <c r="AQ22" s="13" t="inlineStr"/>
      <c r="AR22" s="13" t="inlineStr"/>
      <c r="AS22" s="13" t="inlineStr"/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7" t="inlineStr"/>
      <c r="AK23" s="8" t="n">
        <v>3057</v>
      </c>
      <c r="AL23" s="8" t="n">
        <v>1313</v>
      </c>
      <c r="AM23" s="11" t="inlineStr"/>
      <c r="AN23" s="12" t="inlineStr"/>
      <c r="AO23" s="12" t="inlineStr"/>
      <c r="AP23" s="13" t="inlineStr"/>
      <c r="AQ23" s="13" t="inlineStr"/>
      <c r="AR23" s="13" t="inlineStr"/>
      <c r="AS23" s="13" t="inlineStr"/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7" t="n">
        <v>472012</v>
      </c>
      <c r="AK24" s="8" t="n">
        <v>38487</v>
      </c>
      <c r="AL24" s="8" t="n">
        <v>30865</v>
      </c>
      <c r="AM24" s="11" t="inlineStr"/>
      <c r="AN24" s="12" t="inlineStr"/>
      <c r="AO24" s="12" t="inlineStr"/>
      <c r="AP24" s="13" t="inlineStr"/>
      <c r="AQ24" s="13" t="inlineStr"/>
      <c r="AR24" s="13" t="inlineStr"/>
      <c r="AS24" s="13" t="inlineStr"/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7" t="n">
        <v>14951</v>
      </c>
      <c r="AK25" s="8" t="n">
        <v>-967</v>
      </c>
      <c r="AL25" s="8" t="n">
        <v>-837</v>
      </c>
      <c r="AM25" s="11" t="inlineStr"/>
      <c r="AN25" s="12" t="inlineStr"/>
      <c r="AO25" s="12" t="inlineStr"/>
      <c r="AP25" s="13" t="inlineStr"/>
      <c r="AQ25" s="13" t="inlineStr"/>
      <c r="AR25" s="13" t="inlineStr"/>
      <c r="AS25" s="13" t="inlineStr"/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7" t="n">
        <v>200820</v>
      </c>
      <c r="AK26" s="8" t="n">
        <v>62</v>
      </c>
      <c r="AL26" s="8" t="n">
        <v>-7271</v>
      </c>
      <c r="AM26" s="11" t="inlineStr"/>
      <c r="AN26" s="12" t="inlineStr"/>
      <c r="AO26" s="12" t="inlineStr"/>
      <c r="AP26" s="13" t="inlineStr"/>
      <c r="AQ26" s="13" t="inlineStr"/>
      <c r="AR26" s="13" t="inlineStr"/>
      <c r="AS26" s="13" t="inlineStr"/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7" t="n">
        <v>467081</v>
      </c>
      <c r="AK27" s="8" t="n">
        <v>41233</v>
      </c>
      <c r="AL27" s="8" t="n">
        <v>21419</v>
      </c>
      <c r="AM27" s="11" t="inlineStr"/>
      <c r="AN27" s="12" t="inlineStr"/>
      <c r="AO27" s="12" t="inlineStr"/>
      <c r="AP27" s="13" t="inlineStr"/>
      <c r="AQ27" s="13" t="inlineStr"/>
      <c r="AR27" s="13" t="inlineStr"/>
      <c r="AS27" s="13" t="inlineStr"/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7" t="n">
        <v>17248</v>
      </c>
      <c r="AK28" s="8" t="n">
        <v>-1129</v>
      </c>
      <c r="AL28" s="8" t="n">
        <v>-1748</v>
      </c>
      <c r="AM28" s="11" t="inlineStr"/>
      <c r="AN28" s="12" t="inlineStr"/>
      <c r="AO28" s="12" t="inlineStr"/>
      <c r="AP28" s="13" t="inlineStr"/>
      <c r="AQ28" s="13" t="inlineStr"/>
      <c r="AR28" s="13" t="inlineStr"/>
      <c r="AS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7" t="n">
        <v>0</v>
      </c>
      <c r="AK29" s="8" t="n">
        <v>-5</v>
      </c>
      <c r="AL29" s="8" t="n">
        <v>35</v>
      </c>
      <c r="AM29" s="11" t="inlineStr"/>
      <c r="AN29" s="12" t="inlineStr"/>
      <c r="AO29" s="12" t="inlineStr"/>
      <c r="AP29" s="13" t="inlineStr"/>
      <c r="AQ29" s="13" t="inlineStr"/>
      <c r="AR29" s="13" t="inlineStr"/>
      <c r="AS29" s="13" t="inlineStr"/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2026Q3</t>
        </is>
      </c>
      <c r="E30" s="6" t="inlineStr">
        <is>
          <t>2026Q3</t>
        </is>
      </c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7" t="n">
        <v>869390</v>
      </c>
      <c r="AK30" s="8" t="n">
        <v>36132</v>
      </c>
      <c r="AL30" s="8" t="n">
        <v>22859</v>
      </c>
      <c r="AM30" s="14" t="n">
        <v>986458</v>
      </c>
      <c r="AN30" s="15" t="n">
        <v>52011</v>
      </c>
      <c r="AO30" s="15" t="n">
        <v>29986</v>
      </c>
      <c r="AP30" s="13" t="n">
        <v>13.5</v>
      </c>
      <c r="AQ30" s="13" t="n">
        <v>51.9</v>
      </c>
      <c r="AR30" s="13" t="n">
        <v>43.9</v>
      </c>
      <c r="AS30" s="13" t="n">
        <v>99.09999999999999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7" t="n">
        <v>50602</v>
      </c>
      <c r="AK31" s="8" t="n">
        <v>-6330</v>
      </c>
      <c r="AL31" s="8" t="n">
        <v>-7690</v>
      </c>
      <c r="AM31" s="11" t="inlineStr"/>
      <c r="AN31" s="12" t="inlineStr"/>
      <c r="AO31" s="12" t="inlineStr"/>
      <c r="AP31" s="13" t="inlineStr"/>
      <c r="AQ31" s="13" t="inlineStr"/>
      <c r="AR31" s="13" t="inlineStr"/>
      <c r="AS31" s="13" t="inlineStr"/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7" t="inlineStr"/>
      <c r="AK32" s="8" t="n">
        <v>35505</v>
      </c>
      <c r="AL32" s="8" t="n">
        <v>26831</v>
      </c>
      <c r="AM32" s="11" t="inlineStr"/>
      <c r="AN32" s="12" t="inlineStr"/>
      <c r="AO32" s="12" t="inlineStr"/>
      <c r="AP32" s="13" t="inlineStr"/>
      <c r="AQ32" s="13" t="inlineStr"/>
      <c r="AR32" s="13" t="inlineStr"/>
      <c r="AS32" s="13" t="inlineStr"/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7" t="n">
        <v>39175</v>
      </c>
      <c r="AK33" s="8" t="n">
        <v>7488</v>
      </c>
      <c r="AL33" s="8" t="n">
        <v>7331</v>
      </c>
      <c r="AM33" s="11" t="inlineStr"/>
      <c r="AN33" s="12" t="inlineStr"/>
      <c r="AO33" s="12" t="inlineStr"/>
      <c r="AP33" s="13" t="inlineStr"/>
      <c r="AQ33" s="13" t="inlineStr"/>
      <c r="AR33" s="13" t="inlineStr"/>
      <c r="AS33" s="13" t="inlineStr"/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7" t="n">
        <v>412392</v>
      </c>
      <c r="AK34" s="8" t="n">
        <v>38959</v>
      </c>
      <c r="AL34" s="8" t="n">
        <v>28896</v>
      </c>
      <c r="AM34" s="11" t="inlineStr"/>
      <c r="AN34" s="12" t="inlineStr"/>
      <c r="AO34" s="12" t="inlineStr"/>
      <c r="AP34" s="13" t="inlineStr"/>
      <c r="AQ34" s="13" t="inlineStr"/>
      <c r="AR34" s="13" t="inlineStr"/>
      <c r="AS34" s="13" t="inlineStr"/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7" t="n">
        <v>12364</v>
      </c>
      <c r="AK35" s="8" t="n">
        <v>-1078</v>
      </c>
      <c r="AL35" s="8" t="n">
        <v>-1252</v>
      </c>
      <c r="AM35" s="11" t="inlineStr"/>
      <c r="AN35" s="12" t="inlineStr"/>
      <c r="AO35" s="12" t="inlineStr"/>
      <c r="AP35" s="13" t="inlineStr"/>
      <c r="AQ35" s="13" t="inlineStr"/>
      <c r="AR35" s="13" t="inlineStr"/>
      <c r="AS35" s="13" t="inlineStr"/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7" t="n">
        <v>79318746</v>
      </c>
      <c r="AK36" s="8" t="n">
        <v>60542608</v>
      </c>
      <c r="AL36" s="8" t="n">
        <v>93922593</v>
      </c>
      <c r="AM36" s="11" t="inlineStr"/>
      <c r="AN36" s="12" t="inlineStr"/>
      <c r="AO36" s="12" t="inlineStr"/>
      <c r="AP36" s="13" t="inlineStr"/>
      <c r="AQ36" s="13" t="inlineStr"/>
      <c r="AR36" s="13" t="inlineStr"/>
      <c r="AS36" s="13" t="inlineStr"/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7" t="n">
        <v>853192</v>
      </c>
      <c r="AK37" s="8" t="n">
        <v>1511</v>
      </c>
      <c r="AL37" s="8" t="n">
        <v>386237</v>
      </c>
      <c r="AM37" s="11" t="inlineStr"/>
      <c r="AN37" s="12" t="inlineStr"/>
      <c r="AO37" s="12" t="inlineStr"/>
      <c r="AP37" s="13" t="inlineStr"/>
      <c r="AQ37" s="13" t="inlineStr"/>
      <c r="AR37" s="13" t="inlineStr"/>
      <c r="AS37" s="13" t="inlineStr"/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7" t="n">
        <v>2379093</v>
      </c>
      <c r="AK38" s="8" t="n">
        <v>63054</v>
      </c>
      <c r="AL38" s="8" t="n">
        <v>35834</v>
      </c>
      <c r="AM38" s="11" t="inlineStr"/>
      <c r="AN38" s="12" t="inlineStr"/>
      <c r="AO38" s="12" t="inlineStr"/>
      <c r="AP38" s="13" t="inlineStr"/>
      <c r="AQ38" s="13" t="inlineStr"/>
      <c r="AR38" s="13" t="inlineStr"/>
      <c r="AS38" s="13" t="inlineStr"/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7" t="n">
        <v>121772</v>
      </c>
      <c r="AK39" s="8" t="n">
        <v>12807</v>
      </c>
      <c r="AL39" s="8" t="n">
        <v>10630</v>
      </c>
      <c r="AM39" s="11" t="inlineStr"/>
      <c r="AN39" s="12" t="inlineStr"/>
      <c r="AO39" s="12" t="inlineStr"/>
      <c r="AP39" s="13" t="inlineStr"/>
      <c r="AQ39" s="13" t="inlineStr"/>
      <c r="AR39" s="13" t="inlineStr"/>
      <c r="AS39" s="13" t="inlineStr"/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7" t="n">
        <v>6842303</v>
      </c>
      <c r="AK40" s="8" t="n">
        <v>261826</v>
      </c>
      <c r="AL40" s="8" t="n">
        <v>156988</v>
      </c>
      <c r="AM40" s="11" t="inlineStr"/>
      <c r="AN40" s="12" t="inlineStr"/>
      <c r="AO40" s="12" t="inlineStr"/>
      <c r="AP40" s="13" t="inlineStr"/>
      <c r="AQ40" s="13" t="inlineStr"/>
      <c r="AR40" s="13" t="inlineStr"/>
      <c r="AS40" s="13" t="inlineStr"/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7" t="n">
        <v>13431</v>
      </c>
      <c r="AK41" s="8" t="n">
        <v>1134</v>
      </c>
      <c r="AL41" s="8" t="n">
        <v>877</v>
      </c>
      <c r="AM41" s="11" t="inlineStr"/>
      <c r="AN41" s="12" t="inlineStr"/>
      <c r="AO41" s="12" t="inlineStr"/>
      <c r="AP41" s="13" t="inlineStr"/>
      <c r="AQ41" s="13" t="inlineStr"/>
      <c r="AR41" s="13" t="inlineStr"/>
      <c r="AS41" s="13" t="inlineStr"/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7" t="n">
        <v>5474</v>
      </c>
      <c r="AK42" s="8" t="n">
        <v>-1495</v>
      </c>
      <c r="AL42" s="8" t="n">
        <v>-1531</v>
      </c>
      <c r="AM42" s="11" t="inlineStr"/>
      <c r="AN42" s="12" t="inlineStr"/>
      <c r="AO42" s="12" t="inlineStr"/>
      <c r="AP42" s="13" t="inlineStr"/>
      <c r="AQ42" s="13" t="inlineStr"/>
      <c r="AR42" s="13" t="inlineStr"/>
      <c r="AS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7" t="n">
        <v>0</v>
      </c>
      <c r="AK43" s="8" t="n">
        <v>-2493</v>
      </c>
      <c r="AL43" s="8" t="n">
        <v>-2257</v>
      </c>
      <c r="AM43" s="11" t="inlineStr"/>
      <c r="AN43" s="12" t="inlineStr"/>
      <c r="AO43" s="12" t="inlineStr"/>
      <c r="AP43" s="13" t="inlineStr"/>
      <c r="AQ43" s="13" t="inlineStr"/>
      <c r="AR43" s="13" t="inlineStr"/>
      <c r="AS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8" t="n">
        <v>885333</v>
      </c>
      <c r="AL44" s="8" t="n">
        <v>738735</v>
      </c>
      <c r="AM44" s="11" t="inlineStr"/>
      <c r="AN44" s="12" t="inlineStr"/>
      <c r="AO44" s="12" t="inlineStr"/>
      <c r="AP44" s="13" t="inlineStr"/>
      <c r="AQ44" s="13" t="inlineStr"/>
      <c r="AR44" s="13" t="inlineStr"/>
      <c r="AS44" s="13" t="inlineStr"/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7" t="n">
        <v>74918</v>
      </c>
      <c r="AK45" s="8" t="n">
        <v>6484</v>
      </c>
      <c r="AL45" s="8" t="n">
        <v>9314</v>
      </c>
      <c r="AM45" s="11" t="inlineStr"/>
      <c r="AN45" s="12" t="inlineStr"/>
      <c r="AO45" s="12" t="inlineStr"/>
      <c r="AP45" s="13" t="inlineStr"/>
      <c r="AQ45" s="13" t="inlineStr"/>
      <c r="AR45" s="13" t="inlineStr"/>
      <c r="AS45" s="13" t="inlineStr"/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7" t="n">
        <v>178520</v>
      </c>
      <c r="AK46" s="8" t="n">
        <v>12369</v>
      </c>
      <c r="AL46" s="8" t="n">
        <v>6891</v>
      </c>
      <c r="AM46" s="11" t="inlineStr"/>
      <c r="AN46" s="12" t="inlineStr"/>
      <c r="AO46" s="12" t="inlineStr"/>
      <c r="AP46" s="13" t="inlineStr"/>
      <c r="AQ46" s="13" t="inlineStr"/>
      <c r="AR46" s="13" t="inlineStr"/>
      <c r="AS46" s="13" t="inlineStr"/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7" t="n">
        <v>28637845</v>
      </c>
      <c r="AK47" s="8" t="n">
        <v>2408503</v>
      </c>
      <c r="AL47" s="8" t="n">
        <v>1821109</v>
      </c>
      <c r="AM47" s="11" t="inlineStr"/>
      <c r="AN47" s="12" t="inlineStr"/>
      <c r="AO47" s="12" t="inlineStr"/>
      <c r="AP47" s="13" t="inlineStr"/>
      <c r="AQ47" s="13" t="inlineStr"/>
      <c r="AR47" s="13" t="inlineStr"/>
      <c r="AS47" s="13" t="inlineStr"/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7" t="n">
        <v>25564</v>
      </c>
      <c r="AK48" s="8" t="n">
        <v>1117</v>
      </c>
      <c r="AL48" s="8" t="n">
        <v>867</v>
      </c>
      <c r="AM48" s="11" t="inlineStr"/>
      <c r="AN48" s="12" t="inlineStr"/>
      <c r="AO48" s="12" t="inlineStr"/>
      <c r="AP48" s="13" t="inlineStr"/>
      <c r="AQ48" s="13" t="inlineStr"/>
      <c r="AR48" s="13" t="inlineStr"/>
      <c r="AS48" s="13" t="inlineStr"/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7" t="n">
        <v>41076</v>
      </c>
      <c r="AK49" s="8" t="n">
        <v>6072</v>
      </c>
      <c r="AL49" s="8" t="n">
        <v>5482</v>
      </c>
      <c r="AM49" s="11" t="inlineStr"/>
      <c r="AN49" s="12" t="inlineStr"/>
      <c r="AO49" s="12" t="inlineStr"/>
      <c r="AP49" s="13" t="inlineStr"/>
      <c r="AQ49" s="13" t="inlineStr"/>
      <c r="AR49" s="13" t="inlineStr"/>
      <c r="AS49" s="13" t="inlineStr"/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7" t="n">
        <v>53998</v>
      </c>
      <c r="AK50" s="8" t="n">
        <v>1202</v>
      </c>
      <c r="AL50" s="8" t="n">
        <v>11135</v>
      </c>
      <c r="AM50" s="11" t="inlineStr"/>
      <c r="AN50" s="12" t="inlineStr"/>
      <c r="AO50" s="12" t="inlineStr"/>
      <c r="AP50" s="13" t="inlineStr"/>
      <c r="AQ50" s="13" t="inlineStr"/>
      <c r="AR50" s="13" t="inlineStr"/>
      <c r="AS50" s="13" t="inlineStr"/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7" t="n">
        <v>6906</v>
      </c>
      <c r="AK51" s="8" t="n">
        <v>-141</v>
      </c>
      <c r="AL51" s="8" t="n">
        <v>875</v>
      </c>
      <c r="AM51" s="11" t="inlineStr"/>
      <c r="AN51" s="12" t="inlineStr"/>
      <c r="AO51" s="12" t="inlineStr"/>
      <c r="AP51" s="13" t="inlineStr"/>
      <c r="AQ51" s="13" t="inlineStr"/>
      <c r="AR51" s="13" t="inlineStr"/>
      <c r="AS51" s="13" t="inlineStr"/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7" t="n">
        <v>111849</v>
      </c>
      <c r="AK52" s="8" t="n">
        <v>7235</v>
      </c>
      <c r="AL52" s="8" t="n">
        <v>5964</v>
      </c>
      <c r="AM52" s="11" t="inlineStr"/>
      <c r="AN52" s="12" t="inlineStr"/>
      <c r="AO52" s="12" t="inlineStr"/>
      <c r="AP52" s="13" t="inlineStr"/>
      <c r="AQ52" s="13" t="inlineStr"/>
      <c r="AR52" s="13" t="inlineStr"/>
      <c r="AS52" s="13" t="inlineStr"/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7" t="n">
        <v>414450</v>
      </c>
      <c r="AK53" s="8" t="n">
        <v>105233</v>
      </c>
      <c r="AL53" s="8" t="n">
        <v>115607</v>
      </c>
      <c r="AM53" s="11" t="inlineStr"/>
      <c r="AN53" s="12" t="inlineStr"/>
      <c r="AO53" s="12" t="inlineStr"/>
      <c r="AP53" s="13" t="inlineStr"/>
      <c r="AQ53" s="13" t="inlineStr"/>
      <c r="AR53" s="13" t="inlineStr"/>
      <c r="AS53" s="13" t="inlineStr"/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7" t="n">
        <v>20197</v>
      </c>
      <c r="AK54" s="8" t="n">
        <v>8520</v>
      </c>
      <c r="AL54" s="8" t="n">
        <v>10883</v>
      </c>
      <c r="AM54" s="11" t="inlineStr"/>
      <c r="AN54" s="12" t="inlineStr"/>
      <c r="AO54" s="12" t="inlineStr"/>
      <c r="AP54" s="13" t="inlineStr"/>
      <c r="AQ54" s="13" t="inlineStr"/>
      <c r="AR54" s="13" t="inlineStr"/>
      <c r="AS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7" t="n">
        <v>926</v>
      </c>
      <c r="AK55" s="8" t="n">
        <v>-531</v>
      </c>
      <c r="AL55" s="8" t="n">
        <v>-683</v>
      </c>
      <c r="AM55" s="11" t="inlineStr"/>
      <c r="AN55" s="12" t="inlineStr"/>
      <c r="AO55" s="12" t="inlineStr"/>
      <c r="AP55" s="13" t="inlineStr"/>
      <c r="AQ55" s="13" t="inlineStr"/>
      <c r="AR55" s="13" t="inlineStr"/>
      <c r="AS55" s="13" t="inlineStr"/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7" t="n">
        <v>80316</v>
      </c>
      <c r="AK56" s="8" t="n">
        <v>5453</v>
      </c>
      <c r="AL56" s="8" t="n">
        <v>2612</v>
      </c>
      <c r="AM56" s="11" t="inlineStr"/>
      <c r="AN56" s="12" t="inlineStr"/>
      <c r="AO56" s="12" t="inlineStr"/>
      <c r="AP56" s="13" t="inlineStr"/>
      <c r="AQ56" s="13" t="inlineStr"/>
      <c r="AR56" s="13" t="inlineStr"/>
      <c r="AS56" s="13" t="inlineStr"/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7" t="n">
        <v>11528095</v>
      </c>
      <c r="AK57" s="8" t="n">
        <v>531755</v>
      </c>
      <c r="AL57" s="8" t="n">
        <v>155628</v>
      </c>
      <c r="AM57" s="11" t="inlineStr"/>
      <c r="AN57" s="12" t="inlineStr"/>
      <c r="AO57" s="12" t="inlineStr"/>
      <c r="AP57" s="13" t="inlineStr"/>
      <c r="AQ57" s="13" t="inlineStr"/>
      <c r="AR57" s="13" t="inlineStr"/>
      <c r="AS57" s="13" t="inlineStr"/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7" t="n">
        <v>222020</v>
      </c>
      <c r="AK58" s="8" t="n">
        <v>33339</v>
      </c>
      <c r="AL58" s="8" t="n">
        <v>27892</v>
      </c>
      <c r="AM58" s="11" t="inlineStr"/>
      <c r="AN58" s="12" t="inlineStr"/>
      <c r="AO58" s="12" t="inlineStr"/>
      <c r="AP58" s="13" t="inlineStr"/>
      <c r="AQ58" s="13" t="inlineStr"/>
      <c r="AR58" s="13" t="inlineStr"/>
      <c r="AS58" s="13" t="inlineStr"/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7" t="n">
        <v>40587</v>
      </c>
      <c r="AK59" s="8" t="n">
        <v>1154</v>
      </c>
      <c r="AL59" s="8" t="n">
        <v>347</v>
      </c>
      <c r="AM59" s="11" t="inlineStr"/>
      <c r="AN59" s="12" t="inlineStr"/>
      <c r="AO59" s="12" t="inlineStr"/>
      <c r="AP59" s="13" t="inlineStr"/>
      <c r="AQ59" s="13" t="inlineStr"/>
      <c r="AR59" s="13" t="inlineStr"/>
      <c r="AS59" s="13" t="inlineStr"/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2026Q3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7" t="inlineStr"/>
      <c r="AK60" s="8" t="inlineStr"/>
      <c r="AL60" s="8" t="inlineStr"/>
      <c r="AM60" s="11" t="n">
        <v>37672</v>
      </c>
      <c r="AN60" s="12" t="n">
        <v>1262</v>
      </c>
      <c r="AO60" s="12" t="n">
        <v>305</v>
      </c>
      <c r="AP60" s="13" t="inlineStr"/>
      <c r="AQ60" s="13" t="n">
        <v>1.4</v>
      </c>
      <c r="AR60" s="13" t="inlineStr"/>
      <c r="AS60" s="13" t="n">
        <v>144.6</v>
      </c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7" t="n">
        <v>13694</v>
      </c>
      <c r="AK61" s="8" t="n">
        <v>1024</v>
      </c>
      <c r="AL61" s="8" t="n">
        <v>887</v>
      </c>
      <c r="AM61" s="11" t="inlineStr"/>
      <c r="AN61" s="12" t="inlineStr"/>
      <c r="AO61" s="12" t="inlineStr"/>
      <c r="AP61" s="13" t="inlineStr"/>
      <c r="AQ61" s="13" t="inlineStr"/>
      <c r="AR61" s="13" t="inlineStr"/>
      <c r="AS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>
        <is>
          <t>2025Q4</t>
        </is>
      </c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14" t="n">
        <v>12289</v>
      </c>
      <c r="AE62" s="15" t="n">
        <v>1428</v>
      </c>
      <c r="AF62" s="15" t="n">
        <v>1699</v>
      </c>
      <c r="AG62" s="9" t="n">
        <v>10755</v>
      </c>
      <c r="AH62" s="10" t="n">
        <v>458</v>
      </c>
      <c r="AI62" s="10" t="n">
        <v>1554</v>
      </c>
      <c r="AJ62" s="7" t="n">
        <v>11954</v>
      </c>
      <c r="AK62" s="8" t="n">
        <v>2147</v>
      </c>
      <c r="AL62" s="8" t="n">
        <v>2459</v>
      </c>
      <c r="AM62" s="11" t="inlineStr"/>
      <c r="AN62" s="12" t="inlineStr"/>
      <c r="AO62" s="12" t="inlineStr"/>
      <c r="AP62" s="13" t="inlineStr"/>
      <c r="AQ62" s="13" t="inlineStr"/>
      <c r="AR62" s="13" t="inlineStr"/>
      <c r="AS62" s="13" t="inlineStr"/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7" t="n">
        <v>4776321</v>
      </c>
      <c r="AK63" s="8" t="n">
        <v>117835</v>
      </c>
      <c r="AL63" s="8" t="n">
        <v>78763</v>
      </c>
      <c r="AM63" s="11" t="inlineStr"/>
      <c r="AN63" s="12" t="inlineStr"/>
      <c r="AO63" s="12" t="inlineStr"/>
      <c r="AP63" s="13" t="inlineStr"/>
      <c r="AQ63" s="13" t="inlineStr"/>
      <c r="AR63" s="13" t="inlineStr"/>
      <c r="AS63" s="13" t="inlineStr"/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7" t="n">
        <v>351123</v>
      </c>
      <c r="AK64" s="8" t="n">
        <v>7028</v>
      </c>
      <c r="AL64" s="8" t="n">
        <v>12224</v>
      </c>
      <c r="AM64" s="11" t="inlineStr"/>
      <c r="AN64" s="12" t="inlineStr"/>
      <c r="AO64" s="12" t="inlineStr"/>
      <c r="AP64" s="13" t="inlineStr"/>
      <c r="AQ64" s="13" t="inlineStr"/>
      <c r="AR64" s="13" t="inlineStr"/>
      <c r="AS64" s="13" t="inlineStr"/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7" t="n">
        <v>12046</v>
      </c>
      <c r="AK65" s="8" t="n">
        <v>-331</v>
      </c>
      <c r="AL65" s="8" t="n">
        <v>-268</v>
      </c>
      <c r="AM65" s="11" t="inlineStr"/>
      <c r="AN65" s="12" t="inlineStr"/>
      <c r="AO65" s="12" t="inlineStr"/>
      <c r="AP65" s="13" t="inlineStr"/>
      <c r="AQ65" s="13" t="inlineStr"/>
      <c r="AR65" s="13" t="inlineStr"/>
      <c r="AS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7" t="n">
        <v>28954</v>
      </c>
      <c r="AK66" s="8" t="n">
        <v>-10036</v>
      </c>
      <c r="AL66" s="8" t="n">
        <v>-11377</v>
      </c>
      <c r="AM66" s="11" t="inlineStr"/>
      <c r="AN66" s="12" t="inlineStr"/>
      <c r="AO66" s="12" t="inlineStr"/>
      <c r="AP66" s="13" t="inlineStr"/>
      <c r="AQ66" s="13" t="inlineStr"/>
      <c r="AR66" s="13" t="inlineStr"/>
      <c r="AS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7" t="n">
        <v>1501779</v>
      </c>
      <c r="AK67" s="8" t="n">
        <v>87589</v>
      </c>
      <c r="AL67" s="8" t="n">
        <v>67517</v>
      </c>
      <c r="AM67" s="11" t="inlineStr"/>
      <c r="AN67" s="12" t="inlineStr"/>
      <c r="AO67" s="12" t="inlineStr"/>
      <c r="AP67" s="13" t="inlineStr"/>
      <c r="AQ67" s="13" t="inlineStr"/>
      <c r="AR67" s="13" t="inlineStr"/>
      <c r="AS67" s="13" t="inlineStr"/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7" t="n">
        <v>7882</v>
      </c>
      <c r="AK68" s="8" t="n">
        <v>-1028</v>
      </c>
      <c r="AL68" s="8" t="n">
        <v>-787</v>
      </c>
      <c r="AM68" s="11" t="inlineStr"/>
      <c r="AN68" s="12" t="inlineStr"/>
      <c r="AO68" s="12" t="inlineStr"/>
      <c r="AP68" s="13" t="inlineStr"/>
      <c r="AQ68" s="13" t="inlineStr"/>
      <c r="AR68" s="13" t="inlineStr"/>
      <c r="AS68" s="13" t="inlineStr"/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7" t="n">
        <v>656943</v>
      </c>
      <c r="AK69" s="8" t="n">
        <v>20115</v>
      </c>
      <c r="AL69" s="8" t="n">
        <v>100456</v>
      </c>
      <c r="AM69" s="11" t="inlineStr"/>
      <c r="AN69" s="12" t="inlineStr"/>
      <c r="AO69" s="12" t="inlineStr"/>
      <c r="AP69" s="13" t="inlineStr"/>
      <c r="AQ69" s="13" t="inlineStr"/>
      <c r="AR69" s="13" t="inlineStr"/>
      <c r="AS69" s="13" t="inlineStr"/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7" t="n">
        <v>1134889</v>
      </c>
      <c r="AK70" s="8" t="n">
        <v>11717</v>
      </c>
      <c r="AL70" s="8" t="n">
        <v>7858</v>
      </c>
      <c r="AM70" s="11" t="inlineStr"/>
      <c r="AN70" s="12" t="inlineStr"/>
      <c r="AO70" s="12" t="inlineStr"/>
      <c r="AP70" s="13" t="inlineStr"/>
      <c r="AQ70" s="13" t="inlineStr"/>
      <c r="AR70" s="13" t="inlineStr"/>
      <c r="AS70" s="13" t="inlineStr"/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7" t="n">
        <v>80296</v>
      </c>
      <c r="AK71" s="8" t="n">
        <v>2256</v>
      </c>
      <c r="AL71" s="8" t="n">
        <v>1410</v>
      </c>
      <c r="AM71" s="11" t="inlineStr"/>
      <c r="AN71" s="12" t="inlineStr"/>
      <c r="AO71" s="12" t="inlineStr"/>
      <c r="AP71" s="13" t="inlineStr"/>
      <c r="AQ71" s="13" t="inlineStr"/>
      <c r="AR71" s="13" t="inlineStr"/>
      <c r="AS71" s="13" t="inlineStr"/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7" t="n">
        <v>583135</v>
      </c>
      <c r="AK72" s="8" t="n">
        <v>24450</v>
      </c>
      <c r="AL72" s="8" t="n">
        <v>24392</v>
      </c>
      <c r="AM72" s="11" t="inlineStr"/>
      <c r="AN72" s="12" t="inlineStr"/>
      <c r="AO72" s="12" t="inlineStr"/>
      <c r="AP72" s="13" t="inlineStr"/>
      <c r="AQ72" s="13" t="inlineStr"/>
      <c r="AR72" s="13" t="inlineStr"/>
      <c r="AS72" s="13" t="inlineStr"/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7" t="n">
        <v>58668</v>
      </c>
      <c r="AK73" s="8" t="n">
        <v>2180</v>
      </c>
      <c r="AL73" s="8" t="n">
        <v>2607</v>
      </c>
      <c r="AM73" s="11" t="inlineStr"/>
      <c r="AN73" s="12" t="inlineStr"/>
      <c r="AO73" s="12" t="inlineStr"/>
      <c r="AP73" s="13" t="inlineStr"/>
      <c r="AQ73" s="13" t="inlineStr"/>
      <c r="AR73" s="13" t="inlineStr"/>
      <c r="AS73" s="13" t="inlineStr"/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7" t="n">
        <v>71575</v>
      </c>
      <c r="AK74" s="8" t="n">
        <v>5448</v>
      </c>
      <c r="AL74" s="8" t="n">
        <v>3955</v>
      </c>
      <c r="AM74" s="11" t="inlineStr"/>
      <c r="AN74" s="12" t="inlineStr"/>
      <c r="AO74" s="12" t="inlineStr"/>
      <c r="AP74" s="13" t="inlineStr"/>
      <c r="AQ74" s="13" t="inlineStr"/>
      <c r="AR74" s="13" t="inlineStr"/>
      <c r="AS74" s="13" t="inlineStr"/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7" t="n">
        <v>9901</v>
      </c>
      <c r="AK75" s="8" t="n">
        <v>-4990</v>
      </c>
      <c r="AL75" s="8" t="n">
        <v>-56646</v>
      </c>
      <c r="AM75" s="11" t="inlineStr"/>
      <c r="AN75" s="12" t="inlineStr"/>
      <c r="AO75" s="12" t="inlineStr"/>
      <c r="AP75" s="13" t="inlineStr"/>
      <c r="AQ75" s="13" t="inlineStr"/>
      <c r="AR75" s="13" t="inlineStr"/>
      <c r="AS75" s="13" t="inlineStr"/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7" t="n">
        <v>29059</v>
      </c>
      <c r="AK76" s="8" t="n">
        <v>2082</v>
      </c>
      <c r="AL76" s="8" t="n">
        <v>1594</v>
      </c>
      <c r="AM76" s="11" t="inlineStr"/>
      <c r="AN76" s="12" t="inlineStr"/>
      <c r="AO76" s="12" t="inlineStr"/>
      <c r="AP76" s="13" t="inlineStr"/>
      <c r="AQ76" s="13" t="inlineStr"/>
      <c r="AR76" s="13" t="inlineStr"/>
      <c r="AS76" s="13" t="inlineStr"/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7" t="n">
        <v>2581225</v>
      </c>
      <c r="AK77" s="8" t="n">
        <v>90912</v>
      </c>
      <c r="AL77" s="8" t="n">
        <v>135007</v>
      </c>
      <c r="AM77" s="11" t="inlineStr"/>
      <c r="AN77" s="12" t="inlineStr"/>
      <c r="AO77" s="12" t="inlineStr"/>
      <c r="AP77" s="13" t="inlineStr"/>
      <c r="AQ77" s="13" t="inlineStr"/>
      <c r="AR77" s="13" t="inlineStr"/>
      <c r="AS77" s="13" t="inlineStr"/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7" t="n">
        <v>21495</v>
      </c>
      <c r="AK78" s="8" t="n">
        <v>-524</v>
      </c>
      <c r="AL78" s="8" t="n">
        <v>-224</v>
      </c>
      <c r="AM78" s="11" t="inlineStr"/>
      <c r="AN78" s="12" t="inlineStr"/>
      <c r="AO78" s="12" t="inlineStr"/>
      <c r="AP78" s="13" t="inlineStr"/>
      <c r="AQ78" s="13" t="inlineStr"/>
      <c r="AR78" s="13" t="inlineStr"/>
      <c r="AS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7" t="n">
        <v>5336</v>
      </c>
      <c r="AK79" s="8" t="n">
        <v>-160</v>
      </c>
      <c r="AL79" s="8" t="n">
        <v>139</v>
      </c>
      <c r="AM79" s="11" t="inlineStr"/>
      <c r="AN79" s="12" t="inlineStr"/>
      <c r="AO79" s="12" t="inlineStr"/>
      <c r="AP79" s="13" t="inlineStr"/>
      <c r="AQ79" s="13" t="inlineStr"/>
      <c r="AR79" s="13" t="inlineStr"/>
      <c r="AS79" s="13" t="inlineStr"/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7" t="n">
        <v>1135710</v>
      </c>
      <c r="AK80" s="8" t="n">
        <v>59840</v>
      </c>
      <c r="AL80" s="8" t="n">
        <v>35167</v>
      </c>
      <c r="AM80" s="11" t="inlineStr"/>
      <c r="AN80" s="12" t="inlineStr"/>
      <c r="AO80" s="12" t="inlineStr"/>
      <c r="AP80" s="13" t="inlineStr"/>
      <c r="AQ80" s="13" t="inlineStr"/>
      <c r="AR80" s="13" t="inlineStr"/>
      <c r="AS80" s="13" t="inlineStr"/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7" t="n">
        <v>1198667</v>
      </c>
      <c r="AK81" s="8" t="n">
        <v>60842</v>
      </c>
      <c r="AL81" s="8" t="n">
        <v>-88179</v>
      </c>
      <c r="AM81" s="11" t="inlineStr"/>
      <c r="AN81" s="12" t="inlineStr"/>
      <c r="AO81" s="12" t="inlineStr"/>
      <c r="AP81" s="13" t="inlineStr"/>
      <c r="AQ81" s="13" t="inlineStr"/>
      <c r="AR81" s="13" t="inlineStr"/>
      <c r="AS81" s="13" t="inlineStr"/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14" t="n">
        <v>4211408</v>
      </c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8" t="n">
        <v>528691</v>
      </c>
      <c r="AL82" s="8" t="n">
        <v>418303</v>
      </c>
      <c r="AM82" s="11" t="inlineStr"/>
      <c r="AN82" s="12" t="inlineStr"/>
      <c r="AO82" s="12" t="inlineStr"/>
      <c r="AP82" s="13" t="inlineStr"/>
      <c r="AQ82" s="13" t="inlineStr"/>
      <c r="AR82" s="13" t="inlineStr"/>
      <c r="AS82" s="13" t="inlineStr"/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7" t="n">
        <v>43427</v>
      </c>
      <c r="AK83" s="8" t="n">
        <v>2993</v>
      </c>
      <c r="AL83" s="8" t="n">
        <v>3699</v>
      </c>
      <c r="AM83" s="11" t="inlineStr"/>
      <c r="AN83" s="12" t="inlineStr"/>
      <c r="AO83" s="12" t="inlineStr"/>
      <c r="AP83" s="13" t="inlineStr"/>
      <c r="AQ83" s="13" t="inlineStr"/>
      <c r="AR83" s="13" t="inlineStr"/>
      <c r="AS83" s="13" t="inlineStr"/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7" t="n">
        <v>21982</v>
      </c>
      <c r="AK84" s="8" t="n">
        <v>-6946</v>
      </c>
      <c r="AL84" s="8" t="n">
        <v>176408</v>
      </c>
      <c r="AM84" s="11" t="inlineStr"/>
      <c r="AN84" s="12" t="inlineStr"/>
      <c r="AO84" s="12" t="inlineStr"/>
      <c r="AP84" s="13" t="inlineStr"/>
      <c r="AQ84" s="13" t="inlineStr"/>
      <c r="AR84" s="13" t="inlineStr"/>
      <c r="AS84" s="13" t="inlineStr"/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2026Q3</t>
        </is>
      </c>
      <c r="E85" s="6" t="inlineStr">
        <is>
          <t>2023Q4, 2026Q3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14" t="n">
        <v>847837</v>
      </c>
      <c r="AH85" s="10" t="n">
        <v>32311</v>
      </c>
      <c r="AI85" s="10" t="n">
        <v>26589</v>
      </c>
      <c r="AJ85" s="14" t="n">
        <v>1034443</v>
      </c>
      <c r="AK85" s="8" t="n">
        <v>19120</v>
      </c>
      <c r="AL85" s="8" t="n">
        <v>32724</v>
      </c>
      <c r="AM85" s="14" t="n">
        <v>720281</v>
      </c>
      <c r="AN85" s="15" t="n">
        <v>12664</v>
      </c>
      <c r="AO85" s="15" t="n">
        <v>15355</v>
      </c>
      <c r="AP85" s="13" t="n">
        <v>-30.4</v>
      </c>
      <c r="AQ85" s="13" t="n">
        <v>195.2</v>
      </c>
      <c r="AR85" s="13" t="n">
        <v>-33.8</v>
      </c>
      <c r="AS85" s="13" t="n">
        <v>-10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7" t="inlineStr"/>
      <c r="AK86" s="8" t="n">
        <v>22548</v>
      </c>
      <c r="AL86" s="8" t="n">
        <v>33501</v>
      </c>
      <c r="AM86" s="11" t="inlineStr"/>
      <c r="AN86" s="12" t="inlineStr"/>
      <c r="AO86" s="12" t="inlineStr"/>
      <c r="AP86" s="13" t="inlineStr"/>
      <c r="AQ86" s="13" t="inlineStr"/>
      <c r="AR86" s="13" t="inlineStr"/>
      <c r="AS86" s="13" t="inlineStr"/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7" t="n">
        <v>146110</v>
      </c>
      <c r="AK87" s="8" t="n">
        <v>-3603</v>
      </c>
      <c r="AL87" s="8" t="n">
        <v>-16793</v>
      </c>
      <c r="AM87" s="11" t="inlineStr"/>
      <c r="AN87" s="12" t="inlineStr"/>
      <c r="AO87" s="12" t="inlineStr"/>
      <c r="AP87" s="13" t="inlineStr"/>
      <c r="AQ87" s="13" t="inlineStr"/>
      <c r="AR87" s="13" t="inlineStr"/>
      <c r="AS87" s="13" t="inlineStr"/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7" t="n">
        <v>180227</v>
      </c>
      <c r="AK88" s="8" t="n">
        <v>3346</v>
      </c>
      <c r="AL88" s="8" t="n">
        <v>6149</v>
      </c>
      <c r="AM88" s="11" t="inlineStr"/>
      <c r="AN88" s="12" t="inlineStr"/>
      <c r="AO88" s="12" t="inlineStr"/>
      <c r="AP88" s="13" t="inlineStr"/>
      <c r="AQ88" s="13" t="inlineStr"/>
      <c r="AR88" s="13" t="inlineStr"/>
      <c r="AS88" s="13" t="inlineStr"/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7" t="n">
        <v>91851</v>
      </c>
      <c r="AK89" s="8" t="n">
        <v>8640</v>
      </c>
      <c r="AL89" s="8" t="n">
        <v>8574</v>
      </c>
      <c r="AM89" s="11" t="inlineStr"/>
      <c r="AN89" s="12" t="inlineStr"/>
      <c r="AO89" s="12" t="inlineStr"/>
      <c r="AP89" s="13" t="inlineStr"/>
      <c r="AQ89" s="13" t="inlineStr"/>
      <c r="AR89" s="13" t="inlineStr"/>
      <c r="AS89" s="13" t="inlineStr"/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7" t="n">
        <v>46413</v>
      </c>
      <c r="AK90" s="8" t="n">
        <v>3844</v>
      </c>
      <c r="AL90" s="8" t="n">
        <v>3204</v>
      </c>
      <c r="AM90" s="11" t="inlineStr"/>
      <c r="AN90" s="12" t="inlineStr"/>
      <c r="AO90" s="12" t="inlineStr"/>
      <c r="AP90" s="13" t="inlineStr"/>
      <c r="AQ90" s="13" t="inlineStr"/>
      <c r="AR90" s="13" t="inlineStr"/>
      <c r="AS90" s="13" t="inlineStr"/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7" t="n">
        <v>21596</v>
      </c>
      <c r="AK91" s="8" t="n">
        <v>2070</v>
      </c>
      <c r="AL91" s="8" t="n">
        <v>2286</v>
      </c>
      <c r="AM91" s="11" t="inlineStr"/>
      <c r="AN91" s="12" t="inlineStr"/>
      <c r="AO91" s="12" t="inlineStr"/>
      <c r="AP91" s="13" t="inlineStr"/>
      <c r="AQ91" s="13" t="inlineStr"/>
      <c r="AR91" s="13" t="inlineStr"/>
      <c r="AS91" s="13" t="inlineStr"/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7" t="inlineStr"/>
      <c r="AK92" s="8" t="inlineStr"/>
      <c r="AL92" s="8" t="inlineStr"/>
      <c r="AM92" s="11" t="inlineStr"/>
      <c r="AN92" s="12" t="inlineStr"/>
      <c r="AO92" s="12" t="inlineStr"/>
      <c r="AP92" s="13" t="inlineStr"/>
      <c r="AQ92" s="13" t="inlineStr"/>
      <c r="AR92" s="13" t="inlineStr"/>
      <c r="AS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7" t="n">
        <v>15353</v>
      </c>
      <c r="AK93" s="8" t="n">
        <v>215</v>
      </c>
      <c r="AL93" s="8" t="n">
        <v>378</v>
      </c>
      <c r="AM93" s="11" t="inlineStr"/>
      <c r="AN93" s="12" t="inlineStr"/>
      <c r="AO93" s="12" t="inlineStr"/>
      <c r="AP93" s="13" t="inlineStr"/>
      <c r="AQ93" s="13" t="inlineStr"/>
      <c r="AR93" s="13" t="inlineStr"/>
      <c r="AS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7" t="n">
        <v>17743</v>
      </c>
      <c r="AK94" s="8" t="n">
        <v>2246</v>
      </c>
      <c r="AL94" s="8" t="n">
        <v>1755</v>
      </c>
      <c r="AM94" s="11" t="inlineStr"/>
      <c r="AN94" s="12" t="inlineStr"/>
      <c r="AO94" s="12" t="inlineStr"/>
      <c r="AP94" s="13" t="inlineStr"/>
      <c r="AQ94" s="13" t="inlineStr"/>
      <c r="AR94" s="13" t="inlineStr"/>
      <c r="AS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7" t="n">
        <v>10513</v>
      </c>
      <c r="AK95" s="8" t="n">
        <v>531</v>
      </c>
      <c r="AL95" s="8" t="n">
        <v>1379</v>
      </c>
      <c r="AM95" s="11" t="inlineStr"/>
      <c r="AN95" s="12" t="inlineStr"/>
      <c r="AO95" s="12" t="inlineStr"/>
      <c r="AP95" s="13" t="inlineStr"/>
      <c r="AQ95" s="13" t="inlineStr"/>
      <c r="AR95" s="13" t="inlineStr"/>
      <c r="AS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7" t="n">
        <v>215782</v>
      </c>
      <c r="AK96" s="8" t="n">
        <v>27</v>
      </c>
      <c r="AL96" s="8" t="n">
        <v>3555</v>
      </c>
      <c r="AM96" s="11" t="inlineStr"/>
      <c r="AN96" s="12" t="inlineStr"/>
      <c r="AO96" s="12" t="inlineStr"/>
      <c r="AP96" s="13" t="inlineStr"/>
      <c r="AQ96" s="13" t="inlineStr"/>
      <c r="AR96" s="13" t="inlineStr"/>
      <c r="AS96" s="13" t="inlineStr"/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7" t="n">
        <v>251169</v>
      </c>
      <c r="AK97" s="8" t="n">
        <v>6639</v>
      </c>
      <c r="AL97" s="8" t="n">
        <v>17641</v>
      </c>
      <c r="AM97" s="11" t="inlineStr"/>
      <c r="AN97" s="12" t="inlineStr"/>
      <c r="AO97" s="12" t="inlineStr"/>
      <c r="AP97" s="13" t="inlineStr"/>
      <c r="AQ97" s="13" t="inlineStr"/>
      <c r="AR97" s="13" t="inlineStr"/>
      <c r="AS97" s="13" t="inlineStr"/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7" t="n">
        <v>1165775</v>
      </c>
      <c r="AK98" s="8" t="n">
        <v>46451</v>
      </c>
      <c r="AL98" s="8" t="n">
        <v>19596</v>
      </c>
      <c r="AM98" s="11" t="inlineStr"/>
      <c r="AN98" s="12" t="inlineStr"/>
      <c r="AO98" s="12" t="inlineStr"/>
      <c r="AP98" s="13" t="inlineStr"/>
      <c r="AQ98" s="13" t="inlineStr"/>
      <c r="AR98" s="13" t="inlineStr"/>
      <c r="AS98" s="13" t="inlineStr"/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7" t="inlineStr"/>
      <c r="AK99" s="8" t="inlineStr"/>
      <c r="AL99" s="8" t="inlineStr"/>
      <c r="AM99" s="11" t="inlineStr"/>
      <c r="AN99" s="12" t="inlineStr"/>
      <c r="AO99" s="12" t="inlineStr"/>
      <c r="AP99" s="13" t="inlineStr"/>
      <c r="AQ99" s="13" t="inlineStr"/>
      <c r="AR99" s="13" t="inlineStr"/>
      <c r="AS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7" t="n">
        <v>1444497</v>
      </c>
      <c r="AK100" s="8" t="n">
        <v>24791</v>
      </c>
      <c r="AL100" s="8" t="n">
        <v>49655</v>
      </c>
      <c r="AM100" s="11" t="inlineStr"/>
      <c r="AN100" s="12" t="inlineStr"/>
      <c r="AO100" s="12" t="inlineStr"/>
      <c r="AP100" s="13" t="inlineStr"/>
      <c r="AQ100" s="13" t="inlineStr"/>
      <c r="AR100" s="13" t="inlineStr"/>
      <c r="AS100" s="13" t="inlineStr"/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7" t="n">
        <v>813033</v>
      </c>
      <c r="AK101" s="8" t="n">
        <v>25478</v>
      </c>
      <c r="AL101" s="8" t="n">
        <v>19701</v>
      </c>
      <c r="AM101" s="11" t="inlineStr"/>
      <c r="AN101" s="12" t="inlineStr"/>
      <c r="AO101" s="12" t="inlineStr"/>
      <c r="AP101" s="13" t="inlineStr"/>
      <c r="AQ101" s="13" t="inlineStr"/>
      <c r="AR101" s="13" t="inlineStr"/>
      <c r="AS101" s="13" t="inlineStr"/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7" t="n">
        <v>28676</v>
      </c>
      <c r="AK102" s="8" t="n">
        <v>-580</v>
      </c>
      <c r="AL102" s="8" t="n">
        <v>-458</v>
      </c>
      <c r="AM102" s="11" t="inlineStr"/>
      <c r="AN102" s="12" t="inlineStr"/>
      <c r="AO102" s="12" t="inlineStr"/>
      <c r="AP102" s="13" t="inlineStr"/>
      <c r="AQ102" s="13" t="inlineStr"/>
      <c r="AR102" s="13" t="inlineStr"/>
      <c r="AS102" s="13" t="inlineStr"/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7" t="n">
        <v>142403</v>
      </c>
      <c r="AK103" s="8" t="n">
        <v>5924</v>
      </c>
      <c r="AL103" s="8" t="n">
        <v>-2153</v>
      </c>
      <c r="AM103" s="11" t="inlineStr"/>
      <c r="AN103" s="12" t="inlineStr"/>
      <c r="AO103" s="12" t="inlineStr"/>
      <c r="AP103" s="13" t="inlineStr"/>
      <c r="AQ103" s="13" t="inlineStr"/>
      <c r="AR103" s="13" t="inlineStr"/>
      <c r="AS103" s="13" t="inlineStr"/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7" t="n">
        <v>336628</v>
      </c>
      <c r="AK104" s="8" t="n">
        <v>13379</v>
      </c>
      <c r="AL104" s="8" t="n">
        <v>12433</v>
      </c>
      <c r="AM104" s="11" t="inlineStr"/>
      <c r="AN104" s="12" t="inlineStr"/>
      <c r="AO104" s="12" t="inlineStr"/>
      <c r="AP104" s="13" t="inlineStr"/>
      <c r="AQ104" s="13" t="inlineStr"/>
      <c r="AR104" s="13" t="inlineStr"/>
      <c r="AS104" s="13" t="inlineStr"/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7" t="n">
        <v>2494</v>
      </c>
      <c r="AK105" s="8" t="n">
        <v>-414</v>
      </c>
      <c r="AL105" s="8" t="n">
        <v>-17497</v>
      </c>
      <c r="AM105" s="11" t="inlineStr"/>
      <c r="AN105" s="12" t="inlineStr"/>
      <c r="AO105" s="12" t="inlineStr"/>
      <c r="AP105" s="13" t="inlineStr"/>
      <c r="AQ105" s="13" t="inlineStr"/>
      <c r="AR105" s="13" t="inlineStr"/>
      <c r="AS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7" t="n">
        <v>960503</v>
      </c>
      <c r="AK106" s="8" t="n">
        <v>127719</v>
      </c>
      <c r="AL106" s="8" t="n">
        <v>77346</v>
      </c>
      <c r="AM106" s="11" t="inlineStr"/>
      <c r="AN106" s="12" t="inlineStr"/>
      <c r="AO106" s="12" t="inlineStr"/>
      <c r="AP106" s="13" t="inlineStr"/>
      <c r="AQ106" s="13" t="inlineStr"/>
      <c r="AR106" s="13" t="inlineStr"/>
      <c r="AS106" s="13" t="inlineStr"/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7" t="n">
        <v>62729</v>
      </c>
      <c r="AK107" s="8" t="n">
        <v>1369</v>
      </c>
      <c r="AL107" s="8" t="n">
        <v>-6180</v>
      </c>
      <c r="AM107" s="11" t="inlineStr"/>
      <c r="AN107" s="12" t="inlineStr"/>
      <c r="AO107" s="12" t="inlineStr"/>
      <c r="AP107" s="13" t="inlineStr"/>
      <c r="AQ107" s="13" t="inlineStr"/>
      <c r="AR107" s="13" t="inlineStr"/>
      <c r="AS107" s="13" t="inlineStr"/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7" t="n">
        <v>82847</v>
      </c>
      <c r="AK108" s="8" t="n">
        <v>8638</v>
      </c>
      <c r="AL108" s="8" t="n">
        <v>8320</v>
      </c>
      <c r="AM108" s="11" t="inlineStr"/>
      <c r="AN108" s="12" t="inlineStr"/>
      <c r="AO108" s="12" t="inlineStr"/>
      <c r="AP108" s="13" t="inlineStr"/>
      <c r="AQ108" s="13" t="inlineStr"/>
      <c r="AR108" s="13" t="inlineStr"/>
      <c r="AS108" s="13" t="inlineStr"/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7" t="n">
        <v>10369</v>
      </c>
      <c r="AK109" s="8" t="n">
        <v>-1129</v>
      </c>
      <c r="AL109" s="8" t="n">
        <v>-1280</v>
      </c>
      <c r="AM109" s="11" t="inlineStr"/>
      <c r="AN109" s="12" t="inlineStr"/>
      <c r="AO109" s="12" t="inlineStr"/>
      <c r="AP109" s="13" t="inlineStr"/>
      <c r="AQ109" s="13" t="inlineStr"/>
      <c r="AR109" s="13" t="inlineStr"/>
      <c r="AS109" s="13" t="inlineStr"/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7" t="n">
        <v>273292</v>
      </c>
      <c r="AK110" s="8" t="n">
        <v>-6841</v>
      </c>
      <c r="AL110" s="8" t="n">
        <v>908</v>
      </c>
      <c r="AM110" s="11" t="inlineStr"/>
      <c r="AN110" s="12" t="inlineStr"/>
      <c r="AO110" s="12" t="inlineStr"/>
      <c r="AP110" s="13" t="inlineStr"/>
      <c r="AQ110" s="13" t="inlineStr"/>
      <c r="AR110" s="13" t="inlineStr"/>
      <c r="AS110" s="13" t="inlineStr"/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7" t="n">
        <v>1706697</v>
      </c>
      <c r="AK111" s="8" t="n">
        <v>99841</v>
      </c>
      <c r="AL111" s="8" t="n">
        <v>55380</v>
      </c>
      <c r="AM111" s="11" t="inlineStr"/>
      <c r="AN111" s="12" t="inlineStr"/>
      <c r="AO111" s="12" t="inlineStr"/>
      <c r="AP111" s="13" t="inlineStr"/>
      <c r="AQ111" s="13" t="inlineStr"/>
      <c r="AR111" s="13" t="inlineStr"/>
      <c r="AS111" s="13" t="inlineStr"/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7" t="n">
        <v>508745</v>
      </c>
      <c r="AK112" s="8" t="n">
        <v>36404</v>
      </c>
      <c r="AL112" s="8" t="n">
        <v>25661</v>
      </c>
      <c r="AM112" s="11" t="inlineStr"/>
      <c r="AN112" s="12" t="inlineStr"/>
      <c r="AO112" s="12" t="inlineStr"/>
      <c r="AP112" s="13" t="inlineStr"/>
      <c r="AQ112" s="13" t="inlineStr"/>
      <c r="AR112" s="13" t="inlineStr"/>
      <c r="AS112" s="13" t="inlineStr"/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7" t="n">
        <v>69806</v>
      </c>
      <c r="AK113" s="8" t="n">
        <v>-523</v>
      </c>
      <c r="AL113" s="8" t="n">
        <v>-2831</v>
      </c>
      <c r="AM113" s="11" t="inlineStr"/>
      <c r="AN113" s="12" t="inlineStr"/>
      <c r="AO113" s="12" t="inlineStr"/>
      <c r="AP113" s="13" t="inlineStr"/>
      <c r="AQ113" s="13" t="inlineStr"/>
      <c r="AR113" s="13" t="inlineStr"/>
      <c r="AS113" s="13" t="inlineStr"/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7" t="n">
        <v>121953</v>
      </c>
      <c r="AK114" s="8" t="n">
        <v>13536</v>
      </c>
      <c r="AL114" s="8" t="n">
        <v>9906</v>
      </c>
      <c r="AM114" s="11" t="inlineStr"/>
      <c r="AN114" s="12" t="inlineStr"/>
      <c r="AO114" s="12" t="inlineStr"/>
      <c r="AP114" s="13" t="inlineStr"/>
      <c r="AQ114" s="13" t="inlineStr"/>
      <c r="AR114" s="13" t="inlineStr"/>
      <c r="AS114" s="13" t="inlineStr"/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7" t="n">
        <v>79478</v>
      </c>
      <c r="AK115" s="8" t="n">
        <v>3997</v>
      </c>
      <c r="AL115" s="8" t="n">
        <v>2742</v>
      </c>
      <c r="AM115" s="11" t="inlineStr"/>
      <c r="AN115" s="12" t="inlineStr"/>
      <c r="AO115" s="12" t="inlineStr"/>
      <c r="AP115" s="13" t="inlineStr"/>
      <c r="AQ115" s="13" t="inlineStr"/>
      <c r="AR115" s="13" t="inlineStr"/>
      <c r="AS115" s="13" t="inlineStr"/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7" t="n">
        <v>169613</v>
      </c>
      <c r="AK116" s="8" t="n">
        <v>4491</v>
      </c>
      <c r="AL116" s="8" t="n">
        <v>3420</v>
      </c>
      <c r="AM116" s="11" t="inlineStr"/>
      <c r="AN116" s="12" t="inlineStr"/>
      <c r="AO116" s="12" t="inlineStr"/>
      <c r="AP116" s="13" t="inlineStr"/>
      <c r="AQ116" s="13" t="inlineStr"/>
      <c r="AR116" s="13" t="inlineStr"/>
      <c r="AS116" s="13" t="inlineStr"/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7" t="n">
        <v>35342</v>
      </c>
      <c r="AK117" s="8" t="n">
        <v>1613</v>
      </c>
      <c r="AL117" s="8" t="n">
        <v>6482</v>
      </c>
      <c r="AM117" s="11" t="inlineStr"/>
      <c r="AN117" s="12" t="inlineStr"/>
      <c r="AO117" s="12" t="inlineStr"/>
      <c r="AP117" s="13" t="inlineStr"/>
      <c r="AQ117" s="13" t="inlineStr"/>
      <c r="AR117" s="13" t="inlineStr"/>
      <c r="AS117" s="13" t="inlineStr"/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7" t="n">
        <v>77203</v>
      </c>
      <c r="AK118" s="8" t="n">
        <v>-9729</v>
      </c>
      <c r="AL118" s="8" t="n">
        <v>890</v>
      </c>
      <c r="AM118" s="11" t="inlineStr"/>
      <c r="AN118" s="12" t="inlineStr"/>
      <c r="AO118" s="12" t="inlineStr"/>
      <c r="AP118" s="13" t="inlineStr"/>
      <c r="AQ118" s="13" t="inlineStr"/>
      <c r="AR118" s="13" t="inlineStr"/>
      <c r="AS118" s="13" t="inlineStr"/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7" t="n">
        <v>22085</v>
      </c>
      <c r="AK119" s="8" t="n">
        <v>-2035</v>
      </c>
      <c r="AL119" s="8" t="n">
        <v>-5894</v>
      </c>
      <c r="AM119" s="11" t="inlineStr"/>
      <c r="AN119" s="12" t="inlineStr"/>
      <c r="AO119" s="12" t="inlineStr"/>
      <c r="AP119" s="13" t="inlineStr"/>
      <c r="AQ119" s="13" t="inlineStr"/>
      <c r="AR119" s="13" t="inlineStr"/>
      <c r="AS119" s="13" t="inlineStr"/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7" t="n">
        <v>61757</v>
      </c>
      <c r="AK120" s="8" t="n">
        <v>2856</v>
      </c>
      <c r="AL120" s="8" t="n">
        <v>1709</v>
      </c>
      <c r="AM120" s="11" t="inlineStr"/>
      <c r="AN120" s="12" t="inlineStr"/>
      <c r="AO120" s="12" t="inlineStr"/>
      <c r="AP120" s="13" t="inlineStr"/>
      <c r="AQ120" s="13" t="inlineStr"/>
      <c r="AR120" s="13" t="inlineStr"/>
      <c r="AS120" s="13" t="inlineStr"/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7" t="n">
        <v>23334</v>
      </c>
      <c r="AK121" s="8" t="n">
        <v>1451</v>
      </c>
      <c r="AL121" s="8" t="n">
        <v>8775</v>
      </c>
      <c r="AM121" s="11" t="inlineStr"/>
      <c r="AN121" s="12" t="inlineStr"/>
      <c r="AO121" s="12" t="inlineStr"/>
      <c r="AP121" s="13" t="inlineStr"/>
      <c r="AQ121" s="13" t="inlineStr"/>
      <c r="AR121" s="13" t="inlineStr"/>
      <c r="AS121" s="13" t="inlineStr"/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7" t="n">
        <v>483130</v>
      </c>
      <c r="AK122" s="8" t="n">
        <v>5338</v>
      </c>
      <c r="AL122" s="8" t="n">
        <v>26734</v>
      </c>
      <c r="AM122" s="11" t="inlineStr"/>
      <c r="AN122" s="12" t="inlineStr"/>
      <c r="AO122" s="12" t="inlineStr"/>
      <c r="AP122" s="13" t="inlineStr"/>
      <c r="AQ122" s="13" t="inlineStr"/>
      <c r="AR122" s="13" t="inlineStr"/>
      <c r="AS122" s="13" t="inlineStr"/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7" t="n">
        <v>38327</v>
      </c>
      <c r="AK123" s="8" t="n">
        <v>1149</v>
      </c>
      <c r="AL123" s="8" t="n">
        <v>1240</v>
      </c>
      <c r="AM123" s="11" t="inlineStr"/>
      <c r="AN123" s="12" t="inlineStr"/>
      <c r="AO123" s="12" t="inlineStr"/>
      <c r="AP123" s="13" t="inlineStr"/>
      <c r="AQ123" s="13" t="inlineStr"/>
      <c r="AR123" s="13" t="inlineStr"/>
      <c r="AS123" s="13" t="inlineStr"/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7" t="n">
        <v>229486</v>
      </c>
      <c r="AK124" s="8" t="n">
        <v>12443</v>
      </c>
      <c r="AL124" s="8" t="n">
        <v>11362</v>
      </c>
      <c r="AM124" s="11" t="inlineStr"/>
      <c r="AN124" s="12" t="inlineStr"/>
      <c r="AO124" s="12" t="inlineStr"/>
      <c r="AP124" s="13" t="inlineStr"/>
      <c r="AQ124" s="13" t="inlineStr"/>
      <c r="AR124" s="13" t="inlineStr"/>
      <c r="AS124" s="13" t="inlineStr"/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2026Q3</t>
        </is>
      </c>
      <c r="E125" s="6" t="inlineStr">
        <is>
          <t>2023Q4, 2026Q3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7" t="n">
        <v>864122</v>
      </c>
      <c r="AK125" s="8" t="n">
        <v>29831</v>
      </c>
      <c r="AL125" s="8" t="n">
        <v>2967</v>
      </c>
      <c r="AM125" s="14" t="n">
        <v>889800</v>
      </c>
      <c r="AN125" s="15" t="n">
        <v>32600</v>
      </c>
      <c r="AO125" s="12" t="inlineStr"/>
      <c r="AP125" s="13" t="n">
        <v>3</v>
      </c>
      <c r="AQ125" s="13" t="n">
        <v>11.3</v>
      </c>
      <c r="AR125" s="13" t="n">
        <v>9.300000000000001</v>
      </c>
      <c r="AS125" s="13" t="n">
        <v>5.8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7" t="n">
        <v>891294</v>
      </c>
      <c r="AK126" s="8" t="n">
        <v>34334</v>
      </c>
      <c r="AL126" s="8" t="n">
        <v>216</v>
      </c>
      <c r="AM126" s="11" t="inlineStr"/>
      <c r="AN126" s="12" t="inlineStr"/>
      <c r="AO126" s="12" t="inlineStr"/>
      <c r="AP126" s="13" t="inlineStr"/>
      <c r="AQ126" s="13" t="inlineStr"/>
      <c r="AR126" s="13" t="inlineStr"/>
      <c r="AS126" s="13" t="inlineStr"/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7" t="n">
        <v>28276</v>
      </c>
      <c r="AK127" s="8" t="n">
        <v>94</v>
      </c>
      <c r="AL127" s="8" t="n">
        <v>623</v>
      </c>
      <c r="AM127" s="11" t="inlineStr"/>
      <c r="AN127" s="12" t="inlineStr"/>
      <c r="AO127" s="12" t="inlineStr"/>
      <c r="AP127" s="13" t="inlineStr"/>
      <c r="AQ127" s="13" t="inlineStr"/>
      <c r="AR127" s="13" t="inlineStr"/>
      <c r="AS127" s="13" t="inlineStr"/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7" t="n">
        <v>1806019</v>
      </c>
      <c r="AK128" s="8" t="n">
        <v>128884</v>
      </c>
      <c r="AL128" s="8" t="n">
        <v>2839157</v>
      </c>
      <c r="AM128" s="11" t="inlineStr"/>
      <c r="AN128" s="12" t="inlineStr"/>
      <c r="AO128" s="12" t="inlineStr"/>
      <c r="AP128" s="13" t="inlineStr"/>
      <c r="AQ128" s="13" t="inlineStr"/>
      <c r="AR128" s="13" t="inlineStr"/>
      <c r="AS128" s="13" t="inlineStr"/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7" t="n">
        <v>140726</v>
      </c>
      <c r="AK129" s="8" t="n">
        <v>2774</v>
      </c>
      <c r="AL129" s="8" t="n">
        <v>-12734</v>
      </c>
      <c r="AM129" s="11" t="inlineStr"/>
      <c r="AN129" s="12" t="inlineStr"/>
      <c r="AO129" s="12" t="inlineStr"/>
      <c r="AP129" s="13" t="inlineStr"/>
      <c r="AQ129" s="13" t="inlineStr"/>
      <c r="AR129" s="13" t="inlineStr"/>
      <c r="AS129" s="13" t="inlineStr"/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7" t="n">
        <v>1004</v>
      </c>
      <c r="AK130" s="8" t="n">
        <v>-461</v>
      </c>
      <c r="AL130" s="8" t="n">
        <v>854</v>
      </c>
      <c r="AM130" s="11" t="inlineStr"/>
      <c r="AN130" s="12" t="inlineStr"/>
      <c r="AO130" s="12" t="inlineStr"/>
      <c r="AP130" s="13" t="inlineStr"/>
      <c r="AQ130" s="13" t="inlineStr"/>
      <c r="AR130" s="13" t="inlineStr"/>
      <c r="AS130" s="13" t="inlineStr"/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7" t="n">
        <v>9126</v>
      </c>
      <c r="AK131" s="8" t="n">
        <v>-167</v>
      </c>
      <c r="AL131" s="8" t="n">
        <v>-305</v>
      </c>
      <c r="AM131" s="11" t="inlineStr"/>
      <c r="AN131" s="12" t="inlineStr"/>
      <c r="AO131" s="12" t="inlineStr"/>
      <c r="AP131" s="13" t="inlineStr"/>
      <c r="AQ131" s="13" t="inlineStr"/>
      <c r="AR131" s="13" t="inlineStr"/>
      <c r="AS131" s="13" t="inlineStr"/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7" t="n">
        <v>53942</v>
      </c>
      <c r="AK132" s="8" t="n">
        <v>2908</v>
      </c>
      <c r="AL132" s="8" t="n">
        <v>30930</v>
      </c>
      <c r="AM132" s="11" t="inlineStr"/>
      <c r="AN132" s="12" t="inlineStr"/>
      <c r="AO132" s="12" t="inlineStr"/>
      <c r="AP132" s="13" t="inlineStr"/>
      <c r="AQ132" s="13" t="inlineStr"/>
      <c r="AR132" s="13" t="inlineStr"/>
      <c r="AS132" s="13" t="inlineStr"/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7" t="n">
        <v>81599</v>
      </c>
      <c r="AK133" s="8" t="n">
        <v>-5443</v>
      </c>
      <c r="AL133" s="8" t="n">
        <v>1040</v>
      </c>
      <c r="AM133" s="11" t="inlineStr"/>
      <c r="AN133" s="12" t="inlineStr"/>
      <c r="AO133" s="12" t="inlineStr"/>
      <c r="AP133" s="13" t="inlineStr"/>
      <c r="AQ133" s="13" t="inlineStr"/>
      <c r="AR133" s="13" t="inlineStr"/>
      <c r="AS133" s="13" t="inlineStr"/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7" t="n">
        <v>126187</v>
      </c>
      <c r="AK134" s="8" t="n">
        <v>5627</v>
      </c>
      <c r="AL134" s="8" t="n">
        <v>1160</v>
      </c>
      <c r="AM134" s="11" t="inlineStr"/>
      <c r="AN134" s="12" t="inlineStr"/>
      <c r="AO134" s="12" t="inlineStr"/>
      <c r="AP134" s="13" t="inlineStr"/>
      <c r="AQ134" s="13" t="inlineStr"/>
      <c r="AR134" s="13" t="inlineStr"/>
      <c r="AS134" s="13" t="inlineStr"/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7" t="n">
        <v>164704</v>
      </c>
      <c r="AK135" s="8" t="n">
        <v>-9940</v>
      </c>
      <c r="AL135" s="8" t="n">
        <v>-6207</v>
      </c>
      <c r="AM135" s="11" t="inlineStr"/>
      <c r="AN135" s="12" t="inlineStr"/>
      <c r="AO135" s="12" t="inlineStr"/>
      <c r="AP135" s="13" t="inlineStr"/>
      <c r="AQ135" s="13" t="inlineStr"/>
      <c r="AR135" s="13" t="inlineStr"/>
      <c r="AS135" s="13" t="inlineStr"/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7" t="inlineStr"/>
      <c r="AK136" s="8" t="inlineStr"/>
      <c r="AL136" s="8" t="inlineStr"/>
      <c r="AM136" s="11" t="inlineStr"/>
      <c r="AN136" s="12" t="inlineStr"/>
      <c r="AO136" s="12" t="inlineStr"/>
      <c r="AP136" s="13" t="inlineStr"/>
      <c r="AQ136" s="13" t="inlineStr"/>
      <c r="AR136" s="13" t="inlineStr"/>
      <c r="AS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7" t="n">
        <v>18269</v>
      </c>
      <c r="AK137" s="8" t="n">
        <v>-1246</v>
      </c>
      <c r="AL137" s="8" t="n">
        <v>-26892</v>
      </c>
      <c r="AM137" s="11" t="inlineStr"/>
      <c r="AN137" s="12" t="inlineStr"/>
      <c r="AO137" s="12" t="inlineStr"/>
      <c r="AP137" s="13" t="inlineStr"/>
      <c r="AQ137" s="13" t="inlineStr"/>
      <c r="AR137" s="13" t="inlineStr"/>
      <c r="AS137" s="13" t="inlineStr"/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7" t="n">
        <v>41942</v>
      </c>
      <c r="AK138" s="8" t="n">
        <v>394</v>
      </c>
      <c r="AL138" s="8" t="n">
        <v>686</v>
      </c>
      <c r="AM138" s="11" t="inlineStr"/>
      <c r="AN138" s="12" t="inlineStr"/>
      <c r="AO138" s="12" t="inlineStr"/>
      <c r="AP138" s="13" t="inlineStr"/>
      <c r="AQ138" s="13" t="inlineStr"/>
      <c r="AR138" s="13" t="inlineStr"/>
      <c r="AS138" s="13" t="inlineStr"/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7" t="n">
        <v>71886</v>
      </c>
      <c r="AK139" s="8" t="n">
        <v>6976</v>
      </c>
      <c r="AL139" s="8" t="n">
        <v>5243</v>
      </c>
      <c r="AM139" s="11" t="inlineStr"/>
      <c r="AN139" s="12" t="inlineStr"/>
      <c r="AO139" s="12" t="inlineStr"/>
      <c r="AP139" s="13" t="inlineStr"/>
      <c r="AQ139" s="13" t="inlineStr"/>
      <c r="AR139" s="13" t="inlineStr"/>
      <c r="AS139" s="13" t="inlineStr"/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7" t="n">
        <v>182687</v>
      </c>
      <c r="AK140" s="8" t="n">
        <v>1170</v>
      </c>
      <c r="AL140" s="8" t="n">
        <v>-6052</v>
      </c>
      <c r="AM140" s="11" t="inlineStr"/>
      <c r="AN140" s="12" t="inlineStr"/>
      <c r="AO140" s="12" t="inlineStr"/>
      <c r="AP140" s="13" t="inlineStr"/>
      <c r="AQ140" s="13" t="inlineStr"/>
      <c r="AR140" s="13" t="inlineStr"/>
      <c r="AS140" s="13" t="inlineStr"/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7" t="n">
        <v>48318</v>
      </c>
      <c r="AK141" s="8" t="n">
        <v>2134</v>
      </c>
      <c r="AL141" s="8" t="n">
        <v>1667</v>
      </c>
      <c r="AM141" s="11" t="inlineStr"/>
      <c r="AN141" s="12" t="inlineStr"/>
      <c r="AO141" s="12" t="inlineStr"/>
      <c r="AP141" s="13" t="inlineStr"/>
      <c r="AQ141" s="13" t="inlineStr"/>
      <c r="AR141" s="13" t="inlineStr"/>
      <c r="AS141" s="13" t="inlineStr"/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7" t="n">
        <v>12491</v>
      </c>
      <c r="AK142" s="8" t="n">
        <v>683</v>
      </c>
      <c r="AL142" s="8" t="n">
        <v>931</v>
      </c>
      <c r="AM142" s="11" t="inlineStr"/>
      <c r="AN142" s="12" t="inlineStr"/>
      <c r="AO142" s="12" t="inlineStr"/>
      <c r="AP142" s="13" t="inlineStr"/>
      <c r="AQ142" s="13" t="inlineStr"/>
      <c r="AR142" s="13" t="inlineStr"/>
      <c r="AS142" s="13" t="inlineStr"/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7" t="n">
        <v>220256</v>
      </c>
      <c r="AK143" s="8" t="n">
        <v>507</v>
      </c>
      <c r="AL143" s="8" t="n">
        <v>698</v>
      </c>
      <c r="AM143" s="11" t="inlineStr"/>
      <c r="AN143" s="12" t="inlineStr"/>
      <c r="AO143" s="12" t="inlineStr"/>
      <c r="AP143" s="13" t="inlineStr"/>
      <c r="AQ143" s="13" t="inlineStr"/>
      <c r="AR143" s="13" t="inlineStr"/>
      <c r="AS143" s="13" t="inlineStr"/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7" t="n">
        <v>1254302</v>
      </c>
      <c r="AK144" s="8" t="n">
        <v>122783</v>
      </c>
      <c r="AL144" s="8" t="n">
        <v>104452</v>
      </c>
      <c r="AM144" s="11" t="inlineStr"/>
      <c r="AN144" s="12" t="inlineStr"/>
      <c r="AO144" s="12" t="inlineStr"/>
      <c r="AP144" s="13" t="inlineStr"/>
      <c r="AQ144" s="13" t="inlineStr"/>
      <c r="AR144" s="13" t="inlineStr"/>
      <c r="AS144" s="13" t="inlineStr"/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7" t="n">
        <v>33999</v>
      </c>
      <c r="AK145" s="8" t="n">
        <v>4065</v>
      </c>
      <c r="AL145" s="8" t="n">
        <v>3648</v>
      </c>
      <c r="AM145" s="11" t="inlineStr"/>
      <c r="AN145" s="12" t="inlineStr"/>
      <c r="AO145" s="12" t="inlineStr"/>
      <c r="AP145" s="13" t="inlineStr"/>
      <c r="AQ145" s="13" t="inlineStr"/>
      <c r="AR145" s="13" t="inlineStr"/>
      <c r="AS145" s="13" t="inlineStr"/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7" t="n">
        <v>123413</v>
      </c>
      <c r="AK146" s="8" t="n">
        <v>9033</v>
      </c>
      <c r="AL146" s="8" t="n">
        <v>23070</v>
      </c>
      <c r="AM146" s="11" t="inlineStr"/>
      <c r="AN146" s="12" t="inlineStr"/>
      <c r="AO146" s="12" t="inlineStr"/>
      <c r="AP146" s="13" t="inlineStr"/>
      <c r="AQ146" s="13" t="inlineStr"/>
      <c r="AR146" s="13" t="inlineStr"/>
      <c r="AS146" s="13" t="inlineStr"/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7" t="n">
        <v>59456</v>
      </c>
      <c r="AK147" s="8" t="n">
        <v>-1055</v>
      </c>
      <c r="AL147" s="8" t="n">
        <v>8309</v>
      </c>
      <c r="AM147" s="11" t="inlineStr"/>
      <c r="AN147" s="12" t="inlineStr"/>
      <c r="AO147" s="12" t="inlineStr"/>
      <c r="AP147" s="13" t="inlineStr"/>
      <c r="AQ147" s="13" t="inlineStr"/>
      <c r="AR147" s="13" t="inlineStr"/>
      <c r="AS147" s="13" t="inlineStr"/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7" t="n">
        <v>130051</v>
      </c>
      <c r="AK148" s="8" t="n">
        <v>20307</v>
      </c>
      <c r="AL148" s="8" t="n">
        <v>18692</v>
      </c>
      <c r="AM148" s="11" t="inlineStr"/>
      <c r="AN148" s="12" t="inlineStr"/>
      <c r="AO148" s="12" t="inlineStr"/>
      <c r="AP148" s="13" t="inlineStr"/>
      <c r="AQ148" s="13" t="inlineStr"/>
      <c r="AR148" s="13" t="inlineStr"/>
      <c r="AS148" s="13" t="inlineStr"/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7" t="n">
        <v>6812</v>
      </c>
      <c r="AK149" s="8" t="n">
        <v>-613</v>
      </c>
      <c r="AL149" s="8" t="n">
        <v>6887</v>
      </c>
      <c r="AM149" s="11" t="inlineStr"/>
      <c r="AN149" s="12" t="inlineStr"/>
      <c r="AO149" s="12" t="inlineStr"/>
      <c r="AP149" s="13" t="inlineStr"/>
      <c r="AQ149" s="13" t="inlineStr"/>
      <c r="AR149" s="13" t="inlineStr"/>
      <c r="AS149" s="13" t="inlineStr"/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7" t="n">
        <v>252999996</v>
      </c>
      <c r="AK150" s="8" t="n">
        <v>13495638</v>
      </c>
      <c r="AL150" s="8" t="n">
        <v>14468220</v>
      </c>
      <c r="AM150" s="11" t="inlineStr"/>
      <c r="AN150" s="12" t="inlineStr"/>
      <c r="AO150" s="12" t="inlineStr"/>
      <c r="AP150" s="13" t="inlineStr"/>
      <c r="AQ150" s="13" t="inlineStr"/>
      <c r="AR150" s="13" t="inlineStr"/>
      <c r="AS150" s="13" t="inlineStr"/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7" t="n">
        <v>262526</v>
      </c>
      <c r="AK151" s="8" t="n">
        <v>27599</v>
      </c>
      <c r="AL151" s="8" t="n">
        <v>26476</v>
      </c>
      <c r="AM151" s="11" t="inlineStr"/>
      <c r="AN151" s="12" t="inlineStr"/>
      <c r="AO151" s="12" t="inlineStr"/>
      <c r="AP151" s="13" t="inlineStr"/>
      <c r="AQ151" s="13" t="inlineStr"/>
      <c r="AR151" s="13" t="inlineStr"/>
      <c r="AS151" s="13" t="inlineStr"/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7" t="n">
        <v>69823</v>
      </c>
      <c r="AK152" s="8" t="n">
        <v>-7533</v>
      </c>
      <c r="AL152" s="8" t="n">
        <v>1961</v>
      </c>
      <c r="AM152" s="11" t="inlineStr"/>
      <c r="AN152" s="12" t="inlineStr"/>
      <c r="AO152" s="12" t="inlineStr"/>
      <c r="AP152" s="13" t="inlineStr"/>
      <c r="AQ152" s="13" t="inlineStr"/>
      <c r="AR152" s="13" t="inlineStr"/>
      <c r="AS152" s="13" t="inlineStr"/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7" t="n">
        <v>95484</v>
      </c>
      <c r="AK153" s="8" t="n">
        <v>15564</v>
      </c>
      <c r="AL153" s="8" t="n">
        <v>12754</v>
      </c>
      <c r="AM153" s="11" t="inlineStr"/>
      <c r="AN153" s="12" t="inlineStr"/>
      <c r="AO153" s="12" t="inlineStr"/>
      <c r="AP153" s="13" t="inlineStr"/>
      <c r="AQ153" s="13" t="inlineStr"/>
      <c r="AR153" s="13" t="inlineStr"/>
      <c r="AS153" s="13" t="inlineStr"/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7" t="n">
        <v>511651</v>
      </c>
      <c r="AK154" s="8" t="n">
        <v>16540</v>
      </c>
      <c r="AL154" s="8" t="n">
        <v>13582</v>
      </c>
      <c r="AM154" s="11" t="inlineStr"/>
      <c r="AN154" s="12" t="inlineStr"/>
      <c r="AO154" s="12" t="inlineStr"/>
      <c r="AP154" s="13" t="inlineStr"/>
      <c r="AQ154" s="13" t="inlineStr"/>
      <c r="AR154" s="13" t="inlineStr"/>
      <c r="AS154" s="13" t="inlineStr"/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2026Q3</t>
        </is>
      </c>
      <c r="E155" s="6" t="inlineStr">
        <is>
          <t>2026Q3</t>
        </is>
      </c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7" t="n">
        <v>56988</v>
      </c>
      <c r="AK155" s="8" t="n">
        <v>1410</v>
      </c>
      <c r="AL155" s="8" t="n">
        <v>1389</v>
      </c>
      <c r="AM155" s="14" t="n">
        <v>57973</v>
      </c>
      <c r="AN155" s="15" t="n">
        <v>2161</v>
      </c>
      <c r="AO155" s="15" t="n">
        <v>847</v>
      </c>
      <c r="AP155" s="13" t="n">
        <v>1.7</v>
      </c>
      <c r="AQ155" s="13" t="n">
        <v>21.2</v>
      </c>
      <c r="AR155" s="13" t="n">
        <v>53.3</v>
      </c>
      <c r="AS155" s="13" t="n">
        <v>120.7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7" t="n">
        <v>64151</v>
      </c>
      <c r="AK156" s="8" t="n">
        <v>7104</v>
      </c>
      <c r="AL156" s="8" t="n">
        <v>9648</v>
      </c>
      <c r="AM156" s="11" t="inlineStr"/>
      <c r="AN156" s="12" t="inlineStr"/>
      <c r="AO156" s="12" t="inlineStr"/>
      <c r="AP156" s="13" t="inlineStr"/>
      <c r="AQ156" s="13" t="inlineStr"/>
      <c r="AR156" s="13" t="inlineStr"/>
      <c r="AS156" s="13" t="inlineStr"/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7" t="n">
        <v>1166899</v>
      </c>
      <c r="AK157" s="8" t="n">
        <v>-50796</v>
      </c>
      <c r="AL157" s="8" t="n">
        <v>-74623</v>
      </c>
      <c r="AM157" s="11" t="inlineStr"/>
      <c r="AN157" s="12" t="inlineStr"/>
      <c r="AO157" s="12" t="inlineStr"/>
      <c r="AP157" s="13" t="inlineStr"/>
      <c r="AQ157" s="13" t="inlineStr"/>
      <c r="AR157" s="13" t="inlineStr"/>
      <c r="AS157" s="13" t="inlineStr"/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7" t="n">
        <v>23078</v>
      </c>
      <c r="AK158" s="8" t="n">
        <v>-17459</v>
      </c>
      <c r="AL158" s="8" t="n">
        <v>-9668</v>
      </c>
      <c r="AM158" s="11" t="inlineStr"/>
      <c r="AN158" s="12" t="inlineStr"/>
      <c r="AO158" s="12" t="inlineStr"/>
      <c r="AP158" s="13" t="inlineStr"/>
      <c r="AQ158" s="13" t="inlineStr"/>
      <c r="AR158" s="13" t="inlineStr"/>
      <c r="AS158" s="13" t="inlineStr"/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7" t="n">
        <v>750495</v>
      </c>
      <c r="AK159" s="8" t="n">
        <v>52208</v>
      </c>
      <c r="AL159" s="8" t="n">
        <v>32238</v>
      </c>
      <c r="AM159" s="11" t="inlineStr"/>
      <c r="AN159" s="12" t="inlineStr"/>
      <c r="AO159" s="12" t="inlineStr"/>
      <c r="AP159" s="13" t="inlineStr"/>
      <c r="AQ159" s="13" t="inlineStr"/>
      <c r="AR159" s="13" t="inlineStr"/>
      <c r="AS159" s="13" t="inlineStr"/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7" t="n">
        <v>12905</v>
      </c>
      <c r="AK160" s="8" t="n">
        <v>-3666</v>
      </c>
      <c r="AL160" s="8" t="n">
        <v>-2829</v>
      </c>
      <c r="AM160" s="11" t="inlineStr"/>
      <c r="AN160" s="12" t="inlineStr"/>
      <c r="AO160" s="12" t="inlineStr"/>
      <c r="AP160" s="13" t="inlineStr"/>
      <c r="AQ160" s="13" t="inlineStr"/>
      <c r="AR160" s="13" t="inlineStr"/>
      <c r="AS160" s="13" t="inlineStr"/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7" t="n">
        <v>570821</v>
      </c>
      <c r="AK161" s="8" t="n">
        <v>76642</v>
      </c>
      <c r="AL161" s="8" t="n">
        <v>36337</v>
      </c>
      <c r="AM161" s="11" t="inlineStr"/>
      <c r="AN161" s="12" t="inlineStr"/>
      <c r="AO161" s="12" t="inlineStr"/>
      <c r="AP161" s="13" t="inlineStr"/>
      <c r="AQ161" s="13" t="inlineStr"/>
      <c r="AR161" s="13" t="inlineStr"/>
      <c r="AS161" s="13" t="inlineStr"/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7" t="n">
        <v>51646</v>
      </c>
      <c r="AK162" s="8" t="n">
        <v>12346</v>
      </c>
      <c r="AL162" s="8" t="n">
        <v>13379</v>
      </c>
      <c r="AM162" s="11" t="inlineStr"/>
      <c r="AN162" s="12" t="inlineStr"/>
      <c r="AO162" s="12" t="inlineStr"/>
      <c r="AP162" s="13" t="inlineStr"/>
      <c r="AQ162" s="13" t="inlineStr"/>
      <c r="AR162" s="13" t="inlineStr"/>
      <c r="AS162" s="13" t="inlineStr"/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7" t="n">
        <v>17091</v>
      </c>
      <c r="AK163" s="8" t="n">
        <v>-1563</v>
      </c>
      <c r="AL163" s="8" t="n">
        <v>217</v>
      </c>
      <c r="AM163" s="11" t="inlineStr"/>
      <c r="AN163" s="12" t="inlineStr"/>
      <c r="AO163" s="12" t="inlineStr"/>
      <c r="AP163" s="13" t="inlineStr"/>
      <c r="AQ163" s="13" t="inlineStr"/>
      <c r="AR163" s="13" t="inlineStr"/>
      <c r="AS163" s="13" t="inlineStr"/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7" t="n">
        <v>168632</v>
      </c>
      <c r="AK164" s="8" t="n">
        <v>39590</v>
      </c>
      <c r="AL164" s="8" t="n">
        <v>31839</v>
      </c>
      <c r="AM164" s="11" t="inlineStr"/>
      <c r="AN164" s="12" t="inlineStr"/>
      <c r="AO164" s="12" t="inlineStr"/>
      <c r="AP164" s="13" t="inlineStr"/>
      <c r="AQ164" s="13" t="inlineStr"/>
      <c r="AR164" s="13" t="inlineStr"/>
      <c r="AS164" s="13" t="inlineStr"/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7" t="n">
        <v>138516</v>
      </c>
      <c r="AK165" s="8" t="n">
        <v>12490</v>
      </c>
      <c r="AL165" s="8" t="n">
        <v>30041</v>
      </c>
      <c r="AM165" s="11" t="inlineStr"/>
      <c r="AN165" s="12" t="inlineStr"/>
      <c r="AO165" s="12" t="inlineStr"/>
      <c r="AP165" s="13" t="inlineStr"/>
      <c r="AQ165" s="13" t="inlineStr"/>
      <c r="AR165" s="13" t="inlineStr"/>
      <c r="AS165" s="13" t="inlineStr"/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7" t="n">
        <v>152832</v>
      </c>
      <c r="AK166" s="8" t="n">
        <v>-9</v>
      </c>
      <c r="AL166" s="8" t="n">
        <v>3778</v>
      </c>
      <c r="AM166" s="11" t="inlineStr"/>
      <c r="AN166" s="12" t="inlineStr"/>
      <c r="AO166" s="12" t="inlineStr"/>
      <c r="AP166" s="13" t="inlineStr"/>
      <c r="AQ166" s="13" t="inlineStr"/>
      <c r="AR166" s="13" t="inlineStr"/>
      <c r="AS166" s="13" t="inlineStr"/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7" t="n">
        <v>770309</v>
      </c>
      <c r="AK167" s="8" t="n">
        <v>176181</v>
      </c>
      <c r="AL167" s="8" t="n">
        <v>137539</v>
      </c>
      <c r="AM167" s="11" t="inlineStr"/>
      <c r="AN167" s="12" t="inlineStr"/>
      <c r="AO167" s="12" t="inlineStr"/>
      <c r="AP167" s="13" t="inlineStr"/>
      <c r="AQ167" s="13" t="inlineStr"/>
      <c r="AR167" s="13" t="inlineStr"/>
      <c r="AS167" s="13" t="inlineStr"/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7" t="n">
        <v>557672</v>
      </c>
      <c r="AK168" s="8" t="n">
        <v>-1082</v>
      </c>
      <c r="AL168" s="8" t="n">
        <v>58667</v>
      </c>
      <c r="AM168" s="11" t="inlineStr"/>
      <c r="AN168" s="12" t="inlineStr"/>
      <c r="AO168" s="12" t="inlineStr"/>
      <c r="AP168" s="13" t="inlineStr"/>
      <c r="AQ168" s="13" t="inlineStr"/>
      <c r="AR168" s="13" t="inlineStr"/>
      <c r="AS168" s="13" t="inlineStr"/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7" t="n">
        <v>49964</v>
      </c>
      <c r="AK169" s="8" t="n">
        <v>3141</v>
      </c>
      <c r="AL169" s="8" t="n">
        <v>2171</v>
      </c>
      <c r="AM169" s="11" t="inlineStr"/>
      <c r="AN169" s="12" t="inlineStr"/>
      <c r="AO169" s="12" t="inlineStr"/>
      <c r="AP169" s="13" t="inlineStr"/>
      <c r="AQ169" s="13" t="inlineStr"/>
      <c r="AR169" s="13" t="inlineStr"/>
      <c r="AS169" s="13" t="inlineStr"/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7" t="n">
        <v>502404</v>
      </c>
      <c r="AK170" s="8" t="n">
        <v>65256</v>
      </c>
      <c r="AL170" s="8" t="n">
        <v>55028</v>
      </c>
      <c r="AM170" s="11" t="inlineStr"/>
      <c r="AN170" s="12" t="inlineStr"/>
      <c r="AO170" s="12" t="inlineStr"/>
      <c r="AP170" s="13" t="inlineStr"/>
      <c r="AQ170" s="13" t="inlineStr"/>
      <c r="AR170" s="13" t="inlineStr"/>
      <c r="AS170" s="13" t="inlineStr"/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7" t="n">
        <v>25269</v>
      </c>
      <c r="AK171" s="8" t="n">
        <v>2558</v>
      </c>
      <c r="AL171" s="8" t="n">
        <v>1945</v>
      </c>
      <c r="AM171" s="11" t="inlineStr"/>
      <c r="AN171" s="12" t="inlineStr"/>
      <c r="AO171" s="12" t="inlineStr"/>
      <c r="AP171" s="13" t="inlineStr"/>
      <c r="AQ171" s="13" t="inlineStr"/>
      <c r="AR171" s="13" t="inlineStr"/>
      <c r="AS171" s="13" t="inlineStr"/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7" t="n">
        <v>71183</v>
      </c>
      <c r="AK172" s="8" t="n">
        <v>13953</v>
      </c>
      <c r="AL172" s="8" t="n">
        <v>10838</v>
      </c>
      <c r="AM172" s="11" t="inlineStr"/>
      <c r="AN172" s="12" t="inlineStr"/>
      <c r="AO172" s="12" t="inlineStr"/>
      <c r="AP172" s="13" t="inlineStr"/>
      <c r="AQ172" s="13" t="inlineStr"/>
      <c r="AR172" s="13" t="inlineStr"/>
      <c r="AS172" s="13" t="inlineStr"/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7" t="n">
        <v>4091400</v>
      </c>
      <c r="AK173" s="8" t="n">
        <v>285934</v>
      </c>
      <c r="AL173" s="8" t="n">
        <v>130045</v>
      </c>
      <c r="AM173" s="11" t="inlineStr"/>
      <c r="AN173" s="12" t="inlineStr"/>
      <c r="AO173" s="12" t="inlineStr"/>
      <c r="AP173" s="13" t="inlineStr"/>
      <c r="AQ173" s="13" t="inlineStr"/>
      <c r="AR173" s="13" t="inlineStr"/>
      <c r="AS173" s="13" t="inlineStr"/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7" t="inlineStr"/>
      <c r="AK174" s="8" t="n">
        <v>-2432</v>
      </c>
      <c r="AL174" s="8" t="n">
        <v>706</v>
      </c>
      <c r="AM174" s="11" t="inlineStr"/>
      <c r="AN174" s="12" t="inlineStr"/>
      <c r="AO174" s="12" t="inlineStr"/>
      <c r="AP174" s="13" t="inlineStr"/>
      <c r="AQ174" s="13" t="inlineStr"/>
      <c r="AR174" s="13" t="inlineStr"/>
      <c r="AS174" s="13" t="inlineStr"/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7" t="n">
        <v>1807168</v>
      </c>
      <c r="AK175" s="8" t="n">
        <v>86473</v>
      </c>
      <c r="AL175" s="8" t="n">
        <v>61861</v>
      </c>
      <c r="AM175" s="11" t="inlineStr"/>
      <c r="AN175" s="12" t="inlineStr"/>
      <c r="AO175" s="12" t="inlineStr"/>
      <c r="AP175" s="13" t="inlineStr"/>
      <c r="AQ175" s="13" t="inlineStr"/>
      <c r="AR175" s="13" t="inlineStr"/>
      <c r="AS175" s="13" t="inlineStr"/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7" t="n">
        <v>205726</v>
      </c>
      <c r="AK176" s="8" t="n">
        <v>3081</v>
      </c>
      <c r="AL176" s="8" t="n">
        <v>408</v>
      </c>
      <c r="AM176" s="11" t="inlineStr"/>
      <c r="AN176" s="12" t="inlineStr"/>
      <c r="AO176" s="12" t="inlineStr"/>
      <c r="AP176" s="13" t="inlineStr"/>
      <c r="AQ176" s="13" t="inlineStr"/>
      <c r="AR176" s="13" t="inlineStr"/>
      <c r="AS176" s="13" t="inlineStr"/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2026Q3</t>
        </is>
      </c>
      <c r="E177" s="6" t="inlineStr">
        <is>
          <t>2023Q4, 2026Q3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7" t="n">
        <v>7230056</v>
      </c>
      <c r="AK177" s="8" t="n">
        <v>-207111</v>
      </c>
      <c r="AL177" s="8" t="n">
        <v>-600094</v>
      </c>
      <c r="AM177" s="14" t="n">
        <v>5044800</v>
      </c>
      <c r="AN177" s="15" t="n">
        <v>421200</v>
      </c>
      <c r="AO177" s="15" t="n">
        <v>929700</v>
      </c>
      <c r="AP177" s="13" t="n">
        <v>-30.2</v>
      </c>
      <c r="AQ177" s="13" t="n">
        <v>-16.3</v>
      </c>
      <c r="AR177" s="13" t="n">
        <v>303.4</v>
      </c>
      <c r="AS177" s="13" t="n">
        <v>167.4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7" t="n">
        <v>61578</v>
      </c>
      <c r="AK178" s="8" t="n">
        <v>-1497</v>
      </c>
      <c r="AL178" s="8" t="n">
        <v>-2431</v>
      </c>
      <c r="AM178" s="11" t="inlineStr"/>
      <c r="AN178" s="12" t="inlineStr"/>
      <c r="AO178" s="12" t="inlineStr"/>
      <c r="AP178" s="13" t="inlineStr"/>
      <c r="AQ178" s="13" t="inlineStr"/>
      <c r="AR178" s="13" t="inlineStr"/>
      <c r="AS178" s="13" t="inlineStr"/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7" t="n">
        <v>3234649</v>
      </c>
      <c r="AK179" s="8" t="n">
        <v>55604</v>
      </c>
      <c r="AL179" s="8" t="n">
        <v>27026</v>
      </c>
      <c r="AM179" s="11" t="inlineStr"/>
      <c r="AN179" s="12" t="inlineStr"/>
      <c r="AO179" s="12" t="inlineStr"/>
      <c r="AP179" s="13" t="inlineStr"/>
      <c r="AQ179" s="13" t="inlineStr"/>
      <c r="AR179" s="13" t="inlineStr"/>
      <c r="AS179" s="13" t="inlineStr"/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7" t="n">
        <v>2550414</v>
      </c>
      <c r="AK180" s="8" t="n">
        <v>359933</v>
      </c>
      <c r="AL180" s="8" t="n">
        <v>257808</v>
      </c>
      <c r="AM180" s="11" t="inlineStr"/>
      <c r="AN180" s="12" t="inlineStr"/>
      <c r="AO180" s="12" t="inlineStr"/>
      <c r="AP180" s="13" t="inlineStr"/>
      <c r="AQ180" s="13" t="inlineStr"/>
      <c r="AR180" s="13" t="inlineStr"/>
      <c r="AS180" s="13" t="inlineStr"/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7" t="n">
        <v>2139622</v>
      </c>
      <c r="AK181" s="8" t="n">
        <v>532978</v>
      </c>
      <c r="AL181" s="8" t="n">
        <v>533838</v>
      </c>
      <c r="AM181" s="11" t="inlineStr"/>
      <c r="AN181" s="12" t="inlineStr"/>
      <c r="AO181" s="12" t="inlineStr"/>
      <c r="AP181" s="13" t="inlineStr"/>
      <c r="AQ181" s="13" t="inlineStr"/>
      <c r="AR181" s="13" t="inlineStr"/>
      <c r="AS181" s="13" t="inlineStr"/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7" t="n">
        <v>196313</v>
      </c>
      <c r="AK182" s="8" t="n">
        <v>17188</v>
      </c>
      <c r="AL182" s="8" t="n">
        <v>13114</v>
      </c>
      <c r="AM182" s="11" t="inlineStr"/>
      <c r="AN182" s="12" t="inlineStr"/>
      <c r="AO182" s="12" t="inlineStr"/>
      <c r="AP182" s="13" t="inlineStr"/>
      <c r="AQ182" s="13" t="inlineStr"/>
      <c r="AR182" s="13" t="inlineStr"/>
      <c r="AS182" s="13" t="inlineStr"/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7" t="n">
        <v>31164</v>
      </c>
      <c r="AK183" s="8" t="n">
        <v>-875</v>
      </c>
      <c r="AL183" s="8" t="n">
        <v>-1637</v>
      </c>
      <c r="AM183" s="11" t="inlineStr"/>
      <c r="AN183" s="12" t="inlineStr"/>
      <c r="AO183" s="12" t="inlineStr"/>
      <c r="AP183" s="13" t="inlineStr"/>
      <c r="AQ183" s="13" t="inlineStr"/>
      <c r="AR183" s="13" t="inlineStr"/>
      <c r="AS183" s="13" t="inlineStr"/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2026Q3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7" t="n">
        <v>31293</v>
      </c>
      <c r="AK184" s="8" t="n">
        <v>-895</v>
      </c>
      <c r="AL184" s="8" t="n">
        <v>2818</v>
      </c>
      <c r="AM184" s="11" t="n">
        <v>31528</v>
      </c>
      <c r="AN184" s="12" t="n">
        <v>1582</v>
      </c>
      <c r="AO184" s="12" t="n">
        <v>5462</v>
      </c>
      <c r="AP184" s="13" t="n">
        <v>0.8</v>
      </c>
      <c r="AQ184" s="13" t="n">
        <v>6.6</v>
      </c>
      <c r="AR184" s="13" t="n">
        <v>276.8</v>
      </c>
      <c r="AS184" s="13" t="n">
        <v>56.3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7" t="n">
        <v>1233965</v>
      </c>
      <c r="AK185" s="8" t="n">
        <v>5222</v>
      </c>
      <c r="AL185" s="8" t="n">
        <v>14897</v>
      </c>
      <c r="AM185" s="11" t="inlineStr"/>
      <c r="AN185" s="12" t="inlineStr"/>
      <c r="AO185" s="12" t="inlineStr"/>
      <c r="AP185" s="13" t="inlineStr"/>
      <c r="AQ185" s="13" t="inlineStr"/>
      <c r="AR185" s="13" t="inlineStr"/>
      <c r="AS185" s="13" t="inlineStr"/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7" t="n">
        <v>135946</v>
      </c>
      <c r="AK186" s="8" t="n">
        <v>8156</v>
      </c>
      <c r="AL186" s="8" t="n">
        <v>79400</v>
      </c>
      <c r="AM186" s="11" t="inlineStr"/>
      <c r="AN186" s="12" t="inlineStr"/>
      <c r="AO186" s="12" t="inlineStr"/>
      <c r="AP186" s="13" t="inlineStr"/>
      <c r="AQ186" s="13" t="inlineStr"/>
      <c r="AR186" s="13" t="inlineStr"/>
      <c r="AS186" s="13" t="inlineStr"/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7" t="n">
        <v>679457</v>
      </c>
      <c r="AK187" s="8" t="n">
        <v>26689</v>
      </c>
      <c r="AL187" s="8" t="n">
        <v>24655</v>
      </c>
      <c r="AM187" s="11" t="inlineStr"/>
      <c r="AN187" s="12" t="inlineStr"/>
      <c r="AO187" s="12" t="inlineStr"/>
      <c r="AP187" s="13" t="inlineStr"/>
      <c r="AQ187" s="13" t="inlineStr"/>
      <c r="AR187" s="13" t="inlineStr"/>
      <c r="AS187" s="13" t="inlineStr"/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7" t="n">
        <v>78120</v>
      </c>
      <c r="AK188" s="8" t="n">
        <v>3685</v>
      </c>
      <c r="AL188" s="8" t="n">
        <v>2594</v>
      </c>
      <c r="AM188" s="11" t="inlineStr"/>
      <c r="AN188" s="12" t="inlineStr"/>
      <c r="AO188" s="12" t="inlineStr"/>
      <c r="AP188" s="13" t="inlineStr"/>
      <c r="AQ188" s="13" t="inlineStr"/>
      <c r="AR188" s="13" t="inlineStr"/>
      <c r="AS188" s="13" t="inlineStr"/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8" t="n">
        <v>175045</v>
      </c>
      <c r="AL189" s="8" t="n">
        <v>132572</v>
      </c>
      <c r="AM189" s="11" t="inlineStr"/>
      <c r="AN189" s="12" t="inlineStr"/>
      <c r="AO189" s="12" t="inlineStr"/>
      <c r="AP189" s="13" t="inlineStr"/>
      <c r="AQ189" s="13" t="inlineStr"/>
      <c r="AR189" s="13" t="inlineStr"/>
      <c r="AS189" s="13" t="inlineStr"/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7" t="n">
        <v>54043</v>
      </c>
      <c r="AK190" s="8" t="n">
        <v>7176</v>
      </c>
      <c r="AL190" s="8" t="n">
        <v>6405</v>
      </c>
      <c r="AM190" s="11" t="inlineStr"/>
      <c r="AN190" s="12" t="inlineStr"/>
      <c r="AO190" s="12" t="inlineStr"/>
      <c r="AP190" s="13" t="inlineStr"/>
      <c r="AQ190" s="13" t="inlineStr"/>
      <c r="AR190" s="13" t="inlineStr"/>
      <c r="AS190" s="13" t="inlineStr"/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7" t="n">
        <v>23684</v>
      </c>
      <c r="AK191" s="8" t="n">
        <v>1632</v>
      </c>
      <c r="AL191" s="8" t="n">
        <v>1159</v>
      </c>
      <c r="AM191" s="11" t="inlineStr"/>
      <c r="AN191" s="12" t="inlineStr"/>
      <c r="AO191" s="12" t="inlineStr"/>
      <c r="AP191" s="13" t="inlineStr"/>
      <c r="AQ191" s="13" t="inlineStr"/>
      <c r="AR191" s="13" t="inlineStr"/>
      <c r="AS191" s="13" t="inlineStr"/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7" t="n">
        <v>0</v>
      </c>
      <c r="AK192" s="8" t="n">
        <v>-12</v>
      </c>
      <c r="AL192" s="8" t="n">
        <v>46</v>
      </c>
      <c r="AM192" s="11" t="inlineStr"/>
      <c r="AN192" s="12" t="inlineStr"/>
      <c r="AO192" s="12" t="inlineStr"/>
      <c r="AP192" s="13" t="inlineStr"/>
      <c r="AQ192" s="13" t="inlineStr"/>
      <c r="AR192" s="13" t="inlineStr"/>
      <c r="AS192" s="13" t="inlineStr"/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7" t="n">
        <v>84792</v>
      </c>
      <c r="AK193" s="8" t="n">
        <v>16623</v>
      </c>
      <c r="AL193" s="8" t="n">
        <v>22395</v>
      </c>
      <c r="AM193" s="11" t="inlineStr"/>
      <c r="AN193" s="12" t="inlineStr"/>
      <c r="AO193" s="12" t="inlineStr"/>
      <c r="AP193" s="13" t="inlineStr"/>
      <c r="AQ193" s="13" t="inlineStr"/>
      <c r="AR193" s="13" t="inlineStr"/>
      <c r="AS193" s="13" t="inlineStr"/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7" t="n">
        <v>27708</v>
      </c>
      <c r="AK194" s="8" t="n">
        <v>-1145</v>
      </c>
      <c r="AL194" s="8" t="n">
        <v>2045</v>
      </c>
      <c r="AM194" s="11" t="inlineStr"/>
      <c r="AN194" s="12" t="inlineStr"/>
      <c r="AO194" s="12" t="inlineStr"/>
      <c r="AP194" s="13" t="inlineStr"/>
      <c r="AQ194" s="13" t="inlineStr"/>
      <c r="AR194" s="13" t="inlineStr"/>
      <c r="AS194" s="13" t="inlineStr"/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2026Q3</t>
        </is>
      </c>
      <c r="E195" s="6" t="inlineStr">
        <is>
          <t>2023Q4, 2026Q3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7" t="n">
        <v>279623</v>
      </c>
      <c r="AK195" s="8" t="n">
        <v>23799</v>
      </c>
      <c r="AL195" s="8" t="n">
        <v>24055</v>
      </c>
      <c r="AM195" s="14" t="n">
        <v>314416</v>
      </c>
      <c r="AN195" s="15" t="n">
        <v>25488</v>
      </c>
      <c r="AO195" s="15" t="n">
        <v>-13181</v>
      </c>
      <c r="AP195" s="13" t="n">
        <v>12.4</v>
      </c>
      <c r="AQ195" s="13" t="n">
        <v>12.3</v>
      </c>
      <c r="AR195" s="13" t="n">
        <v>7.1</v>
      </c>
      <c r="AS195" s="13" t="n">
        <v>-13.4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7" t="n">
        <v>258038</v>
      </c>
      <c r="AK196" s="8" t="n">
        <v>1278</v>
      </c>
      <c r="AL196" s="8" t="n">
        <v>1518</v>
      </c>
      <c r="AM196" s="11" t="inlineStr"/>
      <c r="AN196" s="12" t="inlineStr"/>
      <c r="AO196" s="12" t="inlineStr"/>
      <c r="AP196" s="13" t="inlineStr"/>
      <c r="AQ196" s="13" t="inlineStr"/>
      <c r="AR196" s="13" t="inlineStr"/>
      <c r="AS196" s="13" t="inlineStr"/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7" t="n">
        <v>879224</v>
      </c>
      <c r="AK197" s="8" t="n">
        <v>20442</v>
      </c>
      <c r="AL197" s="8" t="n">
        <v>-112386</v>
      </c>
      <c r="AM197" s="11" t="inlineStr"/>
      <c r="AN197" s="12" t="inlineStr"/>
      <c r="AO197" s="12" t="inlineStr"/>
      <c r="AP197" s="13" t="inlineStr"/>
      <c r="AQ197" s="13" t="inlineStr"/>
      <c r="AR197" s="13" t="inlineStr"/>
      <c r="AS197" s="13" t="inlineStr"/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7" t="n">
        <v>18262</v>
      </c>
      <c r="AK198" s="8" t="n">
        <v>3790</v>
      </c>
      <c r="AL198" s="8" t="n">
        <v>4239</v>
      </c>
      <c r="AM198" s="11" t="inlineStr"/>
      <c r="AN198" s="12" t="inlineStr"/>
      <c r="AO198" s="12" t="inlineStr"/>
      <c r="AP198" s="13" t="inlineStr"/>
      <c r="AQ198" s="13" t="inlineStr"/>
      <c r="AR198" s="13" t="inlineStr"/>
      <c r="AS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7" t="n">
        <v>586275</v>
      </c>
      <c r="AK199" s="8" t="n">
        <v>61908</v>
      </c>
      <c r="AL199" s="8" t="n">
        <v>94165</v>
      </c>
      <c r="AM199" s="11" t="inlineStr"/>
      <c r="AN199" s="12" t="inlineStr"/>
      <c r="AO199" s="12" t="inlineStr"/>
      <c r="AP199" s="13" t="inlineStr"/>
      <c r="AQ199" s="13" t="inlineStr"/>
      <c r="AR199" s="13" t="inlineStr"/>
      <c r="AS199" s="13" t="inlineStr"/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7" t="n">
        <v>6107305</v>
      </c>
      <c r="AK200" s="8" t="n">
        <v>57719</v>
      </c>
      <c r="AL200" s="8" t="n">
        <v>12115</v>
      </c>
      <c r="AM200" s="11" t="inlineStr"/>
      <c r="AN200" s="12" t="inlineStr"/>
      <c r="AO200" s="12" t="inlineStr"/>
      <c r="AP200" s="13" t="inlineStr"/>
      <c r="AQ200" s="13" t="inlineStr"/>
      <c r="AR200" s="13" t="inlineStr"/>
      <c r="AS200" s="13" t="inlineStr"/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7" t="n">
        <v>27284</v>
      </c>
      <c r="AK201" s="8" t="n">
        <v>-464</v>
      </c>
      <c r="AL201" s="8" t="n">
        <v>1346</v>
      </c>
      <c r="AM201" s="11" t="inlineStr"/>
      <c r="AN201" s="12" t="inlineStr"/>
      <c r="AO201" s="12" t="inlineStr"/>
      <c r="AP201" s="13" t="inlineStr"/>
      <c r="AQ201" s="13" t="inlineStr"/>
      <c r="AR201" s="13" t="inlineStr"/>
      <c r="AS201" s="13" t="inlineStr"/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7" t="n">
        <v>26282</v>
      </c>
      <c r="AK202" s="8" t="n">
        <v>3644</v>
      </c>
      <c r="AL202" s="8" t="n">
        <v>3952</v>
      </c>
      <c r="AM202" s="11" t="inlineStr"/>
      <c r="AN202" s="12" t="inlineStr"/>
      <c r="AO202" s="12" t="inlineStr"/>
      <c r="AP202" s="13" t="inlineStr"/>
      <c r="AQ202" s="13" t="inlineStr"/>
      <c r="AR202" s="13" t="inlineStr"/>
      <c r="AS202" s="13" t="inlineStr"/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7" t="n">
        <v>231631</v>
      </c>
      <c r="AK203" s="8" t="n">
        <v>13791</v>
      </c>
      <c r="AL203" s="8" t="n">
        <v>12036</v>
      </c>
      <c r="AM203" s="11" t="inlineStr"/>
      <c r="AN203" s="12" t="inlineStr"/>
      <c r="AO203" s="12" t="inlineStr"/>
      <c r="AP203" s="13" t="inlineStr"/>
      <c r="AQ203" s="13" t="inlineStr"/>
      <c r="AR203" s="13" t="inlineStr"/>
      <c r="AS203" s="13" t="inlineStr"/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7" t="n">
        <v>159274</v>
      </c>
      <c r="AK204" s="8" t="n">
        <v>3892</v>
      </c>
      <c r="AL204" s="8" t="n">
        <v>5501</v>
      </c>
      <c r="AM204" s="11" t="inlineStr"/>
      <c r="AN204" s="12" t="inlineStr"/>
      <c r="AO204" s="12" t="inlineStr"/>
      <c r="AP204" s="13" t="inlineStr"/>
      <c r="AQ204" s="13" t="inlineStr"/>
      <c r="AR204" s="13" t="inlineStr"/>
      <c r="AS204" s="13" t="inlineStr"/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7" t="n">
        <v>242037</v>
      </c>
      <c r="AK205" s="8" t="n">
        <v>5285</v>
      </c>
      <c r="AL205" s="8" t="n">
        <v>1368</v>
      </c>
      <c r="AM205" s="11" t="inlineStr"/>
      <c r="AN205" s="12" t="inlineStr"/>
      <c r="AO205" s="12" t="inlineStr"/>
      <c r="AP205" s="13" t="inlineStr"/>
      <c r="AQ205" s="13" t="inlineStr"/>
      <c r="AR205" s="13" t="inlineStr"/>
      <c r="AS205" s="13" t="inlineStr"/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7" t="n">
        <v>416705</v>
      </c>
      <c r="AK206" s="8" t="n">
        <v>19853</v>
      </c>
      <c r="AL206" s="8" t="n">
        <v>55267</v>
      </c>
      <c r="AM206" s="11" t="inlineStr"/>
      <c r="AN206" s="12" t="inlineStr"/>
      <c r="AO206" s="12" t="inlineStr"/>
      <c r="AP206" s="13" t="inlineStr"/>
      <c r="AQ206" s="13" t="inlineStr"/>
      <c r="AR206" s="13" t="inlineStr"/>
      <c r="AS206" s="13" t="inlineStr"/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2026Q3</t>
        </is>
      </c>
      <c r="E207" s="6" t="inlineStr">
        <is>
          <t>2023Q4, 2026Q3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7" t="n">
        <v>1780382</v>
      </c>
      <c r="AK207" s="8" t="n">
        <v>167133</v>
      </c>
      <c r="AL207" s="8" t="n">
        <v>106987</v>
      </c>
      <c r="AM207" s="14" t="n">
        <v>198083</v>
      </c>
      <c r="AN207" s="12" t="inlineStr"/>
      <c r="AO207" s="12" t="inlineStr"/>
      <c r="AP207" s="13" t="n">
        <v>-88.90000000000001</v>
      </c>
      <c r="AQ207" s="13" t="n">
        <v>-87.90000000000001</v>
      </c>
      <c r="AR207" s="13" t="inlineStr"/>
      <c r="AS207" s="13" t="inlineStr"/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7" t="n">
        <v>0</v>
      </c>
      <c r="AK208" s="8" t="n">
        <v>-9</v>
      </c>
      <c r="AL208" s="8" t="n">
        <v>62</v>
      </c>
      <c r="AM208" s="11" t="inlineStr"/>
      <c r="AN208" s="12" t="inlineStr"/>
      <c r="AO208" s="12" t="inlineStr"/>
      <c r="AP208" s="13" t="inlineStr"/>
      <c r="AQ208" s="13" t="inlineStr"/>
      <c r="AR208" s="13" t="inlineStr"/>
      <c r="AS208" s="13" t="inlineStr"/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7" t="n">
        <v>0</v>
      </c>
      <c r="AK209" s="8" t="n">
        <v>-10</v>
      </c>
      <c r="AL209" s="8" t="n">
        <v>17</v>
      </c>
      <c r="AM209" s="11" t="inlineStr"/>
      <c r="AN209" s="12" t="inlineStr"/>
      <c r="AO209" s="12" t="inlineStr"/>
      <c r="AP209" s="13" t="inlineStr"/>
      <c r="AQ209" s="13" t="inlineStr"/>
      <c r="AR209" s="13" t="inlineStr"/>
      <c r="AS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7" t="inlineStr"/>
      <c r="AK210" s="8" t="n">
        <v>-4</v>
      </c>
      <c r="AL210" s="8" t="n">
        <v>42</v>
      </c>
      <c r="AM210" s="11" t="inlineStr"/>
      <c r="AN210" s="12" t="inlineStr"/>
      <c r="AO210" s="12" t="inlineStr"/>
      <c r="AP210" s="13" t="inlineStr"/>
      <c r="AQ210" s="13" t="inlineStr"/>
      <c r="AR210" s="13" t="inlineStr"/>
      <c r="AS210" s="13" t="inlineStr"/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7" t="n">
        <v>115249</v>
      </c>
      <c r="AK211" s="8" t="n">
        <v>7989</v>
      </c>
      <c r="AL211" s="8" t="n">
        <v>6762</v>
      </c>
      <c r="AM211" s="11" t="inlineStr"/>
      <c r="AN211" s="12" t="inlineStr"/>
      <c r="AO211" s="12" t="inlineStr"/>
      <c r="AP211" s="13" t="inlineStr"/>
      <c r="AQ211" s="13" t="inlineStr"/>
      <c r="AR211" s="13" t="inlineStr"/>
      <c r="AS211" s="13" t="inlineStr"/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7" t="n">
        <v>21617</v>
      </c>
      <c r="AK212" s="8" t="n">
        <v>3290</v>
      </c>
      <c r="AL212" s="8" t="n">
        <v>3084</v>
      </c>
      <c r="AM212" s="11" t="inlineStr"/>
      <c r="AN212" s="12" t="inlineStr"/>
      <c r="AO212" s="12" t="inlineStr"/>
      <c r="AP212" s="13" t="inlineStr"/>
      <c r="AQ212" s="13" t="inlineStr"/>
      <c r="AR212" s="13" t="inlineStr"/>
      <c r="AS212" s="13" t="inlineStr"/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2026Q3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7" t="n">
        <v>55585</v>
      </c>
      <c r="AK213" s="8" t="n">
        <v>976</v>
      </c>
      <c r="AL213" s="8" t="n">
        <v>1212</v>
      </c>
      <c r="AM213" s="11" t="n">
        <v>56273</v>
      </c>
      <c r="AN213" s="12" t="n">
        <v>2439</v>
      </c>
      <c r="AO213" s="12" t="n">
        <v>1711</v>
      </c>
      <c r="AP213" s="13" t="n">
        <v>1.2</v>
      </c>
      <c r="AQ213" s="13" t="n">
        <v>9.1</v>
      </c>
      <c r="AR213" s="13" t="n">
        <v>149.9</v>
      </c>
      <c r="AS213" s="13" t="n">
        <v>-29.4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7" t="n">
        <v>307315</v>
      </c>
      <c r="AK214" s="8" t="n">
        <v>8458</v>
      </c>
      <c r="AL214" s="8" t="n">
        <v>22428</v>
      </c>
      <c r="AM214" s="11" t="inlineStr"/>
      <c r="AN214" s="12" t="inlineStr"/>
      <c r="AO214" s="12" t="inlineStr"/>
      <c r="AP214" s="13" t="inlineStr"/>
      <c r="AQ214" s="13" t="inlineStr"/>
      <c r="AR214" s="13" t="inlineStr"/>
      <c r="AS214" s="13" t="inlineStr"/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7" t="n">
        <v>956063</v>
      </c>
      <c r="AK215" s="8" t="n">
        <v>59252</v>
      </c>
      <c r="AL215" s="8" t="n">
        <v>54666</v>
      </c>
      <c r="AM215" s="11" t="inlineStr"/>
      <c r="AN215" s="12" t="inlineStr"/>
      <c r="AO215" s="12" t="inlineStr"/>
      <c r="AP215" s="13" t="inlineStr"/>
      <c r="AQ215" s="13" t="inlineStr"/>
      <c r="AR215" s="13" t="inlineStr"/>
      <c r="AS215" s="13" t="inlineStr"/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7" t="n">
        <v>77684</v>
      </c>
      <c r="AK216" s="8" t="n">
        <v>1692</v>
      </c>
      <c r="AL216" s="8" t="n">
        <v>-18</v>
      </c>
      <c r="AM216" s="11" t="inlineStr"/>
      <c r="AN216" s="12" t="inlineStr"/>
      <c r="AO216" s="12" t="inlineStr"/>
      <c r="AP216" s="13" t="inlineStr"/>
      <c r="AQ216" s="13" t="inlineStr"/>
      <c r="AR216" s="13" t="inlineStr"/>
      <c r="AS216" s="13" t="inlineStr"/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7" t="n">
        <v>16843</v>
      </c>
      <c r="AK217" s="8" t="n">
        <v>224</v>
      </c>
      <c r="AL217" s="8" t="n">
        <v>63</v>
      </c>
      <c r="AM217" s="11" t="inlineStr"/>
      <c r="AN217" s="12" t="inlineStr"/>
      <c r="AO217" s="12" t="inlineStr"/>
      <c r="AP217" s="13" t="inlineStr"/>
      <c r="AQ217" s="13" t="inlineStr"/>
      <c r="AR217" s="13" t="inlineStr"/>
      <c r="AS217" s="13" t="inlineStr"/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7" t="n">
        <v>328509</v>
      </c>
      <c r="AK218" s="8" t="n">
        <v>39811</v>
      </c>
      <c r="AL218" s="8" t="n">
        <v>29619</v>
      </c>
      <c r="AM218" s="11" t="inlineStr"/>
      <c r="AN218" s="12" t="inlineStr"/>
      <c r="AO218" s="12" t="inlineStr"/>
      <c r="AP218" s="13" t="inlineStr"/>
      <c r="AQ218" s="13" t="inlineStr"/>
      <c r="AR218" s="13" t="inlineStr"/>
      <c r="AS218" s="13" t="inlineStr"/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7" t="n">
        <v>79596</v>
      </c>
      <c r="AK219" s="8" t="n">
        <v>2471</v>
      </c>
      <c r="AL219" s="8" t="n">
        <v>1782</v>
      </c>
      <c r="AM219" s="11" t="inlineStr"/>
      <c r="AN219" s="12" t="inlineStr"/>
      <c r="AO219" s="12" t="inlineStr"/>
      <c r="AP219" s="13" t="inlineStr"/>
      <c r="AQ219" s="13" t="inlineStr"/>
      <c r="AR219" s="13" t="inlineStr"/>
      <c r="AS219" s="13" t="inlineStr"/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7" t="n">
        <v>48382</v>
      </c>
      <c r="AK220" s="8" t="n">
        <v>1077</v>
      </c>
      <c r="AL220" s="8" t="n">
        <v>778</v>
      </c>
      <c r="AM220" s="11" t="inlineStr"/>
      <c r="AN220" s="12" t="inlineStr"/>
      <c r="AO220" s="12" t="inlineStr"/>
      <c r="AP220" s="13" t="inlineStr"/>
      <c r="AQ220" s="13" t="inlineStr"/>
      <c r="AR220" s="13" t="inlineStr"/>
      <c r="AS220" s="13" t="inlineStr"/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7" t="n">
        <v>530187</v>
      </c>
      <c r="AK221" s="8" t="n">
        <v>35323</v>
      </c>
      <c r="AL221" s="8" t="n">
        <v>36267</v>
      </c>
      <c r="AM221" s="11" t="inlineStr"/>
      <c r="AN221" s="12" t="inlineStr"/>
      <c r="AO221" s="12" t="inlineStr"/>
      <c r="AP221" s="13" t="inlineStr"/>
      <c r="AQ221" s="13" t="inlineStr"/>
      <c r="AR221" s="13" t="inlineStr"/>
      <c r="AS221" s="13" t="inlineStr"/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7" t="inlineStr"/>
      <c r="AK222" s="8" t="n">
        <v>-3</v>
      </c>
      <c r="AL222" s="8" t="n">
        <v>35</v>
      </c>
      <c r="AM222" s="11" t="inlineStr"/>
      <c r="AN222" s="12" t="inlineStr"/>
      <c r="AO222" s="12" t="inlineStr"/>
      <c r="AP222" s="13" t="inlineStr"/>
      <c r="AQ222" s="13" t="inlineStr"/>
      <c r="AR222" s="13" t="inlineStr"/>
      <c r="AS222" s="13" t="inlineStr"/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7" t="n">
        <v>136309</v>
      </c>
      <c r="AK223" s="8" t="n">
        <v>620</v>
      </c>
      <c r="AL223" s="8" t="n">
        <v>-2993</v>
      </c>
      <c r="AM223" s="11" t="inlineStr"/>
      <c r="AN223" s="12" t="inlineStr"/>
      <c r="AO223" s="12" t="inlineStr"/>
      <c r="AP223" s="13" t="inlineStr"/>
      <c r="AQ223" s="13" t="inlineStr"/>
      <c r="AR223" s="13" t="inlineStr"/>
      <c r="AS223" s="13" t="inlineStr"/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7" t="n">
        <v>202787</v>
      </c>
      <c r="AK224" s="8" t="n">
        <v>9532</v>
      </c>
      <c r="AL224" s="8" t="n">
        <v>5300</v>
      </c>
      <c r="AM224" s="11" t="inlineStr"/>
      <c r="AN224" s="12" t="inlineStr"/>
      <c r="AO224" s="12" t="inlineStr"/>
      <c r="AP224" s="13" t="inlineStr"/>
      <c r="AQ224" s="13" t="inlineStr"/>
      <c r="AR224" s="13" t="inlineStr"/>
      <c r="AS224" s="13" t="inlineStr"/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7" t="n">
        <v>37041</v>
      </c>
      <c r="AK225" s="8" t="n">
        <v>3669</v>
      </c>
      <c r="AL225" s="8" t="n">
        <v>2806</v>
      </c>
      <c r="AM225" s="11" t="inlineStr"/>
      <c r="AN225" s="12" t="inlineStr"/>
      <c r="AO225" s="12" t="inlineStr"/>
      <c r="AP225" s="13" t="inlineStr"/>
      <c r="AQ225" s="13" t="inlineStr"/>
      <c r="AR225" s="13" t="inlineStr"/>
      <c r="AS225" s="13" t="inlineStr"/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7" t="n">
        <v>31100</v>
      </c>
      <c r="AK226" s="8" t="n">
        <v>4426</v>
      </c>
      <c r="AL226" s="8" t="n">
        <v>3464</v>
      </c>
      <c r="AM226" s="11" t="inlineStr"/>
      <c r="AN226" s="12" t="inlineStr"/>
      <c r="AO226" s="12" t="inlineStr"/>
      <c r="AP226" s="13" t="inlineStr"/>
      <c r="AQ226" s="13" t="inlineStr"/>
      <c r="AR226" s="13" t="inlineStr"/>
      <c r="AS226" s="13" t="inlineStr"/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7" t="n">
        <v>1157298</v>
      </c>
      <c r="AK227" s="8" t="n">
        <v>28066</v>
      </c>
      <c r="AL227" s="8" t="n">
        <v>32195</v>
      </c>
      <c r="AM227" s="11" t="inlineStr"/>
      <c r="AN227" s="12" t="inlineStr"/>
      <c r="AO227" s="12" t="inlineStr"/>
      <c r="AP227" s="13" t="inlineStr"/>
      <c r="AQ227" s="13" t="inlineStr"/>
      <c r="AR227" s="13" t="inlineStr"/>
      <c r="AS227" s="13" t="inlineStr"/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7" t="n">
        <v>21301</v>
      </c>
      <c r="AK228" s="8" t="n">
        <v>-1446</v>
      </c>
      <c r="AL228" s="8" t="n">
        <v>587</v>
      </c>
      <c r="AM228" s="11" t="inlineStr"/>
      <c r="AN228" s="12" t="inlineStr"/>
      <c r="AO228" s="12" t="inlineStr"/>
      <c r="AP228" s="13" t="inlineStr"/>
      <c r="AQ228" s="13" t="inlineStr"/>
      <c r="AR228" s="13" t="inlineStr"/>
      <c r="AS228" s="13" t="inlineStr"/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2026Q3</t>
        </is>
      </c>
      <c r="E229" s="6" t="inlineStr">
        <is>
          <t>2026Q3</t>
        </is>
      </c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7" t="n">
        <v>335111</v>
      </c>
      <c r="AK229" s="8" t="n">
        <v>14233</v>
      </c>
      <c r="AL229" s="8" t="n">
        <v>10676</v>
      </c>
      <c r="AM229" s="14" t="n">
        <v>346049</v>
      </c>
      <c r="AN229" s="15" t="n">
        <v>14839</v>
      </c>
      <c r="AO229" s="15" t="n">
        <v>5477</v>
      </c>
      <c r="AP229" s="13" t="n">
        <v>3.3</v>
      </c>
      <c r="AQ229" s="13" t="n">
        <v>4.3</v>
      </c>
      <c r="AR229" s="13" t="n">
        <v>4.3</v>
      </c>
      <c r="AS229" s="13" t="n">
        <v>-16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7" t="n">
        <v>47717</v>
      </c>
      <c r="AK230" s="8" t="n">
        <v>1798</v>
      </c>
      <c r="AL230" s="8" t="n">
        <v>-13583</v>
      </c>
      <c r="AM230" s="11" t="inlineStr"/>
      <c r="AN230" s="12" t="inlineStr"/>
      <c r="AO230" s="12" t="inlineStr"/>
      <c r="AP230" s="13" t="inlineStr"/>
      <c r="AQ230" s="13" t="inlineStr"/>
      <c r="AR230" s="13" t="inlineStr"/>
      <c r="AS230" s="13" t="inlineStr"/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7" t="n">
        <v>3545</v>
      </c>
      <c r="AK231" s="8" t="n">
        <v>245</v>
      </c>
      <c r="AL231" s="8" t="n">
        <v>334</v>
      </c>
      <c r="AM231" s="11" t="inlineStr"/>
      <c r="AN231" s="12" t="inlineStr"/>
      <c r="AO231" s="12" t="inlineStr"/>
      <c r="AP231" s="13" t="inlineStr"/>
      <c r="AQ231" s="13" t="inlineStr"/>
      <c r="AR231" s="13" t="inlineStr"/>
      <c r="AS231" s="13" t="inlineStr"/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7" t="n">
        <v>78190</v>
      </c>
      <c r="AK232" s="8" t="n">
        <v>2342</v>
      </c>
      <c r="AL232" s="8" t="n">
        <v>1904</v>
      </c>
      <c r="AM232" s="11" t="inlineStr"/>
      <c r="AN232" s="12" t="inlineStr"/>
      <c r="AO232" s="12" t="inlineStr"/>
      <c r="AP232" s="13" t="inlineStr"/>
      <c r="AQ232" s="13" t="inlineStr"/>
      <c r="AR232" s="13" t="inlineStr"/>
      <c r="AS232" s="13" t="inlineStr"/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7" t="n">
        <v>733637</v>
      </c>
      <c r="AK233" s="8" t="n">
        <v>231639</v>
      </c>
      <c r="AL233" s="8" t="n">
        <v>226319</v>
      </c>
      <c r="AM233" s="11" t="inlineStr"/>
      <c r="AN233" s="12" t="inlineStr"/>
      <c r="AO233" s="12" t="inlineStr"/>
      <c r="AP233" s="13" t="inlineStr"/>
      <c r="AQ233" s="13" t="inlineStr"/>
      <c r="AR233" s="13" t="inlineStr"/>
      <c r="AS233" s="13" t="inlineStr"/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7" t="n">
        <v>32843</v>
      </c>
      <c r="AK234" s="8" t="n">
        <v>809</v>
      </c>
      <c r="AL234" s="8" t="n">
        <v>820</v>
      </c>
      <c r="AM234" s="11" t="inlineStr"/>
      <c r="AN234" s="12" t="inlineStr"/>
      <c r="AO234" s="12" t="inlineStr"/>
      <c r="AP234" s="13" t="inlineStr"/>
      <c r="AQ234" s="13" t="inlineStr"/>
      <c r="AR234" s="13" t="inlineStr"/>
      <c r="AS234" s="13" t="inlineStr"/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7" t="n">
        <v>218500</v>
      </c>
      <c r="AK235" s="8" t="n">
        <v>11181</v>
      </c>
      <c r="AL235" s="8" t="n">
        <v>8588</v>
      </c>
      <c r="AM235" s="11" t="inlineStr"/>
      <c r="AN235" s="12" t="inlineStr"/>
      <c r="AO235" s="12" t="inlineStr"/>
      <c r="AP235" s="13" t="inlineStr"/>
      <c r="AQ235" s="13" t="inlineStr"/>
      <c r="AR235" s="13" t="inlineStr"/>
      <c r="AS235" s="13" t="inlineStr"/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7" t="n">
        <v>1283</v>
      </c>
      <c r="AK236" s="8" t="n">
        <v>-341</v>
      </c>
      <c r="AL236" s="8" t="n">
        <v>2739</v>
      </c>
      <c r="AM236" s="11" t="inlineStr"/>
      <c r="AN236" s="12" t="inlineStr"/>
      <c r="AO236" s="12" t="inlineStr"/>
      <c r="AP236" s="13" t="inlineStr"/>
      <c r="AQ236" s="13" t="inlineStr"/>
      <c r="AR236" s="13" t="inlineStr"/>
      <c r="AS236" s="13" t="inlineStr"/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7" t="n">
        <v>103121</v>
      </c>
      <c r="AK237" s="8" t="n">
        <v>8050</v>
      </c>
      <c r="AL237" s="8" t="n">
        <v>10999</v>
      </c>
      <c r="AM237" s="11" t="inlineStr"/>
      <c r="AN237" s="12" t="inlineStr"/>
      <c r="AO237" s="12" t="inlineStr"/>
      <c r="AP237" s="13" t="inlineStr"/>
      <c r="AQ237" s="13" t="inlineStr"/>
      <c r="AR237" s="13" t="inlineStr"/>
      <c r="AS237" s="13" t="inlineStr"/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7" t="n">
        <v>59471</v>
      </c>
      <c r="AK238" s="8" t="n">
        <v>-2887</v>
      </c>
      <c r="AL238" s="8" t="n">
        <v>-2888</v>
      </c>
      <c r="AM238" s="11" t="inlineStr"/>
      <c r="AN238" s="12" t="inlineStr"/>
      <c r="AO238" s="12" t="inlineStr"/>
      <c r="AP238" s="13" t="inlineStr"/>
      <c r="AQ238" s="13" t="inlineStr"/>
      <c r="AR238" s="13" t="inlineStr"/>
      <c r="AS238" s="13" t="inlineStr"/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7" t="n">
        <v>5095</v>
      </c>
      <c r="AK239" s="8" t="n">
        <v>-1699</v>
      </c>
      <c r="AL239" s="8" t="n">
        <v>-3090</v>
      </c>
      <c r="AM239" s="11" t="inlineStr"/>
      <c r="AN239" s="12" t="inlineStr"/>
      <c r="AO239" s="12" t="inlineStr"/>
      <c r="AP239" s="13" t="inlineStr"/>
      <c r="AQ239" s="13" t="inlineStr"/>
      <c r="AR239" s="13" t="inlineStr"/>
      <c r="AS239" s="13" t="inlineStr"/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7" t="n">
        <v>258893</v>
      </c>
      <c r="AK240" s="8" t="n">
        <v>20477</v>
      </c>
      <c r="AL240" s="8" t="n">
        <v>18897</v>
      </c>
      <c r="AM240" s="11" t="inlineStr"/>
      <c r="AN240" s="12" t="inlineStr"/>
      <c r="AO240" s="12" t="inlineStr"/>
      <c r="AP240" s="13" t="inlineStr"/>
      <c r="AQ240" s="13" t="inlineStr"/>
      <c r="AR240" s="13" t="inlineStr"/>
      <c r="AS240" s="13" t="inlineStr"/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7" t="n">
        <v>128967</v>
      </c>
      <c r="AK241" s="8" t="n">
        <v>506</v>
      </c>
      <c r="AL241" s="8" t="n">
        <v>20300</v>
      </c>
      <c r="AM241" s="11" t="inlineStr"/>
      <c r="AN241" s="12" t="inlineStr"/>
      <c r="AO241" s="12" t="inlineStr"/>
      <c r="AP241" s="13" t="inlineStr"/>
      <c r="AQ241" s="13" t="inlineStr"/>
      <c r="AR241" s="13" t="inlineStr"/>
      <c r="AS241" s="13" t="inlineStr"/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7" t="n">
        <v>503229</v>
      </c>
      <c r="AK242" s="8" t="n">
        <v>18935</v>
      </c>
      <c r="AL242" s="8" t="n">
        <v>19366</v>
      </c>
      <c r="AM242" s="11" t="inlineStr"/>
      <c r="AN242" s="12" t="inlineStr"/>
      <c r="AO242" s="12" t="inlineStr"/>
      <c r="AP242" s="13" t="inlineStr"/>
      <c r="AQ242" s="13" t="inlineStr"/>
      <c r="AR242" s="13" t="inlineStr"/>
      <c r="AS242" s="13" t="inlineStr"/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7" t="n">
        <v>4093074</v>
      </c>
      <c r="AK243" s="8" t="n">
        <v>128979</v>
      </c>
      <c r="AL243" s="8" t="n">
        <v>64352</v>
      </c>
      <c r="AM243" s="11" t="inlineStr"/>
      <c r="AN243" s="12" t="inlineStr"/>
      <c r="AO243" s="12" t="inlineStr"/>
      <c r="AP243" s="13" t="inlineStr"/>
      <c r="AQ243" s="13" t="inlineStr"/>
      <c r="AR243" s="13" t="inlineStr"/>
      <c r="AS243" s="13" t="inlineStr"/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7" t="n">
        <v>242023</v>
      </c>
      <c r="AK244" s="8" t="n">
        <v>-806</v>
      </c>
      <c r="AL244" s="8" t="n">
        <v>-14251</v>
      </c>
      <c r="AM244" s="11" t="inlineStr"/>
      <c r="AN244" s="12" t="inlineStr"/>
      <c r="AO244" s="12" t="inlineStr"/>
      <c r="AP244" s="13" t="inlineStr"/>
      <c r="AQ244" s="13" t="inlineStr"/>
      <c r="AR244" s="13" t="inlineStr"/>
      <c r="AS244" s="13" t="inlineStr"/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7" t="n">
        <v>53280</v>
      </c>
      <c r="AK245" s="8" t="n">
        <v>-1272</v>
      </c>
      <c r="AL245" s="8" t="n">
        <v>-2192</v>
      </c>
      <c r="AM245" s="11" t="inlineStr"/>
      <c r="AN245" s="12" t="inlineStr"/>
      <c r="AO245" s="12" t="inlineStr"/>
      <c r="AP245" s="13" t="inlineStr"/>
      <c r="AQ245" s="13" t="inlineStr"/>
      <c r="AR245" s="13" t="inlineStr"/>
      <c r="AS245" s="13" t="inlineStr"/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7" t="n">
        <v>137684</v>
      </c>
      <c r="AK246" s="8" t="n">
        <v>4653</v>
      </c>
      <c r="AL246" s="8" t="n">
        <v>1236</v>
      </c>
      <c r="AM246" s="11" t="inlineStr"/>
      <c r="AN246" s="12" t="inlineStr"/>
      <c r="AO246" s="12" t="inlineStr"/>
      <c r="AP246" s="13" t="inlineStr"/>
      <c r="AQ246" s="13" t="inlineStr"/>
      <c r="AR246" s="13" t="inlineStr"/>
      <c r="AS246" s="13" t="inlineStr"/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2026Q3</t>
        </is>
      </c>
      <c r="E247" s="6" t="inlineStr">
        <is>
          <t>2026Q3</t>
        </is>
      </c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7" t="n">
        <v>576960</v>
      </c>
      <c r="AK247" s="8" t="n">
        <v>44881</v>
      </c>
      <c r="AL247" s="8" t="n">
        <v>7694</v>
      </c>
      <c r="AM247" s="14" t="n">
        <v>575600</v>
      </c>
      <c r="AN247" s="15" t="n">
        <v>39900</v>
      </c>
      <c r="AO247" s="15" t="n">
        <v>8200</v>
      </c>
      <c r="AP247" s="13" t="n">
        <v>-0.2</v>
      </c>
      <c r="AQ247" s="13" t="n">
        <v>-3.9</v>
      </c>
      <c r="AR247" s="13" t="n">
        <v>-11.1</v>
      </c>
      <c r="AS247" s="13" t="n">
        <v>56.9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7" t="n">
        <v>2038</v>
      </c>
      <c r="AK248" s="8" t="n">
        <v>-1202</v>
      </c>
      <c r="AL248" s="8" t="n">
        <v>-159</v>
      </c>
      <c r="AM248" s="11" t="inlineStr"/>
      <c r="AN248" s="12" t="inlineStr"/>
      <c r="AO248" s="12" t="inlineStr"/>
      <c r="AP248" s="13" t="inlineStr"/>
      <c r="AQ248" s="13" t="inlineStr"/>
      <c r="AR248" s="13" t="inlineStr"/>
      <c r="AS248" s="13" t="inlineStr"/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7" t="n">
        <v>163391</v>
      </c>
      <c r="AK249" s="8" t="n">
        <v>-855</v>
      </c>
      <c r="AL249" s="8" t="n">
        <v>-10568</v>
      </c>
      <c r="AM249" s="11" t="inlineStr"/>
      <c r="AN249" s="12" t="inlineStr"/>
      <c r="AO249" s="12" t="inlineStr"/>
      <c r="AP249" s="13" t="inlineStr"/>
      <c r="AQ249" s="13" t="inlineStr"/>
      <c r="AR249" s="13" t="inlineStr"/>
      <c r="AS249" s="13" t="inlineStr"/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7" t="n">
        <v>442070</v>
      </c>
      <c r="AK250" s="8" t="n">
        <v>69725</v>
      </c>
      <c r="AL250" s="8" t="n">
        <v>56412</v>
      </c>
      <c r="AM250" s="11" t="inlineStr"/>
      <c r="AN250" s="12" t="inlineStr"/>
      <c r="AO250" s="12" t="inlineStr"/>
      <c r="AP250" s="13" t="inlineStr"/>
      <c r="AQ250" s="13" t="inlineStr"/>
      <c r="AR250" s="13" t="inlineStr"/>
      <c r="AS250" s="13" t="inlineStr"/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7" t="n">
        <v>596272</v>
      </c>
      <c r="AK251" s="8" t="n">
        <v>6624</v>
      </c>
      <c r="AL251" s="8" t="n">
        <v>1307</v>
      </c>
      <c r="AM251" s="11" t="inlineStr"/>
      <c r="AN251" s="12" t="inlineStr"/>
      <c r="AO251" s="12" t="inlineStr"/>
      <c r="AP251" s="13" t="inlineStr"/>
      <c r="AQ251" s="13" t="inlineStr"/>
      <c r="AR251" s="13" t="inlineStr"/>
      <c r="AS251" s="13" t="inlineStr"/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7" t="n">
        <v>346874</v>
      </c>
      <c r="AK252" s="8" t="n">
        <v>59291</v>
      </c>
      <c r="AL252" s="8" t="n">
        <v>84972</v>
      </c>
      <c r="AM252" s="11" t="inlineStr"/>
      <c r="AN252" s="12" t="inlineStr"/>
      <c r="AO252" s="12" t="inlineStr"/>
      <c r="AP252" s="13" t="inlineStr"/>
      <c r="AQ252" s="13" t="inlineStr"/>
      <c r="AR252" s="13" t="inlineStr"/>
      <c r="AS252" s="13" t="inlineStr"/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7" t="n">
        <v>1112890</v>
      </c>
      <c r="AK253" s="8" t="n">
        <v>55845</v>
      </c>
      <c r="AL253" s="8" t="n">
        <v>28202</v>
      </c>
      <c r="AM253" s="11" t="inlineStr"/>
      <c r="AN253" s="12" t="inlineStr"/>
      <c r="AO253" s="12" t="inlineStr"/>
      <c r="AP253" s="13" t="inlineStr"/>
      <c r="AQ253" s="13" t="inlineStr"/>
      <c r="AR253" s="13" t="inlineStr"/>
      <c r="AS253" s="13" t="inlineStr"/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7" t="n">
        <v>69996</v>
      </c>
      <c r="AK254" s="8" t="n">
        <v>6556</v>
      </c>
      <c r="AL254" s="8" t="n">
        <v>4666</v>
      </c>
      <c r="AM254" s="11" t="inlineStr"/>
      <c r="AN254" s="12" t="inlineStr"/>
      <c r="AO254" s="12" t="inlineStr"/>
      <c r="AP254" s="13" t="inlineStr"/>
      <c r="AQ254" s="13" t="inlineStr"/>
      <c r="AR254" s="13" t="inlineStr"/>
      <c r="AS254" s="13" t="inlineStr"/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7" t="n">
        <v>28816</v>
      </c>
      <c r="AK255" s="8" t="n">
        <v>-1253</v>
      </c>
      <c r="AL255" s="8" t="n">
        <v>-2494</v>
      </c>
      <c r="AM255" s="11" t="inlineStr"/>
      <c r="AN255" s="12" t="inlineStr"/>
      <c r="AO255" s="12" t="inlineStr"/>
      <c r="AP255" s="13" t="inlineStr"/>
      <c r="AQ255" s="13" t="inlineStr"/>
      <c r="AR255" s="13" t="inlineStr"/>
      <c r="AS255" s="13" t="inlineStr"/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7" t="n">
        <v>49215328</v>
      </c>
      <c r="AK256" s="8" t="n">
        <v>2850888</v>
      </c>
      <c r="AL256" s="8" t="n">
        <v>2887962</v>
      </c>
      <c r="AM256" s="11" t="inlineStr"/>
      <c r="AN256" s="12" t="inlineStr"/>
      <c r="AO256" s="12" t="inlineStr"/>
      <c r="AP256" s="13" t="inlineStr"/>
      <c r="AQ256" s="13" t="inlineStr"/>
      <c r="AR256" s="13" t="inlineStr"/>
      <c r="AS256" s="13" t="inlineStr"/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7" t="n">
        <v>206139</v>
      </c>
      <c r="AK257" s="8" t="n">
        <v>7636</v>
      </c>
      <c r="AL257" s="8" t="n">
        <v>1549</v>
      </c>
      <c r="AM257" s="11" t="inlineStr"/>
      <c r="AN257" s="12" t="inlineStr"/>
      <c r="AO257" s="12" t="inlineStr"/>
      <c r="AP257" s="13" t="inlineStr"/>
      <c r="AQ257" s="13" t="inlineStr"/>
      <c r="AR257" s="13" t="inlineStr"/>
      <c r="AS257" s="13" t="inlineStr"/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7" t="n">
        <v>173874</v>
      </c>
      <c r="AK258" s="8" t="n">
        <v>12924</v>
      </c>
      <c r="AL258" s="8" t="n">
        <v>10333</v>
      </c>
      <c r="AM258" s="11" t="inlineStr"/>
      <c r="AN258" s="12" t="inlineStr"/>
      <c r="AO258" s="12" t="inlineStr"/>
      <c r="AP258" s="13" t="inlineStr"/>
      <c r="AQ258" s="13" t="inlineStr"/>
      <c r="AR258" s="13" t="inlineStr"/>
      <c r="AS258" s="13" t="inlineStr"/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7" t="n">
        <v>2055729</v>
      </c>
      <c r="AK259" s="8" t="n">
        <v>85337</v>
      </c>
      <c r="AL259" s="8" t="n">
        <v>132150</v>
      </c>
      <c r="AM259" s="11" t="inlineStr"/>
      <c r="AN259" s="12" t="inlineStr"/>
      <c r="AO259" s="12" t="inlineStr"/>
      <c r="AP259" s="13" t="inlineStr"/>
      <c r="AQ259" s="13" t="inlineStr"/>
      <c r="AR259" s="13" t="inlineStr"/>
      <c r="AS259" s="13" t="inlineStr"/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7" t="n">
        <v>19258684</v>
      </c>
      <c r="AK260" s="8" t="n">
        <v>819014</v>
      </c>
      <c r="AL260" s="8" t="n">
        <v>761314</v>
      </c>
      <c r="AM260" s="11" t="inlineStr"/>
      <c r="AN260" s="12" t="inlineStr"/>
      <c r="AO260" s="12" t="inlineStr"/>
      <c r="AP260" s="13" t="inlineStr"/>
      <c r="AQ260" s="13" t="inlineStr"/>
      <c r="AR260" s="13" t="inlineStr"/>
      <c r="AS260" s="13" t="inlineStr"/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7" t="inlineStr"/>
      <c r="AK261" s="8" t="n">
        <v>-14</v>
      </c>
      <c r="AL261" s="8" t="n">
        <v>38</v>
      </c>
      <c r="AM261" s="11" t="inlineStr"/>
      <c r="AN261" s="12" t="inlineStr"/>
      <c r="AO261" s="12" t="inlineStr"/>
      <c r="AP261" s="13" t="inlineStr"/>
      <c r="AQ261" s="13" t="inlineStr"/>
      <c r="AR261" s="13" t="inlineStr"/>
      <c r="AS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7" t="n">
        <v>79630</v>
      </c>
      <c r="AK262" s="8" t="n">
        <v>7151</v>
      </c>
      <c r="AL262" s="8" t="n">
        <v>6099</v>
      </c>
      <c r="AM262" s="11" t="inlineStr"/>
      <c r="AN262" s="12" t="inlineStr"/>
      <c r="AO262" s="12" t="inlineStr"/>
      <c r="AP262" s="13" t="inlineStr"/>
      <c r="AQ262" s="13" t="inlineStr"/>
      <c r="AR262" s="13" t="inlineStr"/>
      <c r="AS262" s="13" t="inlineStr"/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7" t="n">
        <v>847831</v>
      </c>
      <c r="AK263" s="8" t="n">
        <v>110</v>
      </c>
      <c r="AL263" s="8" t="n">
        <v>-3052</v>
      </c>
      <c r="AM263" s="11" t="inlineStr"/>
      <c r="AN263" s="12" t="inlineStr"/>
      <c r="AO263" s="12" t="inlineStr"/>
      <c r="AP263" s="13" t="inlineStr"/>
      <c r="AQ263" s="13" t="inlineStr"/>
      <c r="AR263" s="13" t="inlineStr"/>
      <c r="AS263" s="13" t="inlineStr"/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7" t="n">
        <v>94181</v>
      </c>
      <c r="AK264" s="8" t="n">
        <v>8885</v>
      </c>
      <c r="AL264" s="8" t="n">
        <v>6035</v>
      </c>
      <c r="AM264" s="11" t="inlineStr"/>
      <c r="AN264" s="12" t="inlineStr"/>
      <c r="AO264" s="12" t="inlineStr"/>
      <c r="AP264" s="13" t="inlineStr"/>
      <c r="AQ264" s="13" t="inlineStr"/>
      <c r="AR264" s="13" t="inlineStr"/>
      <c r="AS264" s="13" t="inlineStr"/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7" t="n">
        <v>41685</v>
      </c>
      <c r="AK265" s="8" t="n">
        <v>3112</v>
      </c>
      <c r="AL265" s="8" t="n">
        <v>5487</v>
      </c>
      <c r="AM265" s="11" t="inlineStr"/>
      <c r="AN265" s="12" t="inlineStr"/>
      <c r="AO265" s="12" t="inlineStr"/>
      <c r="AP265" s="13" t="inlineStr"/>
      <c r="AQ265" s="13" t="inlineStr"/>
      <c r="AR265" s="13" t="inlineStr"/>
      <c r="AS265" s="13" t="inlineStr"/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7" t="n">
        <v>38980</v>
      </c>
      <c r="AK266" s="8" t="n">
        <v>13229</v>
      </c>
      <c r="AL266" s="8" t="n">
        <v>10378</v>
      </c>
      <c r="AM266" s="11" t="inlineStr"/>
      <c r="AN266" s="12" t="inlineStr"/>
      <c r="AO266" s="12" t="inlineStr"/>
      <c r="AP266" s="13" t="inlineStr"/>
      <c r="AQ266" s="13" t="inlineStr"/>
      <c r="AR266" s="13" t="inlineStr"/>
      <c r="AS266" s="13" t="inlineStr"/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7" t="n">
        <v>258547</v>
      </c>
      <c r="AK267" s="8" t="n">
        <v>13127</v>
      </c>
      <c r="AL267" s="8" t="n">
        <v>20031</v>
      </c>
      <c r="AM267" s="11" t="inlineStr"/>
      <c r="AN267" s="12" t="inlineStr"/>
      <c r="AO267" s="12" t="inlineStr"/>
      <c r="AP267" s="13" t="inlineStr"/>
      <c r="AQ267" s="13" t="inlineStr"/>
      <c r="AR267" s="13" t="inlineStr"/>
      <c r="AS267" s="13" t="inlineStr"/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7" t="n">
        <v>1008642</v>
      </c>
      <c r="AK268" s="8" t="n">
        <v>49075</v>
      </c>
      <c r="AL268" s="8" t="n">
        <v>22868</v>
      </c>
      <c r="AM268" s="11" t="inlineStr"/>
      <c r="AN268" s="12" t="inlineStr"/>
      <c r="AO268" s="12" t="inlineStr"/>
      <c r="AP268" s="13" t="inlineStr"/>
      <c r="AQ268" s="13" t="inlineStr"/>
      <c r="AR268" s="13" t="inlineStr"/>
      <c r="AS268" s="13" t="inlineStr"/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7" t="n">
        <v>264738</v>
      </c>
      <c r="AK269" s="8" t="n">
        <v>12585</v>
      </c>
      <c r="AL269" s="8" t="n">
        <v>7934</v>
      </c>
      <c r="AM269" s="11" t="inlineStr"/>
      <c r="AN269" s="12" t="inlineStr"/>
      <c r="AO269" s="12" t="inlineStr"/>
      <c r="AP269" s="13" t="inlineStr"/>
      <c r="AQ269" s="13" t="inlineStr"/>
      <c r="AR269" s="13" t="inlineStr"/>
      <c r="AS269" s="13" t="inlineStr"/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7" t="n">
        <v>80255</v>
      </c>
      <c r="AK270" s="8" t="n">
        <v>6571</v>
      </c>
      <c r="AL270" s="8" t="n">
        <v>4313</v>
      </c>
      <c r="AM270" s="11" t="inlineStr"/>
      <c r="AN270" s="12" t="inlineStr"/>
      <c r="AO270" s="12" t="inlineStr"/>
      <c r="AP270" s="13" t="inlineStr"/>
      <c r="AQ270" s="13" t="inlineStr"/>
      <c r="AR270" s="13" t="inlineStr"/>
      <c r="AS270" s="13" t="inlineStr"/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7" t="n">
        <v>59372</v>
      </c>
      <c r="AK271" s="8" t="n">
        <v>-45</v>
      </c>
      <c r="AL271" s="8" t="n">
        <v>206</v>
      </c>
      <c r="AM271" s="11" t="inlineStr"/>
      <c r="AN271" s="12" t="inlineStr"/>
      <c r="AO271" s="12" t="inlineStr"/>
      <c r="AP271" s="13" t="inlineStr"/>
      <c r="AQ271" s="13" t="inlineStr"/>
      <c r="AR271" s="13" t="inlineStr"/>
      <c r="AS271" s="13" t="inlineStr"/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7" t="n">
        <v>162813</v>
      </c>
      <c r="AK272" s="8" t="n">
        <v>41325</v>
      </c>
      <c r="AL272" s="8" t="n">
        <v>38114</v>
      </c>
      <c r="AM272" s="11" t="inlineStr"/>
      <c r="AN272" s="12" t="inlineStr"/>
      <c r="AO272" s="12" t="inlineStr"/>
      <c r="AP272" s="13" t="inlineStr"/>
      <c r="AQ272" s="13" t="inlineStr"/>
      <c r="AR272" s="13" t="inlineStr"/>
      <c r="AS272" s="13" t="inlineStr"/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7" t="n">
        <v>22256</v>
      </c>
      <c r="AK273" s="8" t="n">
        <v>789</v>
      </c>
      <c r="AL273" s="8" t="n">
        <v>1860</v>
      </c>
      <c r="AM273" s="11" t="inlineStr"/>
      <c r="AN273" s="12" t="inlineStr"/>
      <c r="AO273" s="12" t="inlineStr"/>
      <c r="AP273" s="13" t="inlineStr"/>
      <c r="AQ273" s="13" t="inlineStr"/>
      <c r="AR273" s="13" t="inlineStr"/>
      <c r="AS273" s="13" t="inlineStr"/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8" t="n">
        <v>1173878</v>
      </c>
      <c r="AL274" s="8" t="n">
        <v>876864</v>
      </c>
      <c r="AM274" s="11" t="inlineStr"/>
      <c r="AN274" s="12" t="inlineStr"/>
      <c r="AO274" s="12" t="inlineStr"/>
      <c r="AP274" s="13" t="inlineStr"/>
      <c r="AQ274" s="13" t="inlineStr"/>
      <c r="AR274" s="13" t="inlineStr"/>
      <c r="AS274" s="13" t="inlineStr"/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7" t="n">
        <v>1367310</v>
      </c>
      <c r="AK275" s="8" t="n">
        <v>125755</v>
      </c>
      <c r="AL275" s="8" t="n">
        <v>112152</v>
      </c>
      <c r="AM275" s="11" t="inlineStr"/>
      <c r="AN275" s="12" t="inlineStr"/>
      <c r="AO275" s="12" t="inlineStr"/>
      <c r="AP275" s="13" t="inlineStr"/>
      <c r="AQ275" s="13" t="inlineStr"/>
      <c r="AR275" s="13" t="inlineStr"/>
      <c r="AS275" s="13" t="inlineStr"/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7" t="n">
        <v>119773</v>
      </c>
      <c r="AK276" s="8" t="n">
        <v>-377</v>
      </c>
      <c r="AL276" s="8" t="n">
        <v>-229</v>
      </c>
      <c r="AM276" s="11" t="inlineStr"/>
      <c r="AN276" s="12" t="inlineStr"/>
      <c r="AO276" s="12" t="inlineStr"/>
      <c r="AP276" s="13" t="inlineStr"/>
      <c r="AQ276" s="13" t="inlineStr"/>
      <c r="AR276" s="13" t="inlineStr"/>
      <c r="AS276" s="13" t="inlineStr"/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7" t="n">
        <v>29260</v>
      </c>
      <c r="AK277" s="8" t="n">
        <v>-428</v>
      </c>
      <c r="AL277" s="8" t="n">
        <v>243</v>
      </c>
      <c r="AM277" s="11" t="inlineStr"/>
      <c r="AN277" s="12" t="inlineStr"/>
      <c r="AO277" s="12" t="inlineStr"/>
      <c r="AP277" s="13" t="inlineStr"/>
      <c r="AQ277" s="13" t="inlineStr"/>
      <c r="AR277" s="13" t="inlineStr"/>
      <c r="AS277" s="13" t="inlineStr"/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7" t="n">
        <v>312833</v>
      </c>
      <c r="AK278" s="8" t="n">
        <v>62927</v>
      </c>
      <c r="AL278" s="8" t="n">
        <v>57478</v>
      </c>
      <c r="AM278" s="11" t="inlineStr"/>
      <c r="AN278" s="12" t="inlineStr"/>
      <c r="AO278" s="12" t="inlineStr"/>
      <c r="AP278" s="13" t="inlineStr"/>
      <c r="AQ278" s="13" t="inlineStr"/>
      <c r="AR278" s="13" t="inlineStr"/>
      <c r="AS278" s="13" t="inlineStr"/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2026Q3</t>
        </is>
      </c>
      <c r="E279" s="6" t="inlineStr">
        <is>
          <t>2023Q4, 2026Q3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7" t="n">
        <v>171499470</v>
      </c>
      <c r="AK279" s="8" t="n">
        <v>89492412</v>
      </c>
      <c r="AL279" s="8" t="n">
        <v>71624461</v>
      </c>
      <c r="AM279" s="14" t="n">
        <v>195000000</v>
      </c>
      <c r="AN279" s="15" t="n">
        <v>107400000</v>
      </c>
      <c r="AO279" s="12" t="inlineStr"/>
      <c r="AP279" s="13" t="n">
        <v>13.7</v>
      </c>
      <c r="AQ279" s="13" t="n">
        <v>126.6</v>
      </c>
      <c r="AR279" s="13" t="n">
        <v>20</v>
      </c>
      <c r="AS279" s="13" t="n">
        <v>782.8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8" t="n">
        <v>681245</v>
      </c>
      <c r="AL280" s="8" t="n">
        <v>489437</v>
      </c>
      <c r="AM280" s="11" t="inlineStr"/>
      <c r="AN280" s="12" t="inlineStr"/>
      <c r="AO280" s="12" t="inlineStr"/>
      <c r="AP280" s="13" t="inlineStr"/>
      <c r="AQ280" s="13" t="inlineStr"/>
      <c r="AR280" s="13" t="inlineStr"/>
      <c r="AS280" s="13" t="inlineStr"/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7" t="n">
        <v>743435</v>
      </c>
      <c r="AK281" s="8" t="n">
        <v>96559</v>
      </c>
      <c r="AL281" s="8" t="n">
        <v>77842</v>
      </c>
      <c r="AM281" s="11" t="inlineStr"/>
      <c r="AN281" s="12" t="inlineStr"/>
      <c r="AO281" s="12" t="inlineStr"/>
      <c r="AP281" s="13" t="inlineStr"/>
      <c r="AQ281" s="13" t="inlineStr"/>
      <c r="AR281" s="13" t="inlineStr"/>
      <c r="AS281" s="13" t="inlineStr"/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7" t="n">
        <v>596121</v>
      </c>
      <c r="AK282" s="8" t="n">
        <v>18035</v>
      </c>
      <c r="AL282" s="8" t="n">
        <v>23101</v>
      </c>
      <c r="AM282" s="11" t="inlineStr"/>
      <c r="AN282" s="12" t="inlineStr"/>
      <c r="AO282" s="12" t="inlineStr"/>
      <c r="AP282" s="13" t="inlineStr"/>
      <c r="AQ282" s="13" t="inlineStr"/>
      <c r="AR282" s="13" t="inlineStr"/>
      <c r="AS282" s="13" t="inlineStr"/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7" t="n">
        <v>575687</v>
      </c>
      <c r="AK283" s="8" t="n">
        <v>22721</v>
      </c>
      <c r="AL283" s="8" t="n">
        <v>19717</v>
      </c>
      <c r="AM283" s="11" t="inlineStr"/>
      <c r="AN283" s="12" t="inlineStr"/>
      <c r="AO283" s="12" t="inlineStr"/>
      <c r="AP283" s="13" t="inlineStr"/>
      <c r="AQ283" s="13" t="inlineStr"/>
      <c r="AR283" s="13" t="inlineStr"/>
      <c r="AS283" s="13" t="inlineStr"/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7" t="n">
        <v>2571954</v>
      </c>
      <c r="AK284" s="8" t="n">
        <v>151458</v>
      </c>
      <c r="AL284" s="8" t="n">
        <v>104623</v>
      </c>
      <c r="AM284" s="11" t="inlineStr"/>
      <c r="AN284" s="12" t="inlineStr"/>
      <c r="AO284" s="12" t="inlineStr"/>
      <c r="AP284" s="13" t="inlineStr"/>
      <c r="AQ284" s="13" t="inlineStr"/>
      <c r="AR284" s="13" t="inlineStr"/>
      <c r="AS284" s="13" t="inlineStr"/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7" t="n">
        <v>13184</v>
      </c>
      <c r="AK285" s="8" t="n">
        <v>-483</v>
      </c>
      <c r="AL285" s="8" t="n">
        <v>-826</v>
      </c>
      <c r="AM285" s="11" t="inlineStr"/>
      <c r="AN285" s="12" t="inlineStr"/>
      <c r="AO285" s="12" t="inlineStr"/>
      <c r="AP285" s="13" t="inlineStr"/>
      <c r="AQ285" s="13" t="inlineStr"/>
      <c r="AR285" s="13" t="inlineStr"/>
      <c r="AS285" s="13" t="inlineStr"/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7" t="n">
        <v>458189</v>
      </c>
      <c r="AK286" s="8" t="n">
        <v>21686</v>
      </c>
      <c r="AL286" s="8" t="n">
        <v>8128</v>
      </c>
      <c r="AM286" s="11" t="inlineStr"/>
      <c r="AN286" s="12" t="inlineStr"/>
      <c r="AO286" s="12" t="inlineStr"/>
      <c r="AP286" s="13" t="inlineStr"/>
      <c r="AQ286" s="13" t="inlineStr"/>
      <c r="AR286" s="13" t="inlineStr"/>
      <c r="AS286" s="13" t="inlineStr"/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7" t="n">
        <v>92117</v>
      </c>
      <c r="AK287" s="8" t="n">
        <v>476</v>
      </c>
      <c r="AL287" s="8" t="n">
        <v>2150</v>
      </c>
      <c r="AM287" s="11" t="inlineStr"/>
      <c r="AN287" s="12" t="inlineStr"/>
      <c r="AO287" s="12" t="inlineStr"/>
      <c r="AP287" s="13" t="inlineStr"/>
      <c r="AQ287" s="13" t="inlineStr"/>
      <c r="AR287" s="13" t="inlineStr"/>
      <c r="AS287" s="13" t="inlineStr"/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7" t="n">
        <v>96925</v>
      </c>
      <c r="AK288" s="8" t="n">
        <v>1745</v>
      </c>
      <c r="AL288" s="8" t="n">
        <v>261</v>
      </c>
      <c r="AM288" s="11" t="inlineStr"/>
      <c r="AN288" s="12" t="inlineStr"/>
      <c r="AO288" s="12" t="inlineStr"/>
      <c r="AP288" s="13" t="inlineStr"/>
      <c r="AQ288" s="13" t="inlineStr"/>
      <c r="AR288" s="13" t="inlineStr"/>
      <c r="AS288" s="13" t="inlineStr"/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7" t="n">
        <v>3055582</v>
      </c>
      <c r="AK289" s="8" t="n">
        <v>-30355</v>
      </c>
      <c r="AL289" s="8" t="n">
        <v>-58555</v>
      </c>
      <c r="AM289" s="11" t="inlineStr"/>
      <c r="AN289" s="12" t="inlineStr"/>
      <c r="AO289" s="12" t="inlineStr"/>
      <c r="AP289" s="13" t="inlineStr"/>
      <c r="AQ289" s="13" t="inlineStr"/>
      <c r="AR289" s="13" t="inlineStr"/>
      <c r="AS289" s="13" t="inlineStr"/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7" t="n">
        <v>50658</v>
      </c>
      <c r="AK290" s="8" t="n">
        <v>1756</v>
      </c>
      <c r="AL290" s="8" t="n">
        <v>1841</v>
      </c>
      <c r="AM290" s="11" t="inlineStr"/>
      <c r="AN290" s="12" t="inlineStr"/>
      <c r="AO290" s="12" t="inlineStr"/>
      <c r="AP290" s="13" t="inlineStr"/>
      <c r="AQ290" s="13" t="inlineStr"/>
      <c r="AR290" s="13" t="inlineStr"/>
      <c r="AS290" s="13" t="inlineStr"/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7" t="n">
        <v>80624</v>
      </c>
      <c r="AK291" s="8" t="n">
        <v>-2370</v>
      </c>
      <c r="AL291" s="8" t="n">
        <v>-2108</v>
      </c>
      <c r="AM291" s="11" t="inlineStr"/>
      <c r="AN291" s="12" t="inlineStr"/>
      <c r="AO291" s="12" t="inlineStr"/>
      <c r="AP291" s="13" t="inlineStr"/>
      <c r="AQ291" s="13" t="inlineStr"/>
      <c r="AR291" s="13" t="inlineStr"/>
      <c r="AS291" s="13" t="inlineStr"/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8" t="n">
        <v>4998</v>
      </c>
      <c r="AL292" s="8" t="n">
        <v>4763</v>
      </c>
      <c r="AM292" s="11" t="inlineStr"/>
      <c r="AN292" s="12" t="inlineStr"/>
      <c r="AO292" s="12" t="inlineStr"/>
      <c r="AP292" s="13" t="inlineStr"/>
      <c r="AQ292" s="13" t="inlineStr"/>
      <c r="AR292" s="13" t="inlineStr"/>
      <c r="AS292" s="13" t="inlineStr"/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7" t="n">
        <v>11023562</v>
      </c>
      <c r="AK293" s="8" t="n">
        <v>595567</v>
      </c>
      <c r="AL293" s="8" t="n">
        <v>296680</v>
      </c>
      <c r="AM293" s="11" t="inlineStr"/>
      <c r="AN293" s="12" t="inlineStr"/>
      <c r="AO293" s="12" t="inlineStr"/>
      <c r="AP293" s="13" t="inlineStr"/>
      <c r="AQ293" s="13" t="inlineStr"/>
      <c r="AR293" s="13" t="inlineStr"/>
      <c r="AS293" s="13" t="inlineStr"/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7" t="n">
        <v>421180</v>
      </c>
      <c r="AK294" s="8" t="n">
        <v>1730</v>
      </c>
      <c r="AL294" s="8" t="n">
        <v>1050</v>
      </c>
      <c r="AM294" s="11" t="inlineStr"/>
      <c r="AN294" s="12" t="inlineStr"/>
      <c r="AO294" s="12" t="inlineStr"/>
      <c r="AP294" s="13" t="inlineStr"/>
      <c r="AQ294" s="13" t="inlineStr"/>
      <c r="AR294" s="13" t="inlineStr"/>
      <c r="AS294" s="13" t="inlineStr"/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7" t="n">
        <v>278068</v>
      </c>
      <c r="AK295" s="8" t="n">
        <v>3727</v>
      </c>
      <c r="AL295" s="8" t="n">
        <v>3514</v>
      </c>
      <c r="AM295" s="11" t="inlineStr"/>
      <c r="AN295" s="12" t="inlineStr"/>
      <c r="AO295" s="12" t="inlineStr"/>
      <c r="AP295" s="13" t="inlineStr"/>
      <c r="AQ295" s="13" t="inlineStr"/>
      <c r="AR295" s="13" t="inlineStr"/>
      <c r="AS295" s="13" t="inlineStr"/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7" t="n">
        <v>2779365</v>
      </c>
      <c r="AK296" s="8" t="n">
        <v>91354</v>
      </c>
      <c r="AL296" s="8" t="n">
        <v>14371</v>
      </c>
      <c r="AM296" s="11" t="inlineStr"/>
      <c r="AN296" s="12" t="inlineStr"/>
      <c r="AO296" s="12" t="inlineStr"/>
      <c r="AP296" s="13" t="inlineStr"/>
      <c r="AQ296" s="13" t="inlineStr"/>
      <c r="AR296" s="13" t="inlineStr"/>
      <c r="AS296" s="13" t="inlineStr"/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7" t="n">
        <v>11641</v>
      </c>
      <c r="AK297" s="8" t="n">
        <v>-3891</v>
      </c>
      <c r="AL297" s="8" t="n">
        <v>-8574</v>
      </c>
      <c r="AM297" s="11" t="inlineStr"/>
      <c r="AN297" s="12" t="inlineStr"/>
      <c r="AO297" s="12" t="inlineStr"/>
      <c r="AP297" s="13" t="inlineStr"/>
      <c r="AQ297" s="13" t="inlineStr"/>
      <c r="AR297" s="13" t="inlineStr"/>
      <c r="AS297" s="13" t="inlineStr"/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7" t="n">
        <v>12364</v>
      </c>
      <c r="AK298" s="8" t="n">
        <v>-273</v>
      </c>
      <c r="AL298" s="8" t="n">
        <v>-3519</v>
      </c>
      <c r="AM298" s="11" t="inlineStr"/>
      <c r="AN298" s="12" t="inlineStr"/>
      <c r="AO298" s="12" t="inlineStr"/>
      <c r="AP298" s="13" t="inlineStr"/>
      <c r="AQ298" s="13" t="inlineStr"/>
      <c r="AR298" s="13" t="inlineStr"/>
      <c r="AS298" s="13" t="inlineStr"/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7" t="n">
        <v>3768808</v>
      </c>
      <c r="AK299" s="8" t="n">
        <v>203775</v>
      </c>
      <c r="AL299" s="8" t="n">
        <v>471626</v>
      </c>
      <c r="AM299" s="11" t="inlineStr"/>
      <c r="AN299" s="12" t="inlineStr"/>
      <c r="AO299" s="12" t="inlineStr"/>
      <c r="AP299" s="13" t="inlineStr"/>
      <c r="AQ299" s="13" t="inlineStr"/>
      <c r="AR299" s="13" t="inlineStr"/>
      <c r="AS299" s="13" t="inlineStr"/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7" t="n">
        <v>24780</v>
      </c>
      <c r="AK300" s="8" t="n">
        <v>-1312</v>
      </c>
      <c r="AL300" s="8" t="n">
        <v>-5799</v>
      </c>
      <c r="AM300" s="11" t="inlineStr"/>
      <c r="AN300" s="12" t="inlineStr"/>
      <c r="AO300" s="12" t="inlineStr"/>
      <c r="AP300" s="13" t="inlineStr"/>
      <c r="AQ300" s="13" t="inlineStr"/>
      <c r="AR300" s="13" t="inlineStr"/>
      <c r="AS300" s="13" t="inlineStr"/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7" t="n">
        <v>34014</v>
      </c>
      <c r="AK301" s="8" t="n">
        <v>-1944</v>
      </c>
      <c r="AL301" s="8" t="n">
        <v>-1969</v>
      </c>
      <c r="AM301" s="11" t="inlineStr"/>
      <c r="AN301" s="12" t="inlineStr"/>
      <c r="AO301" s="12" t="inlineStr"/>
      <c r="AP301" s="13" t="inlineStr"/>
      <c r="AQ301" s="13" t="inlineStr"/>
      <c r="AR301" s="13" t="inlineStr"/>
      <c r="AS301" s="13" t="inlineStr"/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7" t="n">
        <v>59475</v>
      </c>
      <c r="AK302" s="8" t="n">
        <v>-6454</v>
      </c>
      <c r="AL302" s="8" t="n">
        <v>-6141</v>
      </c>
      <c r="AM302" s="11" t="inlineStr"/>
      <c r="AN302" s="12" t="inlineStr"/>
      <c r="AO302" s="12" t="inlineStr"/>
      <c r="AP302" s="13" t="inlineStr"/>
      <c r="AQ302" s="13" t="inlineStr"/>
      <c r="AR302" s="13" t="inlineStr"/>
      <c r="AS302" s="13" t="inlineStr"/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7" t="n">
        <v>956254</v>
      </c>
      <c r="AK303" s="8" t="n">
        <v>-3877</v>
      </c>
      <c r="AL303" s="8" t="n">
        <v>-1466</v>
      </c>
      <c r="AM303" s="11" t="inlineStr"/>
      <c r="AN303" s="12" t="inlineStr"/>
      <c r="AO303" s="12" t="inlineStr"/>
      <c r="AP303" s="13" t="inlineStr"/>
      <c r="AQ303" s="13" t="inlineStr"/>
      <c r="AR303" s="13" t="inlineStr"/>
      <c r="AS303" s="13" t="inlineStr"/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7" t="n">
        <v>31892</v>
      </c>
      <c r="AK304" s="8" t="n">
        <v>2498</v>
      </c>
      <c r="AL304" s="8" t="n">
        <v>6313</v>
      </c>
      <c r="AM304" s="11" t="inlineStr"/>
      <c r="AN304" s="12" t="inlineStr"/>
      <c r="AO304" s="12" t="inlineStr"/>
      <c r="AP304" s="13" t="inlineStr"/>
      <c r="AQ304" s="13" t="inlineStr"/>
      <c r="AR304" s="13" t="inlineStr"/>
      <c r="AS304" s="13" t="inlineStr"/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7" t="n">
        <v>87676</v>
      </c>
      <c r="AK305" s="8" t="n">
        <v>18272</v>
      </c>
      <c r="AL305" s="8" t="n">
        <v>6154</v>
      </c>
      <c r="AM305" s="11" t="inlineStr"/>
      <c r="AN305" s="12" t="inlineStr"/>
      <c r="AO305" s="12" t="inlineStr"/>
      <c r="AP305" s="13" t="inlineStr"/>
      <c r="AQ305" s="13" t="inlineStr"/>
      <c r="AR305" s="13" t="inlineStr"/>
      <c r="AS305" s="13" t="inlineStr"/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7" t="n">
        <v>28216</v>
      </c>
      <c r="AK306" s="8" t="n">
        <v>760</v>
      </c>
      <c r="AL306" s="8" t="n">
        <v>-1236</v>
      </c>
      <c r="AM306" s="11" t="inlineStr"/>
      <c r="AN306" s="12" t="inlineStr"/>
      <c r="AO306" s="12" t="inlineStr"/>
      <c r="AP306" s="13" t="inlineStr"/>
      <c r="AQ306" s="13" t="inlineStr"/>
      <c r="AR306" s="13" t="inlineStr"/>
      <c r="AS306" s="13" t="inlineStr"/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7" t="n">
        <v>21631395</v>
      </c>
      <c r="AK307" s="8" t="n">
        <v>2489873</v>
      </c>
      <c r="AL307" s="8" t="n">
        <v>1905216</v>
      </c>
      <c r="AM307" s="11" t="inlineStr"/>
      <c r="AN307" s="12" t="inlineStr"/>
      <c r="AO307" s="12" t="inlineStr"/>
      <c r="AP307" s="13" t="inlineStr"/>
      <c r="AQ307" s="13" t="inlineStr"/>
      <c r="AR307" s="13" t="inlineStr"/>
      <c r="AS307" s="13" t="inlineStr"/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7" t="n">
        <v>1025544</v>
      </c>
      <c r="AK308" s="8" t="n">
        <v>-931</v>
      </c>
      <c r="AL308" s="8" t="n">
        <v>-4823</v>
      </c>
      <c r="AM308" s="11" t="inlineStr"/>
      <c r="AN308" s="12" t="inlineStr"/>
      <c r="AO308" s="12" t="inlineStr"/>
      <c r="AP308" s="13" t="inlineStr"/>
      <c r="AQ308" s="13" t="inlineStr"/>
      <c r="AR308" s="13" t="inlineStr"/>
      <c r="AS308" s="13" t="inlineStr"/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7" t="n">
        <v>46179</v>
      </c>
      <c r="AK309" s="8" t="n">
        <v>1516</v>
      </c>
      <c r="AL309" s="8" t="n">
        <v>109</v>
      </c>
      <c r="AM309" s="11" t="inlineStr"/>
      <c r="AN309" s="12" t="inlineStr"/>
      <c r="AO309" s="12" t="inlineStr"/>
      <c r="AP309" s="13" t="inlineStr"/>
      <c r="AQ309" s="13" t="inlineStr"/>
      <c r="AR309" s="13" t="inlineStr"/>
      <c r="AS309" s="13" t="inlineStr"/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7" t="n">
        <v>12165</v>
      </c>
      <c r="AK310" s="8" t="n">
        <v>-1813</v>
      </c>
      <c r="AL310" s="8" t="n">
        <v>343</v>
      </c>
      <c r="AM310" s="11" t="inlineStr"/>
      <c r="AN310" s="12" t="inlineStr"/>
      <c r="AO310" s="12" t="inlineStr"/>
      <c r="AP310" s="13" t="inlineStr"/>
      <c r="AQ310" s="13" t="inlineStr"/>
      <c r="AR310" s="13" t="inlineStr"/>
      <c r="AS310" s="13" t="inlineStr"/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7" t="inlineStr"/>
      <c r="AK311" s="8" t="n">
        <v>-9</v>
      </c>
      <c r="AL311" s="8" t="n">
        <v>40</v>
      </c>
      <c r="AM311" s="11" t="inlineStr"/>
      <c r="AN311" s="12" t="inlineStr"/>
      <c r="AO311" s="12" t="inlineStr"/>
      <c r="AP311" s="13" t="inlineStr"/>
      <c r="AQ311" s="13" t="inlineStr"/>
      <c r="AR311" s="13" t="inlineStr"/>
      <c r="AS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7" t="n">
        <v>24391</v>
      </c>
      <c r="AK312" s="8" t="n">
        <v>4726</v>
      </c>
      <c r="AL312" s="8" t="n">
        <v>4161</v>
      </c>
      <c r="AM312" s="11" t="inlineStr"/>
      <c r="AN312" s="12" t="inlineStr"/>
      <c r="AO312" s="12" t="inlineStr"/>
      <c r="AP312" s="13" t="inlineStr"/>
      <c r="AQ312" s="13" t="inlineStr"/>
      <c r="AR312" s="13" t="inlineStr"/>
      <c r="AS312" s="13" t="inlineStr"/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7" t="n">
        <v>22149</v>
      </c>
      <c r="AK313" s="8" t="n">
        <v>1173</v>
      </c>
      <c r="AL313" s="8" t="n">
        <v>1103</v>
      </c>
      <c r="AM313" s="11" t="inlineStr"/>
      <c r="AN313" s="12" t="inlineStr"/>
      <c r="AO313" s="12" t="inlineStr"/>
      <c r="AP313" s="13" t="inlineStr"/>
      <c r="AQ313" s="13" t="inlineStr"/>
      <c r="AR313" s="13" t="inlineStr"/>
      <c r="AS313" s="13" t="inlineStr"/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7" t="n">
        <v>163998</v>
      </c>
      <c r="AK314" s="8" t="n">
        <v>334</v>
      </c>
      <c r="AL314" s="8" t="n">
        <v>-3001</v>
      </c>
      <c r="AM314" s="11" t="inlineStr"/>
      <c r="AN314" s="12" t="inlineStr"/>
      <c r="AO314" s="12" t="inlineStr"/>
      <c r="AP314" s="13" t="inlineStr"/>
      <c r="AQ314" s="13" t="inlineStr"/>
      <c r="AR314" s="13" t="inlineStr"/>
      <c r="AS314" s="13" t="inlineStr"/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7" t="n">
        <v>3175143</v>
      </c>
      <c r="AK315" s="8" t="n">
        <v>109407</v>
      </c>
      <c r="AL315" s="8" t="n">
        <v>64649</v>
      </c>
      <c r="AM315" s="11" t="inlineStr"/>
      <c r="AN315" s="12" t="inlineStr"/>
      <c r="AO315" s="12" t="inlineStr"/>
      <c r="AP315" s="13" t="inlineStr"/>
      <c r="AQ315" s="13" t="inlineStr"/>
      <c r="AR315" s="13" t="inlineStr"/>
      <c r="AS315" s="13" t="inlineStr"/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7" t="inlineStr"/>
      <c r="AK316" s="8" t="n">
        <v>380</v>
      </c>
      <c r="AL316" s="8" t="n">
        <v>99</v>
      </c>
      <c r="AM316" s="11" t="inlineStr"/>
      <c r="AN316" s="12" t="inlineStr"/>
      <c r="AO316" s="12" t="inlineStr"/>
      <c r="AP316" s="13" t="inlineStr"/>
      <c r="AQ316" s="13" t="inlineStr"/>
      <c r="AR316" s="13" t="inlineStr"/>
      <c r="AS316" s="13" t="inlineStr"/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7" t="n">
        <v>2548</v>
      </c>
      <c r="AK317" s="8" t="n">
        <v>127</v>
      </c>
      <c r="AL317" s="8" t="n">
        <v>-2436</v>
      </c>
      <c r="AM317" s="11" t="inlineStr"/>
      <c r="AN317" s="12" t="inlineStr"/>
      <c r="AO317" s="12" t="inlineStr"/>
      <c r="AP317" s="13" t="inlineStr"/>
      <c r="AQ317" s="13" t="inlineStr"/>
      <c r="AR317" s="13" t="inlineStr"/>
      <c r="AS317" s="13" t="inlineStr"/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7" t="n">
        <v>186669</v>
      </c>
      <c r="AK318" s="8" t="n">
        <v>16382</v>
      </c>
      <c r="AL318" s="8" t="n">
        <v>-44108</v>
      </c>
      <c r="AM318" s="11" t="inlineStr"/>
      <c r="AN318" s="12" t="inlineStr"/>
      <c r="AO318" s="12" t="inlineStr"/>
      <c r="AP318" s="13" t="inlineStr"/>
      <c r="AQ318" s="13" t="inlineStr"/>
      <c r="AR318" s="13" t="inlineStr"/>
      <c r="AS318" s="13" t="inlineStr"/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7" t="inlineStr"/>
      <c r="AK319" s="8" t="n">
        <v>-5</v>
      </c>
      <c r="AL319" s="8" t="n">
        <v>41</v>
      </c>
      <c r="AM319" s="11" t="inlineStr"/>
      <c r="AN319" s="12" t="inlineStr"/>
      <c r="AO319" s="12" t="inlineStr"/>
      <c r="AP319" s="13" t="inlineStr"/>
      <c r="AQ319" s="13" t="inlineStr"/>
      <c r="AR319" s="13" t="inlineStr"/>
      <c r="AS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7" t="n">
        <v>162600</v>
      </c>
      <c r="AK320" s="8" t="n">
        <v>9825</v>
      </c>
      <c r="AL320" s="8" t="n">
        <v>7628</v>
      </c>
      <c r="AM320" s="11" t="inlineStr"/>
      <c r="AN320" s="12" t="inlineStr"/>
      <c r="AO320" s="12" t="inlineStr"/>
      <c r="AP320" s="13" t="inlineStr"/>
      <c r="AQ320" s="13" t="inlineStr"/>
      <c r="AR320" s="13" t="inlineStr"/>
      <c r="AS320" s="13" t="inlineStr"/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7" t="n">
        <v>255230</v>
      </c>
      <c r="AK321" s="8" t="n">
        <v>473</v>
      </c>
      <c r="AL321" s="8" t="n">
        <v>142</v>
      </c>
      <c r="AM321" s="11" t="inlineStr"/>
      <c r="AN321" s="12" t="inlineStr"/>
      <c r="AO321" s="12" t="inlineStr"/>
      <c r="AP321" s="13" t="inlineStr"/>
      <c r="AQ321" s="13" t="inlineStr"/>
      <c r="AR321" s="13" t="inlineStr"/>
      <c r="AS321" s="13" t="inlineStr"/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7" t="n">
        <v>0</v>
      </c>
      <c r="AK322" s="8" t="n">
        <v>-13</v>
      </c>
      <c r="AL322" s="8" t="n">
        <v>52</v>
      </c>
      <c r="AM322" s="11" t="inlineStr"/>
      <c r="AN322" s="12" t="inlineStr"/>
      <c r="AO322" s="12" t="inlineStr"/>
      <c r="AP322" s="13" t="inlineStr"/>
      <c r="AQ322" s="13" t="inlineStr"/>
      <c r="AR322" s="13" t="inlineStr"/>
      <c r="AS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7" t="n">
        <v>943802</v>
      </c>
      <c r="AK323" s="8" t="n">
        <v>45258</v>
      </c>
      <c r="AL323" s="8" t="n">
        <v>33205</v>
      </c>
      <c r="AM323" s="11" t="inlineStr"/>
      <c r="AN323" s="12" t="inlineStr"/>
      <c r="AO323" s="12" t="inlineStr"/>
      <c r="AP323" s="13" t="inlineStr"/>
      <c r="AQ323" s="13" t="inlineStr"/>
      <c r="AR323" s="13" t="inlineStr"/>
      <c r="AS323" s="13" t="inlineStr"/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7" t="inlineStr"/>
      <c r="AK324" s="8" t="n">
        <v>1312</v>
      </c>
      <c r="AL324" s="8" t="n">
        <v>4869</v>
      </c>
      <c r="AM324" s="11" t="inlineStr"/>
      <c r="AN324" s="12" t="inlineStr"/>
      <c r="AO324" s="12" t="inlineStr"/>
      <c r="AP324" s="13" t="inlineStr"/>
      <c r="AQ324" s="13" t="inlineStr"/>
      <c r="AR324" s="13" t="inlineStr"/>
      <c r="AS324" s="13" t="inlineStr"/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7" t="n">
        <v>1249320</v>
      </c>
      <c r="AK325" s="8" t="n">
        <v>205436</v>
      </c>
      <c r="AL325" s="8" t="n">
        <v>157872</v>
      </c>
      <c r="AM325" s="11" t="inlineStr"/>
      <c r="AN325" s="12" t="inlineStr"/>
      <c r="AO325" s="12" t="inlineStr"/>
      <c r="AP325" s="13" t="inlineStr"/>
      <c r="AQ325" s="13" t="inlineStr"/>
      <c r="AR325" s="13" t="inlineStr"/>
      <c r="AS325" s="13" t="inlineStr"/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7" t="n">
        <v>32646</v>
      </c>
      <c r="AK326" s="8" t="n">
        <v>4215</v>
      </c>
      <c r="AL326" s="8" t="n">
        <v>2201</v>
      </c>
      <c r="AM326" s="11" t="inlineStr"/>
      <c r="AN326" s="12" t="inlineStr"/>
      <c r="AO326" s="12" t="inlineStr"/>
      <c r="AP326" s="13" t="inlineStr"/>
      <c r="AQ326" s="13" t="inlineStr"/>
      <c r="AR326" s="13" t="inlineStr"/>
      <c r="AS326" s="13" t="inlineStr"/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7" t="n">
        <v>6196</v>
      </c>
      <c r="AK327" s="8" t="n">
        <v>-702</v>
      </c>
      <c r="AL327" s="8" t="n">
        <v>-637</v>
      </c>
      <c r="AM327" s="11" t="inlineStr"/>
      <c r="AN327" s="12" t="inlineStr"/>
      <c r="AO327" s="12" t="inlineStr"/>
      <c r="AP327" s="13" t="inlineStr"/>
      <c r="AQ327" s="13" t="inlineStr"/>
      <c r="AR327" s="13" t="inlineStr"/>
      <c r="AS327" s="13" t="inlineStr"/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7" t="n">
        <v>35526</v>
      </c>
      <c r="AK328" s="8" t="n">
        <v>-22445</v>
      </c>
      <c r="AL328" s="8" t="n">
        <v>-42306</v>
      </c>
      <c r="AM328" s="11" t="inlineStr"/>
      <c r="AN328" s="12" t="inlineStr"/>
      <c r="AO328" s="12" t="inlineStr"/>
      <c r="AP328" s="13" t="inlineStr"/>
      <c r="AQ328" s="13" t="inlineStr"/>
      <c r="AR328" s="13" t="inlineStr"/>
      <c r="AS328" s="13" t="inlineStr"/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7" t="n">
        <v>45794</v>
      </c>
      <c r="AK329" s="8" t="n">
        <v>279</v>
      </c>
      <c r="AL329" s="8" t="n">
        <v>-526</v>
      </c>
      <c r="AM329" s="11" t="inlineStr"/>
      <c r="AN329" s="12" t="inlineStr"/>
      <c r="AO329" s="12" t="inlineStr"/>
      <c r="AP329" s="13" t="inlineStr"/>
      <c r="AQ329" s="13" t="inlineStr"/>
      <c r="AR329" s="13" t="inlineStr"/>
      <c r="AS329" s="13" t="inlineStr"/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7" t="n">
        <v>100345</v>
      </c>
      <c r="AK330" s="8" t="n">
        <v>4401</v>
      </c>
      <c r="AL330" s="8" t="n">
        <v>1569</v>
      </c>
      <c r="AM330" s="11" t="inlineStr"/>
      <c r="AN330" s="12" t="inlineStr"/>
      <c r="AO330" s="12" t="inlineStr"/>
      <c r="AP330" s="13" t="inlineStr"/>
      <c r="AQ330" s="13" t="inlineStr"/>
      <c r="AR330" s="13" t="inlineStr"/>
      <c r="AS330" s="13" t="inlineStr"/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7" t="n">
        <v>65144</v>
      </c>
      <c r="AK331" s="8" t="n">
        <v>-6767</v>
      </c>
      <c r="AL331" s="8" t="n">
        <v>-2344</v>
      </c>
      <c r="AM331" s="11" t="inlineStr"/>
      <c r="AN331" s="12" t="inlineStr"/>
      <c r="AO331" s="12" t="inlineStr"/>
      <c r="AP331" s="13" t="inlineStr"/>
      <c r="AQ331" s="13" t="inlineStr"/>
      <c r="AR331" s="13" t="inlineStr"/>
      <c r="AS331" s="13" t="inlineStr"/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7" t="n">
        <v>48896</v>
      </c>
      <c r="AK332" s="8" t="n">
        <v>2135</v>
      </c>
      <c r="AL332" s="8" t="n">
        <v>1816</v>
      </c>
      <c r="AM332" s="11" t="inlineStr"/>
      <c r="AN332" s="12" t="inlineStr"/>
      <c r="AO332" s="12" t="inlineStr"/>
      <c r="AP332" s="13" t="inlineStr"/>
      <c r="AQ332" s="13" t="inlineStr"/>
      <c r="AR332" s="13" t="inlineStr"/>
      <c r="AS332" s="13" t="inlineStr"/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7" t="n">
        <v>3013</v>
      </c>
      <c r="AK333" s="8" t="n">
        <v>-1026</v>
      </c>
      <c r="AL333" s="8" t="n">
        <v>-1335</v>
      </c>
      <c r="AM333" s="11" t="inlineStr"/>
      <c r="AN333" s="12" t="inlineStr"/>
      <c r="AO333" s="12" t="inlineStr"/>
      <c r="AP333" s="13" t="inlineStr"/>
      <c r="AQ333" s="13" t="inlineStr"/>
      <c r="AR333" s="13" t="inlineStr"/>
      <c r="AS333" s="13" t="inlineStr"/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7" t="n">
        <v>379888</v>
      </c>
      <c r="AK334" s="8" t="n">
        <v>77064</v>
      </c>
      <c r="AL334" s="8" t="n">
        <v>59709</v>
      </c>
      <c r="AM334" s="11" t="inlineStr"/>
      <c r="AN334" s="12" t="inlineStr"/>
      <c r="AO334" s="12" t="inlineStr"/>
      <c r="AP334" s="13" t="inlineStr"/>
      <c r="AQ334" s="13" t="inlineStr"/>
      <c r="AR334" s="13" t="inlineStr"/>
      <c r="AS334" s="13" t="inlineStr"/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7" t="n">
        <v>27066</v>
      </c>
      <c r="AK335" s="8" t="n">
        <v>-12</v>
      </c>
      <c r="AL335" s="8" t="n">
        <v>1346</v>
      </c>
      <c r="AM335" s="11" t="inlineStr"/>
      <c r="AN335" s="12" t="inlineStr"/>
      <c r="AO335" s="12" t="inlineStr"/>
      <c r="AP335" s="13" t="inlineStr"/>
      <c r="AQ335" s="13" t="inlineStr"/>
      <c r="AR335" s="13" t="inlineStr"/>
      <c r="AS335" s="13" t="inlineStr"/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2026Q3</t>
        </is>
      </c>
      <c r="E336" s="6" t="inlineStr">
        <is>
          <t>2023Q4, 2026Q3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7" t="n">
        <v>534254</v>
      </c>
      <c r="AK336" s="8" t="n">
        <v>47954</v>
      </c>
      <c r="AL336" s="8" t="n">
        <v>43893</v>
      </c>
      <c r="AM336" s="14" t="n">
        <v>439857</v>
      </c>
      <c r="AN336" s="15" t="n">
        <v>4815</v>
      </c>
      <c r="AO336" s="15" t="n">
        <v>-7092</v>
      </c>
      <c r="AP336" s="13" t="n">
        <v>-17.7</v>
      </c>
      <c r="AQ336" s="13" t="n">
        <v>24.1</v>
      </c>
      <c r="AR336" s="13" t="n">
        <v>-90</v>
      </c>
      <c r="AS336" s="13" t="n">
        <v>-55.3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7" t="n">
        <v>399770</v>
      </c>
      <c r="AK337" s="8" t="n">
        <v>77213</v>
      </c>
      <c r="AL337" s="8" t="n">
        <v>59656</v>
      </c>
      <c r="AM337" s="11" t="inlineStr"/>
      <c r="AN337" s="12" t="inlineStr"/>
      <c r="AO337" s="12" t="inlineStr"/>
      <c r="AP337" s="13" t="inlineStr"/>
      <c r="AQ337" s="13" t="inlineStr"/>
      <c r="AR337" s="13" t="inlineStr"/>
      <c r="AS337" s="13" t="inlineStr"/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7" t="n">
        <v>39130</v>
      </c>
      <c r="AK338" s="8" t="n">
        <v>-2053</v>
      </c>
      <c r="AL338" s="8" t="n">
        <v>-1693</v>
      </c>
      <c r="AM338" s="11" t="inlineStr"/>
      <c r="AN338" s="12" t="inlineStr"/>
      <c r="AO338" s="12" t="inlineStr"/>
      <c r="AP338" s="13" t="inlineStr"/>
      <c r="AQ338" s="13" t="inlineStr"/>
      <c r="AR338" s="13" t="inlineStr"/>
      <c r="AS338" s="13" t="inlineStr"/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7" t="n">
        <v>38340</v>
      </c>
      <c r="AK339" s="8" t="n">
        <v>1513</v>
      </c>
      <c r="AL339" s="8" t="n">
        <v>769</v>
      </c>
      <c r="AM339" s="11" t="inlineStr"/>
      <c r="AN339" s="12" t="inlineStr"/>
      <c r="AO339" s="12" t="inlineStr"/>
      <c r="AP339" s="13" t="inlineStr"/>
      <c r="AQ339" s="13" t="inlineStr"/>
      <c r="AR339" s="13" t="inlineStr"/>
      <c r="AS339" s="13" t="inlineStr"/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7" t="n">
        <v>407180</v>
      </c>
      <c r="AK340" s="8" t="n">
        <v>19290</v>
      </c>
      <c r="AL340" s="8" t="n">
        <v>17622</v>
      </c>
      <c r="AM340" s="11" t="inlineStr"/>
      <c r="AN340" s="12" t="inlineStr"/>
      <c r="AO340" s="12" t="inlineStr"/>
      <c r="AP340" s="13" t="inlineStr"/>
      <c r="AQ340" s="13" t="inlineStr"/>
      <c r="AR340" s="13" t="inlineStr"/>
      <c r="AS340" s="13" t="inlineStr"/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7" t="n">
        <v>28733</v>
      </c>
      <c r="AK341" s="8" t="n">
        <v>-1474</v>
      </c>
      <c r="AL341" s="8" t="n">
        <v>-848</v>
      </c>
      <c r="AM341" s="11" t="inlineStr"/>
      <c r="AN341" s="12" t="inlineStr"/>
      <c r="AO341" s="12" t="inlineStr"/>
      <c r="AP341" s="13" t="inlineStr"/>
      <c r="AQ341" s="13" t="inlineStr"/>
      <c r="AR341" s="13" t="inlineStr"/>
      <c r="AS341" s="13" t="inlineStr"/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7" t="n">
        <v>1356857</v>
      </c>
      <c r="AK342" s="8" t="n">
        <v>66974</v>
      </c>
      <c r="AL342" s="8" t="n">
        <v>46812</v>
      </c>
      <c r="AM342" s="11" t="inlineStr"/>
      <c r="AN342" s="12" t="inlineStr"/>
      <c r="AO342" s="12" t="inlineStr"/>
      <c r="AP342" s="13" t="inlineStr"/>
      <c r="AQ342" s="13" t="inlineStr"/>
      <c r="AR342" s="13" t="inlineStr"/>
      <c r="AS342" s="13" t="inlineStr"/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7" t="n">
        <v>274359</v>
      </c>
      <c r="AK343" s="8" t="n">
        <v>14010</v>
      </c>
      <c r="AL343" s="8" t="n">
        <v>4109</v>
      </c>
      <c r="AM343" s="11" t="inlineStr"/>
      <c r="AN343" s="12" t="inlineStr"/>
      <c r="AO343" s="12" t="inlineStr"/>
      <c r="AP343" s="13" t="inlineStr"/>
      <c r="AQ343" s="13" t="inlineStr"/>
      <c r="AR343" s="13" t="inlineStr"/>
      <c r="AS343" s="13" t="inlineStr"/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7" t="n">
        <v>168496</v>
      </c>
      <c r="AK344" s="8" t="n">
        <v>4786</v>
      </c>
      <c r="AL344" s="8" t="n">
        <v>-13061</v>
      </c>
      <c r="AM344" s="11" t="inlineStr"/>
      <c r="AN344" s="12" t="inlineStr"/>
      <c r="AO344" s="12" t="inlineStr"/>
      <c r="AP344" s="13" t="inlineStr"/>
      <c r="AQ344" s="13" t="inlineStr"/>
      <c r="AR344" s="13" t="inlineStr"/>
      <c r="AS344" s="13" t="inlineStr"/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7" t="n">
        <v>481519</v>
      </c>
      <c r="AK345" s="8" t="n">
        <v>67413</v>
      </c>
      <c r="AL345" s="8" t="n">
        <v>58252</v>
      </c>
      <c r="AM345" s="11" t="inlineStr"/>
      <c r="AN345" s="12" t="inlineStr"/>
      <c r="AO345" s="12" t="inlineStr"/>
      <c r="AP345" s="13" t="inlineStr"/>
      <c r="AQ345" s="13" t="inlineStr"/>
      <c r="AR345" s="13" t="inlineStr"/>
      <c r="AS345" s="13" t="inlineStr"/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7" t="n">
        <v>64635</v>
      </c>
      <c r="AK346" s="8" t="n">
        <v>1411</v>
      </c>
      <c r="AL346" s="8" t="n">
        <v>-8</v>
      </c>
      <c r="AM346" s="11" t="inlineStr"/>
      <c r="AN346" s="12" t="inlineStr"/>
      <c r="AO346" s="12" t="inlineStr"/>
      <c r="AP346" s="13" t="inlineStr"/>
      <c r="AQ346" s="13" t="inlineStr"/>
      <c r="AR346" s="13" t="inlineStr"/>
      <c r="AS346" s="13" t="inlineStr"/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7" t="n">
        <v>76243</v>
      </c>
      <c r="AK347" s="8" t="n">
        <v>7911</v>
      </c>
      <c r="AL347" s="8" t="n">
        <v>4732</v>
      </c>
      <c r="AM347" s="11" t="inlineStr"/>
      <c r="AN347" s="12" t="inlineStr"/>
      <c r="AO347" s="12" t="inlineStr"/>
      <c r="AP347" s="13" t="inlineStr"/>
      <c r="AQ347" s="13" t="inlineStr"/>
      <c r="AR347" s="13" t="inlineStr"/>
      <c r="AS347" s="13" t="inlineStr"/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7" t="n">
        <v>3197</v>
      </c>
      <c r="AK348" s="8" t="n">
        <v>-670</v>
      </c>
      <c r="AL348" s="8" t="n">
        <v>-662</v>
      </c>
      <c r="AM348" s="11" t="inlineStr"/>
      <c r="AN348" s="12" t="inlineStr"/>
      <c r="AO348" s="12" t="inlineStr"/>
      <c r="AP348" s="13" t="inlineStr"/>
      <c r="AQ348" s="13" t="inlineStr"/>
      <c r="AR348" s="13" t="inlineStr"/>
      <c r="AS348" s="13" t="inlineStr"/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7" t="n">
        <v>75</v>
      </c>
      <c r="AK349" s="8" t="n">
        <v>-4696</v>
      </c>
      <c r="AL349" s="8" t="n">
        <v>-4343</v>
      </c>
      <c r="AM349" s="11" t="inlineStr"/>
      <c r="AN349" s="12" t="inlineStr"/>
      <c r="AO349" s="12" t="inlineStr"/>
      <c r="AP349" s="13" t="inlineStr"/>
      <c r="AQ349" s="13" t="inlineStr"/>
      <c r="AR349" s="13" t="inlineStr"/>
      <c r="AS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7" t="n">
        <v>82818</v>
      </c>
      <c r="AK350" s="8" t="n">
        <v>-930</v>
      </c>
      <c r="AL350" s="8" t="n">
        <v>-783</v>
      </c>
      <c r="AM350" s="11" t="inlineStr"/>
      <c r="AN350" s="12" t="inlineStr"/>
      <c r="AO350" s="12" t="inlineStr"/>
      <c r="AP350" s="13" t="inlineStr"/>
      <c r="AQ350" s="13" t="inlineStr"/>
      <c r="AR350" s="13" t="inlineStr"/>
      <c r="AS350" s="13" t="inlineStr"/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7" t="n">
        <v>23484</v>
      </c>
      <c r="AK351" s="8" t="n">
        <v>2359</v>
      </c>
      <c r="AL351" s="8" t="n">
        <v>2919</v>
      </c>
      <c r="AM351" s="11" t="inlineStr"/>
      <c r="AN351" s="12" t="inlineStr"/>
      <c r="AO351" s="12" t="inlineStr"/>
      <c r="AP351" s="13" t="inlineStr"/>
      <c r="AQ351" s="13" t="inlineStr"/>
      <c r="AR351" s="13" t="inlineStr"/>
      <c r="AS351" s="13" t="inlineStr"/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7" t="n">
        <v>40573</v>
      </c>
      <c r="AK352" s="8" t="n">
        <v>2044</v>
      </c>
      <c r="AL352" s="8" t="n">
        <v>3559</v>
      </c>
      <c r="AM352" s="11" t="inlineStr"/>
      <c r="AN352" s="12" t="inlineStr"/>
      <c r="AO352" s="12" t="inlineStr"/>
      <c r="AP352" s="13" t="inlineStr"/>
      <c r="AQ352" s="13" t="inlineStr"/>
      <c r="AR352" s="13" t="inlineStr"/>
      <c r="AS352" s="13" t="inlineStr"/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7" t="n">
        <v>26874</v>
      </c>
      <c r="AK353" s="8" t="n">
        <v>-425</v>
      </c>
      <c r="AL353" s="8" t="n">
        <v>-1608</v>
      </c>
      <c r="AM353" s="11" t="inlineStr"/>
      <c r="AN353" s="12" t="inlineStr"/>
      <c r="AO353" s="12" t="inlineStr"/>
      <c r="AP353" s="13" t="inlineStr"/>
      <c r="AQ353" s="13" t="inlineStr"/>
      <c r="AR353" s="13" t="inlineStr"/>
      <c r="AS353" s="13" t="inlineStr"/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7" t="n">
        <v>212900</v>
      </c>
      <c r="AK354" s="8" t="n">
        <v>22492</v>
      </c>
      <c r="AL354" s="8" t="n">
        <v>16566</v>
      </c>
      <c r="AM354" s="11" t="inlineStr"/>
      <c r="AN354" s="12" t="inlineStr"/>
      <c r="AO354" s="12" t="inlineStr"/>
      <c r="AP354" s="13" t="inlineStr"/>
      <c r="AQ354" s="13" t="inlineStr"/>
      <c r="AR354" s="13" t="inlineStr"/>
      <c r="AS354" s="13" t="inlineStr"/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7" t="n">
        <v>9903</v>
      </c>
      <c r="AK355" s="8" t="n">
        <v>-767</v>
      </c>
      <c r="AL355" s="8" t="n">
        <v>-582</v>
      </c>
      <c r="AM355" s="11" t="inlineStr"/>
      <c r="AN355" s="12" t="inlineStr"/>
      <c r="AO355" s="12" t="inlineStr"/>
      <c r="AP355" s="13" t="inlineStr"/>
      <c r="AQ355" s="13" t="inlineStr"/>
      <c r="AR355" s="13" t="inlineStr"/>
      <c r="AS355" s="13" t="inlineStr"/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7" t="n">
        <v>41295</v>
      </c>
      <c r="AK356" s="8" t="n">
        <v>-27945</v>
      </c>
      <c r="AL356" s="8" t="n">
        <v>-32462</v>
      </c>
      <c r="AM356" s="11" t="inlineStr"/>
      <c r="AN356" s="12" t="inlineStr"/>
      <c r="AO356" s="12" t="inlineStr"/>
      <c r="AP356" s="13" t="inlineStr"/>
      <c r="AQ356" s="13" t="inlineStr"/>
      <c r="AR356" s="13" t="inlineStr"/>
      <c r="AS356" s="13" t="inlineStr"/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7" t="n">
        <v>45</v>
      </c>
      <c r="AK357" s="8" t="n">
        <v>1</v>
      </c>
      <c r="AL357" s="8" t="n">
        <v>1</v>
      </c>
      <c r="AM357" s="11" t="inlineStr"/>
      <c r="AN357" s="12" t="inlineStr"/>
      <c r="AO357" s="12" t="inlineStr"/>
      <c r="AP357" s="13" t="inlineStr"/>
      <c r="AQ357" s="13" t="inlineStr"/>
      <c r="AR357" s="13" t="inlineStr"/>
      <c r="AS357" s="13" t="inlineStr"/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7" t="n">
        <v>156111</v>
      </c>
      <c r="AK358" s="8" t="n">
        <v>9540</v>
      </c>
      <c r="AL358" s="8" t="n">
        <v>5790</v>
      </c>
      <c r="AM358" s="11" t="inlineStr"/>
      <c r="AN358" s="12" t="inlineStr"/>
      <c r="AO358" s="12" t="inlineStr"/>
      <c r="AP358" s="13" t="inlineStr"/>
      <c r="AQ358" s="13" t="inlineStr"/>
      <c r="AR358" s="13" t="inlineStr"/>
      <c r="AS358" s="13" t="inlineStr"/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7" t="n">
        <v>971830</v>
      </c>
      <c r="AK359" s="8" t="n">
        <v>61142</v>
      </c>
      <c r="AL359" s="8" t="n">
        <v>21449</v>
      </c>
      <c r="AM359" s="11" t="inlineStr"/>
      <c r="AN359" s="12" t="inlineStr"/>
      <c r="AO359" s="12" t="inlineStr"/>
      <c r="AP359" s="13" t="inlineStr"/>
      <c r="AQ359" s="13" t="inlineStr"/>
      <c r="AR359" s="13" t="inlineStr"/>
      <c r="AS359" s="13" t="inlineStr"/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7" t="n">
        <v>67034</v>
      </c>
      <c r="AK360" s="8" t="n">
        <v>1646</v>
      </c>
      <c r="AL360" s="8" t="n">
        <v>572</v>
      </c>
      <c r="AM360" s="11" t="inlineStr"/>
      <c r="AN360" s="12" t="inlineStr"/>
      <c r="AO360" s="12" t="inlineStr"/>
      <c r="AP360" s="13" t="inlineStr"/>
      <c r="AQ360" s="13" t="inlineStr"/>
      <c r="AR360" s="13" t="inlineStr"/>
      <c r="AS360" s="13" t="inlineStr"/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2026Q3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7" t="n">
        <v>58509</v>
      </c>
      <c r="AK361" s="8" t="n">
        <v>640</v>
      </c>
      <c r="AL361" s="8" t="n">
        <v>1455</v>
      </c>
      <c r="AM361" s="11" t="n">
        <v>65470</v>
      </c>
      <c r="AN361" s="12" t="n">
        <v>41</v>
      </c>
      <c r="AO361" s="12" t="n">
        <v>-357</v>
      </c>
      <c r="AP361" s="13" t="n">
        <v>11.9</v>
      </c>
      <c r="AQ361" s="13" t="n">
        <v>0.9</v>
      </c>
      <c r="AR361" s="13" t="n">
        <v>-93.59999999999999</v>
      </c>
      <c r="AS361" s="13" t="n">
        <v>-98.5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7" t="inlineStr"/>
      <c r="AK362" s="8" t="n">
        <v>-4</v>
      </c>
      <c r="AL362" s="8" t="n">
        <v>49</v>
      </c>
      <c r="AM362" s="11" t="inlineStr"/>
      <c r="AN362" s="12" t="inlineStr"/>
      <c r="AO362" s="12" t="inlineStr"/>
      <c r="AP362" s="13" t="inlineStr"/>
      <c r="AQ362" s="13" t="inlineStr"/>
      <c r="AR362" s="13" t="inlineStr"/>
      <c r="AS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7" t="n">
        <v>5668</v>
      </c>
      <c r="AK363" s="8" t="n">
        <v>875</v>
      </c>
      <c r="AL363" s="8" t="n">
        <v>1098</v>
      </c>
      <c r="AM363" s="11" t="inlineStr"/>
      <c r="AN363" s="12" t="inlineStr"/>
      <c r="AO363" s="12" t="inlineStr"/>
      <c r="AP363" s="13" t="inlineStr"/>
      <c r="AQ363" s="13" t="inlineStr"/>
      <c r="AR363" s="13" t="inlineStr"/>
      <c r="AS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7" t="n">
        <v>367856</v>
      </c>
      <c r="AK364" s="8" t="n">
        <v>59138</v>
      </c>
      <c r="AL364" s="8" t="n">
        <v>43667</v>
      </c>
      <c r="AM364" s="11" t="inlineStr"/>
      <c r="AN364" s="12" t="inlineStr"/>
      <c r="AO364" s="12" t="inlineStr"/>
      <c r="AP364" s="13" t="inlineStr"/>
      <c r="AQ364" s="13" t="inlineStr"/>
      <c r="AR364" s="13" t="inlineStr"/>
      <c r="AS364" s="13" t="inlineStr"/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7" t="n">
        <v>60305</v>
      </c>
      <c r="AK365" s="8" t="n">
        <v>-83</v>
      </c>
      <c r="AL365" s="8" t="n">
        <v>-2306</v>
      </c>
      <c r="AM365" s="11" t="inlineStr"/>
      <c r="AN365" s="12" t="inlineStr"/>
      <c r="AO365" s="12" t="inlineStr"/>
      <c r="AP365" s="13" t="inlineStr"/>
      <c r="AQ365" s="13" t="inlineStr"/>
      <c r="AR365" s="13" t="inlineStr"/>
      <c r="AS365" s="13" t="inlineStr"/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7" t="n">
        <v>290935</v>
      </c>
      <c r="AK366" s="8" t="n">
        <v>15627</v>
      </c>
      <c r="AL366" s="8" t="n">
        <v>10632</v>
      </c>
      <c r="AM366" s="11" t="inlineStr"/>
      <c r="AN366" s="12" t="inlineStr"/>
      <c r="AO366" s="12" t="inlineStr"/>
      <c r="AP366" s="13" t="inlineStr"/>
      <c r="AQ366" s="13" t="inlineStr"/>
      <c r="AR366" s="13" t="inlineStr"/>
      <c r="AS366" s="13" t="inlineStr"/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7" t="n">
        <v>11694</v>
      </c>
      <c r="AK367" s="8" t="n">
        <v>729</v>
      </c>
      <c r="AL367" s="8" t="n">
        <v>2981</v>
      </c>
      <c r="AM367" s="11" t="inlineStr"/>
      <c r="AN367" s="12" t="inlineStr"/>
      <c r="AO367" s="12" t="inlineStr"/>
      <c r="AP367" s="13" t="inlineStr"/>
      <c r="AQ367" s="13" t="inlineStr"/>
      <c r="AR367" s="13" t="inlineStr"/>
      <c r="AS367" s="13" t="inlineStr"/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7" t="n">
        <v>3457205</v>
      </c>
      <c r="AK368" s="8" t="n">
        <v>440369</v>
      </c>
      <c r="AL368" s="8" t="n">
        <v>328301</v>
      </c>
      <c r="AM368" s="11" t="inlineStr"/>
      <c r="AN368" s="12" t="inlineStr"/>
      <c r="AO368" s="12" t="inlineStr"/>
      <c r="AP368" s="13" t="inlineStr"/>
      <c r="AQ368" s="13" t="inlineStr"/>
      <c r="AR368" s="13" t="inlineStr"/>
      <c r="AS368" s="13" t="inlineStr"/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7" t="n">
        <v>461112</v>
      </c>
      <c r="AK369" s="8" t="n">
        <v>26834</v>
      </c>
      <c r="AL369" s="8" t="n">
        <v>17083</v>
      </c>
      <c r="AM369" s="11" t="inlineStr"/>
      <c r="AN369" s="12" t="inlineStr"/>
      <c r="AO369" s="12" t="inlineStr"/>
      <c r="AP369" s="13" t="inlineStr"/>
      <c r="AQ369" s="13" t="inlineStr"/>
      <c r="AR369" s="13" t="inlineStr"/>
      <c r="AS369" s="13" t="inlineStr"/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7" t="n">
        <v>182813</v>
      </c>
      <c r="AK370" s="8" t="n">
        <v>6118</v>
      </c>
      <c r="AL370" s="8" t="n">
        <v>3936</v>
      </c>
      <c r="AM370" s="11" t="inlineStr"/>
      <c r="AN370" s="12" t="inlineStr"/>
      <c r="AO370" s="12" t="inlineStr"/>
      <c r="AP370" s="13" t="inlineStr"/>
      <c r="AQ370" s="13" t="inlineStr"/>
      <c r="AR370" s="13" t="inlineStr"/>
      <c r="AS370" s="13" t="inlineStr"/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7" t="n">
        <v>52911</v>
      </c>
      <c r="AK371" s="8" t="n">
        <v>1935</v>
      </c>
      <c r="AL371" s="8" t="n">
        <v>-1232</v>
      </c>
      <c r="AM371" s="11" t="inlineStr"/>
      <c r="AN371" s="12" t="inlineStr"/>
      <c r="AO371" s="12" t="inlineStr"/>
      <c r="AP371" s="13" t="inlineStr"/>
      <c r="AQ371" s="13" t="inlineStr"/>
      <c r="AR371" s="13" t="inlineStr"/>
      <c r="AS371" s="13" t="inlineStr"/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7" t="n">
        <v>0</v>
      </c>
      <c r="AK372" s="8" t="n">
        <v>-15</v>
      </c>
      <c r="AL372" s="8" t="n">
        <v>42</v>
      </c>
      <c r="AM372" s="11" t="inlineStr"/>
      <c r="AN372" s="12" t="inlineStr"/>
      <c r="AO372" s="12" t="inlineStr"/>
      <c r="AP372" s="13" t="inlineStr"/>
      <c r="AQ372" s="13" t="inlineStr"/>
      <c r="AR372" s="13" t="inlineStr"/>
      <c r="AS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7" t="n">
        <v>337689</v>
      </c>
      <c r="AK373" s="8" t="n">
        <v>28031</v>
      </c>
      <c r="AL373" s="8" t="n">
        <v>-58217</v>
      </c>
      <c r="AM373" s="11" t="inlineStr"/>
      <c r="AN373" s="12" t="inlineStr"/>
      <c r="AO373" s="12" t="inlineStr"/>
      <c r="AP373" s="13" t="inlineStr"/>
      <c r="AQ373" s="13" t="inlineStr"/>
      <c r="AR373" s="13" t="inlineStr"/>
      <c r="AS373" s="13" t="inlineStr"/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7" t="n">
        <v>417233</v>
      </c>
      <c r="AK374" s="8" t="n">
        <v>11285</v>
      </c>
      <c r="AL374" s="8" t="n">
        <v>4769</v>
      </c>
      <c r="AM374" s="11" t="inlineStr"/>
      <c r="AN374" s="12" t="inlineStr"/>
      <c r="AO374" s="12" t="inlineStr"/>
      <c r="AP374" s="13" t="inlineStr"/>
      <c r="AQ374" s="13" t="inlineStr"/>
      <c r="AR374" s="13" t="inlineStr"/>
      <c r="AS374" s="13" t="inlineStr"/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7" t="n">
        <v>309913</v>
      </c>
      <c r="AK375" s="8" t="n">
        <v>7558</v>
      </c>
      <c r="AL375" s="8" t="n">
        <v>-1045</v>
      </c>
      <c r="AM375" s="11" t="inlineStr"/>
      <c r="AN375" s="12" t="inlineStr"/>
      <c r="AO375" s="12" t="inlineStr"/>
      <c r="AP375" s="13" t="inlineStr"/>
      <c r="AQ375" s="13" t="inlineStr"/>
      <c r="AR375" s="13" t="inlineStr"/>
      <c r="AS375" s="13" t="inlineStr"/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7" t="n">
        <v>439816</v>
      </c>
      <c r="AK376" s="8" t="n">
        <v>2823</v>
      </c>
      <c r="AL376" s="8" t="n">
        <v>3164</v>
      </c>
      <c r="AM376" s="11" t="inlineStr"/>
      <c r="AN376" s="12" t="inlineStr"/>
      <c r="AO376" s="12" t="inlineStr"/>
      <c r="AP376" s="13" t="inlineStr"/>
      <c r="AQ376" s="13" t="inlineStr"/>
      <c r="AR376" s="13" t="inlineStr"/>
      <c r="AS376" s="13" t="inlineStr"/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7" t="n">
        <v>18779</v>
      </c>
      <c r="AK377" s="8" t="n">
        <v>1869</v>
      </c>
      <c r="AL377" s="8" t="n">
        <v>4351</v>
      </c>
      <c r="AM377" s="11" t="inlineStr"/>
      <c r="AN377" s="12" t="inlineStr"/>
      <c r="AO377" s="12" t="inlineStr"/>
      <c r="AP377" s="13" t="inlineStr"/>
      <c r="AQ377" s="13" t="inlineStr"/>
      <c r="AR377" s="13" t="inlineStr"/>
      <c r="AS377" s="13" t="inlineStr"/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7" t="n">
        <v>33819</v>
      </c>
      <c r="AK378" s="8" t="n">
        <v>-2462</v>
      </c>
      <c r="AL378" s="8" t="n">
        <v>-862</v>
      </c>
      <c r="AM378" s="11" t="inlineStr"/>
      <c r="AN378" s="12" t="inlineStr"/>
      <c r="AO378" s="12" t="inlineStr"/>
      <c r="AP378" s="13" t="inlineStr"/>
      <c r="AQ378" s="13" t="inlineStr"/>
      <c r="AR378" s="13" t="inlineStr"/>
      <c r="AS378" s="13" t="inlineStr"/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7" t="n">
        <v>38585</v>
      </c>
      <c r="AK379" s="8" t="n">
        <v>625</v>
      </c>
      <c r="AL379" s="8" t="n">
        <v>-113</v>
      </c>
      <c r="AM379" s="11" t="inlineStr"/>
      <c r="AN379" s="12" t="inlineStr"/>
      <c r="AO379" s="12" t="inlineStr"/>
      <c r="AP379" s="13" t="inlineStr"/>
      <c r="AQ379" s="13" t="inlineStr"/>
      <c r="AR379" s="13" t="inlineStr"/>
      <c r="AS379" s="13" t="inlineStr"/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7" t="n">
        <v>0</v>
      </c>
      <c r="AK380" s="8" t="n">
        <v>-8</v>
      </c>
      <c r="AL380" s="8" t="n">
        <v>53</v>
      </c>
      <c r="AM380" s="11" t="inlineStr"/>
      <c r="AN380" s="12" t="inlineStr"/>
      <c r="AO380" s="12" t="inlineStr"/>
      <c r="AP380" s="13" t="inlineStr"/>
      <c r="AQ380" s="13" t="inlineStr"/>
      <c r="AR380" s="13" t="inlineStr"/>
      <c r="AS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7" t="n">
        <v>320065</v>
      </c>
      <c r="AK381" s="8" t="n">
        <v>37171</v>
      </c>
      <c r="AL381" s="8" t="n">
        <v>-11466</v>
      </c>
      <c r="AM381" s="11" t="inlineStr"/>
      <c r="AN381" s="12" t="inlineStr"/>
      <c r="AO381" s="12" t="inlineStr"/>
      <c r="AP381" s="13" t="inlineStr"/>
      <c r="AQ381" s="13" t="inlineStr"/>
      <c r="AR381" s="13" t="inlineStr"/>
      <c r="AS381" s="13" t="inlineStr"/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7" t="n">
        <v>44276</v>
      </c>
      <c r="AK382" s="8" t="n">
        <v>5598</v>
      </c>
      <c r="AL382" s="8" t="n">
        <v>-19229</v>
      </c>
      <c r="AM382" s="11" t="inlineStr"/>
      <c r="AN382" s="12" t="inlineStr"/>
      <c r="AO382" s="12" t="inlineStr"/>
      <c r="AP382" s="13" t="inlineStr"/>
      <c r="AQ382" s="13" t="inlineStr"/>
      <c r="AR382" s="13" t="inlineStr"/>
      <c r="AS382" s="13" t="inlineStr"/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7" t="n">
        <v>20390</v>
      </c>
      <c r="AK383" s="8" t="n">
        <v>2436</v>
      </c>
      <c r="AL383" s="8" t="n">
        <v>4045</v>
      </c>
      <c r="AM383" s="11" t="inlineStr"/>
      <c r="AN383" s="12" t="inlineStr"/>
      <c r="AO383" s="12" t="inlineStr"/>
      <c r="AP383" s="13" t="inlineStr"/>
      <c r="AQ383" s="13" t="inlineStr"/>
      <c r="AR383" s="13" t="inlineStr"/>
      <c r="AS383" s="13" t="inlineStr"/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7" t="n">
        <v>388200</v>
      </c>
      <c r="AK384" s="8" t="n">
        <v>84261</v>
      </c>
      <c r="AL384" s="8" t="n">
        <v>68456</v>
      </c>
      <c r="AM384" s="11" t="inlineStr"/>
      <c r="AN384" s="12" t="inlineStr"/>
      <c r="AO384" s="12" t="inlineStr"/>
      <c r="AP384" s="13" t="inlineStr"/>
      <c r="AQ384" s="13" t="inlineStr"/>
      <c r="AR384" s="13" t="inlineStr"/>
      <c r="AS384" s="13" t="inlineStr"/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7" t="n">
        <v>71770</v>
      </c>
      <c r="AK385" s="8" t="n">
        <v>3960</v>
      </c>
      <c r="AL385" s="8" t="n">
        <v>941</v>
      </c>
      <c r="AM385" s="11" t="inlineStr"/>
      <c r="AN385" s="12" t="inlineStr"/>
      <c r="AO385" s="12" t="inlineStr"/>
      <c r="AP385" s="13" t="inlineStr"/>
      <c r="AQ385" s="13" t="inlineStr"/>
      <c r="AR385" s="13" t="inlineStr"/>
      <c r="AS385" s="13" t="inlineStr"/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7" t="n">
        <v>53622</v>
      </c>
      <c r="AK386" s="8" t="n">
        <v>1368</v>
      </c>
      <c r="AL386" s="8" t="n">
        <v>1015</v>
      </c>
      <c r="AM386" s="11" t="inlineStr"/>
      <c r="AN386" s="12" t="inlineStr"/>
      <c r="AO386" s="12" t="inlineStr"/>
      <c r="AP386" s="13" t="inlineStr"/>
      <c r="AQ386" s="13" t="inlineStr"/>
      <c r="AR386" s="13" t="inlineStr"/>
      <c r="AS386" s="13" t="inlineStr"/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7" t="n">
        <v>107196</v>
      </c>
      <c r="AK387" s="8" t="n">
        <v>9668</v>
      </c>
      <c r="AL387" s="8" t="n">
        <v>7733</v>
      </c>
      <c r="AM387" s="11" t="inlineStr"/>
      <c r="AN387" s="12" t="inlineStr"/>
      <c r="AO387" s="12" t="inlineStr"/>
      <c r="AP387" s="13" t="inlineStr"/>
      <c r="AQ387" s="13" t="inlineStr"/>
      <c r="AR387" s="13" t="inlineStr"/>
      <c r="AS387" s="13" t="inlineStr"/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7" t="n">
        <v>8927046</v>
      </c>
      <c r="AK388" s="8" t="n">
        <v>1645146</v>
      </c>
      <c r="AL388" s="8" t="n">
        <v>1594154</v>
      </c>
      <c r="AM388" s="11" t="inlineStr"/>
      <c r="AN388" s="12" t="inlineStr"/>
      <c r="AO388" s="12" t="inlineStr"/>
      <c r="AP388" s="13" t="inlineStr"/>
      <c r="AQ388" s="13" t="inlineStr"/>
      <c r="AR388" s="13" t="inlineStr"/>
      <c r="AS388" s="13" t="inlineStr"/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7" t="n">
        <v>207911</v>
      </c>
      <c r="AK389" s="8" t="n">
        <v>-5059</v>
      </c>
      <c r="AL389" s="8" t="n">
        <v>-62577</v>
      </c>
      <c r="AM389" s="11" t="inlineStr"/>
      <c r="AN389" s="12" t="inlineStr"/>
      <c r="AO389" s="12" t="inlineStr"/>
      <c r="AP389" s="13" t="inlineStr"/>
      <c r="AQ389" s="13" t="inlineStr"/>
      <c r="AR389" s="13" t="inlineStr"/>
      <c r="AS389" s="13" t="inlineStr"/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7" t="n">
        <v>99496</v>
      </c>
      <c r="AK390" s="8" t="n">
        <v>7221</v>
      </c>
      <c r="AL390" s="8" t="n">
        <v>1917</v>
      </c>
      <c r="AM390" s="11" t="inlineStr"/>
      <c r="AN390" s="12" t="inlineStr"/>
      <c r="AO390" s="12" t="inlineStr"/>
      <c r="AP390" s="13" t="inlineStr"/>
      <c r="AQ390" s="13" t="inlineStr"/>
      <c r="AR390" s="13" t="inlineStr"/>
      <c r="AS390" s="13" t="inlineStr"/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7" t="n">
        <v>73662</v>
      </c>
      <c r="AK391" s="8" t="n">
        <v>5812</v>
      </c>
      <c r="AL391" s="8" t="n">
        <v>7032</v>
      </c>
      <c r="AM391" s="11" t="inlineStr"/>
      <c r="AN391" s="12" t="inlineStr"/>
      <c r="AO391" s="12" t="inlineStr"/>
      <c r="AP391" s="13" t="inlineStr"/>
      <c r="AQ391" s="13" t="inlineStr"/>
      <c r="AR391" s="13" t="inlineStr"/>
      <c r="AS391" s="13" t="inlineStr"/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7" t="n">
        <v>0</v>
      </c>
      <c r="AK392" s="8" t="n">
        <v>-16</v>
      </c>
      <c r="AL392" s="8" t="n">
        <v>52</v>
      </c>
      <c r="AM392" s="11" t="inlineStr"/>
      <c r="AN392" s="12" t="inlineStr"/>
      <c r="AO392" s="12" t="inlineStr"/>
      <c r="AP392" s="13" t="inlineStr"/>
      <c r="AQ392" s="13" t="inlineStr"/>
      <c r="AR392" s="13" t="inlineStr"/>
      <c r="AS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7" t="n">
        <v>0</v>
      </c>
      <c r="AK393" s="8" t="n">
        <v>-9</v>
      </c>
      <c r="AL393" s="8" t="n">
        <v>41</v>
      </c>
      <c r="AM393" s="11" t="inlineStr"/>
      <c r="AN393" s="12" t="inlineStr"/>
      <c r="AO393" s="12" t="inlineStr"/>
      <c r="AP393" s="13" t="inlineStr"/>
      <c r="AQ393" s="13" t="inlineStr"/>
      <c r="AR393" s="13" t="inlineStr"/>
      <c r="AS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7" t="n">
        <v>15754</v>
      </c>
      <c r="AK394" s="8" t="n">
        <v>-4420</v>
      </c>
      <c r="AL394" s="8" t="n">
        <v>-5393</v>
      </c>
      <c r="AM394" s="11" t="inlineStr"/>
      <c r="AN394" s="12" t="inlineStr"/>
      <c r="AO394" s="12" t="inlineStr"/>
      <c r="AP394" s="13" t="inlineStr"/>
      <c r="AQ394" s="13" t="inlineStr"/>
      <c r="AR394" s="13" t="inlineStr"/>
      <c r="AS394" s="13" t="inlineStr"/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7" t="n">
        <v>29637</v>
      </c>
      <c r="AK395" s="8" t="n">
        <v>-10</v>
      </c>
      <c r="AL395" s="8" t="n">
        <v>13542</v>
      </c>
      <c r="AM395" s="11" t="inlineStr"/>
      <c r="AN395" s="12" t="inlineStr"/>
      <c r="AO395" s="12" t="inlineStr"/>
      <c r="AP395" s="13" t="inlineStr"/>
      <c r="AQ395" s="13" t="inlineStr"/>
      <c r="AR395" s="13" t="inlineStr"/>
      <c r="AS395" s="13" t="inlineStr"/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7" t="n">
        <v>56262</v>
      </c>
      <c r="AK396" s="8" t="n">
        <v>11663</v>
      </c>
      <c r="AL396" s="8" t="n">
        <v>9692</v>
      </c>
      <c r="AM396" s="11" t="inlineStr"/>
      <c r="AN396" s="12" t="inlineStr"/>
      <c r="AO396" s="12" t="inlineStr"/>
      <c r="AP396" s="13" t="inlineStr"/>
      <c r="AQ396" s="13" t="inlineStr"/>
      <c r="AR396" s="13" t="inlineStr"/>
      <c r="AS396" s="13" t="inlineStr"/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7" t="n">
        <v>0</v>
      </c>
      <c r="AK397" s="8" t="n">
        <v>-22</v>
      </c>
      <c r="AL397" s="8" t="n">
        <v>40</v>
      </c>
      <c r="AM397" s="11" t="inlineStr"/>
      <c r="AN397" s="12" t="inlineStr"/>
      <c r="AO397" s="12" t="inlineStr"/>
      <c r="AP397" s="13" t="inlineStr"/>
      <c r="AQ397" s="13" t="inlineStr"/>
      <c r="AR397" s="13" t="inlineStr"/>
      <c r="AS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7" t="n">
        <v>81299</v>
      </c>
      <c r="AK398" s="8" t="n">
        <v>2544</v>
      </c>
      <c r="AL398" s="8" t="n">
        <v>3419</v>
      </c>
      <c r="AM398" s="11" t="inlineStr"/>
      <c r="AN398" s="12" t="inlineStr"/>
      <c r="AO398" s="12" t="inlineStr"/>
      <c r="AP398" s="13" t="inlineStr"/>
      <c r="AQ398" s="13" t="inlineStr"/>
      <c r="AR398" s="13" t="inlineStr"/>
      <c r="AS398" s="13" t="inlineStr"/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7" t="n">
        <v>4582655</v>
      </c>
      <c r="AK399" s="8" t="n">
        <v>306534</v>
      </c>
      <c r="AL399" s="8" t="n">
        <v>292871</v>
      </c>
      <c r="AM399" s="11" t="inlineStr"/>
      <c r="AN399" s="12" t="inlineStr"/>
      <c r="AO399" s="12" t="inlineStr"/>
      <c r="AP399" s="13" t="inlineStr"/>
      <c r="AQ399" s="13" t="inlineStr"/>
      <c r="AR399" s="13" t="inlineStr"/>
      <c r="AS399" s="13" t="inlineStr"/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7" t="n">
        <v>0</v>
      </c>
      <c r="AK400" s="8" t="n">
        <v>-9</v>
      </c>
      <c r="AL400" s="8" t="n">
        <v>44</v>
      </c>
      <c r="AM400" s="11" t="inlineStr"/>
      <c r="AN400" s="12" t="inlineStr"/>
      <c r="AO400" s="12" t="inlineStr"/>
      <c r="AP400" s="13" t="inlineStr"/>
      <c r="AQ400" s="13" t="inlineStr"/>
      <c r="AR400" s="13" t="inlineStr"/>
      <c r="AS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7" t="n">
        <v>497054</v>
      </c>
      <c r="AK401" s="8" t="n">
        <v>44136</v>
      </c>
      <c r="AL401" s="8" t="n">
        <v>30217</v>
      </c>
      <c r="AM401" s="11" t="inlineStr"/>
      <c r="AN401" s="12" t="inlineStr"/>
      <c r="AO401" s="12" t="inlineStr"/>
      <c r="AP401" s="13" t="inlineStr"/>
      <c r="AQ401" s="13" t="inlineStr"/>
      <c r="AR401" s="13" t="inlineStr"/>
      <c r="AS401" s="13" t="inlineStr"/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7" t="n">
        <v>1385352</v>
      </c>
      <c r="AK402" s="8" t="n">
        <v>195673</v>
      </c>
      <c r="AL402" s="8" t="n">
        <v>183791</v>
      </c>
      <c r="AM402" s="11" t="inlineStr"/>
      <c r="AN402" s="12" t="inlineStr"/>
      <c r="AO402" s="12" t="inlineStr"/>
      <c r="AP402" s="13" t="inlineStr"/>
      <c r="AQ402" s="13" t="inlineStr"/>
      <c r="AR402" s="13" t="inlineStr"/>
      <c r="AS402" s="13" t="inlineStr"/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7" t="inlineStr"/>
      <c r="AK403" s="8" t="n">
        <v>-7</v>
      </c>
      <c r="AL403" s="8" t="n">
        <v>55</v>
      </c>
      <c r="AM403" s="11" t="inlineStr"/>
      <c r="AN403" s="12" t="inlineStr"/>
      <c r="AO403" s="12" t="inlineStr"/>
      <c r="AP403" s="13" t="inlineStr"/>
      <c r="AQ403" s="13" t="inlineStr"/>
      <c r="AR403" s="13" t="inlineStr"/>
      <c r="AS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7" t="n">
        <v>0</v>
      </c>
      <c r="AK404" s="8" t="n">
        <v>-24</v>
      </c>
      <c r="AL404" s="8" t="n">
        <v>32</v>
      </c>
      <c r="AM404" s="11" t="inlineStr"/>
      <c r="AN404" s="12" t="inlineStr"/>
      <c r="AO404" s="12" t="inlineStr"/>
      <c r="AP404" s="13" t="inlineStr"/>
      <c r="AQ404" s="13" t="inlineStr"/>
      <c r="AR404" s="13" t="inlineStr"/>
      <c r="AS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7" t="n">
        <v>104106</v>
      </c>
      <c r="AK405" s="8" t="n">
        <v>1825</v>
      </c>
      <c r="AL405" s="8" t="n">
        <v>2023</v>
      </c>
      <c r="AM405" s="11" t="inlineStr"/>
      <c r="AN405" s="12" t="inlineStr"/>
      <c r="AO405" s="12" t="inlineStr"/>
      <c r="AP405" s="13" t="inlineStr"/>
      <c r="AQ405" s="13" t="inlineStr"/>
      <c r="AR405" s="13" t="inlineStr"/>
      <c r="AS405" s="13" t="inlineStr"/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7" t="n">
        <v>1023183</v>
      </c>
      <c r="AK406" s="8" t="n">
        <v>108086</v>
      </c>
      <c r="AL406" s="8" t="n">
        <v>59673</v>
      </c>
      <c r="AM406" s="11" t="inlineStr"/>
      <c r="AN406" s="12" t="inlineStr"/>
      <c r="AO406" s="12" t="inlineStr"/>
      <c r="AP406" s="13" t="inlineStr"/>
      <c r="AQ406" s="13" t="inlineStr"/>
      <c r="AR406" s="13" t="inlineStr"/>
      <c r="AS406" s="13" t="inlineStr"/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7" t="n">
        <v>444046</v>
      </c>
      <c r="AK407" s="8" t="n">
        <v>8703</v>
      </c>
      <c r="AL407" s="8" t="n">
        <v>7523</v>
      </c>
      <c r="AM407" s="11" t="inlineStr"/>
      <c r="AN407" s="12" t="inlineStr"/>
      <c r="AO407" s="12" t="inlineStr"/>
      <c r="AP407" s="13" t="inlineStr"/>
      <c r="AQ407" s="13" t="inlineStr"/>
      <c r="AR407" s="13" t="inlineStr"/>
      <c r="AS407" s="13" t="inlineStr"/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2026Q3</t>
        </is>
      </c>
      <c r="E408" s="6" t="inlineStr">
        <is>
          <t>2023Q4, 2026Q3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7" t="n">
        <v>1576998</v>
      </c>
      <c r="AK408" s="8" t="n">
        <v>178520</v>
      </c>
      <c r="AL408" s="8" t="n">
        <v>115838</v>
      </c>
      <c r="AM408" s="14" t="n">
        <v>1877789</v>
      </c>
      <c r="AN408" s="15" t="n">
        <v>233543</v>
      </c>
      <c r="AO408" s="15" t="n">
        <v>142828</v>
      </c>
      <c r="AP408" s="13" t="n">
        <v>19.1</v>
      </c>
      <c r="AQ408" s="13" t="n">
        <v>54.4</v>
      </c>
      <c r="AR408" s="13" t="n">
        <v>30.8</v>
      </c>
      <c r="AS408" s="13" t="n">
        <v>131.7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7" t="n">
        <v>6372601</v>
      </c>
      <c r="AK409" s="8" t="n">
        <v>587113</v>
      </c>
      <c r="AL409" s="8" t="n">
        <v>351539</v>
      </c>
      <c r="AM409" s="11" t="inlineStr"/>
      <c r="AN409" s="12" t="inlineStr"/>
      <c r="AO409" s="12" t="inlineStr"/>
      <c r="AP409" s="13" t="inlineStr"/>
      <c r="AQ409" s="13" t="inlineStr"/>
      <c r="AR409" s="13" t="inlineStr"/>
      <c r="AS409" s="13" t="inlineStr"/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7" t="n">
        <v>3230712</v>
      </c>
      <c r="AK410" s="8" t="n">
        <v>325024</v>
      </c>
      <c r="AL410" s="8" t="n">
        <v>222841</v>
      </c>
      <c r="AM410" s="11" t="inlineStr"/>
      <c r="AN410" s="12" t="inlineStr"/>
      <c r="AO410" s="12" t="inlineStr"/>
      <c r="AP410" s="13" t="inlineStr"/>
      <c r="AQ410" s="13" t="inlineStr"/>
      <c r="AR410" s="13" t="inlineStr"/>
      <c r="AS410" s="13" t="inlineStr"/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7" t="n">
        <v>49054</v>
      </c>
      <c r="AK411" s="8" t="n">
        <v>957</v>
      </c>
      <c r="AL411" s="8" t="n">
        <v>445</v>
      </c>
      <c r="AM411" s="11" t="inlineStr"/>
      <c r="AN411" s="12" t="inlineStr"/>
      <c r="AO411" s="12" t="inlineStr"/>
      <c r="AP411" s="13" t="inlineStr"/>
      <c r="AQ411" s="13" t="inlineStr"/>
      <c r="AR411" s="13" t="inlineStr"/>
      <c r="AS411" s="13" t="inlineStr"/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7" t="n">
        <v>0</v>
      </c>
      <c r="AK412" s="8" t="n">
        <v>-13</v>
      </c>
      <c r="AL412" s="8" t="n">
        <v>60</v>
      </c>
      <c r="AM412" s="11" t="inlineStr"/>
      <c r="AN412" s="12" t="inlineStr"/>
      <c r="AO412" s="12" t="inlineStr"/>
      <c r="AP412" s="13" t="inlineStr"/>
      <c r="AQ412" s="13" t="inlineStr"/>
      <c r="AR412" s="13" t="inlineStr"/>
      <c r="AS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7" t="n">
        <v>42690</v>
      </c>
      <c r="AK413" s="8" t="n">
        <v>4567</v>
      </c>
      <c r="AL413" s="8" t="n">
        <v>4085</v>
      </c>
      <c r="AM413" s="11" t="inlineStr"/>
      <c r="AN413" s="12" t="inlineStr"/>
      <c r="AO413" s="12" t="inlineStr"/>
      <c r="AP413" s="13" t="inlineStr"/>
      <c r="AQ413" s="13" t="inlineStr"/>
      <c r="AR413" s="13" t="inlineStr"/>
      <c r="AS413" s="13" t="inlineStr"/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7" t="n">
        <v>138834</v>
      </c>
      <c r="AK414" s="8" t="n">
        <v>8310</v>
      </c>
      <c r="AL414" s="8" t="n">
        <v>5157</v>
      </c>
      <c r="AM414" s="11" t="inlineStr"/>
      <c r="AN414" s="12" t="inlineStr"/>
      <c r="AO414" s="12" t="inlineStr"/>
      <c r="AP414" s="13" t="inlineStr"/>
      <c r="AQ414" s="13" t="inlineStr"/>
      <c r="AR414" s="13" t="inlineStr"/>
      <c r="AS414" s="13" t="inlineStr"/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7" t="n">
        <v>60534</v>
      </c>
      <c r="AK415" s="8" t="n">
        <v>-1864</v>
      </c>
      <c r="AL415" s="8" t="n">
        <v>660</v>
      </c>
      <c r="AM415" s="11" t="inlineStr"/>
      <c r="AN415" s="12" t="inlineStr"/>
      <c r="AO415" s="12" t="inlineStr"/>
      <c r="AP415" s="13" t="inlineStr"/>
      <c r="AQ415" s="13" t="inlineStr"/>
      <c r="AR415" s="13" t="inlineStr"/>
      <c r="AS415" s="13" t="inlineStr"/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7" t="n">
        <v>57274</v>
      </c>
      <c r="AK416" s="8" t="n">
        <v>3038</v>
      </c>
      <c r="AL416" s="8" t="n">
        <v>2071</v>
      </c>
      <c r="AM416" s="11" t="inlineStr"/>
      <c r="AN416" s="12" t="inlineStr"/>
      <c r="AO416" s="12" t="inlineStr"/>
      <c r="AP416" s="13" t="inlineStr"/>
      <c r="AQ416" s="13" t="inlineStr"/>
      <c r="AR416" s="13" t="inlineStr"/>
      <c r="AS416" s="13" t="inlineStr"/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7" t="n">
        <v>36150</v>
      </c>
      <c r="AK417" s="8" t="n">
        <v>765</v>
      </c>
      <c r="AL417" s="8" t="n">
        <v>-948</v>
      </c>
      <c r="AM417" s="11" t="inlineStr"/>
      <c r="AN417" s="12" t="inlineStr"/>
      <c r="AO417" s="12" t="inlineStr"/>
      <c r="AP417" s="13" t="inlineStr"/>
      <c r="AQ417" s="13" t="inlineStr"/>
      <c r="AR417" s="13" t="inlineStr"/>
      <c r="AS417" s="13" t="inlineStr"/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7" t="n">
        <v>0</v>
      </c>
      <c r="AK418" s="8" t="n">
        <v>-7</v>
      </c>
      <c r="AL418" s="8" t="n">
        <v>50</v>
      </c>
      <c r="AM418" s="11" t="inlineStr"/>
      <c r="AN418" s="12" t="inlineStr"/>
      <c r="AO418" s="12" t="inlineStr"/>
      <c r="AP418" s="13" t="inlineStr"/>
      <c r="AQ418" s="13" t="inlineStr"/>
      <c r="AR418" s="13" t="inlineStr"/>
      <c r="AS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7" t="n">
        <v>14929</v>
      </c>
      <c r="AK419" s="8" t="n">
        <v>1775</v>
      </c>
      <c r="AL419" s="8" t="n">
        <v>1579</v>
      </c>
      <c r="AM419" s="11" t="inlineStr"/>
      <c r="AN419" s="12" t="inlineStr"/>
      <c r="AO419" s="12" t="inlineStr"/>
      <c r="AP419" s="13" t="inlineStr"/>
      <c r="AQ419" s="13" t="inlineStr"/>
      <c r="AR419" s="13" t="inlineStr"/>
      <c r="AS419" s="13" t="inlineStr"/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7" t="n">
        <v>56894</v>
      </c>
      <c r="AK420" s="8" t="n">
        <v>905</v>
      </c>
      <c r="AL420" s="8" t="n">
        <v>2381</v>
      </c>
      <c r="AM420" s="11" t="inlineStr"/>
      <c r="AN420" s="12" t="inlineStr"/>
      <c r="AO420" s="12" t="inlineStr"/>
      <c r="AP420" s="13" t="inlineStr"/>
      <c r="AQ420" s="13" t="inlineStr"/>
      <c r="AR420" s="13" t="inlineStr"/>
      <c r="AS420" s="13" t="inlineStr"/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7" t="n">
        <v>498388</v>
      </c>
      <c r="AK421" s="8" t="n">
        <v>5800</v>
      </c>
      <c r="AL421" s="8" t="n">
        <v>7031</v>
      </c>
      <c r="AM421" s="11" t="inlineStr"/>
      <c r="AN421" s="12" t="inlineStr"/>
      <c r="AO421" s="12" t="inlineStr"/>
      <c r="AP421" s="13" t="inlineStr"/>
      <c r="AQ421" s="13" t="inlineStr"/>
      <c r="AR421" s="13" t="inlineStr"/>
      <c r="AS421" s="13" t="inlineStr"/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7" t="n">
        <v>237249</v>
      </c>
      <c r="AK422" s="8" t="n">
        <v>11606</v>
      </c>
      <c r="AL422" s="8" t="n">
        <v>11813</v>
      </c>
      <c r="AM422" s="11" t="inlineStr"/>
      <c r="AN422" s="12" t="inlineStr"/>
      <c r="AO422" s="12" t="inlineStr"/>
      <c r="AP422" s="13" t="inlineStr"/>
      <c r="AQ422" s="13" t="inlineStr"/>
      <c r="AR422" s="13" t="inlineStr"/>
      <c r="AS422" s="13" t="inlineStr"/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7" t="n">
        <v>113794</v>
      </c>
      <c r="AK423" s="8" t="n">
        <v>5099</v>
      </c>
      <c r="AL423" s="8" t="n">
        <v>6167</v>
      </c>
      <c r="AM423" s="11" t="inlineStr"/>
      <c r="AN423" s="12" t="inlineStr"/>
      <c r="AO423" s="12" t="inlineStr"/>
      <c r="AP423" s="13" t="inlineStr"/>
      <c r="AQ423" s="13" t="inlineStr"/>
      <c r="AR423" s="13" t="inlineStr"/>
      <c r="AS423" s="13" t="inlineStr"/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7" t="n">
        <v>92242</v>
      </c>
      <c r="AK424" s="8" t="n">
        <v>3413</v>
      </c>
      <c r="AL424" s="8" t="n">
        <v>2685</v>
      </c>
      <c r="AM424" s="11" t="inlineStr"/>
      <c r="AN424" s="12" t="inlineStr"/>
      <c r="AO424" s="12" t="inlineStr"/>
      <c r="AP424" s="13" t="inlineStr"/>
      <c r="AQ424" s="13" t="inlineStr"/>
      <c r="AR424" s="13" t="inlineStr"/>
      <c r="AS424" s="13" t="inlineStr"/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7" t="n">
        <v>11343488</v>
      </c>
      <c r="AK425" s="8" t="n">
        <v>965015</v>
      </c>
      <c r="AL425" s="8" t="n">
        <v>514584</v>
      </c>
      <c r="AM425" s="11" t="inlineStr"/>
      <c r="AN425" s="12" t="inlineStr"/>
      <c r="AO425" s="12" t="inlineStr"/>
      <c r="AP425" s="13" t="inlineStr"/>
      <c r="AQ425" s="13" t="inlineStr"/>
      <c r="AR425" s="13" t="inlineStr"/>
      <c r="AS425" s="13" t="inlineStr"/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7" t="n">
        <v>95582</v>
      </c>
      <c r="AK426" s="8" t="n">
        <v>1151</v>
      </c>
      <c r="AL426" s="8" t="n">
        <v>3446</v>
      </c>
      <c r="AM426" s="11" t="inlineStr"/>
      <c r="AN426" s="12" t="inlineStr"/>
      <c r="AO426" s="12" t="inlineStr"/>
      <c r="AP426" s="13" t="inlineStr"/>
      <c r="AQ426" s="13" t="inlineStr"/>
      <c r="AR426" s="13" t="inlineStr"/>
      <c r="AS426" s="13" t="inlineStr"/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7" t="n">
        <v>2056</v>
      </c>
      <c r="AK427" s="8" t="n">
        <v>-12810</v>
      </c>
      <c r="AL427" s="8" t="n">
        <v>-18949</v>
      </c>
      <c r="AM427" s="11" t="inlineStr"/>
      <c r="AN427" s="12" t="inlineStr"/>
      <c r="AO427" s="12" t="inlineStr"/>
      <c r="AP427" s="13" t="inlineStr"/>
      <c r="AQ427" s="13" t="inlineStr"/>
      <c r="AR427" s="13" t="inlineStr"/>
      <c r="AS427" s="13" t="inlineStr"/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7" t="n">
        <v>52262</v>
      </c>
      <c r="AK428" s="8" t="n">
        <v>3703</v>
      </c>
      <c r="AL428" s="8" t="n">
        <v>5757</v>
      </c>
      <c r="AM428" s="11" t="inlineStr"/>
      <c r="AN428" s="12" t="inlineStr"/>
      <c r="AO428" s="12" t="inlineStr"/>
      <c r="AP428" s="13" t="inlineStr"/>
      <c r="AQ428" s="13" t="inlineStr"/>
      <c r="AR428" s="13" t="inlineStr"/>
      <c r="AS428" s="13" t="inlineStr"/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7" t="n">
        <v>5527241</v>
      </c>
      <c r="AK429" s="8" t="n">
        <v>245754</v>
      </c>
      <c r="AL429" s="8" t="n">
        <v>169667</v>
      </c>
      <c r="AM429" s="11" t="inlineStr"/>
      <c r="AN429" s="12" t="inlineStr"/>
      <c r="AO429" s="12" t="inlineStr"/>
      <c r="AP429" s="13" t="inlineStr"/>
      <c r="AQ429" s="13" t="inlineStr"/>
      <c r="AR429" s="13" t="inlineStr"/>
      <c r="AS429" s="13" t="inlineStr"/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7" t="n">
        <v>14541</v>
      </c>
      <c r="AK430" s="8" t="n">
        <v>52</v>
      </c>
      <c r="AL430" s="8" t="n">
        <v>30</v>
      </c>
      <c r="AM430" s="11" t="inlineStr"/>
      <c r="AN430" s="12" t="inlineStr"/>
      <c r="AO430" s="12" t="inlineStr"/>
      <c r="AP430" s="13" t="inlineStr"/>
      <c r="AQ430" s="13" t="inlineStr"/>
      <c r="AR430" s="13" t="inlineStr"/>
      <c r="AS430" s="13" t="inlineStr"/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7" t="n">
        <v>42491</v>
      </c>
      <c r="AK431" s="8" t="n">
        <v>-3111</v>
      </c>
      <c r="AL431" s="8" t="n">
        <v>-3552</v>
      </c>
      <c r="AM431" s="11" t="inlineStr"/>
      <c r="AN431" s="12" t="inlineStr"/>
      <c r="AO431" s="12" t="inlineStr"/>
      <c r="AP431" s="13" t="inlineStr"/>
      <c r="AQ431" s="13" t="inlineStr"/>
      <c r="AR431" s="13" t="inlineStr"/>
      <c r="AS431" s="13" t="inlineStr"/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7" t="n">
        <v>48254</v>
      </c>
      <c r="AK432" s="8" t="n">
        <v>-578</v>
      </c>
      <c r="AL432" s="8" t="n">
        <v>742</v>
      </c>
      <c r="AM432" s="11" t="inlineStr"/>
      <c r="AN432" s="12" t="inlineStr"/>
      <c r="AO432" s="12" t="inlineStr"/>
      <c r="AP432" s="13" t="inlineStr"/>
      <c r="AQ432" s="13" t="inlineStr"/>
      <c r="AR432" s="13" t="inlineStr"/>
      <c r="AS432" s="13" t="inlineStr"/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7" t="n">
        <v>5686370</v>
      </c>
      <c r="AK433" s="8" t="n">
        <v>110139</v>
      </c>
      <c r="AL433" s="8" t="n">
        <v>194491</v>
      </c>
      <c r="AM433" s="11" t="inlineStr"/>
      <c r="AN433" s="12" t="inlineStr"/>
      <c r="AO433" s="12" t="inlineStr"/>
      <c r="AP433" s="13" t="inlineStr"/>
      <c r="AQ433" s="13" t="inlineStr"/>
      <c r="AR433" s="13" t="inlineStr"/>
      <c r="AS433" s="13" t="inlineStr"/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7" t="n">
        <v>3401966</v>
      </c>
      <c r="AK434" s="8" t="n">
        <v>354118</v>
      </c>
      <c r="AL434" s="8" t="n">
        <v>411399</v>
      </c>
      <c r="AM434" s="11" t="inlineStr"/>
      <c r="AN434" s="12" t="inlineStr"/>
      <c r="AO434" s="12" t="inlineStr"/>
      <c r="AP434" s="13" t="inlineStr"/>
      <c r="AQ434" s="13" t="inlineStr"/>
      <c r="AR434" s="13" t="inlineStr"/>
      <c r="AS434" s="13" t="inlineStr"/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7" t="n">
        <v>2353743</v>
      </c>
      <c r="AK435" s="8" t="n">
        <v>50386</v>
      </c>
      <c r="AL435" s="8" t="n">
        <v>50579</v>
      </c>
      <c r="AM435" s="11" t="inlineStr"/>
      <c r="AN435" s="12" t="inlineStr"/>
      <c r="AO435" s="12" t="inlineStr"/>
      <c r="AP435" s="13" t="inlineStr"/>
      <c r="AQ435" s="13" t="inlineStr"/>
      <c r="AR435" s="13" t="inlineStr"/>
      <c r="AS435" s="13" t="inlineStr"/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7" t="n">
        <v>7598</v>
      </c>
      <c r="AK436" s="8" t="n">
        <v>-1460</v>
      </c>
      <c r="AL436" s="8" t="n">
        <v>-1499</v>
      </c>
      <c r="AM436" s="11" t="inlineStr"/>
      <c r="AN436" s="12" t="inlineStr"/>
      <c r="AO436" s="12" t="inlineStr"/>
      <c r="AP436" s="13" t="inlineStr"/>
      <c r="AQ436" s="13" t="inlineStr"/>
      <c r="AR436" s="13" t="inlineStr"/>
      <c r="AS436" s="13" t="inlineStr"/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7" t="n">
        <v>212333</v>
      </c>
      <c r="AK437" s="8" t="n">
        <v>4470</v>
      </c>
      <c r="AL437" s="8" t="n">
        <v>5062</v>
      </c>
      <c r="AM437" s="11" t="inlineStr"/>
      <c r="AN437" s="12" t="inlineStr"/>
      <c r="AO437" s="12" t="inlineStr"/>
      <c r="AP437" s="13" t="inlineStr"/>
      <c r="AQ437" s="13" t="inlineStr"/>
      <c r="AR437" s="13" t="inlineStr"/>
      <c r="AS437" s="13" t="inlineStr"/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7" t="n">
        <v>2980</v>
      </c>
      <c r="AK438" s="8" t="n">
        <v>-405</v>
      </c>
      <c r="AL438" s="8" t="n">
        <v>-1472</v>
      </c>
      <c r="AM438" s="11" t="inlineStr"/>
      <c r="AN438" s="12" t="inlineStr"/>
      <c r="AO438" s="12" t="inlineStr"/>
      <c r="AP438" s="13" t="inlineStr"/>
      <c r="AQ438" s="13" t="inlineStr"/>
      <c r="AR438" s="13" t="inlineStr"/>
      <c r="AS438" s="13" t="inlineStr"/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7" t="n">
        <v>121439</v>
      </c>
      <c r="AK439" s="8" t="n">
        <v>4867</v>
      </c>
      <c r="AL439" s="8" t="n">
        <v>4619</v>
      </c>
      <c r="AM439" s="11" t="inlineStr"/>
      <c r="AN439" s="12" t="inlineStr"/>
      <c r="AO439" s="12" t="inlineStr"/>
      <c r="AP439" s="13" t="inlineStr"/>
      <c r="AQ439" s="13" t="inlineStr"/>
      <c r="AR439" s="13" t="inlineStr"/>
      <c r="AS439" s="13" t="inlineStr"/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7" t="n">
        <v>30963</v>
      </c>
      <c r="AK440" s="8" t="n">
        <v>-2926</v>
      </c>
      <c r="AL440" s="8" t="n">
        <v>-3679</v>
      </c>
      <c r="AM440" s="11" t="inlineStr"/>
      <c r="AN440" s="12" t="inlineStr"/>
      <c r="AO440" s="12" t="inlineStr"/>
      <c r="AP440" s="13" t="inlineStr"/>
      <c r="AQ440" s="13" t="inlineStr"/>
      <c r="AR440" s="13" t="inlineStr"/>
      <c r="AS440" s="13" t="inlineStr"/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7" t="n">
        <v>147605</v>
      </c>
      <c r="AK441" s="8" t="n">
        <v>22253</v>
      </c>
      <c r="AL441" s="8" t="n">
        <v>19460</v>
      </c>
      <c r="AM441" s="11" t="inlineStr"/>
      <c r="AN441" s="12" t="inlineStr"/>
      <c r="AO441" s="12" t="inlineStr"/>
      <c r="AP441" s="13" t="inlineStr"/>
      <c r="AQ441" s="13" t="inlineStr"/>
      <c r="AR441" s="13" t="inlineStr"/>
      <c r="AS441" s="13" t="inlineStr"/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7" t="n">
        <v>24756</v>
      </c>
      <c r="AK442" s="8" t="n">
        <v>1360</v>
      </c>
      <c r="AL442" s="8" t="n">
        <v>505</v>
      </c>
      <c r="AM442" s="11" t="inlineStr"/>
      <c r="AN442" s="12" t="inlineStr"/>
      <c r="AO442" s="12" t="inlineStr"/>
      <c r="AP442" s="13" t="inlineStr"/>
      <c r="AQ442" s="13" t="inlineStr"/>
      <c r="AR442" s="13" t="inlineStr"/>
      <c r="AS442" s="13" t="inlineStr"/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7" t="n">
        <v>11025</v>
      </c>
      <c r="AK443" s="8" t="n">
        <v>1747</v>
      </c>
      <c r="AL443" s="8" t="n">
        <v>1368</v>
      </c>
      <c r="AM443" s="11" t="inlineStr"/>
      <c r="AN443" s="12" t="inlineStr"/>
      <c r="AO443" s="12" t="inlineStr"/>
      <c r="AP443" s="13" t="inlineStr"/>
      <c r="AQ443" s="13" t="inlineStr"/>
      <c r="AR443" s="13" t="inlineStr"/>
      <c r="AS443" s="13" t="inlineStr"/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7" t="n">
        <v>72386</v>
      </c>
      <c r="AK444" s="8" t="n">
        <v>7779</v>
      </c>
      <c r="AL444" s="8" t="n">
        <v>5905</v>
      </c>
      <c r="AM444" s="11" t="inlineStr"/>
      <c r="AN444" s="12" t="inlineStr"/>
      <c r="AO444" s="12" t="inlineStr"/>
      <c r="AP444" s="13" t="inlineStr"/>
      <c r="AQ444" s="13" t="inlineStr"/>
      <c r="AR444" s="13" t="inlineStr"/>
      <c r="AS444" s="13" t="inlineStr"/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7" t="n">
        <v>289840</v>
      </c>
      <c r="AK445" s="8" t="n">
        <v>18060</v>
      </c>
      <c r="AL445" s="8" t="n">
        <v>15131</v>
      </c>
      <c r="AM445" s="11" t="inlineStr"/>
      <c r="AN445" s="12" t="inlineStr"/>
      <c r="AO445" s="12" t="inlineStr"/>
      <c r="AP445" s="13" t="inlineStr"/>
      <c r="AQ445" s="13" t="inlineStr"/>
      <c r="AR445" s="13" t="inlineStr"/>
      <c r="AS445" s="13" t="inlineStr"/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7" t="inlineStr"/>
      <c r="AK446" s="8" t="n">
        <v>-11</v>
      </c>
      <c r="AL446" s="8" t="n">
        <v>56</v>
      </c>
      <c r="AM446" s="11" t="inlineStr"/>
      <c r="AN446" s="12" t="inlineStr"/>
      <c r="AO446" s="12" t="inlineStr"/>
      <c r="AP446" s="13" t="inlineStr"/>
      <c r="AQ446" s="13" t="inlineStr"/>
      <c r="AR446" s="13" t="inlineStr"/>
      <c r="AS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7" t="n">
        <v>87367</v>
      </c>
      <c r="AK447" s="8" t="n">
        <v>665</v>
      </c>
      <c r="AL447" s="8" t="n">
        <v>448</v>
      </c>
      <c r="AM447" s="11" t="inlineStr"/>
      <c r="AN447" s="12" t="inlineStr"/>
      <c r="AO447" s="12" t="inlineStr"/>
      <c r="AP447" s="13" t="inlineStr"/>
      <c r="AQ447" s="13" t="inlineStr"/>
      <c r="AR447" s="13" t="inlineStr"/>
      <c r="AS447" s="13" t="inlineStr"/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7" t="n">
        <v>14350</v>
      </c>
      <c r="AK448" s="8" t="n">
        <v>1118</v>
      </c>
      <c r="AL448" s="8" t="n">
        <v>2147</v>
      </c>
      <c r="AM448" s="11" t="inlineStr"/>
      <c r="AN448" s="12" t="inlineStr"/>
      <c r="AO448" s="12" t="inlineStr"/>
      <c r="AP448" s="13" t="inlineStr"/>
      <c r="AQ448" s="13" t="inlineStr"/>
      <c r="AR448" s="13" t="inlineStr"/>
      <c r="AS448" s="13" t="inlineStr"/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7" t="n">
        <v>2816433</v>
      </c>
      <c r="AK449" s="8" t="n">
        <v>62937</v>
      </c>
      <c r="AL449" s="8" t="n">
        <v>40297</v>
      </c>
      <c r="AM449" s="11" t="inlineStr"/>
      <c r="AN449" s="12" t="inlineStr"/>
      <c r="AO449" s="12" t="inlineStr"/>
      <c r="AP449" s="13" t="inlineStr"/>
      <c r="AQ449" s="13" t="inlineStr"/>
      <c r="AR449" s="13" t="inlineStr"/>
      <c r="AS449" s="13" t="inlineStr"/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7" t="n">
        <v>2268152</v>
      </c>
      <c r="AK450" s="8" t="n">
        <v>338998</v>
      </c>
      <c r="AL450" s="8" t="n">
        <v>300417</v>
      </c>
      <c r="AM450" s="11" t="inlineStr"/>
      <c r="AN450" s="12" t="inlineStr"/>
      <c r="AO450" s="12" t="inlineStr"/>
      <c r="AP450" s="13" t="inlineStr"/>
      <c r="AQ450" s="13" t="inlineStr"/>
      <c r="AR450" s="13" t="inlineStr"/>
      <c r="AS450" s="13" t="inlineStr"/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7" t="n">
        <v>645385</v>
      </c>
      <c r="AK451" s="8" t="n">
        <v>-14424</v>
      </c>
      <c r="AL451" s="8" t="n">
        <v>-82227</v>
      </c>
      <c r="AM451" s="11" t="inlineStr"/>
      <c r="AN451" s="12" t="inlineStr"/>
      <c r="AO451" s="12" t="inlineStr"/>
      <c r="AP451" s="13" t="inlineStr"/>
      <c r="AQ451" s="13" t="inlineStr"/>
      <c r="AR451" s="13" t="inlineStr"/>
      <c r="AS451" s="13" t="inlineStr"/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7" t="n">
        <v>19040</v>
      </c>
      <c r="AK452" s="8" t="n">
        <v>206</v>
      </c>
      <c r="AL452" s="8" t="n">
        <v>89</v>
      </c>
      <c r="AM452" s="11" t="inlineStr"/>
      <c r="AN452" s="12" t="inlineStr"/>
      <c r="AO452" s="12" t="inlineStr"/>
      <c r="AP452" s="13" t="inlineStr"/>
      <c r="AQ452" s="13" t="inlineStr"/>
      <c r="AR452" s="13" t="inlineStr"/>
      <c r="AS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7" t="n">
        <v>42377</v>
      </c>
      <c r="AK453" s="8" t="n">
        <v>-18939</v>
      </c>
      <c r="AL453" s="8" t="n">
        <v>-57471</v>
      </c>
      <c r="AM453" s="11" t="inlineStr"/>
      <c r="AN453" s="12" t="inlineStr"/>
      <c r="AO453" s="12" t="inlineStr"/>
      <c r="AP453" s="13" t="inlineStr"/>
      <c r="AQ453" s="13" t="inlineStr"/>
      <c r="AR453" s="13" t="inlineStr"/>
      <c r="AS453" s="13" t="inlineStr"/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7" t="n">
        <v>201806</v>
      </c>
      <c r="AK454" s="8" t="n">
        <v>3064</v>
      </c>
      <c r="AL454" s="8" t="n">
        <v>-2136</v>
      </c>
      <c r="AM454" s="11" t="inlineStr"/>
      <c r="AN454" s="12" t="inlineStr"/>
      <c r="AO454" s="12" t="inlineStr"/>
      <c r="AP454" s="13" t="inlineStr"/>
      <c r="AQ454" s="13" t="inlineStr"/>
      <c r="AR454" s="13" t="inlineStr"/>
      <c r="AS454" s="13" t="inlineStr"/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7" t="n">
        <v>229964</v>
      </c>
      <c r="AK455" s="8" t="n">
        <v>12909</v>
      </c>
      <c r="AL455" s="8" t="n">
        <v>25156</v>
      </c>
      <c r="AM455" s="11" t="inlineStr"/>
      <c r="AN455" s="12" t="inlineStr"/>
      <c r="AO455" s="12" t="inlineStr"/>
      <c r="AP455" s="13" t="inlineStr"/>
      <c r="AQ455" s="13" t="inlineStr"/>
      <c r="AR455" s="13" t="inlineStr"/>
      <c r="AS455" s="13" t="inlineStr"/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7" t="n">
        <v>35859</v>
      </c>
      <c r="AK456" s="8" t="n">
        <v>746</v>
      </c>
      <c r="AL456" s="8" t="n">
        <v>1330</v>
      </c>
      <c r="AM456" s="11" t="inlineStr"/>
      <c r="AN456" s="12" t="inlineStr"/>
      <c r="AO456" s="12" t="inlineStr"/>
      <c r="AP456" s="13" t="inlineStr"/>
      <c r="AQ456" s="13" t="inlineStr"/>
      <c r="AR456" s="13" t="inlineStr"/>
      <c r="AS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7" t="n">
        <v>106767</v>
      </c>
      <c r="AK457" s="8" t="n">
        <v>2174</v>
      </c>
      <c r="AL457" s="8" t="n">
        <v>259</v>
      </c>
      <c r="AM457" s="11" t="inlineStr"/>
      <c r="AN457" s="12" t="inlineStr"/>
      <c r="AO457" s="12" t="inlineStr"/>
      <c r="AP457" s="13" t="inlineStr"/>
      <c r="AQ457" s="13" t="inlineStr"/>
      <c r="AR457" s="13" t="inlineStr"/>
      <c r="AS457" s="13" t="inlineStr"/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7" t="n">
        <v>1651</v>
      </c>
      <c r="AK458" s="8" t="n">
        <v>-692</v>
      </c>
      <c r="AL458" s="8" t="n">
        <v>-588</v>
      </c>
      <c r="AM458" s="11" t="inlineStr"/>
      <c r="AN458" s="12" t="inlineStr"/>
      <c r="AO458" s="12" t="inlineStr"/>
      <c r="AP458" s="13" t="inlineStr"/>
      <c r="AQ458" s="13" t="inlineStr"/>
      <c r="AR458" s="13" t="inlineStr"/>
      <c r="AS458" s="13" t="inlineStr"/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7" t="n">
        <v>97434</v>
      </c>
      <c r="AK459" s="8" t="n">
        <v>-5111</v>
      </c>
      <c r="AL459" s="8" t="n">
        <v>-6110</v>
      </c>
      <c r="AM459" s="11" t="inlineStr"/>
      <c r="AN459" s="12" t="inlineStr"/>
      <c r="AO459" s="12" t="inlineStr"/>
      <c r="AP459" s="13" t="inlineStr"/>
      <c r="AQ459" s="13" t="inlineStr"/>
      <c r="AR459" s="13" t="inlineStr"/>
      <c r="AS459" s="13" t="inlineStr"/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7" t="n">
        <v>22259</v>
      </c>
      <c r="AK460" s="8" t="n">
        <v>2607</v>
      </c>
      <c r="AL460" s="8" t="n">
        <v>1279</v>
      </c>
      <c r="AM460" s="11" t="inlineStr"/>
      <c r="AN460" s="12" t="inlineStr"/>
      <c r="AO460" s="12" t="inlineStr"/>
      <c r="AP460" s="13" t="inlineStr"/>
      <c r="AQ460" s="13" t="inlineStr"/>
      <c r="AR460" s="13" t="inlineStr"/>
      <c r="AS460" s="13" t="inlineStr"/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7" t="n">
        <v>92150</v>
      </c>
      <c r="AK461" s="8" t="n">
        <v>4212</v>
      </c>
      <c r="AL461" s="8" t="n">
        <v>3593</v>
      </c>
      <c r="AM461" s="11" t="inlineStr"/>
      <c r="AN461" s="12" t="inlineStr"/>
      <c r="AO461" s="12" t="inlineStr"/>
      <c r="AP461" s="13" t="inlineStr"/>
      <c r="AQ461" s="13" t="inlineStr"/>
      <c r="AR461" s="13" t="inlineStr"/>
      <c r="AS461" s="13" t="inlineStr"/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7" t="n">
        <v>62466</v>
      </c>
      <c r="AK462" s="8" t="n">
        <v>-2498</v>
      </c>
      <c r="AL462" s="8" t="n">
        <v>577</v>
      </c>
      <c r="AM462" s="11" t="inlineStr"/>
      <c r="AN462" s="12" t="inlineStr"/>
      <c r="AO462" s="12" t="inlineStr"/>
      <c r="AP462" s="13" t="inlineStr"/>
      <c r="AQ462" s="13" t="inlineStr"/>
      <c r="AR462" s="13" t="inlineStr"/>
      <c r="AS462" s="13" t="inlineStr"/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7" t="n">
        <v>16324696</v>
      </c>
      <c r="AK463" s="8" t="n">
        <v>975158</v>
      </c>
      <c r="AL463" s="8" t="n">
        <v>1060230</v>
      </c>
      <c r="AM463" s="11" t="inlineStr"/>
      <c r="AN463" s="12" t="inlineStr"/>
      <c r="AO463" s="12" t="inlineStr"/>
      <c r="AP463" s="13" t="inlineStr"/>
      <c r="AQ463" s="13" t="inlineStr"/>
      <c r="AR463" s="13" t="inlineStr"/>
      <c r="AS463" s="13" t="inlineStr"/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7" t="n">
        <v>26519</v>
      </c>
      <c r="AK464" s="8" t="n">
        <v>233</v>
      </c>
      <c r="AL464" s="8" t="n">
        <v>303</v>
      </c>
      <c r="AM464" s="11" t="inlineStr"/>
      <c r="AN464" s="12" t="inlineStr"/>
      <c r="AO464" s="12" t="inlineStr"/>
      <c r="AP464" s="13" t="inlineStr"/>
      <c r="AQ464" s="13" t="inlineStr"/>
      <c r="AR464" s="13" t="inlineStr"/>
      <c r="AS464" s="13" t="inlineStr"/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7" t="n">
        <v>9292864</v>
      </c>
      <c r="AK465" s="8" t="n">
        <v>1365484</v>
      </c>
      <c r="AL465" s="8" t="n">
        <v>1080545</v>
      </c>
      <c r="AM465" s="11" t="inlineStr"/>
      <c r="AN465" s="12" t="inlineStr"/>
      <c r="AO465" s="12" t="inlineStr"/>
      <c r="AP465" s="13" t="inlineStr"/>
      <c r="AQ465" s="13" t="inlineStr"/>
      <c r="AR465" s="13" t="inlineStr"/>
      <c r="AS465" s="13" t="inlineStr"/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7" t="n">
        <v>123603</v>
      </c>
      <c r="AK466" s="8" t="n">
        <v>41087</v>
      </c>
      <c r="AL466" s="8" t="n">
        <v>29845</v>
      </c>
      <c r="AM466" s="11" t="inlineStr"/>
      <c r="AN466" s="12" t="inlineStr"/>
      <c r="AO466" s="12" t="inlineStr"/>
      <c r="AP466" s="13" t="inlineStr"/>
      <c r="AQ466" s="13" t="inlineStr"/>
      <c r="AR466" s="13" t="inlineStr"/>
      <c r="AS466" s="13" t="inlineStr"/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7" t="n">
        <v>118964</v>
      </c>
      <c r="AK467" s="8" t="n">
        <v>13344</v>
      </c>
      <c r="AL467" s="8" t="n">
        <v>10375</v>
      </c>
      <c r="AM467" s="11" t="inlineStr"/>
      <c r="AN467" s="12" t="inlineStr"/>
      <c r="AO467" s="12" t="inlineStr"/>
      <c r="AP467" s="13" t="inlineStr"/>
      <c r="AQ467" s="13" t="inlineStr"/>
      <c r="AR467" s="13" t="inlineStr"/>
      <c r="AS467" s="13" t="inlineStr"/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7" t="n">
        <v>114246</v>
      </c>
      <c r="AK468" s="8" t="n">
        <v>4018</v>
      </c>
      <c r="AL468" s="8" t="n">
        <v>2738</v>
      </c>
      <c r="AM468" s="11" t="inlineStr"/>
      <c r="AN468" s="12" t="inlineStr"/>
      <c r="AO468" s="12" t="inlineStr"/>
      <c r="AP468" s="13" t="inlineStr"/>
      <c r="AQ468" s="13" t="inlineStr"/>
      <c r="AR468" s="13" t="inlineStr"/>
      <c r="AS468" s="13" t="inlineStr"/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7" t="n">
        <v>1519714</v>
      </c>
      <c r="AK469" s="8" t="n">
        <v>228382</v>
      </c>
      <c r="AL469" s="8" t="n">
        <v>256782</v>
      </c>
      <c r="AM469" s="11" t="inlineStr"/>
      <c r="AN469" s="12" t="inlineStr"/>
      <c r="AO469" s="12" t="inlineStr"/>
      <c r="AP469" s="13" t="inlineStr"/>
      <c r="AQ469" s="13" t="inlineStr"/>
      <c r="AR469" s="13" t="inlineStr"/>
      <c r="AS469" s="13" t="inlineStr"/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7" t="n">
        <v>34526</v>
      </c>
      <c r="AK470" s="8" t="n">
        <v>1117</v>
      </c>
      <c r="AL470" s="8" t="n">
        <v>591</v>
      </c>
      <c r="AM470" s="11" t="inlineStr"/>
      <c r="AN470" s="12" t="inlineStr"/>
      <c r="AO470" s="12" t="inlineStr"/>
      <c r="AP470" s="13" t="inlineStr"/>
      <c r="AQ470" s="13" t="inlineStr"/>
      <c r="AR470" s="13" t="inlineStr"/>
      <c r="AS470" s="13" t="inlineStr"/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7" t="n">
        <v>391893</v>
      </c>
      <c r="AK471" s="8" t="n">
        <v>58737</v>
      </c>
      <c r="AL471" s="8" t="n">
        <v>85809</v>
      </c>
      <c r="AM471" s="11" t="inlineStr"/>
      <c r="AN471" s="12" t="inlineStr"/>
      <c r="AO471" s="12" t="inlineStr"/>
      <c r="AP471" s="13" t="inlineStr"/>
      <c r="AQ471" s="13" t="inlineStr"/>
      <c r="AR471" s="13" t="inlineStr"/>
      <c r="AS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7" t="n">
        <v>113152</v>
      </c>
      <c r="AK472" s="8" t="n">
        <v>2446</v>
      </c>
      <c r="AL472" s="8" t="n">
        <v>4519</v>
      </c>
      <c r="AM472" s="11" t="inlineStr"/>
      <c r="AN472" s="12" t="inlineStr"/>
      <c r="AO472" s="12" t="inlineStr"/>
      <c r="AP472" s="13" t="inlineStr"/>
      <c r="AQ472" s="13" t="inlineStr"/>
      <c r="AR472" s="13" t="inlineStr"/>
      <c r="AS472" s="13" t="inlineStr"/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2026Q3</t>
        </is>
      </c>
      <c r="E473" s="6" t="inlineStr">
        <is>
          <t>2023Q4, 2026Q3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7" t="n">
        <v>723128</v>
      </c>
      <c r="AK473" s="8" t="n">
        <v>64394</v>
      </c>
      <c r="AL473" s="8" t="n">
        <v>46750</v>
      </c>
      <c r="AM473" s="14" t="n">
        <v>716711</v>
      </c>
      <c r="AN473" s="15" t="n">
        <v>65394</v>
      </c>
      <c r="AO473" s="15" t="n">
        <v>49527</v>
      </c>
      <c r="AP473" s="13" t="n">
        <v>-0.9</v>
      </c>
      <c r="AQ473" s="13" t="n">
        <v>2.6</v>
      </c>
      <c r="AR473" s="13" t="n">
        <v>1.6</v>
      </c>
      <c r="AS473" s="13" t="n">
        <v>5.3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7" t="inlineStr"/>
      <c r="AK474" s="8" t="n">
        <v>2260</v>
      </c>
      <c r="AL474" s="8" t="n">
        <v>2242</v>
      </c>
      <c r="AM474" s="11" t="inlineStr"/>
      <c r="AN474" s="12" t="inlineStr"/>
      <c r="AO474" s="12" t="inlineStr"/>
      <c r="AP474" s="13" t="inlineStr"/>
      <c r="AQ474" s="13" t="inlineStr"/>
      <c r="AR474" s="13" t="inlineStr"/>
      <c r="AS474" s="13" t="inlineStr"/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7" t="n">
        <v>496772</v>
      </c>
      <c r="AK475" s="8" t="n">
        <v>22379</v>
      </c>
      <c r="AL475" s="8" t="n">
        <v>8804</v>
      </c>
      <c r="AM475" s="11" t="inlineStr"/>
      <c r="AN475" s="12" t="inlineStr"/>
      <c r="AO475" s="12" t="inlineStr"/>
      <c r="AP475" s="13" t="inlineStr"/>
      <c r="AQ475" s="13" t="inlineStr"/>
      <c r="AR475" s="13" t="inlineStr"/>
      <c r="AS475" s="13" t="inlineStr"/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7" t="n">
        <v>262793</v>
      </c>
      <c r="AK476" s="8" t="n">
        <v>2843</v>
      </c>
      <c r="AL476" s="8" t="n">
        <v>2057</v>
      </c>
      <c r="AM476" s="11" t="inlineStr"/>
      <c r="AN476" s="12" t="inlineStr"/>
      <c r="AO476" s="12" t="inlineStr"/>
      <c r="AP476" s="13" t="inlineStr"/>
      <c r="AQ476" s="13" t="inlineStr"/>
      <c r="AR476" s="13" t="inlineStr"/>
      <c r="AS476" s="13" t="inlineStr"/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7" t="n">
        <v>0</v>
      </c>
      <c r="AK477" s="8" t="n">
        <v>-10</v>
      </c>
      <c r="AL477" s="8" t="n">
        <v>36</v>
      </c>
      <c r="AM477" s="11" t="inlineStr"/>
      <c r="AN477" s="12" t="inlineStr"/>
      <c r="AO477" s="12" t="inlineStr"/>
      <c r="AP477" s="13" t="inlineStr"/>
      <c r="AQ477" s="13" t="inlineStr"/>
      <c r="AR477" s="13" t="inlineStr"/>
      <c r="AS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7" t="n">
        <v>10837</v>
      </c>
      <c r="AK478" s="8" t="n">
        <v>923</v>
      </c>
      <c r="AL478" s="8" t="n">
        <v>1735</v>
      </c>
      <c r="AM478" s="11" t="inlineStr"/>
      <c r="AN478" s="12" t="inlineStr"/>
      <c r="AO478" s="12" t="inlineStr"/>
      <c r="AP478" s="13" t="inlineStr"/>
      <c r="AQ478" s="13" t="inlineStr"/>
      <c r="AR478" s="13" t="inlineStr"/>
      <c r="AS478" s="13" t="inlineStr"/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7" t="n">
        <v>59251</v>
      </c>
      <c r="AK479" s="8" t="n">
        <v>16991</v>
      </c>
      <c r="AL479" s="8" t="n">
        <v>14849</v>
      </c>
      <c r="AM479" s="11" t="inlineStr"/>
      <c r="AN479" s="12" t="inlineStr"/>
      <c r="AO479" s="12" t="inlineStr"/>
      <c r="AP479" s="13" t="inlineStr"/>
      <c r="AQ479" s="13" t="inlineStr"/>
      <c r="AR479" s="13" t="inlineStr"/>
      <c r="AS479" s="13" t="inlineStr"/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7" t="inlineStr"/>
      <c r="AK480" s="8" t="n">
        <v>-12</v>
      </c>
      <c r="AL480" s="8" t="n">
        <v>45</v>
      </c>
      <c r="AM480" s="11" t="inlineStr"/>
      <c r="AN480" s="12" t="inlineStr"/>
      <c r="AO480" s="12" t="inlineStr"/>
      <c r="AP480" s="13" t="inlineStr"/>
      <c r="AQ480" s="13" t="inlineStr"/>
      <c r="AR480" s="13" t="inlineStr"/>
      <c r="AS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7" t="n">
        <v>0</v>
      </c>
      <c r="AK481" s="8" t="n">
        <v>-13</v>
      </c>
      <c r="AL481" s="8" t="n">
        <v>57</v>
      </c>
      <c r="AM481" s="11" t="inlineStr"/>
      <c r="AN481" s="12" t="inlineStr"/>
      <c r="AO481" s="12" t="inlineStr"/>
      <c r="AP481" s="13" t="inlineStr"/>
      <c r="AQ481" s="13" t="inlineStr"/>
      <c r="AR481" s="13" t="inlineStr"/>
      <c r="AS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7" t="n">
        <v>69813</v>
      </c>
      <c r="AK482" s="8" t="n">
        <v>1951</v>
      </c>
      <c r="AL482" s="8" t="n">
        <v>5886</v>
      </c>
      <c r="AM482" s="11" t="inlineStr"/>
      <c r="AN482" s="12" t="inlineStr"/>
      <c r="AO482" s="12" t="inlineStr"/>
      <c r="AP482" s="13" t="inlineStr"/>
      <c r="AQ482" s="13" t="inlineStr"/>
      <c r="AR482" s="13" t="inlineStr"/>
      <c r="AS482" s="13" t="inlineStr"/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7" t="n">
        <v>0</v>
      </c>
      <c r="AK483" s="8" t="n">
        <v>-9</v>
      </c>
      <c r="AL483" s="8" t="n">
        <v>42</v>
      </c>
      <c r="AM483" s="11" t="inlineStr"/>
      <c r="AN483" s="12" t="inlineStr"/>
      <c r="AO483" s="12" t="inlineStr"/>
      <c r="AP483" s="13" t="inlineStr"/>
      <c r="AQ483" s="13" t="inlineStr"/>
      <c r="AR483" s="13" t="inlineStr"/>
      <c r="AS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7" t="n">
        <v>0</v>
      </c>
      <c r="AK484" s="8" t="n">
        <v>-26</v>
      </c>
      <c r="AL484" s="8" t="n">
        <v>24</v>
      </c>
      <c r="AM484" s="11" t="inlineStr"/>
      <c r="AN484" s="12" t="inlineStr"/>
      <c r="AO484" s="12" t="inlineStr"/>
      <c r="AP484" s="13" t="inlineStr"/>
      <c r="AQ484" s="13" t="inlineStr"/>
      <c r="AR484" s="13" t="inlineStr"/>
      <c r="AS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7" t="n">
        <v>222118</v>
      </c>
      <c r="AK485" s="8" t="n">
        <v>5900</v>
      </c>
      <c r="AL485" s="8" t="n">
        <v>-2584</v>
      </c>
      <c r="AM485" s="11" t="inlineStr"/>
      <c r="AN485" s="12" t="inlineStr"/>
      <c r="AO485" s="12" t="inlineStr"/>
      <c r="AP485" s="13" t="inlineStr"/>
      <c r="AQ485" s="13" t="inlineStr"/>
      <c r="AR485" s="13" t="inlineStr"/>
      <c r="AS485" s="13" t="inlineStr"/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7" t="n">
        <v>107353</v>
      </c>
      <c r="AK486" s="8" t="n">
        <v>3718</v>
      </c>
      <c r="AL486" s="8" t="n">
        <v>625</v>
      </c>
      <c r="AM486" s="11" t="inlineStr"/>
      <c r="AN486" s="12" t="inlineStr"/>
      <c r="AO486" s="12" t="inlineStr"/>
      <c r="AP486" s="13" t="inlineStr"/>
      <c r="AQ486" s="13" t="inlineStr"/>
      <c r="AR486" s="13" t="inlineStr"/>
      <c r="AS486" s="13" t="inlineStr"/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7" t="inlineStr"/>
      <c r="AK487" s="8" t="n">
        <v>-11</v>
      </c>
      <c r="AL487" s="8" t="n">
        <v>-4</v>
      </c>
      <c r="AM487" s="11" t="inlineStr"/>
      <c r="AN487" s="12" t="inlineStr"/>
      <c r="AO487" s="12" t="inlineStr"/>
      <c r="AP487" s="13" t="inlineStr"/>
      <c r="AQ487" s="13" t="inlineStr"/>
      <c r="AR487" s="13" t="inlineStr"/>
      <c r="AS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7" t="n">
        <v>449059</v>
      </c>
      <c r="AK488" s="8" t="n">
        <v>21866</v>
      </c>
      <c r="AL488" s="8" t="n">
        <v>15404</v>
      </c>
      <c r="AM488" s="11" t="inlineStr"/>
      <c r="AN488" s="12" t="inlineStr"/>
      <c r="AO488" s="12" t="inlineStr"/>
      <c r="AP488" s="13" t="inlineStr"/>
      <c r="AQ488" s="13" t="inlineStr"/>
      <c r="AR488" s="13" t="inlineStr"/>
      <c r="AS488" s="13" t="inlineStr"/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7" t="n">
        <v>370529</v>
      </c>
      <c r="AK489" s="8" t="n">
        <v>23954</v>
      </c>
      <c r="AL489" s="8" t="n">
        <v>20171</v>
      </c>
      <c r="AM489" s="11" t="inlineStr"/>
      <c r="AN489" s="12" t="inlineStr"/>
      <c r="AO489" s="12" t="inlineStr"/>
      <c r="AP489" s="13" t="inlineStr"/>
      <c r="AQ489" s="13" t="inlineStr"/>
      <c r="AR489" s="13" t="inlineStr"/>
      <c r="AS489" s="13" t="inlineStr"/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7" t="n">
        <v>840068</v>
      </c>
      <c r="AK490" s="8" t="n">
        <v>69010</v>
      </c>
      <c r="AL490" s="8" t="n">
        <v>38800</v>
      </c>
      <c r="AM490" s="11" t="inlineStr"/>
      <c r="AN490" s="12" t="inlineStr"/>
      <c r="AO490" s="12" t="inlineStr"/>
      <c r="AP490" s="13" t="inlineStr"/>
      <c r="AQ490" s="13" t="inlineStr"/>
      <c r="AR490" s="13" t="inlineStr"/>
      <c r="AS490" s="13" t="inlineStr"/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7" t="n">
        <v>109251</v>
      </c>
      <c r="AK491" s="8" t="n">
        <v>12194</v>
      </c>
      <c r="AL491" s="8" t="n">
        <v>8717</v>
      </c>
      <c r="AM491" s="11" t="inlineStr"/>
      <c r="AN491" s="12" t="inlineStr"/>
      <c r="AO491" s="12" t="inlineStr"/>
      <c r="AP491" s="13" t="inlineStr"/>
      <c r="AQ491" s="13" t="inlineStr"/>
      <c r="AR491" s="13" t="inlineStr"/>
      <c r="AS491" s="13" t="inlineStr"/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7" t="n">
        <v>7989</v>
      </c>
      <c r="AK492" s="8" t="n">
        <v>1013</v>
      </c>
      <c r="AL492" s="8" t="n">
        <v>-2246</v>
      </c>
      <c r="AM492" s="11" t="inlineStr"/>
      <c r="AN492" s="12" t="inlineStr"/>
      <c r="AO492" s="12" t="inlineStr"/>
      <c r="AP492" s="13" t="inlineStr"/>
      <c r="AQ492" s="13" t="inlineStr"/>
      <c r="AR492" s="13" t="inlineStr"/>
      <c r="AS492" s="13" t="inlineStr"/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7" t="n">
        <v>4108</v>
      </c>
      <c r="AK493" s="8" t="n">
        <v>-1292</v>
      </c>
      <c r="AL493" s="8" t="n">
        <v>-127</v>
      </c>
      <c r="AM493" s="11" t="inlineStr"/>
      <c r="AN493" s="12" t="inlineStr"/>
      <c r="AO493" s="12" t="inlineStr"/>
      <c r="AP493" s="13" t="inlineStr"/>
      <c r="AQ493" s="13" t="inlineStr"/>
      <c r="AR493" s="13" t="inlineStr"/>
      <c r="AS493" s="13" t="inlineStr"/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7" t="n">
        <v>215775</v>
      </c>
      <c r="AK494" s="8" t="n">
        <v>9933</v>
      </c>
      <c r="AL494" s="8" t="n">
        <v>8185</v>
      </c>
      <c r="AM494" s="11" t="inlineStr"/>
      <c r="AN494" s="12" t="inlineStr"/>
      <c r="AO494" s="12" t="inlineStr"/>
      <c r="AP494" s="13" t="inlineStr"/>
      <c r="AQ494" s="13" t="inlineStr"/>
      <c r="AR494" s="13" t="inlineStr"/>
      <c r="AS494" s="13" t="inlineStr"/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7" t="n">
        <v>147542</v>
      </c>
      <c r="AK495" s="8" t="n">
        <v>-26701</v>
      </c>
      <c r="AL495" s="8" t="n">
        <v>-22055</v>
      </c>
      <c r="AM495" s="11" t="inlineStr"/>
      <c r="AN495" s="12" t="inlineStr"/>
      <c r="AO495" s="12" t="inlineStr"/>
      <c r="AP495" s="13" t="inlineStr"/>
      <c r="AQ495" s="13" t="inlineStr"/>
      <c r="AR495" s="13" t="inlineStr"/>
      <c r="AS495" s="13" t="inlineStr"/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7" t="n">
        <v>50400</v>
      </c>
      <c r="AK496" s="8" t="n">
        <v>7192</v>
      </c>
      <c r="AL496" s="8" t="n">
        <v>11873</v>
      </c>
      <c r="AM496" s="11" t="inlineStr"/>
      <c r="AN496" s="12" t="inlineStr"/>
      <c r="AO496" s="12" t="inlineStr"/>
      <c r="AP496" s="13" t="inlineStr"/>
      <c r="AQ496" s="13" t="inlineStr"/>
      <c r="AR496" s="13" t="inlineStr"/>
      <c r="AS496" s="13" t="inlineStr"/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7" t="n">
        <v>14038</v>
      </c>
      <c r="AK497" s="8" t="n">
        <v>-1285</v>
      </c>
      <c r="AL497" s="8" t="n">
        <v>-2985</v>
      </c>
      <c r="AM497" s="11" t="inlineStr"/>
      <c r="AN497" s="12" t="inlineStr"/>
      <c r="AO497" s="12" t="inlineStr"/>
      <c r="AP497" s="13" t="inlineStr"/>
      <c r="AQ497" s="13" t="inlineStr"/>
      <c r="AR497" s="13" t="inlineStr"/>
      <c r="AS497" s="13" t="inlineStr"/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7" t="n">
        <v>153405</v>
      </c>
      <c r="AK498" s="8" t="n">
        <v>1145</v>
      </c>
      <c r="AL498" s="8" t="n">
        <v>-1355</v>
      </c>
      <c r="AM498" s="11" t="inlineStr"/>
      <c r="AN498" s="12" t="inlineStr"/>
      <c r="AO498" s="12" t="inlineStr"/>
      <c r="AP498" s="13" t="inlineStr"/>
      <c r="AQ498" s="13" t="inlineStr"/>
      <c r="AR498" s="13" t="inlineStr"/>
      <c r="AS498" s="13" t="inlineStr"/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7" t="n">
        <v>79987</v>
      </c>
      <c r="AK499" s="8" t="n">
        <v>2527</v>
      </c>
      <c r="AL499" s="8" t="n">
        <v>1955</v>
      </c>
      <c r="AM499" s="11" t="inlineStr"/>
      <c r="AN499" s="12" t="inlineStr"/>
      <c r="AO499" s="12" t="inlineStr"/>
      <c r="AP499" s="13" t="inlineStr"/>
      <c r="AQ499" s="13" t="inlineStr"/>
      <c r="AR499" s="13" t="inlineStr"/>
      <c r="AS499" s="13" t="inlineStr"/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7" t="n">
        <v>78485</v>
      </c>
      <c r="AK500" s="8" t="n">
        <v>6244</v>
      </c>
      <c r="AL500" s="8" t="n">
        <v>4927</v>
      </c>
      <c r="AM500" s="11" t="inlineStr"/>
      <c r="AN500" s="12" t="inlineStr"/>
      <c r="AO500" s="12" t="inlineStr"/>
      <c r="AP500" s="13" t="inlineStr"/>
      <c r="AQ500" s="13" t="inlineStr"/>
      <c r="AR500" s="13" t="inlineStr"/>
      <c r="AS500" s="13" t="inlineStr"/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7" t="n">
        <v>229092</v>
      </c>
      <c r="AK501" s="8" t="n">
        <v>17990</v>
      </c>
      <c r="AL501" s="8" t="n">
        <v>10968</v>
      </c>
      <c r="AM501" s="11" t="inlineStr"/>
      <c r="AN501" s="12" t="inlineStr"/>
      <c r="AO501" s="12" t="inlineStr"/>
      <c r="AP501" s="13" t="inlineStr"/>
      <c r="AQ501" s="13" t="inlineStr"/>
      <c r="AR501" s="13" t="inlineStr"/>
      <c r="AS501" s="13" t="inlineStr"/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7" t="n">
        <v>31828</v>
      </c>
      <c r="AK502" s="8" t="n">
        <v>5060</v>
      </c>
      <c r="AL502" s="8" t="n">
        <v>4457</v>
      </c>
      <c r="AM502" s="11" t="inlineStr"/>
      <c r="AN502" s="12" t="inlineStr"/>
      <c r="AO502" s="12" t="inlineStr"/>
      <c r="AP502" s="13" t="inlineStr"/>
      <c r="AQ502" s="13" t="inlineStr"/>
      <c r="AR502" s="13" t="inlineStr"/>
      <c r="AS502" s="13" t="inlineStr"/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7" t="n">
        <v>76009</v>
      </c>
      <c r="AK503" s="8" t="n">
        <v>-631</v>
      </c>
      <c r="AL503" s="8" t="n">
        <v>-1750</v>
      </c>
      <c r="AM503" s="11" t="inlineStr"/>
      <c r="AN503" s="12" t="inlineStr"/>
      <c r="AO503" s="12" t="inlineStr"/>
      <c r="AP503" s="13" t="inlineStr"/>
      <c r="AQ503" s="13" t="inlineStr"/>
      <c r="AR503" s="13" t="inlineStr"/>
      <c r="AS503" s="13" t="inlineStr"/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7" t="n">
        <v>257785</v>
      </c>
      <c r="AK504" s="8" t="n">
        <v>13125</v>
      </c>
      <c r="AL504" s="8" t="n">
        <v>8418</v>
      </c>
      <c r="AM504" s="11" t="inlineStr"/>
      <c r="AN504" s="12" t="inlineStr"/>
      <c r="AO504" s="12" t="inlineStr"/>
      <c r="AP504" s="13" t="inlineStr"/>
      <c r="AQ504" s="13" t="inlineStr"/>
      <c r="AR504" s="13" t="inlineStr"/>
      <c r="AS504" s="13" t="inlineStr"/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7" t="n">
        <v>17566</v>
      </c>
      <c r="AK505" s="8" t="n">
        <v>2656</v>
      </c>
      <c r="AL505" s="8" t="n">
        <v>-3441</v>
      </c>
      <c r="AM505" s="11" t="inlineStr"/>
      <c r="AN505" s="12" t="inlineStr"/>
      <c r="AO505" s="12" t="inlineStr"/>
      <c r="AP505" s="13" t="inlineStr"/>
      <c r="AQ505" s="13" t="inlineStr"/>
      <c r="AR505" s="13" t="inlineStr"/>
      <c r="AS505" s="13" t="inlineStr"/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7" t="n">
        <v>119530</v>
      </c>
      <c r="AK506" s="8" t="n">
        <v>9897</v>
      </c>
      <c r="AL506" s="8" t="n">
        <v>9006</v>
      </c>
      <c r="AM506" s="11" t="inlineStr"/>
      <c r="AN506" s="12" t="inlineStr"/>
      <c r="AO506" s="12" t="inlineStr"/>
      <c r="AP506" s="13" t="inlineStr"/>
      <c r="AQ506" s="13" t="inlineStr"/>
      <c r="AR506" s="13" t="inlineStr"/>
      <c r="AS506" s="13" t="inlineStr"/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7" t="n">
        <v>64132</v>
      </c>
      <c r="AK507" s="8" t="n">
        <v>10007</v>
      </c>
      <c r="AL507" s="8" t="n">
        <v>9578</v>
      </c>
      <c r="AM507" s="11" t="inlineStr"/>
      <c r="AN507" s="12" t="inlineStr"/>
      <c r="AO507" s="12" t="inlineStr"/>
      <c r="AP507" s="13" t="inlineStr"/>
      <c r="AQ507" s="13" t="inlineStr"/>
      <c r="AR507" s="13" t="inlineStr"/>
      <c r="AS507" s="13" t="inlineStr"/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7" t="n">
        <v>247539</v>
      </c>
      <c r="AK508" s="8" t="n">
        <v>49754</v>
      </c>
      <c r="AL508" s="8" t="n">
        <v>53665</v>
      </c>
      <c r="AM508" s="11" t="inlineStr"/>
      <c r="AN508" s="12" t="inlineStr"/>
      <c r="AO508" s="12" t="inlineStr"/>
      <c r="AP508" s="13" t="inlineStr"/>
      <c r="AQ508" s="13" t="inlineStr"/>
      <c r="AR508" s="13" t="inlineStr"/>
      <c r="AS508" s="13" t="inlineStr"/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7" t="n">
        <v>83890</v>
      </c>
      <c r="AK509" s="8" t="n">
        <v>10484</v>
      </c>
      <c r="AL509" s="8" t="n">
        <v>4625</v>
      </c>
      <c r="AM509" s="11" t="inlineStr"/>
      <c r="AN509" s="12" t="inlineStr"/>
      <c r="AO509" s="12" t="inlineStr"/>
      <c r="AP509" s="13" t="inlineStr"/>
      <c r="AQ509" s="13" t="inlineStr"/>
      <c r="AR509" s="13" t="inlineStr"/>
      <c r="AS509" s="13" t="inlineStr"/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7" t="n">
        <v>445593</v>
      </c>
      <c r="AK510" s="8" t="n">
        <v>26516</v>
      </c>
      <c r="AL510" s="8" t="n">
        <v>10551</v>
      </c>
      <c r="AM510" s="11" t="inlineStr"/>
      <c r="AN510" s="12" t="inlineStr"/>
      <c r="AO510" s="12" t="inlineStr"/>
      <c r="AP510" s="13" t="inlineStr"/>
      <c r="AQ510" s="13" t="inlineStr"/>
      <c r="AR510" s="13" t="inlineStr"/>
      <c r="AS510" s="13" t="inlineStr"/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7" t="n">
        <v>402189</v>
      </c>
      <c r="AK511" s="8" t="n">
        <v>31383</v>
      </c>
      <c r="AL511" s="8" t="n">
        <v>19870</v>
      </c>
      <c r="AM511" s="11" t="inlineStr"/>
      <c r="AN511" s="12" t="inlineStr"/>
      <c r="AO511" s="12" t="inlineStr"/>
      <c r="AP511" s="13" t="inlineStr"/>
      <c r="AQ511" s="13" t="inlineStr"/>
      <c r="AR511" s="13" t="inlineStr"/>
      <c r="AS511" s="13" t="inlineStr"/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2026Q3</t>
        </is>
      </c>
      <c r="E512" s="6" t="inlineStr">
        <is>
          <t>2023Q4, 2026Q3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7" t="n">
        <v>399849</v>
      </c>
      <c r="AK512" s="8" t="n">
        <v>24243</v>
      </c>
      <c r="AL512" s="8" t="n">
        <v>43059</v>
      </c>
      <c r="AM512" s="14" t="n">
        <v>378036</v>
      </c>
      <c r="AN512" s="15" t="n">
        <v>-2137</v>
      </c>
      <c r="AO512" s="15" t="n">
        <v>-4434</v>
      </c>
      <c r="AP512" s="13" t="n">
        <v>-5.5</v>
      </c>
      <c r="AQ512" s="13" t="n">
        <v>14.9</v>
      </c>
      <c r="AR512" s="13" t="n">
        <v>-108.8</v>
      </c>
      <c r="AS512" s="13" t="n">
        <v>-111.3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7" t="n">
        <v>17423</v>
      </c>
      <c r="AK513" s="8" t="n">
        <v>980</v>
      </c>
      <c r="AL513" s="8" t="n">
        <v>1466</v>
      </c>
      <c r="AM513" s="11" t="inlineStr"/>
      <c r="AN513" s="12" t="inlineStr"/>
      <c r="AO513" s="12" t="inlineStr"/>
      <c r="AP513" s="13" t="inlineStr"/>
      <c r="AQ513" s="13" t="inlineStr"/>
      <c r="AR513" s="13" t="inlineStr"/>
      <c r="AS513" s="13" t="inlineStr"/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7" t="n">
        <v>59677</v>
      </c>
      <c r="AK514" s="8" t="n">
        <v>8819</v>
      </c>
      <c r="AL514" s="8" t="n">
        <v>6784</v>
      </c>
      <c r="AM514" s="11" t="inlineStr"/>
      <c r="AN514" s="12" t="inlineStr"/>
      <c r="AO514" s="12" t="inlineStr"/>
      <c r="AP514" s="13" t="inlineStr"/>
      <c r="AQ514" s="13" t="inlineStr"/>
      <c r="AR514" s="13" t="inlineStr"/>
      <c r="AS514" s="13" t="inlineStr"/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7" t="n">
        <v>15702</v>
      </c>
      <c r="AK515" s="8" t="n">
        <v>-228</v>
      </c>
      <c r="AL515" s="8" t="n">
        <v>-77</v>
      </c>
      <c r="AM515" s="11" t="inlineStr"/>
      <c r="AN515" s="12" t="inlineStr"/>
      <c r="AO515" s="12" t="inlineStr"/>
      <c r="AP515" s="13" t="inlineStr"/>
      <c r="AQ515" s="13" t="inlineStr"/>
      <c r="AR515" s="13" t="inlineStr"/>
      <c r="AS515" s="13" t="inlineStr"/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7" t="n">
        <v>29764</v>
      </c>
      <c r="AK516" s="8" t="n">
        <v>2262</v>
      </c>
      <c r="AL516" s="8" t="n">
        <v>1943</v>
      </c>
      <c r="AM516" s="11" t="inlineStr"/>
      <c r="AN516" s="12" t="inlineStr"/>
      <c r="AO516" s="12" t="inlineStr"/>
      <c r="AP516" s="13" t="inlineStr"/>
      <c r="AQ516" s="13" t="inlineStr"/>
      <c r="AR516" s="13" t="inlineStr"/>
      <c r="AS516" s="13" t="inlineStr"/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7" t="n">
        <v>28297</v>
      </c>
      <c r="AK517" s="8" t="n">
        <v>2283</v>
      </c>
      <c r="AL517" s="8" t="n">
        <v>1509</v>
      </c>
      <c r="AM517" s="11" t="inlineStr"/>
      <c r="AN517" s="12" t="inlineStr"/>
      <c r="AO517" s="12" t="inlineStr"/>
      <c r="AP517" s="13" t="inlineStr"/>
      <c r="AQ517" s="13" t="inlineStr"/>
      <c r="AR517" s="13" t="inlineStr"/>
      <c r="AS517" s="13" t="inlineStr"/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7" t="n">
        <v>3537</v>
      </c>
      <c r="AK518" s="8" t="n">
        <v>-147</v>
      </c>
      <c r="AL518" s="8" t="n">
        <v>-772</v>
      </c>
      <c r="AM518" s="11" t="inlineStr"/>
      <c r="AN518" s="12" t="inlineStr"/>
      <c r="AO518" s="12" t="inlineStr"/>
      <c r="AP518" s="13" t="inlineStr"/>
      <c r="AQ518" s="13" t="inlineStr"/>
      <c r="AR518" s="13" t="inlineStr"/>
      <c r="AS518" s="13" t="inlineStr"/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7" t="n">
        <v>102055</v>
      </c>
      <c r="AK519" s="8" t="n">
        <v>15725</v>
      </c>
      <c r="AL519" s="8" t="n">
        <v>12462</v>
      </c>
      <c r="AM519" s="11" t="inlineStr"/>
      <c r="AN519" s="12" t="inlineStr"/>
      <c r="AO519" s="12" t="inlineStr"/>
      <c r="AP519" s="13" t="inlineStr"/>
      <c r="AQ519" s="13" t="inlineStr"/>
      <c r="AR519" s="13" t="inlineStr"/>
      <c r="AS519" s="13" t="inlineStr"/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7" t="n">
        <v>33570</v>
      </c>
      <c r="AK520" s="8" t="n">
        <v>-236</v>
      </c>
      <c r="AL520" s="8" t="n">
        <v>328</v>
      </c>
      <c r="AM520" s="11" t="inlineStr"/>
      <c r="AN520" s="12" t="inlineStr"/>
      <c r="AO520" s="12" t="inlineStr"/>
      <c r="AP520" s="13" t="inlineStr"/>
      <c r="AQ520" s="13" t="inlineStr"/>
      <c r="AR520" s="13" t="inlineStr"/>
      <c r="AS520" s="13" t="inlineStr"/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7" t="n">
        <v>193744</v>
      </c>
      <c r="AK521" s="8" t="n">
        <v>11239</v>
      </c>
      <c r="AL521" s="8" t="n">
        <v>8852</v>
      </c>
      <c r="AM521" s="11" t="inlineStr"/>
      <c r="AN521" s="12" t="inlineStr"/>
      <c r="AO521" s="12" t="inlineStr"/>
      <c r="AP521" s="13" t="inlineStr"/>
      <c r="AQ521" s="13" t="inlineStr"/>
      <c r="AR521" s="13" t="inlineStr"/>
      <c r="AS521" s="13" t="inlineStr"/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7" t="n">
        <v>16476</v>
      </c>
      <c r="AK522" s="8" t="n">
        <v>-5483</v>
      </c>
      <c r="AL522" s="8" t="n">
        <v>-5810</v>
      </c>
      <c r="AM522" s="11" t="inlineStr"/>
      <c r="AN522" s="12" t="inlineStr"/>
      <c r="AO522" s="12" t="inlineStr"/>
      <c r="AP522" s="13" t="inlineStr"/>
      <c r="AQ522" s="13" t="inlineStr"/>
      <c r="AR522" s="13" t="inlineStr"/>
      <c r="AS522" s="13" t="inlineStr"/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7" t="n">
        <v>4984</v>
      </c>
      <c r="AK523" s="8" t="n">
        <v>-113</v>
      </c>
      <c r="AL523" s="8" t="n">
        <v>31</v>
      </c>
      <c r="AM523" s="11" t="inlineStr"/>
      <c r="AN523" s="12" t="inlineStr"/>
      <c r="AO523" s="12" t="inlineStr"/>
      <c r="AP523" s="13" t="inlineStr"/>
      <c r="AQ523" s="13" t="inlineStr"/>
      <c r="AR523" s="13" t="inlineStr"/>
      <c r="AS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7" t="n">
        <v>6608</v>
      </c>
      <c r="AK524" s="8" t="n">
        <v>2116</v>
      </c>
      <c r="AL524" s="8" t="n">
        <v>1788</v>
      </c>
      <c r="AM524" s="11" t="inlineStr"/>
      <c r="AN524" s="12" t="inlineStr"/>
      <c r="AO524" s="12" t="inlineStr"/>
      <c r="AP524" s="13" t="inlineStr"/>
      <c r="AQ524" s="13" t="inlineStr"/>
      <c r="AR524" s="13" t="inlineStr"/>
      <c r="AS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7" t="n">
        <v>19700</v>
      </c>
      <c r="AK525" s="8" t="n">
        <v>-538</v>
      </c>
      <c r="AL525" s="8" t="n">
        <v>1229</v>
      </c>
      <c r="AM525" s="11" t="inlineStr"/>
      <c r="AN525" s="12" t="inlineStr"/>
      <c r="AO525" s="12" t="inlineStr"/>
      <c r="AP525" s="13" t="inlineStr"/>
      <c r="AQ525" s="13" t="inlineStr"/>
      <c r="AR525" s="13" t="inlineStr"/>
      <c r="AS525" s="13" t="inlineStr"/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7" t="n">
        <v>1126340</v>
      </c>
      <c r="AK526" s="8" t="n">
        <v>65055</v>
      </c>
      <c r="AL526" s="8" t="n">
        <v>16133</v>
      </c>
      <c r="AM526" s="11" t="inlineStr"/>
      <c r="AN526" s="12" t="inlineStr"/>
      <c r="AO526" s="12" t="inlineStr"/>
      <c r="AP526" s="13" t="inlineStr"/>
      <c r="AQ526" s="13" t="inlineStr"/>
      <c r="AR526" s="13" t="inlineStr"/>
      <c r="AS526" s="13" t="inlineStr"/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7" t="n">
        <v>21918852</v>
      </c>
      <c r="AK527" s="8" t="n">
        <v>1128552</v>
      </c>
      <c r="AL527" s="8" t="n">
        <v>277537</v>
      </c>
      <c r="AM527" s="11" t="inlineStr"/>
      <c r="AN527" s="12" t="inlineStr"/>
      <c r="AO527" s="12" t="inlineStr"/>
      <c r="AP527" s="13" t="inlineStr"/>
      <c r="AQ527" s="13" t="inlineStr"/>
      <c r="AR527" s="13" t="inlineStr"/>
      <c r="AS527" s="13" t="inlineStr"/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7" t="n">
        <v>714369</v>
      </c>
      <c r="AK528" s="8" t="n">
        <v>78869</v>
      </c>
      <c r="AL528" s="8" t="n">
        <v>-22317</v>
      </c>
      <c r="AM528" s="11" t="inlineStr"/>
      <c r="AN528" s="12" t="inlineStr"/>
      <c r="AO528" s="12" t="inlineStr"/>
      <c r="AP528" s="13" t="inlineStr"/>
      <c r="AQ528" s="13" t="inlineStr"/>
      <c r="AR528" s="13" t="inlineStr"/>
      <c r="AS528" s="13" t="inlineStr"/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7" t="n">
        <v>240703</v>
      </c>
      <c r="AK529" s="8" t="n">
        <v>22085</v>
      </c>
      <c r="AL529" s="8" t="n">
        <v>18078</v>
      </c>
      <c r="AM529" s="11" t="inlineStr"/>
      <c r="AN529" s="12" t="inlineStr"/>
      <c r="AO529" s="12" t="inlineStr"/>
      <c r="AP529" s="13" t="inlineStr"/>
      <c r="AQ529" s="13" t="inlineStr"/>
      <c r="AR529" s="13" t="inlineStr"/>
      <c r="AS529" s="13" t="inlineStr"/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7" t="n">
        <v>54082</v>
      </c>
      <c r="AK530" s="8" t="n">
        <v>1833</v>
      </c>
      <c r="AL530" s="8" t="n">
        <v>2631</v>
      </c>
      <c r="AM530" s="11" t="inlineStr"/>
      <c r="AN530" s="12" t="inlineStr"/>
      <c r="AO530" s="12" t="inlineStr"/>
      <c r="AP530" s="13" t="inlineStr"/>
      <c r="AQ530" s="13" t="inlineStr"/>
      <c r="AR530" s="13" t="inlineStr"/>
      <c r="AS530" s="13" t="inlineStr"/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7" t="n">
        <v>20559</v>
      </c>
      <c r="AK531" s="8" t="n">
        <v>-1461</v>
      </c>
      <c r="AL531" s="8" t="n">
        <v>-1649</v>
      </c>
      <c r="AM531" s="11" t="inlineStr"/>
      <c r="AN531" s="12" t="inlineStr"/>
      <c r="AO531" s="12" t="inlineStr"/>
      <c r="AP531" s="13" t="inlineStr"/>
      <c r="AQ531" s="13" t="inlineStr"/>
      <c r="AR531" s="13" t="inlineStr"/>
      <c r="AS531" s="13" t="inlineStr"/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2026Q3</t>
        </is>
      </c>
      <c r="E532" s="6" t="inlineStr">
        <is>
          <t>2026Q3</t>
        </is>
      </c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7" t="n">
        <v>278671</v>
      </c>
      <c r="AK532" s="8" t="n">
        <v>14293</v>
      </c>
      <c r="AL532" s="8" t="n">
        <v>4106</v>
      </c>
      <c r="AM532" s="14" t="n">
        <v>265589</v>
      </c>
      <c r="AN532" s="15" t="n">
        <v>10962</v>
      </c>
      <c r="AO532" s="12" t="inlineStr"/>
      <c r="AP532" s="13" t="n">
        <v>-4.7</v>
      </c>
      <c r="AQ532" s="13" t="n">
        <v>-18.5</v>
      </c>
      <c r="AR532" s="13" t="n">
        <v>-23.3</v>
      </c>
      <c r="AS532" s="13" t="n">
        <v>-5.4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8" t="n">
        <v>675795</v>
      </c>
      <c r="AL533" s="8" t="n">
        <v>488224</v>
      </c>
      <c r="AM533" s="11" t="inlineStr"/>
      <c r="AN533" s="12" t="inlineStr"/>
      <c r="AO533" s="12" t="inlineStr"/>
      <c r="AP533" s="13" t="inlineStr"/>
      <c r="AQ533" s="13" t="inlineStr"/>
      <c r="AR533" s="13" t="inlineStr"/>
      <c r="AS533" s="13" t="inlineStr"/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7" t="n">
        <v>896376</v>
      </c>
      <c r="AK534" s="8" t="n">
        <v>43110</v>
      </c>
      <c r="AL534" s="8" t="n">
        <v>93399</v>
      </c>
      <c r="AM534" s="11" t="inlineStr"/>
      <c r="AN534" s="12" t="inlineStr"/>
      <c r="AO534" s="12" t="inlineStr"/>
      <c r="AP534" s="13" t="inlineStr"/>
      <c r="AQ534" s="13" t="inlineStr"/>
      <c r="AR534" s="13" t="inlineStr"/>
      <c r="AS534" s="13" t="inlineStr"/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7" t="n">
        <v>910593</v>
      </c>
      <c r="AK535" s="8" t="n">
        <v>40393</v>
      </c>
      <c r="AL535" s="8" t="n">
        <v>11587</v>
      </c>
      <c r="AM535" s="11" t="inlineStr"/>
      <c r="AN535" s="12" t="inlineStr"/>
      <c r="AO535" s="12" t="inlineStr"/>
      <c r="AP535" s="13" t="inlineStr"/>
      <c r="AQ535" s="13" t="inlineStr"/>
      <c r="AR535" s="13" t="inlineStr"/>
      <c r="AS535" s="13" t="inlineStr"/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7" t="n">
        <v>0</v>
      </c>
      <c r="AK536" s="8" t="n">
        <v>-9</v>
      </c>
      <c r="AL536" s="8" t="n">
        <v>-11</v>
      </c>
      <c r="AM536" s="11" t="inlineStr"/>
      <c r="AN536" s="12" t="inlineStr"/>
      <c r="AO536" s="12" t="inlineStr"/>
      <c r="AP536" s="13" t="inlineStr"/>
      <c r="AQ536" s="13" t="inlineStr"/>
      <c r="AR536" s="13" t="inlineStr"/>
      <c r="AS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7" t="n">
        <v>71418</v>
      </c>
      <c r="AK537" s="8" t="n">
        <v>7894</v>
      </c>
      <c r="AL537" s="8" t="n">
        <v>7699</v>
      </c>
      <c r="AM537" s="11" t="inlineStr"/>
      <c r="AN537" s="12" t="inlineStr"/>
      <c r="AO537" s="12" t="inlineStr"/>
      <c r="AP537" s="13" t="inlineStr"/>
      <c r="AQ537" s="13" t="inlineStr"/>
      <c r="AR537" s="13" t="inlineStr"/>
      <c r="AS537" s="13" t="inlineStr"/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7" t="n">
        <v>174536</v>
      </c>
      <c r="AK538" s="8" t="n">
        <v>14767</v>
      </c>
      <c r="AL538" s="8" t="n">
        <v>14531</v>
      </c>
      <c r="AM538" s="11" t="inlineStr"/>
      <c r="AN538" s="12" t="inlineStr"/>
      <c r="AO538" s="12" t="inlineStr"/>
      <c r="AP538" s="13" t="inlineStr"/>
      <c r="AQ538" s="13" t="inlineStr"/>
      <c r="AR538" s="13" t="inlineStr"/>
      <c r="AS538" s="13" t="inlineStr"/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7" t="inlineStr"/>
      <c r="AK539" s="8" t="n">
        <v>-9</v>
      </c>
      <c r="AL539" s="8" t="n">
        <v>-8</v>
      </c>
      <c r="AM539" s="11" t="inlineStr"/>
      <c r="AN539" s="12" t="inlineStr"/>
      <c r="AO539" s="12" t="inlineStr"/>
      <c r="AP539" s="13" t="inlineStr"/>
      <c r="AQ539" s="13" t="inlineStr"/>
      <c r="AR539" s="13" t="inlineStr"/>
      <c r="AS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7" t="inlineStr"/>
      <c r="AK540" s="8" t="n">
        <v>3711</v>
      </c>
      <c r="AL540" s="8" t="n">
        <v>3274</v>
      </c>
      <c r="AM540" s="11" t="inlineStr"/>
      <c r="AN540" s="12" t="inlineStr"/>
      <c r="AO540" s="12" t="inlineStr"/>
      <c r="AP540" s="13" t="inlineStr"/>
      <c r="AQ540" s="13" t="inlineStr"/>
      <c r="AR540" s="13" t="inlineStr"/>
      <c r="AS540" s="13" t="inlineStr"/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7" t="n">
        <v>1266120</v>
      </c>
      <c r="AK541" s="8" t="n">
        <v>47540</v>
      </c>
      <c r="AL541" s="8" t="n">
        <v>40408</v>
      </c>
      <c r="AM541" s="11" t="inlineStr"/>
      <c r="AN541" s="12" t="inlineStr"/>
      <c r="AO541" s="12" t="inlineStr"/>
      <c r="AP541" s="13" t="inlineStr"/>
      <c r="AQ541" s="13" t="inlineStr"/>
      <c r="AR541" s="13" t="inlineStr"/>
      <c r="AS541" s="13" t="inlineStr"/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7" t="n">
        <v>6724</v>
      </c>
      <c r="AK542" s="8" t="n">
        <v>1793</v>
      </c>
      <c r="AL542" s="8" t="n">
        <v>862</v>
      </c>
      <c r="AM542" s="11" t="inlineStr"/>
      <c r="AN542" s="12" t="inlineStr"/>
      <c r="AO542" s="12" t="inlineStr"/>
      <c r="AP542" s="13" t="inlineStr"/>
      <c r="AQ542" s="13" t="inlineStr"/>
      <c r="AR542" s="13" t="inlineStr"/>
      <c r="AS542" s="13" t="inlineStr"/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7" t="n">
        <v>203317</v>
      </c>
      <c r="AK543" s="8" t="n">
        <v>2724</v>
      </c>
      <c r="AL543" s="8" t="n">
        <v>7207</v>
      </c>
      <c r="AM543" s="11" t="inlineStr"/>
      <c r="AN543" s="12" t="inlineStr"/>
      <c r="AO543" s="12" t="inlineStr"/>
      <c r="AP543" s="13" t="inlineStr"/>
      <c r="AQ543" s="13" t="inlineStr"/>
      <c r="AR543" s="13" t="inlineStr"/>
      <c r="AS543" s="13" t="inlineStr"/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7" t="n">
        <v>209247</v>
      </c>
      <c r="AK544" s="8" t="n">
        <v>8266</v>
      </c>
      <c r="AL544" s="8" t="n">
        <v>7743</v>
      </c>
      <c r="AM544" s="11" t="inlineStr"/>
      <c r="AN544" s="12" t="inlineStr"/>
      <c r="AO544" s="12" t="inlineStr"/>
      <c r="AP544" s="13" t="inlineStr"/>
      <c r="AQ544" s="13" t="inlineStr"/>
      <c r="AR544" s="13" t="inlineStr"/>
      <c r="AS544" s="13" t="inlineStr"/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7" t="n">
        <v>29525</v>
      </c>
      <c r="AK545" s="8" t="n">
        <v>296</v>
      </c>
      <c r="AL545" s="8" t="n">
        <v>-620</v>
      </c>
      <c r="AM545" s="11" t="inlineStr"/>
      <c r="AN545" s="12" t="inlineStr"/>
      <c r="AO545" s="12" t="inlineStr"/>
      <c r="AP545" s="13" t="inlineStr"/>
      <c r="AQ545" s="13" t="inlineStr"/>
      <c r="AR545" s="13" t="inlineStr"/>
      <c r="AS545" s="13" t="inlineStr"/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7" t="n">
        <v>87598</v>
      </c>
      <c r="AK546" s="8" t="n">
        <v>-5417</v>
      </c>
      <c r="AL546" s="8" t="n">
        <v>31703</v>
      </c>
      <c r="AM546" s="11" t="inlineStr"/>
      <c r="AN546" s="12" t="inlineStr"/>
      <c r="AO546" s="12" t="inlineStr"/>
      <c r="AP546" s="13" t="inlineStr"/>
      <c r="AQ546" s="13" t="inlineStr"/>
      <c r="AR546" s="13" t="inlineStr"/>
      <c r="AS546" s="13" t="inlineStr"/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7" t="n">
        <v>342316</v>
      </c>
      <c r="AK547" s="8" t="n">
        <v>53551</v>
      </c>
      <c r="AL547" s="8" t="n">
        <v>12365</v>
      </c>
      <c r="AM547" s="11" t="inlineStr"/>
      <c r="AN547" s="12" t="inlineStr"/>
      <c r="AO547" s="12" t="inlineStr"/>
      <c r="AP547" s="13" t="inlineStr"/>
      <c r="AQ547" s="13" t="inlineStr"/>
      <c r="AR547" s="13" t="inlineStr"/>
      <c r="AS547" s="13" t="inlineStr"/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7" t="n">
        <v>39324</v>
      </c>
      <c r="AK548" s="8" t="n">
        <v>2306</v>
      </c>
      <c r="AL548" s="8" t="n">
        <v>1243</v>
      </c>
      <c r="AM548" s="11" t="inlineStr"/>
      <c r="AN548" s="12" t="inlineStr"/>
      <c r="AO548" s="12" t="inlineStr"/>
      <c r="AP548" s="13" t="inlineStr"/>
      <c r="AQ548" s="13" t="inlineStr"/>
      <c r="AR548" s="13" t="inlineStr"/>
      <c r="AS548" s="13" t="inlineStr"/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7" t="n">
        <v>65508</v>
      </c>
      <c r="AK549" s="8" t="n">
        <v>4392</v>
      </c>
      <c r="AL549" s="8" t="n">
        <v>4418</v>
      </c>
      <c r="AM549" s="11" t="inlineStr"/>
      <c r="AN549" s="12" t="inlineStr"/>
      <c r="AO549" s="12" t="inlineStr"/>
      <c r="AP549" s="13" t="inlineStr"/>
      <c r="AQ549" s="13" t="inlineStr"/>
      <c r="AR549" s="13" t="inlineStr"/>
      <c r="AS549" s="13" t="inlineStr"/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7" t="n">
        <v>18433</v>
      </c>
      <c r="AK550" s="8" t="n">
        <v>-5025</v>
      </c>
      <c r="AL550" s="8" t="n">
        <v>-6701</v>
      </c>
      <c r="AM550" s="11" t="inlineStr"/>
      <c r="AN550" s="12" t="inlineStr"/>
      <c r="AO550" s="12" t="inlineStr"/>
      <c r="AP550" s="13" t="inlineStr"/>
      <c r="AQ550" s="13" t="inlineStr"/>
      <c r="AR550" s="13" t="inlineStr"/>
      <c r="AS550" s="13" t="inlineStr"/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7" t="n">
        <v>51211</v>
      </c>
      <c r="AK551" s="8" t="n">
        <v>-836</v>
      </c>
      <c r="AL551" s="8" t="n">
        <v>-1690</v>
      </c>
      <c r="AM551" s="11" t="inlineStr"/>
      <c r="AN551" s="12" t="inlineStr"/>
      <c r="AO551" s="12" t="inlineStr"/>
      <c r="AP551" s="13" t="inlineStr"/>
      <c r="AQ551" s="13" t="inlineStr"/>
      <c r="AR551" s="13" t="inlineStr"/>
      <c r="AS551" s="13" t="inlineStr"/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2026Q3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7" t="n">
        <v>17815</v>
      </c>
      <c r="AK552" s="8" t="n">
        <v>456</v>
      </c>
      <c r="AL552" s="8" t="n">
        <v>-98</v>
      </c>
      <c r="AM552" s="11" t="n">
        <v>19085</v>
      </c>
      <c r="AN552" s="12" t="n">
        <v>1750</v>
      </c>
      <c r="AO552" s="12" t="n">
        <v>1897</v>
      </c>
      <c r="AP552" s="13" t="n">
        <v>7.1</v>
      </c>
      <c r="AQ552" s="13" t="n">
        <v>27.4</v>
      </c>
      <c r="AR552" s="13" t="n">
        <v>283.8</v>
      </c>
      <c r="AS552" s="13" t="n">
        <v>0.5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7" t="n">
        <v>80388</v>
      </c>
      <c r="AK553" s="8" t="n">
        <v>-3545</v>
      </c>
      <c r="AL553" s="8" t="n">
        <v>173</v>
      </c>
      <c r="AM553" s="11" t="inlineStr"/>
      <c r="AN553" s="12" t="inlineStr"/>
      <c r="AO553" s="12" t="inlineStr"/>
      <c r="AP553" s="13" t="inlineStr"/>
      <c r="AQ553" s="13" t="inlineStr"/>
      <c r="AR553" s="13" t="inlineStr"/>
      <c r="AS553" s="13" t="inlineStr"/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7" t="n">
        <v>275500</v>
      </c>
      <c r="AK554" s="8" t="n">
        <v>-2348</v>
      </c>
      <c r="AL554" s="8" t="n">
        <v>2575</v>
      </c>
      <c r="AM554" s="11" t="inlineStr"/>
      <c r="AN554" s="12" t="inlineStr"/>
      <c r="AO554" s="12" t="inlineStr"/>
      <c r="AP554" s="13" t="inlineStr"/>
      <c r="AQ554" s="13" t="inlineStr"/>
      <c r="AR554" s="13" t="inlineStr"/>
      <c r="AS554" s="13" t="inlineStr"/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7" t="n">
        <v>61402</v>
      </c>
      <c r="AK555" s="8" t="n">
        <v>5402</v>
      </c>
      <c r="AL555" s="8" t="n">
        <v>4911</v>
      </c>
      <c r="AM555" s="11" t="inlineStr"/>
      <c r="AN555" s="12" t="inlineStr"/>
      <c r="AO555" s="12" t="inlineStr"/>
      <c r="AP555" s="13" t="inlineStr"/>
      <c r="AQ555" s="13" t="inlineStr"/>
      <c r="AR555" s="13" t="inlineStr"/>
      <c r="AS555" s="13" t="inlineStr"/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7" t="n">
        <v>12646</v>
      </c>
      <c r="AK556" s="8" t="n">
        <v>5588</v>
      </c>
      <c r="AL556" s="8" t="n">
        <v>4777</v>
      </c>
      <c r="AM556" s="11" t="inlineStr"/>
      <c r="AN556" s="12" t="inlineStr"/>
      <c r="AO556" s="12" t="inlineStr"/>
      <c r="AP556" s="13" t="inlineStr"/>
      <c r="AQ556" s="13" t="inlineStr"/>
      <c r="AR556" s="13" t="inlineStr"/>
      <c r="AS556" s="13" t="inlineStr"/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7" t="n">
        <v>73027</v>
      </c>
      <c r="AK557" s="8" t="n">
        <v>6440</v>
      </c>
      <c r="AL557" s="8" t="n">
        <v>5308</v>
      </c>
      <c r="AM557" s="11" t="inlineStr"/>
      <c r="AN557" s="12" t="inlineStr"/>
      <c r="AO557" s="12" t="inlineStr"/>
      <c r="AP557" s="13" t="inlineStr"/>
      <c r="AQ557" s="13" t="inlineStr"/>
      <c r="AR557" s="13" t="inlineStr"/>
      <c r="AS557" s="13" t="inlineStr"/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7" t="n">
        <v>47589</v>
      </c>
      <c r="AK558" s="8" t="n">
        <v>6236</v>
      </c>
      <c r="AL558" s="8" t="n">
        <v>6083</v>
      </c>
      <c r="AM558" s="11" t="inlineStr"/>
      <c r="AN558" s="12" t="inlineStr"/>
      <c r="AO558" s="12" t="inlineStr"/>
      <c r="AP558" s="13" t="inlineStr"/>
      <c r="AQ558" s="13" t="inlineStr"/>
      <c r="AR558" s="13" t="inlineStr"/>
      <c r="AS558" s="13" t="inlineStr"/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7" t="n">
        <v>4359057</v>
      </c>
      <c r="AK559" s="8" t="n">
        <v>566043</v>
      </c>
      <c r="AL559" s="8" t="n">
        <v>465980</v>
      </c>
      <c r="AM559" s="11" t="inlineStr"/>
      <c r="AN559" s="12" t="inlineStr"/>
      <c r="AO559" s="12" t="inlineStr"/>
      <c r="AP559" s="13" t="inlineStr"/>
      <c r="AQ559" s="13" t="inlineStr"/>
      <c r="AR559" s="13" t="inlineStr"/>
      <c r="AS559" s="13" t="inlineStr"/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7" t="n">
        <v>692844</v>
      </c>
      <c r="AK560" s="8" t="n">
        <v>84479</v>
      </c>
      <c r="AL560" s="8" t="n">
        <v>166912</v>
      </c>
      <c r="AM560" s="11" t="inlineStr"/>
      <c r="AN560" s="12" t="inlineStr"/>
      <c r="AO560" s="12" t="inlineStr"/>
      <c r="AP560" s="13" t="inlineStr"/>
      <c r="AQ560" s="13" t="inlineStr"/>
      <c r="AR560" s="13" t="inlineStr"/>
      <c r="AS560" s="13" t="inlineStr"/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7" t="n">
        <v>893551</v>
      </c>
      <c r="AK561" s="8" t="n">
        <v>24638</v>
      </c>
      <c r="AL561" s="8" t="n">
        <v>10306</v>
      </c>
      <c r="AM561" s="11" t="inlineStr"/>
      <c r="AN561" s="12" t="inlineStr"/>
      <c r="AO561" s="12" t="inlineStr"/>
      <c r="AP561" s="13" t="inlineStr"/>
      <c r="AQ561" s="13" t="inlineStr"/>
      <c r="AR561" s="13" t="inlineStr"/>
      <c r="AS561" s="13" t="inlineStr"/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7" t="n">
        <v>310077</v>
      </c>
      <c r="AK562" s="8" t="n">
        <v>6290</v>
      </c>
      <c r="AL562" s="8" t="n">
        <v>2518</v>
      </c>
      <c r="AM562" s="11" t="inlineStr"/>
      <c r="AN562" s="12" t="inlineStr"/>
      <c r="AO562" s="12" t="inlineStr"/>
      <c r="AP562" s="13" t="inlineStr"/>
      <c r="AQ562" s="13" t="inlineStr"/>
      <c r="AR562" s="13" t="inlineStr"/>
      <c r="AS562" s="13" t="inlineStr"/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7" t="n">
        <v>128648</v>
      </c>
      <c r="AK563" s="8" t="n">
        <v>17231</v>
      </c>
      <c r="AL563" s="8" t="n">
        <v>17843</v>
      </c>
      <c r="AM563" s="11" t="inlineStr"/>
      <c r="AN563" s="12" t="inlineStr"/>
      <c r="AO563" s="12" t="inlineStr"/>
      <c r="AP563" s="13" t="inlineStr"/>
      <c r="AQ563" s="13" t="inlineStr"/>
      <c r="AR563" s="13" t="inlineStr"/>
      <c r="AS563" s="13" t="inlineStr"/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7" t="n">
        <v>36825</v>
      </c>
      <c r="AK564" s="8" t="n">
        <v>1302</v>
      </c>
      <c r="AL564" s="8" t="n">
        <v>2606</v>
      </c>
      <c r="AM564" s="11" t="inlineStr"/>
      <c r="AN564" s="12" t="inlineStr"/>
      <c r="AO564" s="12" t="inlineStr"/>
      <c r="AP564" s="13" t="inlineStr"/>
      <c r="AQ564" s="13" t="inlineStr"/>
      <c r="AR564" s="13" t="inlineStr"/>
      <c r="AS564" s="13" t="inlineStr"/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7" t="n">
        <v>4402808</v>
      </c>
      <c r="AK565" s="8" t="n">
        <v>117899</v>
      </c>
      <c r="AL565" s="8" t="n">
        <v>99298</v>
      </c>
      <c r="AM565" s="11" t="inlineStr"/>
      <c r="AN565" s="12" t="inlineStr"/>
      <c r="AO565" s="12" t="inlineStr"/>
      <c r="AP565" s="13" t="inlineStr"/>
      <c r="AQ565" s="13" t="inlineStr"/>
      <c r="AR565" s="13" t="inlineStr"/>
      <c r="AS565" s="13" t="inlineStr"/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7" t="n">
        <v>243378</v>
      </c>
      <c r="AK566" s="8" t="n">
        <v>50400</v>
      </c>
      <c r="AL566" s="8" t="n">
        <v>36562</v>
      </c>
      <c r="AM566" s="11" t="inlineStr"/>
      <c r="AN566" s="12" t="inlineStr"/>
      <c r="AO566" s="12" t="inlineStr"/>
      <c r="AP566" s="13" t="inlineStr"/>
      <c r="AQ566" s="13" t="inlineStr"/>
      <c r="AR566" s="13" t="inlineStr"/>
      <c r="AS566" s="13" t="inlineStr"/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7" t="n">
        <v>5764</v>
      </c>
      <c r="AK567" s="8" t="n">
        <v>-4943</v>
      </c>
      <c r="AL567" s="8" t="n">
        <v>-10262</v>
      </c>
      <c r="AM567" s="11" t="inlineStr"/>
      <c r="AN567" s="12" t="inlineStr"/>
      <c r="AO567" s="12" t="inlineStr"/>
      <c r="AP567" s="13" t="inlineStr"/>
      <c r="AQ567" s="13" t="inlineStr"/>
      <c r="AR567" s="13" t="inlineStr"/>
      <c r="AS567" s="13" t="inlineStr"/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7" t="n">
        <v>28771</v>
      </c>
      <c r="AK568" s="8" t="n">
        <v>4695</v>
      </c>
      <c r="AL568" s="8" t="n">
        <v>3427</v>
      </c>
      <c r="AM568" s="11" t="inlineStr"/>
      <c r="AN568" s="12" t="inlineStr"/>
      <c r="AO568" s="12" t="inlineStr"/>
      <c r="AP568" s="13" t="inlineStr"/>
      <c r="AQ568" s="13" t="inlineStr"/>
      <c r="AR568" s="13" t="inlineStr"/>
      <c r="AS568" s="13" t="inlineStr"/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7" t="n">
        <v>194165</v>
      </c>
      <c r="AK569" s="8" t="n">
        <v>4527</v>
      </c>
      <c r="AL569" s="8" t="n">
        <v>4611</v>
      </c>
      <c r="AM569" s="11" t="inlineStr"/>
      <c r="AN569" s="12" t="inlineStr"/>
      <c r="AO569" s="12" t="inlineStr"/>
      <c r="AP569" s="13" t="inlineStr"/>
      <c r="AQ569" s="13" t="inlineStr"/>
      <c r="AR569" s="13" t="inlineStr"/>
      <c r="AS569" s="13" t="inlineStr"/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7" t="n">
        <v>3717774</v>
      </c>
      <c r="AK570" s="8" t="n">
        <v>231805</v>
      </c>
      <c r="AL570" s="8" t="n">
        <v>184053</v>
      </c>
      <c r="AM570" s="11" t="inlineStr"/>
      <c r="AN570" s="12" t="inlineStr"/>
      <c r="AO570" s="12" t="inlineStr"/>
      <c r="AP570" s="13" t="inlineStr"/>
      <c r="AQ570" s="13" t="inlineStr"/>
      <c r="AR570" s="13" t="inlineStr"/>
      <c r="AS570" s="13" t="inlineStr"/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7" t="n">
        <v>131668</v>
      </c>
      <c r="AK571" s="8" t="n">
        <v>10679</v>
      </c>
      <c r="AL571" s="8" t="n">
        <v>3223</v>
      </c>
      <c r="AM571" s="11" t="inlineStr"/>
      <c r="AN571" s="12" t="inlineStr"/>
      <c r="AO571" s="12" t="inlineStr"/>
      <c r="AP571" s="13" t="inlineStr"/>
      <c r="AQ571" s="13" t="inlineStr"/>
      <c r="AR571" s="13" t="inlineStr"/>
      <c r="AS571" s="13" t="inlineStr"/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7" t="n">
        <v>82876</v>
      </c>
      <c r="AK572" s="8" t="n">
        <v>-3059</v>
      </c>
      <c r="AL572" s="8" t="n">
        <v>2362</v>
      </c>
      <c r="AM572" s="11" t="inlineStr"/>
      <c r="AN572" s="12" t="inlineStr"/>
      <c r="AO572" s="12" t="inlineStr"/>
      <c r="AP572" s="13" t="inlineStr"/>
      <c r="AQ572" s="13" t="inlineStr"/>
      <c r="AR572" s="13" t="inlineStr"/>
      <c r="AS572" s="13" t="inlineStr"/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7" t="n">
        <v>154139</v>
      </c>
      <c r="AK573" s="8" t="n">
        <v>10021</v>
      </c>
      <c r="AL573" s="8" t="n">
        <v>7456</v>
      </c>
      <c r="AM573" s="11" t="inlineStr"/>
      <c r="AN573" s="12" t="inlineStr"/>
      <c r="AO573" s="12" t="inlineStr"/>
      <c r="AP573" s="13" t="inlineStr"/>
      <c r="AQ573" s="13" t="inlineStr"/>
      <c r="AR573" s="13" t="inlineStr"/>
      <c r="AS573" s="13" t="inlineStr"/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1" t="inlineStr"/>
      <c r="AN574" s="12" t="inlineStr"/>
      <c r="AO574" s="12" t="inlineStr"/>
      <c r="AP574" s="13" t="inlineStr"/>
      <c r="AQ574" s="13" t="inlineStr"/>
      <c r="AR574" s="13" t="inlineStr"/>
      <c r="AS574" s="13" t="inlineStr"/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7" t="n">
        <v>15487</v>
      </c>
      <c r="AK575" s="8" t="n">
        <v>1379</v>
      </c>
      <c r="AL575" s="8" t="n">
        <v>1452</v>
      </c>
      <c r="AM575" s="11" t="inlineStr"/>
      <c r="AN575" s="12" t="inlineStr"/>
      <c r="AO575" s="12" t="inlineStr"/>
      <c r="AP575" s="13" t="inlineStr"/>
      <c r="AQ575" s="13" t="inlineStr"/>
      <c r="AR575" s="13" t="inlineStr"/>
      <c r="AS575" s="13" t="inlineStr"/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7" t="n">
        <v>2312995</v>
      </c>
      <c r="AK576" s="8" t="n">
        <v>-43939</v>
      </c>
      <c r="AL576" s="8" t="n">
        <v>-33032</v>
      </c>
      <c r="AM576" s="11" t="inlineStr"/>
      <c r="AN576" s="12" t="inlineStr"/>
      <c r="AO576" s="12" t="inlineStr"/>
      <c r="AP576" s="13" t="inlineStr"/>
      <c r="AQ576" s="13" t="inlineStr"/>
      <c r="AR576" s="13" t="inlineStr"/>
      <c r="AS576" s="13" t="inlineStr"/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7" t="n">
        <v>11762</v>
      </c>
      <c r="AK577" s="8" t="n">
        <v>-343</v>
      </c>
      <c r="AL577" s="8" t="n">
        <v>-318</v>
      </c>
      <c r="AM577" s="11" t="inlineStr"/>
      <c r="AN577" s="12" t="inlineStr"/>
      <c r="AO577" s="12" t="inlineStr"/>
      <c r="AP577" s="13" t="inlineStr"/>
      <c r="AQ577" s="13" t="inlineStr"/>
      <c r="AR577" s="13" t="inlineStr"/>
      <c r="AS577" s="13" t="inlineStr"/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7" t="n">
        <v>12251</v>
      </c>
      <c r="AK578" s="8" t="n">
        <v>2723</v>
      </c>
      <c r="AL578" s="8" t="n">
        <v>3457</v>
      </c>
      <c r="AM578" s="11" t="inlineStr"/>
      <c r="AN578" s="12" t="inlineStr"/>
      <c r="AO578" s="12" t="inlineStr"/>
      <c r="AP578" s="13" t="inlineStr"/>
      <c r="AQ578" s="13" t="inlineStr"/>
      <c r="AR578" s="13" t="inlineStr"/>
      <c r="AS578" s="13" t="inlineStr"/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7" t="n">
        <v>2875248</v>
      </c>
      <c r="AK579" s="8" t="n">
        <v>103684</v>
      </c>
      <c r="AL579" s="8" t="n">
        <v>87259</v>
      </c>
      <c r="AM579" s="11" t="inlineStr"/>
      <c r="AN579" s="12" t="inlineStr"/>
      <c r="AO579" s="12" t="inlineStr"/>
      <c r="AP579" s="13" t="inlineStr"/>
      <c r="AQ579" s="13" t="inlineStr"/>
      <c r="AR579" s="13" t="inlineStr"/>
      <c r="AS579" s="13" t="inlineStr"/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7" t="n">
        <v>14064</v>
      </c>
      <c r="AK580" s="8" t="n">
        <v>5868</v>
      </c>
      <c r="AL580" s="8" t="n">
        <v>219446</v>
      </c>
      <c r="AM580" s="11" t="inlineStr"/>
      <c r="AN580" s="12" t="inlineStr"/>
      <c r="AO580" s="12" t="inlineStr"/>
      <c r="AP580" s="13" t="inlineStr"/>
      <c r="AQ580" s="13" t="inlineStr"/>
      <c r="AR580" s="13" t="inlineStr"/>
      <c r="AS580" s="13" t="inlineStr"/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7" t="n">
        <v>63888</v>
      </c>
      <c r="AK581" s="8" t="n">
        <v>-8028</v>
      </c>
      <c r="AL581" s="8" t="n">
        <v>-7979</v>
      </c>
      <c r="AM581" s="11" t="inlineStr"/>
      <c r="AN581" s="12" t="inlineStr"/>
      <c r="AO581" s="12" t="inlineStr"/>
      <c r="AP581" s="13" t="inlineStr"/>
      <c r="AQ581" s="13" t="inlineStr"/>
      <c r="AR581" s="13" t="inlineStr"/>
      <c r="AS581" s="13" t="inlineStr"/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7" t="n">
        <v>287697</v>
      </c>
      <c r="AK582" s="8" t="n">
        <v>15500</v>
      </c>
      <c r="AL582" s="8" t="n">
        <v>13210</v>
      </c>
      <c r="AM582" s="11" t="inlineStr"/>
      <c r="AN582" s="12" t="inlineStr"/>
      <c r="AO582" s="12" t="inlineStr"/>
      <c r="AP582" s="13" t="inlineStr"/>
      <c r="AQ582" s="13" t="inlineStr"/>
      <c r="AR582" s="13" t="inlineStr"/>
      <c r="AS582" s="13" t="inlineStr"/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7" t="n">
        <v>213295</v>
      </c>
      <c r="AK583" s="8" t="n">
        <v>47747</v>
      </c>
      <c r="AL583" s="8" t="n">
        <v>30386</v>
      </c>
      <c r="AM583" s="11" t="inlineStr"/>
      <c r="AN583" s="12" t="inlineStr"/>
      <c r="AO583" s="12" t="inlineStr"/>
      <c r="AP583" s="13" t="inlineStr"/>
      <c r="AQ583" s="13" t="inlineStr"/>
      <c r="AR583" s="13" t="inlineStr"/>
      <c r="AS583" s="13" t="inlineStr"/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7" t="n">
        <v>1341</v>
      </c>
      <c r="AK584" s="8" t="n">
        <v>-2646</v>
      </c>
      <c r="AL584" s="8" t="n">
        <v>-5710</v>
      </c>
      <c r="AM584" s="11" t="inlineStr"/>
      <c r="AN584" s="12" t="inlineStr"/>
      <c r="AO584" s="12" t="inlineStr"/>
      <c r="AP584" s="13" t="inlineStr"/>
      <c r="AQ584" s="13" t="inlineStr"/>
      <c r="AR584" s="13" t="inlineStr"/>
      <c r="AS584" s="13" t="inlineStr"/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7" t="n">
        <v>206971</v>
      </c>
      <c r="AK585" s="8" t="n">
        <v>3479</v>
      </c>
      <c r="AL585" s="8" t="n">
        <v>1563</v>
      </c>
      <c r="AM585" s="11" t="inlineStr"/>
      <c r="AN585" s="12" t="inlineStr"/>
      <c r="AO585" s="12" t="inlineStr"/>
      <c r="AP585" s="13" t="inlineStr"/>
      <c r="AQ585" s="13" t="inlineStr"/>
      <c r="AR585" s="13" t="inlineStr"/>
      <c r="AS585" s="13" t="inlineStr"/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7" t="n">
        <v>5213</v>
      </c>
      <c r="AK586" s="8" t="n">
        <v>2618</v>
      </c>
      <c r="AL586" s="8" t="n">
        <v>2547</v>
      </c>
      <c r="AM586" s="11" t="inlineStr"/>
      <c r="AN586" s="12" t="inlineStr"/>
      <c r="AO586" s="12" t="inlineStr"/>
      <c r="AP586" s="13" t="inlineStr"/>
      <c r="AQ586" s="13" t="inlineStr"/>
      <c r="AR586" s="13" t="inlineStr"/>
      <c r="AS586" s="13" t="inlineStr"/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7" t="inlineStr"/>
      <c r="AK587" s="8" t="n">
        <v>1701</v>
      </c>
      <c r="AL587" s="8" t="n">
        <v>1260</v>
      </c>
      <c r="AM587" s="11" t="inlineStr"/>
      <c r="AN587" s="12" t="inlineStr"/>
      <c r="AO587" s="12" t="inlineStr"/>
      <c r="AP587" s="13" t="inlineStr"/>
      <c r="AQ587" s="13" t="inlineStr"/>
      <c r="AR587" s="13" t="inlineStr"/>
      <c r="AS587" s="13" t="inlineStr"/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7" t="n">
        <v>3235</v>
      </c>
      <c r="AK588" s="8" t="n">
        <v>-662</v>
      </c>
      <c r="AL588" s="8" t="n">
        <v>-680</v>
      </c>
      <c r="AM588" s="11" t="inlineStr"/>
      <c r="AN588" s="12" t="inlineStr"/>
      <c r="AO588" s="12" t="inlineStr"/>
      <c r="AP588" s="13" t="inlineStr"/>
      <c r="AQ588" s="13" t="inlineStr"/>
      <c r="AR588" s="13" t="inlineStr"/>
      <c r="AS588" s="13" t="inlineStr"/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7" t="n">
        <v>158619</v>
      </c>
      <c r="AK589" s="8" t="n">
        <v>-3722</v>
      </c>
      <c r="AL589" s="8" t="n">
        <v>-1192</v>
      </c>
      <c r="AM589" s="11" t="inlineStr"/>
      <c r="AN589" s="12" t="inlineStr"/>
      <c r="AO589" s="12" t="inlineStr"/>
      <c r="AP589" s="13" t="inlineStr"/>
      <c r="AQ589" s="13" t="inlineStr"/>
      <c r="AR589" s="13" t="inlineStr"/>
      <c r="AS589" s="13" t="inlineStr"/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7" t="n">
        <v>54658</v>
      </c>
      <c r="AK590" s="8" t="n">
        <v>5086</v>
      </c>
      <c r="AL590" s="8" t="n">
        <v>4207</v>
      </c>
      <c r="AM590" s="11" t="inlineStr"/>
      <c r="AN590" s="12" t="inlineStr"/>
      <c r="AO590" s="12" t="inlineStr"/>
      <c r="AP590" s="13" t="inlineStr"/>
      <c r="AQ590" s="13" t="inlineStr"/>
      <c r="AR590" s="13" t="inlineStr"/>
      <c r="AS590" s="13" t="inlineStr"/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7" t="n">
        <v>7377</v>
      </c>
      <c r="AK591" s="8" t="n">
        <v>354</v>
      </c>
      <c r="AL591" s="8" t="n">
        <v>68</v>
      </c>
      <c r="AM591" s="11" t="inlineStr"/>
      <c r="AN591" s="12" t="inlineStr"/>
      <c r="AO591" s="12" t="inlineStr"/>
      <c r="AP591" s="13" t="inlineStr"/>
      <c r="AQ591" s="13" t="inlineStr"/>
      <c r="AR591" s="13" t="inlineStr"/>
      <c r="AS591" s="13" t="inlineStr"/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7" t="n">
        <v>363203</v>
      </c>
      <c r="AK592" s="8" t="n">
        <v>4606</v>
      </c>
      <c r="AL592" s="8" t="n">
        <v>3301</v>
      </c>
      <c r="AM592" s="11" t="inlineStr"/>
      <c r="AN592" s="12" t="inlineStr"/>
      <c r="AO592" s="12" t="inlineStr"/>
      <c r="AP592" s="13" t="inlineStr"/>
      <c r="AQ592" s="13" t="inlineStr"/>
      <c r="AR592" s="13" t="inlineStr"/>
      <c r="AS592" s="13" t="inlineStr"/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7" t="n">
        <v>64427</v>
      </c>
      <c r="AK593" s="8" t="n">
        <v>5516</v>
      </c>
      <c r="AL593" s="8" t="n">
        <v>2025</v>
      </c>
      <c r="AM593" s="11" t="inlineStr"/>
      <c r="AN593" s="12" t="inlineStr"/>
      <c r="AO593" s="12" t="inlineStr"/>
      <c r="AP593" s="13" t="inlineStr"/>
      <c r="AQ593" s="13" t="inlineStr"/>
      <c r="AR593" s="13" t="inlineStr"/>
      <c r="AS593" s="13" t="inlineStr"/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7" t="n">
        <v>194198</v>
      </c>
      <c r="AK594" s="8" t="n">
        <v>-16896</v>
      </c>
      <c r="AL594" s="8" t="n">
        <v>-18782</v>
      </c>
      <c r="AM594" s="11" t="inlineStr"/>
      <c r="AN594" s="12" t="inlineStr"/>
      <c r="AO594" s="12" t="inlineStr"/>
      <c r="AP594" s="13" t="inlineStr"/>
      <c r="AQ594" s="13" t="inlineStr"/>
      <c r="AR594" s="13" t="inlineStr"/>
      <c r="AS594" s="13" t="inlineStr"/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7" t="inlineStr"/>
      <c r="AK595" s="8" t="inlineStr"/>
      <c r="AL595" s="8" t="inlineStr"/>
      <c r="AM595" s="11" t="inlineStr"/>
      <c r="AN595" s="12" t="inlineStr"/>
      <c r="AO595" s="12" t="inlineStr"/>
      <c r="AP595" s="13" t="inlineStr"/>
      <c r="AQ595" s="13" t="inlineStr"/>
      <c r="AR595" s="13" t="inlineStr"/>
      <c r="AS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7" t="n">
        <v>27712</v>
      </c>
      <c r="AK596" s="8" t="n">
        <v>-1800</v>
      </c>
      <c r="AL596" s="8" t="n">
        <v>-1756</v>
      </c>
      <c r="AM596" s="11" t="inlineStr"/>
      <c r="AN596" s="12" t="inlineStr"/>
      <c r="AO596" s="12" t="inlineStr"/>
      <c r="AP596" s="13" t="inlineStr"/>
      <c r="AQ596" s="13" t="inlineStr"/>
      <c r="AR596" s="13" t="inlineStr"/>
      <c r="AS596" s="13" t="inlineStr"/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7" t="n">
        <v>1844112</v>
      </c>
      <c r="AK597" s="8" t="n">
        <v>-356276</v>
      </c>
      <c r="AL597" s="8" t="n">
        <v>-407180</v>
      </c>
      <c r="AM597" s="11" t="inlineStr"/>
      <c r="AN597" s="12" t="inlineStr"/>
      <c r="AO597" s="12" t="inlineStr"/>
      <c r="AP597" s="13" t="inlineStr"/>
      <c r="AQ597" s="13" t="inlineStr"/>
      <c r="AR597" s="13" t="inlineStr"/>
      <c r="AS597" s="13" t="inlineStr"/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7" t="n">
        <v>23778</v>
      </c>
      <c r="AK598" s="8" t="n">
        <v>315</v>
      </c>
      <c r="AL598" s="8" t="n">
        <v>8804</v>
      </c>
      <c r="AM598" s="11" t="inlineStr"/>
      <c r="AN598" s="12" t="inlineStr"/>
      <c r="AO598" s="12" t="inlineStr"/>
      <c r="AP598" s="13" t="inlineStr"/>
      <c r="AQ598" s="13" t="inlineStr"/>
      <c r="AR598" s="13" t="inlineStr"/>
      <c r="AS598" s="13" t="inlineStr"/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7" t="n">
        <v>10680</v>
      </c>
      <c r="AK599" s="8" t="n">
        <v>-676</v>
      </c>
      <c r="AL599" s="8" t="n">
        <v>-771</v>
      </c>
      <c r="AM599" s="11" t="inlineStr"/>
      <c r="AN599" s="12" t="inlineStr"/>
      <c r="AO599" s="12" t="inlineStr"/>
      <c r="AP599" s="13" t="inlineStr"/>
      <c r="AQ599" s="13" t="inlineStr"/>
      <c r="AR599" s="13" t="inlineStr"/>
      <c r="AS599" s="13" t="inlineStr"/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7" t="n">
        <v>72424</v>
      </c>
      <c r="AK600" s="8" t="n">
        <v>1412</v>
      </c>
      <c r="AL600" s="8" t="n">
        <v>-976</v>
      </c>
      <c r="AM600" s="11" t="inlineStr"/>
      <c r="AN600" s="12" t="inlineStr"/>
      <c r="AO600" s="12" t="inlineStr"/>
      <c r="AP600" s="13" t="inlineStr"/>
      <c r="AQ600" s="13" t="inlineStr"/>
      <c r="AR600" s="13" t="inlineStr"/>
      <c r="AS600" s="13" t="inlineStr"/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7" t="n">
        <v>586858</v>
      </c>
      <c r="AK601" s="8" t="n">
        <v>27617</v>
      </c>
      <c r="AL601" s="8" t="n">
        <v>10007</v>
      </c>
      <c r="AM601" s="11" t="inlineStr"/>
      <c r="AN601" s="12" t="inlineStr"/>
      <c r="AO601" s="12" t="inlineStr"/>
      <c r="AP601" s="13" t="inlineStr"/>
      <c r="AQ601" s="13" t="inlineStr"/>
      <c r="AR601" s="13" t="inlineStr"/>
      <c r="AS601" s="13" t="inlineStr"/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7" t="n">
        <v>2218</v>
      </c>
      <c r="AK602" s="8" t="n">
        <v>-5074</v>
      </c>
      <c r="AL602" s="8" t="n">
        <v>-3416</v>
      </c>
      <c r="AM602" s="11" t="inlineStr"/>
      <c r="AN602" s="12" t="inlineStr"/>
      <c r="AO602" s="12" t="inlineStr"/>
      <c r="AP602" s="13" t="inlineStr"/>
      <c r="AQ602" s="13" t="inlineStr"/>
      <c r="AR602" s="13" t="inlineStr"/>
      <c r="AS602" s="13" t="inlineStr"/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7" t="n">
        <v>1442207</v>
      </c>
      <c r="AK603" s="8" t="n">
        <v>253206</v>
      </c>
      <c r="AL603" s="8" t="n">
        <v>178271</v>
      </c>
      <c r="AM603" s="11" t="inlineStr"/>
      <c r="AN603" s="12" t="inlineStr"/>
      <c r="AO603" s="12" t="inlineStr"/>
      <c r="AP603" s="13" t="inlineStr"/>
      <c r="AQ603" s="13" t="inlineStr"/>
      <c r="AR603" s="13" t="inlineStr"/>
      <c r="AS603" s="13" t="inlineStr"/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7" t="n">
        <v>379869</v>
      </c>
      <c r="AK604" s="8" t="n">
        <v>16294</v>
      </c>
      <c r="AL604" s="8" t="n">
        <v>8950</v>
      </c>
      <c r="AM604" s="11" t="inlineStr"/>
      <c r="AN604" s="12" t="inlineStr"/>
      <c r="AO604" s="12" t="inlineStr"/>
      <c r="AP604" s="13" t="inlineStr"/>
      <c r="AQ604" s="13" t="inlineStr"/>
      <c r="AR604" s="13" t="inlineStr"/>
      <c r="AS604" s="13" t="inlineStr"/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7" t="n">
        <v>54089</v>
      </c>
      <c r="AK605" s="8" t="n">
        <v>993</v>
      </c>
      <c r="AL605" s="8" t="n">
        <v>772</v>
      </c>
      <c r="AM605" s="11" t="inlineStr"/>
      <c r="AN605" s="12" t="inlineStr"/>
      <c r="AO605" s="12" t="inlineStr"/>
      <c r="AP605" s="13" t="inlineStr"/>
      <c r="AQ605" s="13" t="inlineStr"/>
      <c r="AR605" s="13" t="inlineStr"/>
      <c r="AS605" s="13" t="inlineStr"/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2026Q3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7" t="inlineStr"/>
      <c r="AK606" s="8" t="inlineStr"/>
      <c r="AL606" s="8" t="inlineStr"/>
      <c r="AM606" s="11" t="n">
        <v>38386</v>
      </c>
      <c r="AN606" s="12" t="n">
        <v>-670</v>
      </c>
      <c r="AO606" s="12" t="n">
        <v>2021</v>
      </c>
      <c r="AP606" s="13" t="inlineStr"/>
      <c r="AQ606" s="13" t="n">
        <v>-21.8</v>
      </c>
      <c r="AR606" s="13" t="inlineStr"/>
      <c r="AS606" s="13" t="n">
        <v>-420.6</v>
      </c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7" t="inlineStr"/>
      <c r="AK607" s="8" t="inlineStr"/>
      <c r="AL607" s="8" t="inlineStr"/>
      <c r="AM607" s="11" t="inlineStr"/>
      <c r="AN607" s="12" t="inlineStr"/>
      <c r="AO607" s="12" t="inlineStr"/>
      <c r="AP607" s="13" t="inlineStr"/>
      <c r="AQ607" s="13" t="inlineStr"/>
      <c r="AR607" s="13" t="inlineStr"/>
      <c r="AS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7" t="n">
        <v>232581</v>
      </c>
      <c r="AK608" s="8" t="n">
        <v>9861</v>
      </c>
      <c r="AL608" s="8" t="n">
        <v>11816</v>
      </c>
      <c r="AM608" s="11" t="inlineStr"/>
      <c r="AN608" s="12" t="inlineStr"/>
      <c r="AO608" s="12" t="inlineStr"/>
      <c r="AP608" s="13" t="inlineStr"/>
      <c r="AQ608" s="13" t="inlineStr"/>
      <c r="AR608" s="13" t="inlineStr"/>
      <c r="AS608" s="13" t="inlineStr"/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7" t="n">
        <v>21648</v>
      </c>
      <c r="AK609" s="8" t="n">
        <v>-2871</v>
      </c>
      <c r="AL609" s="8" t="n">
        <v>-2420</v>
      </c>
      <c r="AM609" s="11" t="inlineStr"/>
      <c r="AN609" s="12" t="inlineStr"/>
      <c r="AO609" s="12" t="inlineStr"/>
      <c r="AP609" s="13" t="inlineStr"/>
      <c r="AQ609" s="13" t="inlineStr"/>
      <c r="AR609" s="13" t="inlineStr"/>
      <c r="AS609" s="13" t="inlineStr"/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7" t="n">
        <v>93327</v>
      </c>
      <c r="AK610" s="8" t="n">
        <v>2600</v>
      </c>
      <c r="AL610" s="8" t="n">
        <v>4324</v>
      </c>
      <c r="AM610" s="11" t="inlineStr"/>
      <c r="AN610" s="12" t="inlineStr"/>
      <c r="AO610" s="12" t="inlineStr"/>
      <c r="AP610" s="13" t="inlineStr"/>
      <c r="AQ610" s="13" t="inlineStr"/>
      <c r="AR610" s="13" t="inlineStr"/>
      <c r="AS610" s="13" t="inlineStr"/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7" t="n">
        <v>17514</v>
      </c>
      <c r="AK611" s="8" t="n">
        <v>3211</v>
      </c>
      <c r="AL611" s="8" t="n">
        <v>1595</v>
      </c>
      <c r="AM611" s="11" t="inlineStr"/>
      <c r="AN611" s="12" t="inlineStr"/>
      <c r="AO611" s="12" t="inlineStr"/>
      <c r="AP611" s="13" t="inlineStr"/>
      <c r="AQ611" s="13" t="inlineStr"/>
      <c r="AR611" s="13" t="inlineStr"/>
      <c r="AS611" s="13" t="inlineStr"/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7" t="n">
        <v>83746</v>
      </c>
      <c r="AK612" s="8" t="n">
        <v>7212</v>
      </c>
      <c r="AL612" s="8" t="n">
        <v>68946</v>
      </c>
      <c r="AM612" s="11" t="inlineStr"/>
      <c r="AN612" s="12" t="inlineStr"/>
      <c r="AO612" s="12" t="inlineStr"/>
      <c r="AP612" s="13" t="inlineStr"/>
      <c r="AQ612" s="13" t="inlineStr"/>
      <c r="AR612" s="13" t="inlineStr"/>
      <c r="AS612" s="13" t="inlineStr"/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7" t="n">
        <v>99551</v>
      </c>
      <c r="AK613" s="8" t="n">
        <v>371</v>
      </c>
      <c r="AL613" s="8" t="n">
        <v>1842</v>
      </c>
      <c r="AM613" s="11" t="inlineStr"/>
      <c r="AN613" s="12" t="inlineStr"/>
      <c r="AO613" s="12" t="inlineStr"/>
      <c r="AP613" s="13" t="inlineStr"/>
      <c r="AQ613" s="13" t="inlineStr"/>
      <c r="AR613" s="13" t="inlineStr"/>
      <c r="AS613" s="13" t="inlineStr"/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7" t="n">
        <v>368274</v>
      </c>
      <c r="AK614" s="8" t="n">
        <v>14248</v>
      </c>
      <c r="AL614" s="8" t="n">
        <v>-11408</v>
      </c>
      <c r="AM614" s="11" t="inlineStr"/>
      <c r="AN614" s="12" t="inlineStr"/>
      <c r="AO614" s="12" t="inlineStr"/>
      <c r="AP614" s="13" t="inlineStr"/>
      <c r="AQ614" s="13" t="inlineStr"/>
      <c r="AR614" s="13" t="inlineStr"/>
      <c r="AS614" s="13" t="inlineStr"/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7" t="n">
        <v>11468</v>
      </c>
      <c r="AK615" s="8" t="n">
        <v>-748</v>
      </c>
      <c r="AL615" s="8" t="n">
        <v>460</v>
      </c>
      <c r="AM615" s="11" t="inlineStr"/>
      <c r="AN615" s="12" t="inlineStr"/>
      <c r="AO615" s="12" t="inlineStr"/>
      <c r="AP615" s="13" t="inlineStr"/>
      <c r="AQ615" s="13" t="inlineStr"/>
      <c r="AR615" s="13" t="inlineStr"/>
      <c r="AS615" s="13" t="inlineStr"/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7" t="n">
        <v>62020</v>
      </c>
      <c r="AK616" s="8" t="n">
        <v>5353</v>
      </c>
      <c r="AL616" s="8" t="n">
        <v>4105</v>
      </c>
      <c r="AM616" s="11" t="inlineStr"/>
      <c r="AN616" s="12" t="inlineStr"/>
      <c r="AO616" s="12" t="inlineStr"/>
      <c r="AP616" s="13" t="inlineStr"/>
      <c r="AQ616" s="13" t="inlineStr"/>
      <c r="AR616" s="13" t="inlineStr"/>
      <c r="AS616" s="13" t="inlineStr"/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7" t="n">
        <v>3485028</v>
      </c>
      <c r="AK617" s="8" t="n">
        <v>89909</v>
      </c>
      <c r="AL617" s="8" t="n">
        <v>14617</v>
      </c>
      <c r="AM617" s="11" t="inlineStr"/>
      <c r="AN617" s="12" t="inlineStr"/>
      <c r="AO617" s="12" t="inlineStr"/>
      <c r="AP617" s="13" t="inlineStr"/>
      <c r="AQ617" s="13" t="inlineStr"/>
      <c r="AR617" s="13" t="inlineStr"/>
      <c r="AS617" s="13" t="inlineStr"/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7" t="n">
        <v>16184970</v>
      </c>
      <c r="AK618" s="8" t="n">
        <v>817754</v>
      </c>
      <c r="AL618" s="8" t="n">
        <v>678204</v>
      </c>
      <c r="AM618" s="11" t="inlineStr"/>
      <c r="AN618" s="12" t="inlineStr"/>
      <c r="AO618" s="12" t="inlineStr"/>
      <c r="AP618" s="13" t="inlineStr"/>
      <c r="AQ618" s="13" t="inlineStr"/>
      <c r="AR618" s="13" t="inlineStr"/>
      <c r="AS618" s="13" t="inlineStr"/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7" t="n">
        <v>153517</v>
      </c>
      <c r="AK619" s="8" t="n">
        <v>16503</v>
      </c>
      <c r="AL619" s="8" t="n">
        <v>14683</v>
      </c>
      <c r="AM619" s="11" t="inlineStr"/>
      <c r="AN619" s="12" t="inlineStr"/>
      <c r="AO619" s="12" t="inlineStr"/>
      <c r="AP619" s="13" t="inlineStr"/>
      <c r="AQ619" s="13" t="inlineStr"/>
      <c r="AR619" s="13" t="inlineStr"/>
      <c r="AS619" s="13" t="inlineStr"/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7" t="inlineStr"/>
      <c r="AK620" s="8" t="n">
        <v>38681</v>
      </c>
      <c r="AL620" s="8" t="n">
        <v>25977</v>
      </c>
      <c r="AM620" s="11" t="inlineStr"/>
      <c r="AN620" s="12" t="inlineStr"/>
      <c r="AO620" s="12" t="inlineStr"/>
      <c r="AP620" s="13" t="inlineStr"/>
      <c r="AQ620" s="13" t="inlineStr"/>
      <c r="AR620" s="13" t="inlineStr"/>
      <c r="AS620" s="13" t="inlineStr"/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7" t="n">
        <v>8307</v>
      </c>
      <c r="AK621" s="8" t="n">
        <v>-183</v>
      </c>
      <c r="AL621" s="8" t="n">
        <v>56</v>
      </c>
      <c r="AM621" s="11" t="inlineStr"/>
      <c r="AN621" s="12" t="inlineStr"/>
      <c r="AO621" s="12" t="inlineStr"/>
      <c r="AP621" s="13" t="inlineStr"/>
      <c r="AQ621" s="13" t="inlineStr"/>
      <c r="AR621" s="13" t="inlineStr"/>
      <c r="AS621" s="13" t="inlineStr"/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7" t="n">
        <v>8619</v>
      </c>
      <c r="AK622" s="8" t="n">
        <v>479</v>
      </c>
      <c r="AL622" s="8" t="n">
        <v>-218</v>
      </c>
      <c r="AM622" s="11" t="inlineStr"/>
      <c r="AN622" s="12" t="inlineStr"/>
      <c r="AO622" s="12" t="inlineStr"/>
      <c r="AP622" s="13" t="inlineStr"/>
      <c r="AQ622" s="13" t="inlineStr"/>
      <c r="AR622" s="13" t="inlineStr"/>
      <c r="AS622" s="13" t="inlineStr"/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7" t="n">
        <v>183653</v>
      </c>
      <c r="AK623" s="8" t="n">
        <v>9286</v>
      </c>
      <c r="AL623" s="8" t="n">
        <v>16848</v>
      </c>
      <c r="AM623" s="11" t="inlineStr"/>
      <c r="AN623" s="12" t="inlineStr"/>
      <c r="AO623" s="12" t="inlineStr"/>
      <c r="AP623" s="13" t="inlineStr"/>
      <c r="AQ623" s="13" t="inlineStr"/>
      <c r="AR623" s="13" t="inlineStr"/>
      <c r="AS623" s="13" t="inlineStr"/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7" t="n">
        <v>192102</v>
      </c>
      <c r="AK624" s="8" t="n">
        <v>8545</v>
      </c>
      <c r="AL624" s="8" t="n">
        <v>5053</v>
      </c>
      <c r="AM624" s="11" t="inlineStr"/>
      <c r="AN624" s="12" t="inlineStr"/>
      <c r="AO624" s="12" t="inlineStr"/>
      <c r="AP624" s="13" t="inlineStr"/>
      <c r="AQ624" s="13" t="inlineStr"/>
      <c r="AR624" s="13" t="inlineStr"/>
      <c r="AS624" s="13" t="inlineStr"/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7" t="n">
        <v>41863</v>
      </c>
      <c r="AK625" s="8" t="n">
        <v>4399</v>
      </c>
      <c r="AL625" s="8" t="n">
        <v>3743</v>
      </c>
      <c r="AM625" s="11" t="inlineStr"/>
      <c r="AN625" s="12" t="inlineStr"/>
      <c r="AO625" s="12" t="inlineStr"/>
      <c r="AP625" s="13" t="inlineStr"/>
      <c r="AQ625" s="13" t="inlineStr"/>
      <c r="AR625" s="13" t="inlineStr"/>
      <c r="AS625" s="13" t="inlineStr"/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7" t="n">
        <v>56608</v>
      </c>
      <c r="AK626" s="8" t="n">
        <v>8080</v>
      </c>
      <c r="AL626" s="8" t="n">
        <v>6753</v>
      </c>
      <c r="AM626" s="11" t="inlineStr"/>
      <c r="AN626" s="12" t="inlineStr"/>
      <c r="AO626" s="12" t="inlineStr"/>
      <c r="AP626" s="13" t="inlineStr"/>
      <c r="AQ626" s="13" t="inlineStr"/>
      <c r="AR626" s="13" t="inlineStr"/>
      <c r="AS626" s="13" t="inlineStr"/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7" t="n">
        <v>13831</v>
      </c>
      <c r="AK627" s="8" t="n">
        <v>-3982</v>
      </c>
      <c r="AL627" s="8" t="n">
        <v>-4969</v>
      </c>
      <c r="AM627" s="11" t="inlineStr"/>
      <c r="AN627" s="12" t="inlineStr"/>
      <c r="AO627" s="12" t="inlineStr"/>
      <c r="AP627" s="13" t="inlineStr"/>
      <c r="AQ627" s="13" t="inlineStr"/>
      <c r="AR627" s="13" t="inlineStr"/>
      <c r="AS627" s="13" t="inlineStr"/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7" t="n">
        <v>27393</v>
      </c>
      <c r="AK628" s="8" t="n">
        <v>-691</v>
      </c>
      <c r="AL628" s="8" t="n">
        <v>-542</v>
      </c>
      <c r="AM628" s="11" t="inlineStr"/>
      <c r="AN628" s="12" t="inlineStr"/>
      <c r="AO628" s="12" t="inlineStr"/>
      <c r="AP628" s="13" t="inlineStr"/>
      <c r="AQ628" s="13" t="inlineStr"/>
      <c r="AR628" s="13" t="inlineStr"/>
      <c r="AS628" s="13" t="inlineStr"/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7" t="n">
        <v>30753</v>
      </c>
      <c r="AK629" s="8" t="n">
        <v>924</v>
      </c>
      <c r="AL629" s="8" t="n">
        <v>2560</v>
      </c>
      <c r="AM629" s="11" t="inlineStr"/>
      <c r="AN629" s="12" t="inlineStr"/>
      <c r="AO629" s="12" t="inlineStr"/>
      <c r="AP629" s="13" t="inlineStr"/>
      <c r="AQ629" s="13" t="inlineStr"/>
      <c r="AR629" s="13" t="inlineStr"/>
      <c r="AS629" s="13" t="inlineStr"/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7" t="n">
        <v>50175</v>
      </c>
      <c r="AK630" s="8" t="n">
        <v>3257</v>
      </c>
      <c r="AL630" s="8" t="n">
        <v>3276</v>
      </c>
      <c r="AM630" s="11" t="inlineStr"/>
      <c r="AN630" s="12" t="inlineStr"/>
      <c r="AO630" s="12" t="inlineStr"/>
      <c r="AP630" s="13" t="inlineStr"/>
      <c r="AQ630" s="13" t="inlineStr"/>
      <c r="AR630" s="13" t="inlineStr"/>
      <c r="AS630" s="13" t="inlineStr"/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8" t="n">
        <v>915102</v>
      </c>
      <c r="AL631" s="8" t="n">
        <v>689506</v>
      </c>
      <c r="AM631" s="11" t="inlineStr"/>
      <c r="AN631" s="12" t="inlineStr"/>
      <c r="AO631" s="12" t="inlineStr"/>
      <c r="AP631" s="13" t="inlineStr"/>
      <c r="AQ631" s="13" t="inlineStr"/>
      <c r="AR631" s="13" t="inlineStr"/>
      <c r="AS631" s="13" t="inlineStr"/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7" t="n">
        <v>59027</v>
      </c>
      <c r="AK632" s="8" t="n">
        <v>1867</v>
      </c>
      <c r="AL632" s="8" t="n">
        <v>2144</v>
      </c>
      <c r="AM632" s="11" t="inlineStr"/>
      <c r="AN632" s="12" t="inlineStr"/>
      <c r="AO632" s="12" t="inlineStr"/>
      <c r="AP632" s="13" t="inlineStr"/>
      <c r="AQ632" s="13" t="inlineStr"/>
      <c r="AR632" s="13" t="inlineStr"/>
      <c r="AS632" s="13" t="inlineStr"/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7" t="n">
        <v>142347</v>
      </c>
      <c r="AK633" s="8" t="n">
        <v>25338</v>
      </c>
      <c r="AL633" s="8" t="n">
        <v>35322</v>
      </c>
      <c r="AM633" s="11" t="inlineStr"/>
      <c r="AN633" s="12" t="inlineStr"/>
      <c r="AO633" s="12" t="inlineStr"/>
      <c r="AP633" s="13" t="inlineStr"/>
      <c r="AQ633" s="13" t="inlineStr"/>
      <c r="AR633" s="13" t="inlineStr"/>
      <c r="AS633" s="13" t="inlineStr"/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7" t="n">
        <v>43149</v>
      </c>
      <c r="AK634" s="8" t="n">
        <v>4991</v>
      </c>
      <c r="AL634" s="8" t="n">
        <v>2951</v>
      </c>
      <c r="AM634" s="11" t="inlineStr"/>
      <c r="AN634" s="12" t="inlineStr"/>
      <c r="AO634" s="12" t="inlineStr"/>
      <c r="AP634" s="13" t="inlineStr"/>
      <c r="AQ634" s="13" t="inlineStr"/>
      <c r="AR634" s="13" t="inlineStr"/>
      <c r="AS634" s="13" t="inlineStr"/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7" t="n">
        <v>13583</v>
      </c>
      <c r="AK635" s="8" t="n">
        <v>860</v>
      </c>
      <c r="AL635" s="8" t="n">
        <v>59381</v>
      </c>
      <c r="AM635" s="11" t="inlineStr"/>
      <c r="AN635" s="12" t="inlineStr"/>
      <c r="AO635" s="12" t="inlineStr"/>
      <c r="AP635" s="13" t="inlineStr"/>
      <c r="AQ635" s="13" t="inlineStr"/>
      <c r="AR635" s="13" t="inlineStr"/>
      <c r="AS635" s="13" t="inlineStr"/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7" t="n">
        <v>41587</v>
      </c>
      <c r="AK636" s="8" t="n">
        <v>-1732</v>
      </c>
      <c r="AL636" s="8" t="n">
        <v>1951</v>
      </c>
      <c r="AM636" s="11" t="inlineStr"/>
      <c r="AN636" s="12" t="inlineStr"/>
      <c r="AO636" s="12" t="inlineStr"/>
      <c r="AP636" s="13" t="inlineStr"/>
      <c r="AQ636" s="13" t="inlineStr"/>
      <c r="AR636" s="13" t="inlineStr"/>
      <c r="AS636" s="13" t="inlineStr"/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7" t="n">
        <v>279853</v>
      </c>
      <c r="AK637" s="8" t="n">
        <v>12866</v>
      </c>
      <c r="AL637" s="8" t="n">
        <v>11310</v>
      </c>
      <c r="AM637" s="11" t="inlineStr"/>
      <c r="AN637" s="12" t="inlineStr"/>
      <c r="AO637" s="12" t="inlineStr"/>
      <c r="AP637" s="13" t="inlineStr"/>
      <c r="AQ637" s="13" t="inlineStr"/>
      <c r="AR637" s="13" t="inlineStr"/>
      <c r="AS637" s="13" t="inlineStr"/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7" t="n">
        <v>10589</v>
      </c>
      <c r="AK638" s="8" t="n">
        <v>-9233</v>
      </c>
      <c r="AL638" s="8" t="n">
        <v>-8409</v>
      </c>
      <c r="AM638" s="11" t="inlineStr"/>
      <c r="AN638" s="12" t="inlineStr"/>
      <c r="AO638" s="12" t="inlineStr"/>
      <c r="AP638" s="13" t="inlineStr"/>
      <c r="AQ638" s="13" t="inlineStr"/>
      <c r="AR638" s="13" t="inlineStr"/>
      <c r="AS638" s="13" t="inlineStr"/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7" t="n">
        <v>213567</v>
      </c>
      <c r="AK639" s="8" t="n">
        <v>8918</v>
      </c>
      <c r="AL639" s="8" t="n">
        <v>5323</v>
      </c>
      <c r="AM639" s="11" t="inlineStr"/>
      <c r="AN639" s="12" t="inlineStr"/>
      <c r="AO639" s="12" t="inlineStr"/>
      <c r="AP639" s="13" t="inlineStr"/>
      <c r="AQ639" s="13" t="inlineStr"/>
      <c r="AR639" s="13" t="inlineStr"/>
      <c r="AS639" s="13" t="inlineStr"/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7" t="n">
        <v>34648</v>
      </c>
      <c r="AK640" s="8" t="n">
        <v>-370</v>
      </c>
      <c r="AL640" s="8" t="n">
        <v>-329</v>
      </c>
      <c r="AM640" s="11" t="inlineStr"/>
      <c r="AN640" s="12" t="inlineStr"/>
      <c r="AO640" s="12" t="inlineStr"/>
      <c r="AP640" s="13" t="inlineStr"/>
      <c r="AQ640" s="13" t="inlineStr"/>
      <c r="AR640" s="13" t="inlineStr"/>
      <c r="AS640" s="13" t="inlineStr"/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7" t="n">
        <v>414823</v>
      </c>
      <c r="AK641" s="8" t="n">
        <v>-7919</v>
      </c>
      <c r="AL641" s="8" t="n">
        <v>-2656</v>
      </c>
      <c r="AM641" s="11" t="inlineStr"/>
      <c r="AN641" s="12" t="inlineStr"/>
      <c r="AO641" s="12" t="inlineStr"/>
      <c r="AP641" s="13" t="inlineStr"/>
      <c r="AQ641" s="13" t="inlineStr"/>
      <c r="AR641" s="13" t="inlineStr"/>
      <c r="AS641" s="13" t="inlineStr"/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7" t="n">
        <v>186526</v>
      </c>
      <c r="AK642" s="8" t="n">
        <v>8405</v>
      </c>
      <c r="AL642" s="8" t="n">
        <v>6024</v>
      </c>
      <c r="AM642" s="11" t="inlineStr"/>
      <c r="AN642" s="12" t="inlineStr"/>
      <c r="AO642" s="12" t="inlineStr"/>
      <c r="AP642" s="13" t="inlineStr"/>
      <c r="AQ642" s="13" t="inlineStr"/>
      <c r="AR642" s="13" t="inlineStr"/>
      <c r="AS642" s="13" t="inlineStr"/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7" t="n">
        <v>12504</v>
      </c>
      <c r="AK643" s="8" t="n">
        <v>310</v>
      </c>
      <c r="AL643" s="8" t="n">
        <v>383</v>
      </c>
      <c r="AM643" s="11" t="inlineStr"/>
      <c r="AN643" s="12" t="inlineStr"/>
      <c r="AO643" s="12" t="inlineStr"/>
      <c r="AP643" s="13" t="inlineStr"/>
      <c r="AQ643" s="13" t="inlineStr"/>
      <c r="AR643" s="13" t="inlineStr"/>
      <c r="AS643" s="13" t="inlineStr"/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7" t="n">
        <v>49883</v>
      </c>
      <c r="AK644" s="8" t="n">
        <v>3280</v>
      </c>
      <c r="AL644" s="8" t="n">
        <v>3453</v>
      </c>
      <c r="AM644" s="11" t="inlineStr"/>
      <c r="AN644" s="12" t="inlineStr"/>
      <c r="AO644" s="12" t="inlineStr"/>
      <c r="AP644" s="13" t="inlineStr"/>
      <c r="AQ644" s="13" t="inlineStr"/>
      <c r="AR644" s="13" t="inlineStr"/>
      <c r="AS644" s="13" t="inlineStr"/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7" t="n">
        <v>244962</v>
      </c>
      <c r="AK645" s="8" t="n">
        <v>23039</v>
      </c>
      <c r="AL645" s="8" t="n">
        <v>61186</v>
      </c>
      <c r="AM645" s="11" t="inlineStr"/>
      <c r="AN645" s="12" t="inlineStr"/>
      <c r="AO645" s="12" t="inlineStr"/>
      <c r="AP645" s="13" t="inlineStr"/>
      <c r="AQ645" s="13" t="inlineStr"/>
      <c r="AR645" s="13" t="inlineStr"/>
      <c r="AS645" s="13" t="inlineStr"/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7" t="n">
        <v>53807</v>
      </c>
      <c r="AK646" s="8" t="n">
        <v>-1899</v>
      </c>
      <c r="AL646" s="8" t="n">
        <v>-2022</v>
      </c>
      <c r="AM646" s="11" t="inlineStr"/>
      <c r="AN646" s="12" t="inlineStr"/>
      <c r="AO646" s="12" t="inlineStr"/>
      <c r="AP646" s="13" t="inlineStr"/>
      <c r="AQ646" s="13" t="inlineStr"/>
      <c r="AR646" s="13" t="inlineStr"/>
      <c r="AS646" s="13" t="inlineStr"/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7" t="n">
        <v>136173</v>
      </c>
      <c r="AK647" s="8" t="n">
        <v>-809</v>
      </c>
      <c r="AL647" s="8" t="n">
        <v>2466</v>
      </c>
      <c r="AM647" s="11" t="inlineStr"/>
      <c r="AN647" s="12" t="inlineStr"/>
      <c r="AO647" s="12" t="inlineStr"/>
      <c r="AP647" s="13" t="inlineStr"/>
      <c r="AQ647" s="13" t="inlineStr"/>
      <c r="AR647" s="13" t="inlineStr"/>
      <c r="AS647" s="13" t="inlineStr"/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7" t="n">
        <v>53593</v>
      </c>
      <c r="AK648" s="8" t="n">
        <v>4908</v>
      </c>
      <c r="AL648" s="8" t="n">
        <v>10549</v>
      </c>
      <c r="AM648" s="11" t="inlineStr"/>
      <c r="AN648" s="12" t="inlineStr"/>
      <c r="AO648" s="12" t="inlineStr"/>
      <c r="AP648" s="13" t="inlineStr"/>
      <c r="AQ648" s="13" t="inlineStr"/>
      <c r="AR648" s="13" t="inlineStr"/>
      <c r="AS648" s="13" t="inlineStr"/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7" t="n">
        <v>395077</v>
      </c>
      <c r="AK649" s="8" t="n">
        <v>17838</v>
      </c>
      <c r="AL649" s="8" t="n">
        <v>25210</v>
      </c>
      <c r="AM649" s="11" t="inlineStr"/>
      <c r="AN649" s="12" t="inlineStr"/>
      <c r="AO649" s="12" t="inlineStr"/>
      <c r="AP649" s="13" t="inlineStr"/>
      <c r="AQ649" s="13" t="inlineStr"/>
      <c r="AR649" s="13" t="inlineStr"/>
      <c r="AS649" s="13" t="inlineStr"/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7" t="n">
        <v>71721</v>
      </c>
      <c r="AK650" s="8" t="n">
        <v>9226</v>
      </c>
      <c r="AL650" s="8" t="n">
        <v>3967</v>
      </c>
      <c r="AM650" s="11" t="inlineStr"/>
      <c r="AN650" s="12" t="inlineStr"/>
      <c r="AO650" s="12" t="inlineStr"/>
      <c r="AP650" s="13" t="inlineStr"/>
      <c r="AQ650" s="13" t="inlineStr"/>
      <c r="AR650" s="13" t="inlineStr"/>
      <c r="AS650" s="13" t="inlineStr"/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7" t="n">
        <v>30798</v>
      </c>
      <c r="AK651" s="8" t="n">
        <v>10360</v>
      </c>
      <c r="AL651" s="8" t="n">
        <v>10724</v>
      </c>
      <c r="AM651" s="11" t="inlineStr"/>
      <c r="AN651" s="12" t="inlineStr"/>
      <c r="AO651" s="12" t="inlineStr"/>
      <c r="AP651" s="13" t="inlineStr"/>
      <c r="AQ651" s="13" t="inlineStr"/>
      <c r="AR651" s="13" t="inlineStr"/>
      <c r="AS651" s="13" t="inlineStr"/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7" t="n">
        <v>2909</v>
      </c>
      <c r="AK652" s="8" t="n">
        <v>-1134</v>
      </c>
      <c r="AL652" s="8" t="n">
        <v>10401</v>
      </c>
      <c r="AM652" s="11" t="inlineStr"/>
      <c r="AN652" s="12" t="inlineStr"/>
      <c r="AO652" s="12" t="inlineStr"/>
      <c r="AP652" s="13" t="inlineStr"/>
      <c r="AQ652" s="13" t="inlineStr"/>
      <c r="AR652" s="13" t="inlineStr"/>
      <c r="AS652" s="13" t="inlineStr"/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7" t="n">
        <v>70415</v>
      </c>
      <c r="AK653" s="8" t="n">
        <v>3151</v>
      </c>
      <c r="AL653" s="8" t="n">
        <v>9</v>
      </c>
      <c r="AM653" s="11" t="inlineStr"/>
      <c r="AN653" s="12" t="inlineStr"/>
      <c r="AO653" s="12" t="inlineStr"/>
      <c r="AP653" s="13" t="inlineStr"/>
      <c r="AQ653" s="13" t="inlineStr"/>
      <c r="AR653" s="13" t="inlineStr"/>
      <c r="AS653" s="13" t="inlineStr"/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7" t="n">
        <v>237611</v>
      </c>
      <c r="AK654" s="8" t="n">
        <v>11942</v>
      </c>
      <c r="AL654" s="8" t="n">
        <v>10183</v>
      </c>
      <c r="AM654" s="11" t="inlineStr"/>
      <c r="AN654" s="12" t="inlineStr"/>
      <c r="AO654" s="12" t="inlineStr"/>
      <c r="AP654" s="13" t="inlineStr"/>
      <c r="AQ654" s="13" t="inlineStr"/>
      <c r="AR654" s="13" t="inlineStr"/>
      <c r="AS654" s="13" t="inlineStr"/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7" t="n">
        <v>190753</v>
      </c>
      <c r="AK655" s="8" t="n">
        <v>20340</v>
      </c>
      <c r="AL655" s="8" t="n">
        <v>8690</v>
      </c>
      <c r="AM655" s="11" t="inlineStr"/>
      <c r="AN655" s="12" t="inlineStr"/>
      <c r="AO655" s="12" t="inlineStr"/>
      <c r="AP655" s="13" t="inlineStr"/>
      <c r="AQ655" s="13" t="inlineStr"/>
      <c r="AR655" s="13" t="inlineStr"/>
      <c r="AS655" s="13" t="inlineStr"/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7" t="n">
        <v>504928</v>
      </c>
      <c r="AK656" s="8" t="n">
        <v>12920</v>
      </c>
      <c r="AL656" s="8" t="n">
        <v>8337</v>
      </c>
      <c r="AM656" s="11" t="inlineStr"/>
      <c r="AN656" s="12" t="inlineStr"/>
      <c r="AO656" s="12" t="inlineStr"/>
      <c r="AP656" s="13" t="inlineStr"/>
      <c r="AQ656" s="13" t="inlineStr"/>
      <c r="AR656" s="13" t="inlineStr"/>
      <c r="AS656" s="13" t="inlineStr"/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7" t="n">
        <v>20037</v>
      </c>
      <c r="AK657" s="8" t="n">
        <v>802</v>
      </c>
      <c r="AL657" s="8" t="n">
        <v>537</v>
      </c>
      <c r="AM657" s="11" t="inlineStr"/>
      <c r="AN657" s="12" t="inlineStr"/>
      <c r="AO657" s="12" t="inlineStr"/>
      <c r="AP657" s="13" t="inlineStr"/>
      <c r="AQ657" s="13" t="inlineStr"/>
      <c r="AR657" s="13" t="inlineStr"/>
      <c r="AS657" s="13" t="inlineStr"/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7" t="n">
        <v>28928</v>
      </c>
      <c r="AK658" s="8" t="n">
        <v>2812</v>
      </c>
      <c r="AL658" s="8" t="n">
        <v>2462</v>
      </c>
      <c r="AM658" s="11" t="inlineStr"/>
      <c r="AN658" s="12" t="inlineStr"/>
      <c r="AO658" s="12" t="inlineStr"/>
      <c r="AP658" s="13" t="inlineStr"/>
      <c r="AQ658" s="13" t="inlineStr"/>
      <c r="AR658" s="13" t="inlineStr"/>
      <c r="AS658" s="13" t="inlineStr"/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7" t="n">
        <v>11076</v>
      </c>
      <c r="AK659" s="8" t="n">
        <v>153</v>
      </c>
      <c r="AL659" s="8" t="n">
        <v>130</v>
      </c>
      <c r="AM659" s="11" t="inlineStr"/>
      <c r="AN659" s="12" t="inlineStr"/>
      <c r="AO659" s="12" t="inlineStr"/>
      <c r="AP659" s="13" t="inlineStr"/>
      <c r="AQ659" s="13" t="inlineStr"/>
      <c r="AR659" s="13" t="inlineStr"/>
      <c r="AS659" s="13" t="inlineStr"/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7" t="n">
        <v>233505</v>
      </c>
      <c r="AK660" s="8" t="n">
        <v>-865</v>
      </c>
      <c r="AL660" s="8" t="n">
        <v>-8090</v>
      </c>
      <c r="AM660" s="11" t="inlineStr"/>
      <c r="AN660" s="12" t="inlineStr"/>
      <c r="AO660" s="12" t="inlineStr"/>
      <c r="AP660" s="13" t="inlineStr"/>
      <c r="AQ660" s="13" t="inlineStr"/>
      <c r="AR660" s="13" t="inlineStr"/>
      <c r="AS660" s="13" t="inlineStr"/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7" t="n">
        <v>9753</v>
      </c>
      <c r="AK661" s="8" t="n">
        <v>-573</v>
      </c>
      <c r="AL661" s="8" t="n">
        <v>234</v>
      </c>
      <c r="AM661" s="11" t="inlineStr"/>
      <c r="AN661" s="12" t="inlineStr"/>
      <c r="AO661" s="12" t="inlineStr"/>
      <c r="AP661" s="13" t="inlineStr"/>
      <c r="AQ661" s="13" t="inlineStr"/>
      <c r="AR661" s="13" t="inlineStr"/>
      <c r="AS661" s="13" t="inlineStr"/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7" t="n">
        <v>55123</v>
      </c>
      <c r="AK662" s="8" t="n">
        <v>-5365</v>
      </c>
      <c r="AL662" s="8" t="n">
        <v>-9198</v>
      </c>
      <c r="AM662" s="11" t="inlineStr"/>
      <c r="AN662" s="12" t="inlineStr"/>
      <c r="AO662" s="12" t="inlineStr"/>
      <c r="AP662" s="13" t="inlineStr"/>
      <c r="AQ662" s="13" t="inlineStr"/>
      <c r="AR662" s="13" t="inlineStr"/>
      <c r="AS662" s="13" t="inlineStr"/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7" t="n">
        <v>19719</v>
      </c>
      <c r="AK663" s="8" t="n">
        <v>-325</v>
      </c>
      <c r="AL663" s="8" t="n">
        <v>6906</v>
      </c>
      <c r="AM663" s="11" t="inlineStr"/>
      <c r="AN663" s="12" t="inlineStr"/>
      <c r="AO663" s="12" t="inlineStr"/>
      <c r="AP663" s="13" t="inlineStr"/>
      <c r="AQ663" s="13" t="inlineStr"/>
      <c r="AR663" s="13" t="inlineStr"/>
      <c r="AS663" s="13" t="inlineStr"/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7" t="n">
        <v>55415</v>
      </c>
      <c r="AK664" s="8" t="n">
        <v>1989</v>
      </c>
      <c r="AL664" s="8" t="n">
        <v>1663</v>
      </c>
      <c r="AM664" s="11" t="inlineStr"/>
      <c r="AN664" s="12" t="inlineStr"/>
      <c r="AO664" s="12" t="inlineStr"/>
      <c r="AP664" s="13" t="inlineStr"/>
      <c r="AQ664" s="13" t="inlineStr"/>
      <c r="AR664" s="13" t="inlineStr"/>
      <c r="AS664" s="13" t="inlineStr"/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7" t="n">
        <v>20299</v>
      </c>
      <c r="AK665" s="8" t="n">
        <v>3056</v>
      </c>
      <c r="AL665" s="8" t="n">
        <v>1710</v>
      </c>
      <c r="AM665" s="11" t="inlineStr"/>
      <c r="AN665" s="12" t="inlineStr"/>
      <c r="AO665" s="12" t="inlineStr"/>
      <c r="AP665" s="13" t="inlineStr"/>
      <c r="AQ665" s="13" t="inlineStr"/>
      <c r="AR665" s="13" t="inlineStr"/>
      <c r="AS665" s="13" t="inlineStr"/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7" t="n">
        <v>16926</v>
      </c>
      <c r="AK666" s="8" t="n">
        <v>169</v>
      </c>
      <c r="AL666" s="8" t="n">
        <v>-300</v>
      </c>
      <c r="AM666" s="11" t="inlineStr"/>
      <c r="AN666" s="12" t="inlineStr"/>
      <c r="AO666" s="12" t="inlineStr"/>
      <c r="AP666" s="13" t="inlineStr"/>
      <c r="AQ666" s="13" t="inlineStr"/>
      <c r="AR666" s="13" t="inlineStr"/>
      <c r="AS666" s="13" t="inlineStr"/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7" t="n">
        <v>57226</v>
      </c>
      <c r="AK667" s="8" t="n">
        <v>-208</v>
      </c>
      <c r="AL667" s="8" t="n">
        <v>369</v>
      </c>
      <c r="AM667" s="11" t="inlineStr"/>
      <c r="AN667" s="12" t="inlineStr"/>
      <c r="AO667" s="12" t="inlineStr"/>
      <c r="AP667" s="13" t="inlineStr"/>
      <c r="AQ667" s="13" t="inlineStr"/>
      <c r="AR667" s="13" t="inlineStr"/>
      <c r="AS667" s="13" t="inlineStr"/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7" t="n">
        <v>135734</v>
      </c>
      <c r="AK668" s="8" t="n">
        <v>9837</v>
      </c>
      <c r="AL668" s="8" t="n">
        <v>41216</v>
      </c>
      <c r="AM668" s="11" t="inlineStr"/>
      <c r="AN668" s="12" t="inlineStr"/>
      <c r="AO668" s="12" t="inlineStr"/>
      <c r="AP668" s="13" t="inlineStr"/>
      <c r="AQ668" s="13" t="inlineStr"/>
      <c r="AR668" s="13" t="inlineStr"/>
      <c r="AS668" s="13" t="inlineStr"/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7" t="n">
        <v>8802</v>
      </c>
      <c r="AK669" s="8" t="n">
        <v>-782</v>
      </c>
      <c r="AL669" s="8" t="n">
        <v>3095</v>
      </c>
      <c r="AM669" s="11" t="inlineStr"/>
      <c r="AN669" s="12" t="inlineStr"/>
      <c r="AO669" s="12" t="inlineStr"/>
      <c r="AP669" s="13" t="inlineStr"/>
      <c r="AQ669" s="13" t="inlineStr"/>
      <c r="AR669" s="13" t="inlineStr"/>
      <c r="AS669" s="13" t="inlineStr"/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7" t="n">
        <v>18934</v>
      </c>
      <c r="AK670" s="8" t="n">
        <v>-1058</v>
      </c>
      <c r="AL670" s="8" t="n">
        <v>-1137</v>
      </c>
      <c r="AM670" s="11" t="inlineStr"/>
      <c r="AN670" s="12" t="inlineStr"/>
      <c r="AO670" s="12" t="inlineStr"/>
      <c r="AP670" s="13" t="inlineStr"/>
      <c r="AQ670" s="13" t="inlineStr"/>
      <c r="AR670" s="13" t="inlineStr"/>
      <c r="AS670" s="13" t="inlineStr"/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7" t="inlineStr"/>
      <c r="AK671" s="8" t="n">
        <v>38142</v>
      </c>
      <c r="AL671" s="8" t="n">
        <v>30142</v>
      </c>
      <c r="AM671" s="11" t="inlineStr"/>
      <c r="AN671" s="12" t="inlineStr"/>
      <c r="AO671" s="12" t="inlineStr"/>
      <c r="AP671" s="13" t="inlineStr"/>
      <c r="AQ671" s="13" t="inlineStr"/>
      <c r="AR671" s="13" t="inlineStr"/>
      <c r="AS671" s="13" t="inlineStr"/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7" t="n">
        <v>123573</v>
      </c>
      <c r="AK672" s="8" t="n">
        <v>13646</v>
      </c>
      <c r="AL672" s="8" t="n">
        <v>14491</v>
      </c>
      <c r="AM672" s="11" t="inlineStr"/>
      <c r="AN672" s="12" t="inlineStr"/>
      <c r="AO672" s="12" t="inlineStr"/>
      <c r="AP672" s="13" t="inlineStr"/>
      <c r="AQ672" s="13" t="inlineStr"/>
      <c r="AR672" s="13" t="inlineStr"/>
      <c r="AS672" s="13" t="inlineStr"/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7" t="n">
        <v>10220</v>
      </c>
      <c r="AK673" s="8" t="n">
        <v>-2572</v>
      </c>
      <c r="AL673" s="8" t="n">
        <v>-2649</v>
      </c>
      <c r="AM673" s="11" t="inlineStr"/>
      <c r="AN673" s="12" t="inlineStr"/>
      <c r="AO673" s="12" t="inlineStr"/>
      <c r="AP673" s="13" t="inlineStr"/>
      <c r="AQ673" s="13" t="inlineStr"/>
      <c r="AR673" s="13" t="inlineStr"/>
      <c r="AS673" s="13" t="inlineStr"/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7" t="n">
        <v>362985</v>
      </c>
      <c r="AK674" s="8" t="n">
        <v>17636</v>
      </c>
      <c r="AL674" s="8" t="n">
        <v>13337</v>
      </c>
      <c r="AM674" s="11" t="inlineStr"/>
      <c r="AN674" s="12" t="inlineStr"/>
      <c r="AO674" s="12" t="inlineStr"/>
      <c r="AP674" s="13" t="inlineStr"/>
      <c r="AQ674" s="13" t="inlineStr"/>
      <c r="AR674" s="13" t="inlineStr"/>
      <c r="AS674" s="13" t="inlineStr"/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7" t="n">
        <v>106725</v>
      </c>
      <c r="AK675" s="8" t="n">
        <v>-16</v>
      </c>
      <c r="AL675" s="8" t="n">
        <v>-759</v>
      </c>
      <c r="AM675" s="11" t="inlineStr"/>
      <c r="AN675" s="12" t="inlineStr"/>
      <c r="AO675" s="12" t="inlineStr"/>
      <c r="AP675" s="13" t="inlineStr"/>
      <c r="AQ675" s="13" t="inlineStr"/>
      <c r="AR675" s="13" t="inlineStr"/>
      <c r="AS675" s="13" t="inlineStr"/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7" t="n">
        <v>4566</v>
      </c>
      <c r="AK676" s="8" t="n">
        <v>2994</v>
      </c>
      <c r="AL676" s="8" t="n">
        <v>2343</v>
      </c>
      <c r="AM676" s="11" t="inlineStr"/>
      <c r="AN676" s="12" t="inlineStr"/>
      <c r="AO676" s="12" t="inlineStr"/>
      <c r="AP676" s="13" t="inlineStr"/>
      <c r="AQ676" s="13" t="inlineStr"/>
      <c r="AR676" s="13" t="inlineStr"/>
      <c r="AS676" s="13" t="inlineStr"/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7" t="n">
        <v>220386</v>
      </c>
      <c r="AK677" s="8" t="n">
        <v>4682</v>
      </c>
      <c r="AL677" s="8" t="n">
        <v>1149</v>
      </c>
      <c r="AM677" s="11" t="inlineStr"/>
      <c r="AN677" s="12" t="inlineStr"/>
      <c r="AO677" s="12" t="inlineStr"/>
      <c r="AP677" s="13" t="inlineStr"/>
      <c r="AQ677" s="13" t="inlineStr"/>
      <c r="AR677" s="13" t="inlineStr"/>
      <c r="AS677" s="13" t="inlineStr"/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2026Q3</t>
        </is>
      </c>
      <c r="E678" s="6" t="inlineStr">
        <is>
          <t>2023Q4, 2026Q3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7" t="n">
        <v>2609331</v>
      </c>
      <c r="AK678" s="8" t="n">
        <v>273088</v>
      </c>
      <c r="AL678" s="8" t="n">
        <v>182508</v>
      </c>
      <c r="AM678" s="14" t="n">
        <v>2910470</v>
      </c>
      <c r="AN678" s="15" t="n">
        <v>500603</v>
      </c>
      <c r="AO678" s="15" t="n">
        <v>216695</v>
      </c>
      <c r="AP678" s="13" t="n">
        <v>11.5</v>
      </c>
      <c r="AQ678" s="13" t="n">
        <v>45.8</v>
      </c>
      <c r="AR678" s="13" t="n">
        <v>83.3</v>
      </c>
      <c r="AS678" s="13" t="n">
        <v>183.6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7" t="n">
        <v>111009</v>
      </c>
      <c r="AK679" s="8" t="n">
        <v>-1720</v>
      </c>
      <c r="AL679" s="8" t="n">
        <v>2564</v>
      </c>
      <c r="AM679" s="11" t="inlineStr"/>
      <c r="AN679" s="12" t="inlineStr"/>
      <c r="AO679" s="12" t="inlineStr"/>
      <c r="AP679" s="13" t="inlineStr"/>
      <c r="AQ679" s="13" t="inlineStr"/>
      <c r="AR679" s="13" t="inlineStr"/>
      <c r="AS679" s="13" t="inlineStr"/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7" t="n">
        <v>111944</v>
      </c>
      <c r="AK680" s="8" t="n">
        <v>5036</v>
      </c>
      <c r="AL680" s="8" t="n">
        <v>5525</v>
      </c>
      <c r="AM680" s="11" t="inlineStr"/>
      <c r="AN680" s="12" t="inlineStr"/>
      <c r="AO680" s="12" t="inlineStr"/>
      <c r="AP680" s="13" t="inlineStr"/>
      <c r="AQ680" s="13" t="inlineStr"/>
      <c r="AR680" s="13" t="inlineStr"/>
      <c r="AS680" s="13" t="inlineStr"/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7" t="n">
        <v>11995056</v>
      </c>
      <c r="AK681" s="8" t="n">
        <v>1031736</v>
      </c>
      <c r="AL681" s="8" t="n">
        <v>915544</v>
      </c>
      <c r="AM681" s="11" t="inlineStr"/>
      <c r="AN681" s="12" t="inlineStr"/>
      <c r="AO681" s="12" t="inlineStr"/>
      <c r="AP681" s="13" t="inlineStr"/>
      <c r="AQ681" s="13" t="inlineStr"/>
      <c r="AR681" s="13" t="inlineStr"/>
      <c r="AS681" s="13" t="inlineStr"/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7" t="n">
        <v>28002</v>
      </c>
      <c r="AK682" s="8" t="n">
        <v>-22520</v>
      </c>
      <c r="AL682" s="8" t="n">
        <v>-80395</v>
      </c>
      <c r="AM682" s="11" t="inlineStr"/>
      <c r="AN682" s="12" t="inlineStr"/>
      <c r="AO682" s="12" t="inlineStr"/>
      <c r="AP682" s="13" t="inlineStr"/>
      <c r="AQ682" s="13" t="inlineStr"/>
      <c r="AR682" s="13" t="inlineStr"/>
      <c r="AS682" s="13" t="inlineStr"/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7" t="n">
        <v>1913665</v>
      </c>
      <c r="AK683" s="8" t="n">
        <v>193695</v>
      </c>
      <c r="AL683" s="8" t="n">
        <v>137448</v>
      </c>
      <c r="AM683" s="11" t="inlineStr"/>
      <c r="AN683" s="12" t="inlineStr"/>
      <c r="AO683" s="12" t="inlineStr"/>
      <c r="AP683" s="13" t="inlineStr"/>
      <c r="AQ683" s="13" t="inlineStr"/>
      <c r="AR683" s="13" t="inlineStr"/>
      <c r="AS683" s="13" t="inlineStr"/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7" t="n">
        <v>250416</v>
      </c>
      <c r="AK684" s="8" t="n">
        <v>22174</v>
      </c>
      <c r="AL684" s="8" t="n">
        <v>25460</v>
      </c>
      <c r="AM684" s="11" t="inlineStr"/>
      <c r="AN684" s="12" t="inlineStr"/>
      <c r="AO684" s="12" t="inlineStr"/>
      <c r="AP684" s="13" t="inlineStr"/>
      <c r="AQ684" s="13" t="inlineStr"/>
      <c r="AR684" s="13" t="inlineStr"/>
      <c r="AS684" s="13" t="inlineStr"/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7" t="n">
        <v>952</v>
      </c>
      <c r="AK685" s="8" t="n">
        <v>-891</v>
      </c>
      <c r="AL685" s="8" t="n">
        <v>13443</v>
      </c>
      <c r="AM685" s="11" t="inlineStr"/>
      <c r="AN685" s="12" t="inlineStr"/>
      <c r="AO685" s="12" t="inlineStr"/>
      <c r="AP685" s="13" t="inlineStr"/>
      <c r="AQ685" s="13" t="inlineStr"/>
      <c r="AR685" s="13" t="inlineStr"/>
      <c r="AS685" s="13" t="inlineStr"/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7" t="n">
        <v>71265</v>
      </c>
      <c r="AK686" s="8" t="n">
        <v>-8791</v>
      </c>
      <c r="AL686" s="8" t="n">
        <v>-2158</v>
      </c>
      <c r="AM686" s="11" t="inlineStr"/>
      <c r="AN686" s="12" t="inlineStr"/>
      <c r="AO686" s="12" t="inlineStr"/>
      <c r="AP686" s="13" t="inlineStr"/>
      <c r="AQ686" s="13" t="inlineStr"/>
      <c r="AR686" s="13" t="inlineStr"/>
      <c r="AS686" s="13" t="inlineStr"/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8" t="n">
        <v>208636</v>
      </c>
      <c r="AL687" s="8" t="n">
        <v>154202</v>
      </c>
      <c r="AM687" s="11" t="inlineStr"/>
      <c r="AN687" s="12" t="inlineStr"/>
      <c r="AO687" s="12" t="inlineStr"/>
      <c r="AP687" s="13" t="inlineStr"/>
      <c r="AQ687" s="13" t="inlineStr"/>
      <c r="AR687" s="13" t="inlineStr"/>
      <c r="AS687" s="13" t="inlineStr"/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7" t="n">
        <v>1074518</v>
      </c>
      <c r="AK688" s="8" t="n">
        <v>92694</v>
      </c>
      <c r="AL688" s="8" t="n">
        <v>63537</v>
      </c>
      <c r="AM688" s="11" t="inlineStr"/>
      <c r="AN688" s="12" t="inlineStr"/>
      <c r="AO688" s="12" t="inlineStr"/>
      <c r="AP688" s="13" t="inlineStr"/>
      <c r="AQ688" s="13" t="inlineStr"/>
      <c r="AR688" s="13" t="inlineStr"/>
      <c r="AS688" s="13" t="inlineStr"/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7" t="n">
        <v>163185</v>
      </c>
      <c r="AK689" s="8" t="n">
        <v>32870</v>
      </c>
      <c r="AL689" s="8" t="n">
        <v>25834</v>
      </c>
      <c r="AM689" s="11" t="inlineStr"/>
      <c r="AN689" s="12" t="inlineStr"/>
      <c r="AO689" s="12" t="inlineStr"/>
      <c r="AP689" s="13" t="inlineStr"/>
      <c r="AQ689" s="13" t="inlineStr"/>
      <c r="AR689" s="13" t="inlineStr"/>
      <c r="AS689" s="13" t="inlineStr"/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7" t="n">
        <v>6679866</v>
      </c>
      <c r="AK690" s="8" t="n">
        <v>648315</v>
      </c>
      <c r="AL690" s="8" t="n">
        <v>480536</v>
      </c>
      <c r="AM690" s="11" t="inlineStr"/>
      <c r="AN690" s="12" t="inlineStr"/>
      <c r="AO690" s="12" t="inlineStr"/>
      <c r="AP690" s="13" t="inlineStr"/>
      <c r="AQ690" s="13" t="inlineStr"/>
      <c r="AR690" s="13" t="inlineStr"/>
      <c r="AS690" s="13" t="inlineStr"/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7" t="n">
        <v>1060503</v>
      </c>
      <c r="AK691" s="8" t="n">
        <v>17114</v>
      </c>
      <c r="AL691" s="8" t="n">
        <v>17113</v>
      </c>
      <c r="AM691" s="11" t="inlineStr"/>
      <c r="AN691" s="12" t="inlineStr"/>
      <c r="AO691" s="12" t="inlineStr"/>
      <c r="AP691" s="13" t="inlineStr"/>
      <c r="AQ691" s="13" t="inlineStr"/>
      <c r="AR691" s="13" t="inlineStr"/>
      <c r="AS691" s="13" t="inlineStr"/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7" t="n">
        <v>2719</v>
      </c>
      <c r="AK692" s="8" t="n">
        <v>-279</v>
      </c>
      <c r="AL692" s="8" t="n">
        <v>-324</v>
      </c>
      <c r="AM692" s="11" t="inlineStr"/>
      <c r="AN692" s="12" t="inlineStr"/>
      <c r="AO692" s="12" t="inlineStr"/>
      <c r="AP692" s="13" t="inlineStr"/>
      <c r="AQ692" s="13" t="inlineStr"/>
      <c r="AR692" s="13" t="inlineStr"/>
      <c r="AS692" s="13" t="inlineStr"/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7" t="n">
        <v>119952</v>
      </c>
      <c r="AK693" s="8" t="n">
        <v>14337</v>
      </c>
      <c r="AL693" s="8" t="n">
        <v>24144</v>
      </c>
      <c r="AM693" s="11" t="inlineStr"/>
      <c r="AN693" s="12" t="inlineStr"/>
      <c r="AO693" s="12" t="inlineStr"/>
      <c r="AP693" s="13" t="inlineStr"/>
      <c r="AQ693" s="13" t="inlineStr"/>
      <c r="AR693" s="13" t="inlineStr"/>
      <c r="AS693" s="13" t="inlineStr"/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7" t="n">
        <v>176453</v>
      </c>
      <c r="AK694" s="8" t="n">
        <v>12779</v>
      </c>
      <c r="AL694" s="8" t="n">
        <v>33874</v>
      </c>
      <c r="AM694" s="11" t="inlineStr"/>
      <c r="AN694" s="12" t="inlineStr"/>
      <c r="AO694" s="12" t="inlineStr"/>
      <c r="AP694" s="13" t="inlineStr"/>
      <c r="AQ694" s="13" t="inlineStr"/>
      <c r="AR694" s="13" t="inlineStr"/>
      <c r="AS694" s="13" t="inlineStr"/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7" t="n">
        <v>2714652</v>
      </c>
      <c r="AK695" s="8" t="n">
        <v>115972</v>
      </c>
      <c r="AL695" s="8" t="n">
        <v>90111</v>
      </c>
      <c r="AM695" s="11" t="inlineStr"/>
      <c r="AN695" s="12" t="inlineStr"/>
      <c r="AO695" s="12" t="inlineStr"/>
      <c r="AP695" s="13" t="inlineStr"/>
      <c r="AQ695" s="13" t="inlineStr"/>
      <c r="AR695" s="13" t="inlineStr"/>
      <c r="AS695" s="13" t="inlineStr"/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7" t="n">
        <v>50044</v>
      </c>
      <c r="AK696" s="8" t="n">
        <v>4500</v>
      </c>
      <c r="AL696" s="8" t="n">
        <v>4262</v>
      </c>
      <c r="AM696" s="11" t="inlineStr"/>
      <c r="AN696" s="12" t="inlineStr"/>
      <c r="AO696" s="12" t="inlineStr"/>
      <c r="AP696" s="13" t="inlineStr"/>
      <c r="AQ696" s="13" t="inlineStr"/>
      <c r="AR696" s="13" t="inlineStr"/>
      <c r="AS696" s="13" t="inlineStr"/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2026Q3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7" t="inlineStr"/>
      <c r="AK697" s="8" t="inlineStr"/>
      <c r="AL697" s="8" t="inlineStr"/>
      <c r="AM697" s="11" t="n">
        <v>6875</v>
      </c>
      <c r="AN697" s="12" t="n">
        <v>701</v>
      </c>
      <c r="AO697" s="12" t="n">
        <v>1375</v>
      </c>
      <c r="AP697" s="13" t="inlineStr"/>
      <c r="AQ697" s="13" t="n">
        <v>-26.4</v>
      </c>
      <c r="AR697" s="13" t="inlineStr"/>
      <c r="AS697" s="13" t="n">
        <v>117.6</v>
      </c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8" t="n">
        <v>87021</v>
      </c>
      <c r="AL698" s="8" t="n">
        <v>65998</v>
      </c>
      <c r="AM698" s="11" t="inlineStr"/>
      <c r="AN698" s="12" t="inlineStr"/>
      <c r="AO698" s="12" t="inlineStr"/>
      <c r="AP698" s="13" t="inlineStr"/>
      <c r="AQ698" s="13" t="inlineStr"/>
      <c r="AR698" s="13" t="inlineStr"/>
      <c r="AS698" s="13" t="inlineStr"/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7" t="n">
        <v>53290</v>
      </c>
      <c r="AK699" s="8" t="n">
        <v>2220</v>
      </c>
      <c r="AL699" s="8" t="n">
        <v>-6209</v>
      </c>
      <c r="AM699" s="11" t="inlineStr"/>
      <c r="AN699" s="12" t="inlineStr"/>
      <c r="AO699" s="12" t="inlineStr"/>
      <c r="AP699" s="13" t="inlineStr"/>
      <c r="AQ699" s="13" t="inlineStr"/>
      <c r="AR699" s="13" t="inlineStr"/>
      <c r="AS699" s="13" t="inlineStr"/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7" t="n">
        <v>2580464</v>
      </c>
      <c r="AK700" s="8" t="n">
        <v>147642</v>
      </c>
      <c r="AL700" s="8" t="n">
        <v>105128</v>
      </c>
      <c r="AM700" s="11" t="inlineStr"/>
      <c r="AN700" s="12" t="inlineStr"/>
      <c r="AO700" s="12" t="inlineStr"/>
      <c r="AP700" s="13" t="inlineStr"/>
      <c r="AQ700" s="13" t="inlineStr"/>
      <c r="AR700" s="13" t="inlineStr"/>
      <c r="AS700" s="13" t="inlineStr"/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7" t="n">
        <v>291576</v>
      </c>
      <c r="AK701" s="8" t="n">
        <v>6965</v>
      </c>
      <c r="AL701" s="8" t="n">
        <v>6809</v>
      </c>
      <c r="AM701" s="11" t="inlineStr"/>
      <c r="AN701" s="12" t="inlineStr"/>
      <c r="AO701" s="12" t="inlineStr"/>
      <c r="AP701" s="13" t="inlineStr"/>
      <c r="AQ701" s="13" t="inlineStr"/>
      <c r="AR701" s="13" t="inlineStr"/>
      <c r="AS701" s="13" t="inlineStr"/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7" t="n">
        <v>320403</v>
      </c>
      <c r="AK702" s="8" t="n">
        <v>6332</v>
      </c>
      <c r="AL702" s="8" t="n">
        <v>3875</v>
      </c>
      <c r="AM702" s="11" t="inlineStr"/>
      <c r="AN702" s="12" t="inlineStr"/>
      <c r="AO702" s="12" t="inlineStr"/>
      <c r="AP702" s="13" t="inlineStr"/>
      <c r="AQ702" s="13" t="inlineStr"/>
      <c r="AR702" s="13" t="inlineStr"/>
      <c r="AS702" s="13" t="inlineStr"/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7" t="n">
        <v>30382</v>
      </c>
      <c r="AK703" s="8" t="n">
        <v>668</v>
      </c>
      <c r="AL703" s="8" t="n">
        <v>1433</v>
      </c>
      <c r="AM703" s="11" t="inlineStr"/>
      <c r="AN703" s="12" t="inlineStr"/>
      <c r="AO703" s="12" t="inlineStr"/>
      <c r="AP703" s="13" t="inlineStr"/>
      <c r="AQ703" s="13" t="inlineStr"/>
      <c r="AR703" s="13" t="inlineStr"/>
      <c r="AS703" s="13" t="inlineStr"/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7" t="n">
        <v>260611</v>
      </c>
      <c r="AK704" s="8" t="n">
        <v>6818</v>
      </c>
      <c r="AL704" s="8" t="n">
        <v>11517</v>
      </c>
      <c r="AM704" s="11" t="inlineStr"/>
      <c r="AN704" s="12" t="inlineStr"/>
      <c r="AO704" s="12" t="inlineStr"/>
      <c r="AP704" s="13" t="inlineStr"/>
      <c r="AQ704" s="13" t="inlineStr"/>
      <c r="AR704" s="13" t="inlineStr"/>
      <c r="AS704" s="13" t="inlineStr"/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7" t="n">
        <v>3418</v>
      </c>
      <c r="AK705" s="8" t="n">
        <v>-1140</v>
      </c>
      <c r="AL705" s="8" t="n">
        <v>-1485</v>
      </c>
      <c r="AM705" s="11" t="inlineStr"/>
      <c r="AN705" s="12" t="inlineStr"/>
      <c r="AO705" s="12" t="inlineStr"/>
      <c r="AP705" s="13" t="inlineStr"/>
      <c r="AQ705" s="13" t="inlineStr"/>
      <c r="AR705" s="13" t="inlineStr"/>
      <c r="AS705" s="13" t="inlineStr"/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7" t="n">
        <v>47323</v>
      </c>
      <c r="AK706" s="8" t="n">
        <v>13796</v>
      </c>
      <c r="AL706" s="8" t="n">
        <v>24385</v>
      </c>
      <c r="AM706" s="11" t="inlineStr"/>
      <c r="AN706" s="12" t="inlineStr"/>
      <c r="AO706" s="12" t="inlineStr"/>
      <c r="AP706" s="13" t="inlineStr"/>
      <c r="AQ706" s="13" t="inlineStr"/>
      <c r="AR706" s="13" t="inlineStr"/>
      <c r="AS706" s="13" t="inlineStr"/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7" t="n">
        <v>5818</v>
      </c>
      <c r="AK707" s="8" t="n">
        <v>-1447</v>
      </c>
      <c r="AL707" s="8" t="n">
        <v>773</v>
      </c>
      <c r="AM707" s="11" t="inlineStr"/>
      <c r="AN707" s="12" t="inlineStr"/>
      <c r="AO707" s="12" t="inlineStr"/>
      <c r="AP707" s="13" t="inlineStr"/>
      <c r="AQ707" s="13" t="inlineStr"/>
      <c r="AR707" s="13" t="inlineStr"/>
      <c r="AS707" s="13" t="inlineStr"/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7" t="n">
        <v>16370868</v>
      </c>
      <c r="AK708" s="8" t="n">
        <v>831561</v>
      </c>
      <c r="AL708" s="8" t="n">
        <v>684798</v>
      </c>
      <c r="AM708" s="11" t="inlineStr"/>
      <c r="AN708" s="12" t="inlineStr"/>
      <c r="AO708" s="12" t="inlineStr"/>
      <c r="AP708" s="13" t="inlineStr"/>
      <c r="AQ708" s="13" t="inlineStr"/>
      <c r="AR708" s="13" t="inlineStr"/>
      <c r="AS708" s="13" t="inlineStr"/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7" t="n">
        <v>25888</v>
      </c>
      <c r="AK709" s="8" t="n">
        <v>514</v>
      </c>
      <c r="AL709" s="8" t="n">
        <v>371</v>
      </c>
      <c r="AM709" s="11" t="inlineStr"/>
      <c r="AN709" s="12" t="inlineStr"/>
      <c r="AO709" s="12" t="inlineStr"/>
      <c r="AP709" s="13" t="inlineStr"/>
      <c r="AQ709" s="13" t="inlineStr"/>
      <c r="AR709" s="13" t="inlineStr"/>
      <c r="AS709" s="13" t="inlineStr"/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7" t="n">
        <v>25906</v>
      </c>
      <c r="AK710" s="8" t="n">
        <v>2165</v>
      </c>
      <c r="AL710" s="8" t="n">
        <v>1323</v>
      </c>
      <c r="AM710" s="11" t="inlineStr"/>
      <c r="AN710" s="12" t="inlineStr"/>
      <c r="AO710" s="12" t="inlineStr"/>
      <c r="AP710" s="13" t="inlineStr"/>
      <c r="AQ710" s="13" t="inlineStr"/>
      <c r="AR710" s="13" t="inlineStr"/>
      <c r="AS710" s="13" t="inlineStr"/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7" t="n">
        <v>203273</v>
      </c>
      <c r="AK711" s="8" t="n">
        <v>51929</v>
      </c>
      <c r="AL711" s="8" t="n">
        <v>14631</v>
      </c>
      <c r="AM711" s="11" t="inlineStr"/>
      <c r="AN711" s="12" t="inlineStr"/>
      <c r="AO711" s="12" t="inlineStr"/>
      <c r="AP711" s="13" t="inlineStr"/>
      <c r="AQ711" s="13" t="inlineStr"/>
      <c r="AR711" s="13" t="inlineStr"/>
      <c r="AS711" s="13" t="inlineStr"/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7" t="n">
        <v>24322</v>
      </c>
      <c r="AK712" s="8" t="n">
        <v>-6264</v>
      </c>
      <c r="AL712" s="8" t="n">
        <v>-14945</v>
      </c>
      <c r="AM712" s="11" t="inlineStr"/>
      <c r="AN712" s="12" t="inlineStr"/>
      <c r="AO712" s="12" t="inlineStr"/>
      <c r="AP712" s="13" t="inlineStr"/>
      <c r="AQ712" s="13" t="inlineStr"/>
      <c r="AR712" s="13" t="inlineStr"/>
      <c r="AS712" s="13" t="inlineStr"/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7" t="n">
        <v>19623</v>
      </c>
      <c r="AK713" s="8" t="n">
        <v>768</v>
      </c>
      <c r="AL713" s="8" t="n">
        <v>379</v>
      </c>
      <c r="AM713" s="11" t="inlineStr"/>
      <c r="AN713" s="12" t="inlineStr"/>
      <c r="AO713" s="12" t="inlineStr"/>
      <c r="AP713" s="13" t="inlineStr"/>
      <c r="AQ713" s="13" t="inlineStr"/>
      <c r="AR713" s="13" t="inlineStr"/>
      <c r="AS713" s="13" t="inlineStr"/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7" t="n">
        <v>103997</v>
      </c>
      <c r="AK714" s="8" t="n">
        <v>12363</v>
      </c>
      <c r="AL714" s="8" t="n">
        <v>12101</v>
      </c>
      <c r="AM714" s="11" t="inlineStr"/>
      <c r="AN714" s="12" t="inlineStr"/>
      <c r="AO714" s="12" t="inlineStr"/>
      <c r="AP714" s="13" t="inlineStr"/>
      <c r="AQ714" s="13" t="inlineStr"/>
      <c r="AR714" s="13" t="inlineStr"/>
      <c r="AS714" s="13" t="inlineStr"/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7" t="n">
        <v>33434</v>
      </c>
      <c r="AK715" s="8" t="n">
        <v>9612</v>
      </c>
      <c r="AL715" s="8" t="n">
        <v>9529</v>
      </c>
      <c r="AM715" s="11" t="inlineStr"/>
      <c r="AN715" s="12" t="inlineStr"/>
      <c r="AO715" s="12" t="inlineStr"/>
      <c r="AP715" s="13" t="inlineStr"/>
      <c r="AQ715" s="13" t="inlineStr"/>
      <c r="AR715" s="13" t="inlineStr"/>
      <c r="AS715" s="13" t="inlineStr"/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7" t="n">
        <v>51525</v>
      </c>
      <c r="AK716" s="8" t="n">
        <v>3960</v>
      </c>
      <c r="AL716" s="8" t="n">
        <v>155</v>
      </c>
      <c r="AM716" s="11" t="inlineStr"/>
      <c r="AN716" s="12" t="inlineStr"/>
      <c r="AO716" s="12" t="inlineStr"/>
      <c r="AP716" s="13" t="inlineStr"/>
      <c r="AQ716" s="13" t="inlineStr"/>
      <c r="AR716" s="13" t="inlineStr"/>
      <c r="AS716" s="13" t="inlineStr"/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7" t="n">
        <v>3694913</v>
      </c>
      <c r="AK717" s="8" t="n">
        <v>344472</v>
      </c>
      <c r="AL717" s="8" t="n">
        <v>217683</v>
      </c>
      <c r="AM717" s="11" t="inlineStr"/>
      <c r="AN717" s="12" t="inlineStr"/>
      <c r="AO717" s="12" t="inlineStr"/>
      <c r="AP717" s="13" t="inlineStr"/>
      <c r="AQ717" s="13" t="inlineStr"/>
      <c r="AR717" s="13" t="inlineStr"/>
      <c r="AS717" s="13" t="inlineStr"/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7" t="n">
        <v>13180</v>
      </c>
      <c r="AK718" s="8" t="n">
        <v>467</v>
      </c>
      <c r="AL718" s="8" t="n">
        <v>134</v>
      </c>
      <c r="AM718" s="11" t="inlineStr"/>
      <c r="AN718" s="12" t="inlineStr"/>
      <c r="AO718" s="12" t="inlineStr"/>
      <c r="AP718" s="13" t="inlineStr"/>
      <c r="AQ718" s="13" t="inlineStr"/>
      <c r="AR718" s="13" t="inlineStr"/>
      <c r="AS718" s="13" t="inlineStr"/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7" t="n">
        <v>29075</v>
      </c>
      <c r="AK719" s="8" t="n">
        <v>787</v>
      </c>
      <c r="AL719" s="8" t="n">
        <v>1045</v>
      </c>
      <c r="AM719" s="11" t="inlineStr"/>
      <c r="AN719" s="12" t="inlineStr"/>
      <c r="AO719" s="12" t="inlineStr"/>
      <c r="AP719" s="13" t="inlineStr"/>
      <c r="AQ719" s="13" t="inlineStr"/>
      <c r="AR719" s="13" t="inlineStr"/>
      <c r="AS719" s="13" t="inlineStr"/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7" t="n">
        <v>4945</v>
      </c>
      <c r="AK720" s="8" t="n">
        <v>-2949</v>
      </c>
      <c r="AL720" s="8" t="n">
        <v>-2541</v>
      </c>
      <c r="AM720" s="11" t="inlineStr"/>
      <c r="AN720" s="12" t="inlineStr"/>
      <c r="AO720" s="12" t="inlineStr"/>
      <c r="AP720" s="13" t="inlineStr"/>
      <c r="AQ720" s="13" t="inlineStr"/>
      <c r="AR720" s="13" t="inlineStr"/>
      <c r="AS720" s="13" t="inlineStr"/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2026Q3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7" t="inlineStr"/>
      <c r="AK721" s="8" t="inlineStr"/>
      <c r="AL721" s="8" t="inlineStr"/>
      <c r="AM721" s="11" t="n">
        <v>5982</v>
      </c>
      <c r="AN721" s="12" t="n">
        <v>-2216</v>
      </c>
      <c r="AO721" s="12" t="n">
        <v>-2489</v>
      </c>
      <c r="AP721" s="13" t="inlineStr"/>
      <c r="AQ721" s="13" t="n">
        <v>-30.5</v>
      </c>
      <c r="AR721" s="13" t="inlineStr"/>
      <c r="AS721" s="13" t="n">
        <v>-202.3</v>
      </c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7" t="n">
        <v>19794</v>
      </c>
      <c r="AK722" s="8" t="n">
        <v>-1134</v>
      </c>
      <c r="AL722" s="8" t="n">
        <v>20080</v>
      </c>
      <c r="AM722" s="11" t="inlineStr"/>
      <c r="AN722" s="12" t="inlineStr"/>
      <c r="AO722" s="12" t="inlineStr"/>
      <c r="AP722" s="13" t="inlineStr"/>
      <c r="AQ722" s="13" t="inlineStr"/>
      <c r="AR722" s="13" t="inlineStr"/>
      <c r="AS722" s="13" t="inlineStr"/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8" t="n">
        <v>622617</v>
      </c>
      <c r="AL723" s="8" t="n">
        <v>727366</v>
      </c>
      <c r="AM723" s="11" t="inlineStr"/>
      <c r="AN723" s="12" t="inlineStr"/>
      <c r="AO723" s="12" t="inlineStr"/>
      <c r="AP723" s="13" t="inlineStr"/>
      <c r="AQ723" s="13" t="inlineStr"/>
      <c r="AR723" s="13" t="inlineStr"/>
      <c r="AS723" s="13" t="inlineStr"/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7" t="n">
        <v>9786</v>
      </c>
      <c r="AK724" s="8" t="n">
        <v>1818</v>
      </c>
      <c r="AL724" s="8" t="n">
        <v>2388</v>
      </c>
      <c r="AM724" s="11" t="inlineStr"/>
      <c r="AN724" s="12" t="inlineStr"/>
      <c r="AO724" s="12" t="inlineStr"/>
      <c r="AP724" s="13" t="inlineStr"/>
      <c r="AQ724" s="13" t="inlineStr"/>
      <c r="AR724" s="13" t="inlineStr"/>
      <c r="AS724" s="13" t="inlineStr"/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7" t="n">
        <v>12788</v>
      </c>
      <c r="AK725" s="8" t="n">
        <v>-805</v>
      </c>
      <c r="AL725" s="8" t="n">
        <v>-791</v>
      </c>
      <c r="AM725" s="11" t="inlineStr"/>
      <c r="AN725" s="12" t="inlineStr"/>
      <c r="AO725" s="12" t="inlineStr"/>
      <c r="AP725" s="13" t="inlineStr"/>
      <c r="AQ725" s="13" t="inlineStr"/>
      <c r="AR725" s="13" t="inlineStr"/>
      <c r="AS725" s="13" t="inlineStr"/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7" t="n">
        <v>54031</v>
      </c>
      <c r="AK726" s="8" t="n">
        <v>3922</v>
      </c>
      <c r="AL726" s="8" t="n">
        <v>11243</v>
      </c>
      <c r="AM726" s="11" t="inlineStr"/>
      <c r="AN726" s="12" t="inlineStr"/>
      <c r="AO726" s="12" t="inlineStr"/>
      <c r="AP726" s="13" t="inlineStr"/>
      <c r="AQ726" s="13" t="inlineStr"/>
      <c r="AR726" s="13" t="inlineStr"/>
      <c r="AS726" s="13" t="inlineStr"/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7" t="n">
        <v>6376</v>
      </c>
      <c r="AK727" s="8" t="n">
        <v>-95</v>
      </c>
      <c r="AL727" s="8" t="n">
        <v>2878</v>
      </c>
      <c r="AM727" s="11" t="inlineStr"/>
      <c r="AN727" s="12" t="inlineStr"/>
      <c r="AO727" s="12" t="inlineStr"/>
      <c r="AP727" s="13" t="inlineStr"/>
      <c r="AQ727" s="13" t="inlineStr"/>
      <c r="AR727" s="13" t="inlineStr"/>
      <c r="AS727" s="13" t="inlineStr"/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7" t="n">
        <v>2</v>
      </c>
      <c r="AK728" s="8" t="n">
        <v>-112</v>
      </c>
      <c r="AL728" s="8" t="n">
        <v>-307</v>
      </c>
      <c r="AM728" s="11" t="inlineStr"/>
      <c r="AN728" s="12" t="inlineStr"/>
      <c r="AO728" s="12" t="inlineStr"/>
      <c r="AP728" s="13" t="inlineStr"/>
      <c r="AQ728" s="13" t="inlineStr"/>
      <c r="AR728" s="13" t="inlineStr"/>
      <c r="AS728" s="13" t="inlineStr"/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7" t="n">
        <v>30578</v>
      </c>
      <c r="AK729" s="8" t="n">
        <v>1782</v>
      </c>
      <c r="AL729" s="8" t="n">
        <v>1978</v>
      </c>
      <c r="AM729" s="11" t="inlineStr"/>
      <c r="AN729" s="12" t="inlineStr"/>
      <c r="AO729" s="12" t="inlineStr"/>
      <c r="AP729" s="13" t="inlineStr"/>
      <c r="AQ729" s="13" t="inlineStr"/>
      <c r="AR729" s="13" t="inlineStr"/>
      <c r="AS729" s="13" t="inlineStr"/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7" t="n">
        <v>35649</v>
      </c>
      <c r="AK730" s="8" t="n">
        <v>5234</v>
      </c>
      <c r="AL730" s="8" t="n">
        <v>18028</v>
      </c>
      <c r="AM730" s="11" t="inlineStr"/>
      <c r="AN730" s="12" t="inlineStr"/>
      <c r="AO730" s="12" t="inlineStr"/>
      <c r="AP730" s="13" t="inlineStr"/>
      <c r="AQ730" s="13" t="inlineStr"/>
      <c r="AR730" s="13" t="inlineStr"/>
      <c r="AS730" s="13" t="inlineStr"/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7" t="n">
        <v>11216</v>
      </c>
      <c r="AK731" s="8" t="n">
        <v>3750</v>
      </c>
      <c r="AL731" s="8" t="n">
        <v>3222</v>
      </c>
      <c r="AM731" s="11" t="inlineStr"/>
      <c r="AN731" s="12" t="inlineStr"/>
      <c r="AO731" s="12" t="inlineStr"/>
      <c r="AP731" s="13" t="inlineStr"/>
      <c r="AQ731" s="13" t="inlineStr"/>
      <c r="AR731" s="13" t="inlineStr"/>
      <c r="AS731" s="13" t="inlineStr"/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7" t="n">
        <v>488955</v>
      </c>
      <c r="AK732" s="8" t="n">
        <v>25238</v>
      </c>
      <c r="AL732" s="8" t="n">
        <v>33225</v>
      </c>
      <c r="AM732" s="11" t="inlineStr"/>
      <c r="AN732" s="12" t="inlineStr"/>
      <c r="AO732" s="12" t="inlineStr"/>
      <c r="AP732" s="13" t="inlineStr"/>
      <c r="AQ732" s="13" t="inlineStr"/>
      <c r="AR732" s="13" t="inlineStr"/>
      <c r="AS732" s="13" t="inlineStr"/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7" t="n">
        <v>33513</v>
      </c>
      <c r="AK733" s="8" t="n">
        <v>-461</v>
      </c>
      <c r="AL733" s="8" t="n">
        <v>-526</v>
      </c>
      <c r="AM733" s="11" t="inlineStr"/>
      <c r="AN733" s="12" t="inlineStr"/>
      <c r="AO733" s="12" t="inlineStr"/>
      <c r="AP733" s="13" t="inlineStr"/>
      <c r="AQ733" s="13" t="inlineStr"/>
      <c r="AR733" s="13" t="inlineStr"/>
      <c r="AS733" s="13" t="inlineStr"/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7" t="inlineStr"/>
      <c r="AK734" s="8" t="inlineStr"/>
      <c r="AL734" s="8" t="inlineStr"/>
      <c r="AM734" s="11" t="inlineStr"/>
      <c r="AN734" s="12" t="inlineStr"/>
      <c r="AO734" s="12" t="inlineStr"/>
      <c r="AP734" s="13" t="inlineStr"/>
      <c r="AQ734" s="13" t="inlineStr"/>
      <c r="AR734" s="13" t="inlineStr"/>
      <c r="AS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7" t="n">
        <v>99991</v>
      </c>
      <c r="AK735" s="8" t="n">
        <v>869</v>
      </c>
      <c r="AL735" s="8" t="n">
        <v>3024</v>
      </c>
      <c r="AM735" s="11" t="inlineStr"/>
      <c r="AN735" s="12" t="inlineStr"/>
      <c r="AO735" s="12" t="inlineStr"/>
      <c r="AP735" s="13" t="inlineStr"/>
      <c r="AQ735" s="13" t="inlineStr"/>
      <c r="AR735" s="13" t="inlineStr"/>
      <c r="AS735" s="13" t="inlineStr"/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7" t="n">
        <v>235194</v>
      </c>
      <c r="AK736" s="8" t="n">
        <v>22450</v>
      </c>
      <c r="AL736" s="8" t="n">
        <v>17462</v>
      </c>
      <c r="AM736" s="11" t="inlineStr"/>
      <c r="AN736" s="12" t="inlineStr"/>
      <c r="AO736" s="12" t="inlineStr"/>
      <c r="AP736" s="13" t="inlineStr"/>
      <c r="AQ736" s="13" t="inlineStr"/>
      <c r="AR736" s="13" t="inlineStr"/>
      <c r="AS736" s="13" t="inlineStr"/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7" t="n">
        <v>26657</v>
      </c>
      <c r="AK737" s="8" t="n">
        <v>1484</v>
      </c>
      <c r="AL737" s="8" t="n">
        <v>1897</v>
      </c>
      <c r="AM737" s="11" t="inlineStr"/>
      <c r="AN737" s="12" t="inlineStr"/>
      <c r="AO737" s="12" t="inlineStr"/>
      <c r="AP737" s="13" t="inlineStr"/>
      <c r="AQ737" s="13" t="inlineStr"/>
      <c r="AR737" s="13" t="inlineStr"/>
      <c r="AS737" s="13" t="inlineStr"/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7" t="n">
        <v>77221</v>
      </c>
      <c r="AK738" s="8" t="n">
        <v>13298</v>
      </c>
      <c r="AL738" s="8" t="n">
        <v>37706</v>
      </c>
      <c r="AM738" s="11" t="inlineStr"/>
      <c r="AN738" s="12" t="inlineStr"/>
      <c r="AO738" s="12" t="inlineStr"/>
      <c r="AP738" s="13" t="inlineStr"/>
      <c r="AQ738" s="13" t="inlineStr"/>
      <c r="AR738" s="13" t="inlineStr"/>
      <c r="AS738" s="13" t="inlineStr"/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7" t="n">
        <v>190148</v>
      </c>
      <c r="AK739" s="8" t="n">
        <v>2881</v>
      </c>
      <c r="AL739" s="8" t="n">
        <v>-1812</v>
      </c>
      <c r="AM739" s="11" t="inlineStr"/>
      <c r="AN739" s="12" t="inlineStr"/>
      <c r="AO739" s="12" t="inlineStr"/>
      <c r="AP739" s="13" t="inlineStr"/>
      <c r="AQ739" s="13" t="inlineStr"/>
      <c r="AR739" s="13" t="inlineStr"/>
      <c r="AS739" s="13" t="inlineStr"/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7" t="n">
        <v>22849</v>
      </c>
      <c r="AK740" s="8" t="n">
        <v>659</v>
      </c>
      <c r="AL740" s="8" t="n">
        <v>4279</v>
      </c>
      <c r="AM740" s="11" t="inlineStr"/>
      <c r="AN740" s="12" t="inlineStr"/>
      <c r="AO740" s="12" t="inlineStr"/>
      <c r="AP740" s="13" t="inlineStr"/>
      <c r="AQ740" s="13" t="inlineStr"/>
      <c r="AR740" s="13" t="inlineStr"/>
      <c r="AS740" s="13" t="inlineStr"/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7" t="n">
        <v>75982</v>
      </c>
      <c r="AK741" s="8" t="n">
        <v>499</v>
      </c>
      <c r="AL741" s="8" t="n">
        <v>2250</v>
      </c>
      <c r="AM741" s="11" t="inlineStr"/>
      <c r="AN741" s="12" t="inlineStr"/>
      <c r="AO741" s="12" t="inlineStr"/>
      <c r="AP741" s="13" t="inlineStr"/>
      <c r="AQ741" s="13" t="inlineStr"/>
      <c r="AR741" s="13" t="inlineStr"/>
      <c r="AS741" s="13" t="inlineStr"/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7" t="n">
        <v>19390</v>
      </c>
      <c r="AK742" s="8" t="n">
        <v>-1796</v>
      </c>
      <c r="AL742" s="8" t="n">
        <v>-2003</v>
      </c>
      <c r="AM742" s="11" t="inlineStr"/>
      <c r="AN742" s="12" t="inlineStr"/>
      <c r="AO742" s="12" t="inlineStr"/>
      <c r="AP742" s="13" t="inlineStr"/>
      <c r="AQ742" s="13" t="inlineStr"/>
      <c r="AR742" s="13" t="inlineStr"/>
      <c r="AS742" s="13" t="inlineStr"/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7" t="n">
        <v>224534</v>
      </c>
      <c r="AK743" s="8" t="n">
        <v>35940</v>
      </c>
      <c r="AL743" s="8" t="n">
        <v>26572</v>
      </c>
      <c r="AM743" s="11" t="inlineStr"/>
      <c r="AN743" s="12" t="inlineStr"/>
      <c r="AO743" s="12" t="inlineStr"/>
      <c r="AP743" s="13" t="inlineStr"/>
      <c r="AQ743" s="13" t="inlineStr"/>
      <c r="AR743" s="13" t="inlineStr"/>
      <c r="AS743" s="13" t="inlineStr"/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7" t="n">
        <v>524581</v>
      </c>
      <c r="AK744" s="8" t="n">
        <v>34025</v>
      </c>
      <c r="AL744" s="8" t="n">
        <v>33486</v>
      </c>
      <c r="AM744" s="11" t="inlineStr"/>
      <c r="AN744" s="12" t="inlineStr"/>
      <c r="AO744" s="12" t="inlineStr"/>
      <c r="AP744" s="13" t="inlineStr"/>
      <c r="AQ744" s="13" t="inlineStr"/>
      <c r="AR744" s="13" t="inlineStr"/>
      <c r="AS744" s="13" t="inlineStr"/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7" t="n">
        <v>26030</v>
      </c>
      <c r="AK745" s="8" t="n">
        <v>-1127</v>
      </c>
      <c r="AL745" s="8" t="n">
        <v>-1484</v>
      </c>
      <c r="AM745" s="11" t="inlineStr"/>
      <c r="AN745" s="12" t="inlineStr"/>
      <c r="AO745" s="12" t="inlineStr"/>
      <c r="AP745" s="13" t="inlineStr"/>
      <c r="AQ745" s="13" t="inlineStr"/>
      <c r="AR745" s="13" t="inlineStr"/>
      <c r="AS745" s="13" t="inlineStr"/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7" t="n">
        <v>1942</v>
      </c>
      <c r="AK746" s="8" t="n">
        <v>159</v>
      </c>
      <c r="AL746" s="8" t="n">
        <v>573</v>
      </c>
      <c r="AM746" s="11" t="inlineStr"/>
      <c r="AN746" s="12" t="inlineStr"/>
      <c r="AO746" s="12" t="inlineStr"/>
      <c r="AP746" s="13" t="inlineStr"/>
      <c r="AQ746" s="13" t="inlineStr"/>
      <c r="AR746" s="13" t="inlineStr"/>
      <c r="AS746" s="13" t="inlineStr"/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7" t="n">
        <v>153705</v>
      </c>
      <c r="AK747" s="8" t="n">
        <v>14595</v>
      </c>
      <c r="AL747" s="8" t="n">
        <v>18273</v>
      </c>
      <c r="AM747" s="11" t="inlineStr"/>
      <c r="AN747" s="12" t="inlineStr"/>
      <c r="AO747" s="12" t="inlineStr"/>
      <c r="AP747" s="13" t="inlineStr"/>
      <c r="AQ747" s="13" t="inlineStr"/>
      <c r="AR747" s="13" t="inlineStr"/>
      <c r="AS747" s="13" t="inlineStr"/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7" t="n">
        <v>1701557</v>
      </c>
      <c r="AK748" s="8" t="n">
        <v>414452</v>
      </c>
      <c r="AL748" s="8" t="n">
        <v>362086</v>
      </c>
      <c r="AM748" s="11" t="inlineStr"/>
      <c r="AN748" s="12" t="inlineStr"/>
      <c r="AO748" s="12" t="inlineStr"/>
      <c r="AP748" s="13" t="inlineStr"/>
      <c r="AQ748" s="13" t="inlineStr"/>
      <c r="AR748" s="13" t="inlineStr"/>
      <c r="AS748" s="13" t="inlineStr"/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7" t="n">
        <v>104407</v>
      </c>
      <c r="AK749" s="8" t="n">
        <v>2324</v>
      </c>
      <c r="AL749" s="8" t="n">
        <v>-1740</v>
      </c>
      <c r="AM749" s="11" t="inlineStr"/>
      <c r="AN749" s="12" t="inlineStr"/>
      <c r="AO749" s="12" t="inlineStr"/>
      <c r="AP749" s="13" t="inlineStr"/>
      <c r="AQ749" s="13" t="inlineStr"/>
      <c r="AR749" s="13" t="inlineStr"/>
      <c r="AS749" s="13" t="inlineStr"/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7" t="n">
        <v>8930</v>
      </c>
      <c r="AK750" s="8" t="n">
        <v>-268</v>
      </c>
      <c r="AL750" s="8" t="n">
        <v>474</v>
      </c>
      <c r="AM750" s="11" t="inlineStr"/>
      <c r="AN750" s="12" t="inlineStr"/>
      <c r="AO750" s="12" t="inlineStr"/>
      <c r="AP750" s="13" t="inlineStr"/>
      <c r="AQ750" s="13" t="inlineStr"/>
      <c r="AR750" s="13" t="inlineStr"/>
      <c r="AS750" s="13" t="inlineStr"/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7" t="n">
        <v>37902</v>
      </c>
      <c r="AK751" s="8" t="n">
        <v>2411</v>
      </c>
      <c r="AL751" s="8" t="n">
        <v>25545</v>
      </c>
      <c r="AM751" s="11" t="inlineStr"/>
      <c r="AN751" s="12" t="inlineStr"/>
      <c r="AO751" s="12" t="inlineStr"/>
      <c r="AP751" s="13" t="inlineStr"/>
      <c r="AQ751" s="13" t="inlineStr"/>
      <c r="AR751" s="13" t="inlineStr"/>
      <c r="AS751" s="13" t="inlineStr"/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7" t="n">
        <v>4724808</v>
      </c>
      <c r="AK752" s="8" t="n">
        <v>314260</v>
      </c>
      <c r="AL752" s="8" t="n">
        <v>226368</v>
      </c>
      <c r="AM752" s="11" t="inlineStr"/>
      <c r="AN752" s="12" t="inlineStr"/>
      <c r="AO752" s="12" t="inlineStr"/>
      <c r="AP752" s="13" t="inlineStr"/>
      <c r="AQ752" s="13" t="inlineStr"/>
      <c r="AR752" s="13" t="inlineStr"/>
      <c r="AS752" s="13" t="inlineStr"/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7" t="n">
        <v>285351</v>
      </c>
      <c r="AK753" s="8" t="n">
        <v>7793</v>
      </c>
      <c r="AL753" s="8" t="n">
        <v>6610</v>
      </c>
      <c r="AM753" s="11" t="inlineStr"/>
      <c r="AN753" s="12" t="inlineStr"/>
      <c r="AO753" s="12" t="inlineStr"/>
      <c r="AP753" s="13" t="inlineStr"/>
      <c r="AQ753" s="13" t="inlineStr"/>
      <c r="AR753" s="13" t="inlineStr"/>
      <c r="AS753" s="13" t="inlineStr"/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2026Q3</t>
        </is>
      </c>
      <c r="E754" s="6" t="inlineStr">
        <is>
          <t>2023Q4, 2026Q3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7" t="n">
        <v>5612063</v>
      </c>
      <c r="AK754" s="8" t="n">
        <v>-107728</v>
      </c>
      <c r="AL754" s="8" t="n">
        <v>-418831</v>
      </c>
      <c r="AM754" s="14" t="n">
        <v>6277035</v>
      </c>
      <c r="AN754" s="15" t="n">
        <v>250568</v>
      </c>
      <c r="AO754" s="15" t="n">
        <v>755635</v>
      </c>
      <c r="AP754" s="13" t="n">
        <v>11.8</v>
      </c>
      <c r="AQ754" s="13" t="n">
        <v>-9.800000000000001</v>
      </c>
      <c r="AR754" s="13" t="n">
        <v>332.6</v>
      </c>
      <c r="AS754" s="13" t="n">
        <v>-41.9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7" t="n">
        <v>318089</v>
      </c>
      <c r="AK755" s="8" t="n">
        <v>35550</v>
      </c>
      <c r="AL755" s="8" t="n">
        <v>21023</v>
      </c>
      <c r="AM755" s="11" t="inlineStr"/>
      <c r="AN755" s="12" t="inlineStr"/>
      <c r="AO755" s="12" t="inlineStr"/>
      <c r="AP755" s="13" t="inlineStr"/>
      <c r="AQ755" s="13" t="inlineStr"/>
      <c r="AR755" s="13" t="inlineStr"/>
      <c r="AS755" s="13" t="inlineStr"/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7" t="n">
        <v>802369</v>
      </c>
      <c r="AK756" s="8" t="n">
        <v>74856</v>
      </c>
      <c r="AL756" s="8" t="n">
        <v>-14552</v>
      </c>
      <c r="AM756" s="11" t="inlineStr"/>
      <c r="AN756" s="12" t="inlineStr"/>
      <c r="AO756" s="12" t="inlineStr"/>
      <c r="AP756" s="13" t="inlineStr"/>
      <c r="AQ756" s="13" t="inlineStr"/>
      <c r="AR756" s="13" t="inlineStr"/>
      <c r="AS756" s="13" t="inlineStr"/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7" t="n">
        <v>196532</v>
      </c>
      <c r="AK757" s="8" t="n">
        <v>3300</v>
      </c>
      <c r="AL757" s="8" t="n">
        <v>4171</v>
      </c>
      <c r="AM757" s="11" t="inlineStr"/>
      <c r="AN757" s="12" t="inlineStr"/>
      <c r="AO757" s="12" t="inlineStr"/>
      <c r="AP757" s="13" t="inlineStr"/>
      <c r="AQ757" s="13" t="inlineStr"/>
      <c r="AR757" s="13" t="inlineStr"/>
      <c r="AS757" s="13" t="inlineStr"/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7" t="n">
        <v>42124676</v>
      </c>
      <c r="AK758" s="8" t="n">
        <v>4841247</v>
      </c>
      <c r="AL758" s="8" t="n">
        <v>19108555</v>
      </c>
      <c r="AM758" s="11" t="inlineStr"/>
      <c r="AN758" s="12" t="inlineStr"/>
      <c r="AO758" s="12" t="inlineStr"/>
      <c r="AP758" s="13" t="inlineStr"/>
      <c r="AQ758" s="13" t="inlineStr"/>
      <c r="AR758" s="13" t="inlineStr"/>
      <c r="AS758" s="13" t="inlineStr"/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7" t="n">
        <v>659043</v>
      </c>
      <c r="AK759" s="8" t="n">
        <v>27316</v>
      </c>
      <c r="AL759" s="8" t="n">
        <v>14588</v>
      </c>
      <c r="AM759" s="11" t="inlineStr"/>
      <c r="AN759" s="12" t="inlineStr"/>
      <c r="AO759" s="12" t="inlineStr"/>
      <c r="AP759" s="13" t="inlineStr"/>
      <c r="AQ759" s="13" t="inlineStr"/>
      <c r="AR759" s="13" t="inlineStr"/>
      <c r="AS759" s="13" t="inlineStr"/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7" t="n">
        <v>55220</v>
      </c>
      <c r="AK760" s="8" t="n">
        <v>4404</v>
      </c>
      <c r="AL760" s="8" t="n">
        <v>19151</v>
      </c>
      <c r="AM760" s="11" t="inlineStr"/>
      <c r="AN760" s="12" t="inlineStr"/>
      <c r="AO760" s="12" t="inlineStr"/>
      <c r="AP760" s="13" t="inlineStr"/>
      <c r="AQ760" s="13" t="inlineStr"/>
      <c r="AR760" s="13" t="inlineStr"/>
      <c r="AS760" s="13" t="inlineStr"/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7" t="n">
        <v>15182</v>
      </c>
      <c r="AK761" s="8" t="n">
        <v>-23</v>
      </c>
      <c r="AL761" s="8" t="n">
        <v>377</v>
      </c>
      <c r="AM761" s="11" t="inlineStr"/>
      <c r="AN761" s="12" t="inlineStr"/>
      <c r="AO761" s="12" t="inlineStr"/>
      <c r="AP761" s="13" t="inlineStr"/>
      <c r="AQ761" s="13" t="inlineStr"/>
      <c r="AR761" s="13" t="inlineStr"/>
      <c r="AS761" s="13" t="inlineStr"/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7" t="n">
        <v>42983</v>
      </c>
      <c r="AK762" s="8" t="n">
        <v>20867</v>
      </c>
      <c r="AL762" s="8" t="n">
        <v>16629</v>
      </c>
      <c r="AM762" s="11" t="inlineStr"/>
      <c r="AN762" s="12" t="inlineStr"/>
      <c r="AO762" s="12" t="inlineStr"/>
      <c r="AP762" s="13" t="inlineStr"/>
      <c r="AQ762" s="13" t="inlineStr"/>
      <c r="AR762" s="13" t="inlineStr"/>
      <c r="AS762" s="13" t="inlineStr"/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7" t="n">
        <v>102766</v>
      </c>
      <c r="AK763" s="8" t="n">
        <v>3770</v>
      </c>
      <c r="AL763" s="8" t="n">
        <v>2756</v>
      </c>
      <c r="AM763" s="11" t="inlineStr"/>
      <c r="AN763" s="12" t="inlineStr"/>
      <c r="AO763" s="12" t="inlineStr"/>
      <c r="AP763" s="13" t="inlineStr"/>
      <c r="AQ763" s="13" t="inlineStr"/>
      <c r="AR763" s="13" t="inlineStr"/>
      <c r="AS763" s="13" t="inlineStr"/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7" t="n">
        <v>1008380</v>
      </c>
      <c r="AK764" s="8" t="n">
        <v>7838</v>
      </c>
      <c r="AL764" s="8" t="n">
        <v>13972</v>
      </c>
      <c r="AM764" s="11" t="inlineStr"/>
      <c r="AN764" s="12" t="inlineStr"/>
      <c r="AO764" s="12" t="inlineStr"/>
      <c r="AP764" s="13" t="inlineStr"/>
      <c r="AQ764" s="13" t="inlineStr"/>
      <c r="AR764" s="13" t="inlineStr"/>
      <c r="AS764" s="13" t="inlineStr"/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7" t="n">
        <v>126465</v>
      </c>
      <c r="AK765" s="8" t="n">
        <v>16339</v>
      </c>
      <c r="AL765" s="8" t="n">
        <v>9116</v>
      </c>
      <c r="AM765" s="11" t="inlineStr"/>
      <c r="AN765" s="12" t="inlineStr"/>
      <c r="AO765" s="12" t="inlineStr"/>
      <c r="AP765" s="13" t="inlineStr"/>
      <c r="AQ765" s="13" t="inlineStr"/>
      <c r="AR765" s="13" t="inlineStr"/>
      <c r="AS765" s="13" t="inlineStr"/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7" t="n">
        <v>7234</v>
      </c>
      <c r="AK766" s="8" t="n">
        <v>37</v>
      </c>
      <c r="AL766" s="8" t="n">
        <v>159</v>
      </c>
      <c r="AM766" s="11" t="inlineStr"/>
      <c r="AN766" s="12" t="inlineStr"/>
      <c r="AO766" s="12" t="inlineStr"/>
      <c r="AP766" s="13" t="inlineStr"/>
      <c r="AQ766" s="13" t="inlineStr"/>
      <c r="AR766" s="13" t="inlineStr"/>
      <c r="AS766" s="13" t="inlineStr"/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7" t="n">
        <v>345635</v>
      </c>
      <c r="AK767" s="8" t="n">
        <v>43804</v>
      </c>
      <c r="AL767" s="8" t="n">
        <v>109866</v>
      </c>
      <c r="AM767" s="11" t="inlineStr"/>
      <c r="AN767" s="12" t="inlineStr"/>
      <c r="AO767" s="12" t="inlineStr"/>
      <c r="AP767" s="13" t="inlineStr"/>
      <c r="AQ767" s="13" t="inlineStr"/>
      <c r="AR767" s="13" t="inlineStr"/>
      <c r="AS767" s="13" t="inlineStr"/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7" t="n">
        <v>5765</v>
      </c>
      <c r="AK768" s="8" t="n">
        <v>187</v>
      </c>
      <c r="AL768" s="8" t="n">
        <v>1219</v>
      </c>
      <c r="AM768" s="11" t="inlineStr"/>
      <c r="AN768" s="12" t="inlineStr"/>
      <c r="AO768" s="12" t="inlineStr"/>
      <c r="AP768" s="13" t="inlineStr"/>
      <c r="AQ768" s="13" t="inlineStr"/>
      <c r="AR768" s="13" t="inlineStr"/>
      <c r="AS768" s="13" t="inlineStr"/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7" t="n">
        <v>3388755</v>
      </c>
      <c r="AK769" s="8" t="n">
        <v>520309</v>
      </c>
      <c r="AL769" s="8" t="n">
        <v>704273</v>
      </c>
      <c r="AM769" s="11" t="inlineStr"/>
      <c r="AN769" s="12" t="inlineStr"/>
      <c r="AO769" s="12" t="inlineStr"/>
      <c r="AP769" s="13" t="inlineStr"/>
      <c r="AQ769" s="13" t="inlineStr"/>
      <c r="AR769" s="13" t="inlineStr"/>
      <c r="AS769" s="13" t="inlineStr"/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7" t="n">
        <v>19900</v>
      </c>
      <c r="AK770" s="8" t="n">
        <v>5331</v>
      </c>
      <c r="AL770" s="8" t="n">
        <v>3904</v>
      </c>
      <c r="AM770" s="11" t="inlineStr"/>
      <c r="AN770" s="12" t="inlineStr"/>
      <c r="AO770" s="12" t="inlineStr"/>
      <c r="AP770" s="13" t="inlineStr"/>
      <c r="AQ770" s="13" t="inlineStr"/>
      <c r="AR770" s="13" t="inlineStr"/>
      <c r="AS770" s="13" t="inlineStr"/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7" t="n">
        <v>174955</v>
      </c>
      <c r="AK771" s="8" t="n">
        <v>15237</v>
      </c>
      <c r="AL771" s="8" t="n">
        <v>12842</v>
      </c>
      <c r="AM771" s="11" t="inlineStr"/>
      <c r="AN771" s="12" t="inlineStr"/>
      <c r="AO771" s="12" t="inlineStr"/>
      <c r="AP771" s="13" t="inlineStr"/>
      <c r="AQ771" s="13" t="inlineStr"/>
      <c r="AR771" s="13" t="inlineStr"/>
      <c r="AS771" s="13" t="inlineStr"/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7" t="n">
        <v>371847</v>
      </c>
      <c r="AK772" s="8" t="n">
        <v>28611</v>
      </c>
      <c r="AL772" s="8" t="n">
        <v>19682</v>
      </c>
      <c r="AM772" s="11" t="inlineStr"/>
      <c r="AN772" s="12" t="inlineStr"/>
      <c r="AO772" s="12" t="inlineStr"/>
      <c r="AP772" s="13" t="inlineStr"/>
      <c r="AQ772" s="13" t="inlineStr"/>
      <c r="AR772" s="13" t="inlineStr"/>
      <c r="AS772" s="13" t="inlineStr"/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7" t="n">
        <v>34988</v>
      </c>
      <c r="AK773" s="8" t="n">
        <v>16044</v>
      </c>
      <c r="AL773" s="8" t="n">
        <v>37302</v>
      </c>
      <c r="AM773" s="11" t="inlineStr"/>
      <c r="AN773" s="12" t="inlineStr"/>
      <c r="AO773" s="12" t="inlineStr"/>
      <c r="AP773" s="13" t="inlineStr"/>
      <c r="AQ773" s="13" t="inlineStr"/>
      <c r="AR773" s="13" t="inlineStr"/>
      <c r="AS773" s="13" t="inlineStr"/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7" t="n">
        <v>2237</v>
      </c>
      <c r="AK774" s="8" t="n">
        <v>-259</v>
      </c>
      <c r="AL774" s="8" t="n">
        <v>414</v>
      </c>
      <c r="AM774" s="11" t="inlineStr"/>
      <c r="AN774" s="12" t="inlineStr"/>
      <c r="AO774" s="12" t="inlineStr"/>
      <c r="AP774" s="13" t="inlineStr"/>
      <c r="AQ774" s="13" t="inlineStr"/>
      <c r="AR774" s="13" t="inlineStr"/>
      <c r="AS774" s="13" t="inlineStr"/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7" t="n">
        <v>2098456</v>
      </c>
      <c r="AK775" s="8" t="n">
        <v>277016</v>
      </c>
      <c r="AL775" s="8" t="n">
        <v>17980</v>
      </c>
      <c r="AM775" s="11" t="inlineStr"/>
      <c r="AN775" s="12" t="inlineStr"/>
      <c r="AO775" s="12" t="inlineStr"/>
      <c r="AP775" s="13" t="inlineStr"/>
      <c r="AQ775" s="13" t="inlineStr"/>
      <c r="AR775" s="13" t="inlineStr"/>
      <c r="AS775" s="13" t="inlineStr"/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7" t="n">
        <v>1203275</v>
      </c>
      <c r="AK776" s="8" t="n">
        <v>33447</v>
      </c>
      <c r="AL776" s="8" t="n">
        <v>22248</v>
      </c>
      <c r="AM776" s="11" t="inlineStr"/>
      <c r="AN776" s="12" t="inlineStr"/>
      <c r="AO776" s="12" t="inlineStr"/>
      <c r="AP776" s="13" t="inlineStr"/>
      <c r="AQ776" s="13" t="inlineStr"/>
      <c r="AR776" s="13" t="inlineStr"/>
      <c r="AS776" s="13" t="inlineStr"/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7" t="n">
        <v>913908</v>
      </c>
      <c r="AK777" s="8" t="n">
        <v>56653</v>
      </c>
      <c r="AL777" s="8" t="n">
        <v>38966</v>
      </c>
      <c r="AM777" s="11" t="inlineStr"/>
      <c r="AN777" s="12" t="inlineStr"/>
      <c r="AO777" s="12" t="inlineStr"/>
      <c r="AP777" s="13" t="inlineStr"/>
      <c r="AQ777" s="13" t="inlineStr"/>
      <c r="AR777" s="13" t="inlineStr"/>
      <c r="AS777" s="13" t="inlineStr"/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7" t="n">
        <v>200542</v>
      </c>
      <c r="AK778" s="8" t="n">
        <v>36427</v>
      </c>
      <c r="AL778" s="8" t="n">
        <v>150189</v>
      </c>
      <c r="AM778" s="11" t="inlineStr"/>
      <c r="AN778" s="12" t="inlineStr"/>
      <c r="AO778" s="12" t="inlineStr"/>
      <c r="AP778" s="13" t="inlineStr"/>
      <c r="AQ778" s="13" t="inlineStr"/>
      <c r="AR778" s="13" t="inlineStr"/>
      <c r="AS778" s="13" t="inlineStr"/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7" t="n">
        <v>183143</v>
      </c>
      <c r="AK779" s="8" t="n">
        <v>30998</v>
      </c>
      <c r="AL779" s="8" t="n">
        <v>21661</v>
      </c>
      <c r="AM779" s="11" t="inlineStr"/>
      <c r="AN779" s="12" t="inlineStr"/>
      <c r="AO779" s="12" t="inlineStr"/>
      <c r="AP779" s="13" t="inlineStr"/>
      <c r="AQ779" s="13" t="inlineStr"/>
      <c r="AR779" s="13" t="inlineStr"/>
      <c r="AS779" s="13" t="inlineStr"/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7" t="n">
        <v>2400</v>
      </c>
      <c r="AK780" s="8" t="n">
        <v>-263</v>
      </c>
      <c r="AL780" s="8" t="n">
        <v>9767</v>
      </c>
      <c r="AM780" s="11" t="inlineStr"/>
      <c r="AN780" s="12" t="inlineStr"/>
      <c r="AO780" s="12" t="inlineStr"/>
      <c r="AP780" s="13" t="inlineStr"/>
      <c r="AQ780" s="13" t="inlineStr"/>
      <c r="AR780" s="13" t="inlineStr"/>
      <c r="AS780" s="13" t="inlineStr"/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7" t="inlineStr"/>
      <c r="AK781" s="8" t="n">
        <v>4026</v>
      </c>
      <c r="AL781" s="8" t="n">
        <v>4479</v>
      </c>
      <c r="AM781" s="11" t="inlineStr"/>
      <c r="AN781" s="12" t="inlineStr"/>
      <c r="AO781" s="12" t="inlineStr"/>
      <c r="AP781" s="13" t="inlineStr"/>
      <c r="AQ781" s="13" t="inlineStr"/>
      <c r="AR781" s="13" t="inlineStr"/>
      <c r="AS781" s="13" t="inlineStr"/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7" t="n">
        <v>96366</v>
      </c>
      <c r="AK782" s="8" t="n">
        <v>12722</v>
      </c>
      <c r="AL782" s="8" t="n">
        <v>13322</v>
      </c>
      <c r="AM782" s="11" t="inlineStr"/>
      <c r="AN782" s="12" t="inlineStr"/>
      <c r="AO782" s="12" t="inlineStr"/>
      <c r="AP782" s="13" t="inlineStr"/>
      <c r="AQ782" s="13" t="inlineStr"/>
      <c r="AR782" s="13" t="inlineStr"/>
      <c r="AS782" s="13" t="inlineStr"/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7" t="n">
        <v>114697</v>
      </c>
      <c r="AK783" s="8" t="n">
        <v>7812</v>
      </c>
      <c r="AL783" s="8" t="n">
        <v>-1779</v>
      </c>
      <c r="AM783" s="11" t="inlineStr"/>
      <c r="AN783" s="12" t="inlineStr"/>
      <c r="AO783" s="12" t="inlineStr"/>
      <c r="AP783" s="13" t="inlineStr"/>
      <c r="AQ783" s="13" t="inlineStr"/>
      <c r="AR783" s="13" t="inlineStr"/>
      <c r="AS783" s="13" t="inlineStr"/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7" t="n">
        <v>17328</v>
      </c>
      <c r="AK784" s="8" t="n">
        <v>7396</v>
      </c>
      <c r="AL784" s="8" t="n">
        <v>5810</v>
      </c>
      <c r="AM784" s="11" t="inlineStr"/>
      <c r="AN784" s="12" t="inlineStr"/>
      <c r="AO784" s="12" t="inlineStr"/>
      <c r="AP784" s="13" t="inlineStr"/>
      <c r="AQ784" s="13" t="inlineStr"/>
      <c r="AR784" s="13" t="inlineStr"/>
      <c r="AS784" s="13" t="inlineStr"/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7" t="n">
        <v>13363</v>
      </c>
      <c r="AK785" s="8" t="n">
        <v>1383</v>
      </c>
      <c r="AL785" s="8" t="n">
        <v>1255</v>
      </c>
      <c r="AM785" s="11" t="inlineStr"/>
      <c r="AN785" s="12" t="inlineStr"/>
      <c r="AO785" s="12" t="inlineStr"/>
      <c r="AP785" s="13" t="inlineStr"/>
      <c r="AQ785" s="13" t="inlineStr"/>
      <c r="AR785" s="13" t="inlineStr"/>
      <c r="AS785" s="13" t="inlineStr"/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7" t="n">
        <v>137038</v>
      </c>
      <c r="AK786" s="8" t="n">
        <v>16824</v>
      </c>
      <c r="AL786" s="8" t="n">
        <v>14229</v>
      </c>
      <c r="AM786" s="11" t="inlineStr"/>
      <c r="AN786" s="12" t="inlineStr"/>
      <c r="AO786" s="12" t="inlineStr"/>
      <c r="AP786" s="13" t="inlineStr"/>
      <c r="AQ786" s="13" t="inlineStr"/>
      <c r="AR786" s="13" t="inlineStr"/>
      <c r="AS786" s="13" t="inlineStr"/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7" t="n">
        <v>80144</v>
      </c>
      <c r="AK787" s="8" t="n">
        <v>5348</v>
      </c>
      <c r="AL787" s="8" t="n">
        <v>5258</v>
      </c>
      <c r="AM787" s="11" t="inlineStr"/>
      <c r="AN787" s="12" t="inlineStr"/>
      <c r="AO787" s="12" t="inlineStr"/>
      <c r="AP787" s="13" t="inlineStr"/>
      <c r="AQ787" s="13" t="inlineStr"/>
      <c r="AR787" s="13" t="inlineStr"/>
      <c r="AS787" s="13" t="inlineStr"/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7" t="n">
        <v>19137</v>
      </c>
      <c r="AK788" s="8" t="n">
        <v>-8083</v>
      </c>
      <c r="AL788" s="8" t="n">
        <v>-4271</v>
      </c>
      <c r="AM788" s="11" t="inlineStr"/>
      <c r="AN788" s="12" t="inlineStr"/>
      <c r="AO788" s="12" t="inlineStr"/>
      <c r="AP788" s="13" t="inlineStr"/>
      <c r="AQ788" s="13" t="inlineStr"/>
      <c r="AR788" s="13" t="inlineStr"/>
      <c r="AS788" s="13" t="inlineStr"/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7" t="n">
        <v>228541</v>
      </c>
      <c r="AK789" s="8" t="n">
        <v>-59770</v>
      </c>
      <c r="AL789" s="8" t="n">
        <v>-88687</v>
      </c>
      <c r="AM789" s="11" t="inlineStr"/>
      <c r="AN789" s="12" t="inlineStr"/>
      <c r="AO789" s="12" t="inlineStr"/>
      <c r="AP789" s="13" t="inlineStr"/>
      <c r="AQ789" s="13" t="inlineStr"/>
      <c r="AR789" s="13" t="inlineStr"/>
      <c r="AS789" s="13" t="inlineStr"/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7" t="n">
        <v>7507962</v>
      </c>
      <c r="AK790" s="8" t="n">
        <v>675294</v>
      </c>
      <c r="AL790" s="8" t="n">
        <v>338815</v>
      </c>
      <c r="AM790" s="11" t="inlineStr"/>
      <c r="AN790" s="12" t="inlineStr"/>
      <c r="AO790" s="12" t="inlineStr"/>
      <c r="AP790" s="13" t="inlineStr"/>
      <c r="AQ790" s="13" t="inlineStr"/>
      <c r="AR790" s="13" t="inlineStr"/>
      <c r="AS790" s="13" t="inlineStr"/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7" t="n">
        <v>6013</v>
      </c>
      <c r="AK791" s="8" t="n">
        <v>-472</v>
      </c>
      <c r="AL791" s="8" t="inlineStr"/>
      <c r="AM791" s="11" t="inlineStr"/>
      <c r="AN791" s="12" t="inlineStr"/>
      <c r="AO791" s="12" t="inlineStr"/>
      <c r="AP791" s="13" t="inlineStr"/>
      <c r="AQ791" s="13" t="inlineStr"/>
      <c r="AR791" s="13" t="inlineStr"/>
      <c r="AS791" s="13" t="inlineStr"/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7" t="n">
        <v>523773</v>
      </c>
      <c r="AK792" s="8" t="n">
        <v>63980</v>
      </c>
      <c r="AL792" s="8" t="n">
        <v>31164</v>
      </c>
      <c r="AM792" s="11" t="inlineStr"/>
      <c r="AN792" s="12" t="inlineStr"/>
      <c r="AO792" s="12" t="inlineStr"/>
      <c r="AP792" s="13" t="inlineStr"/>
      <c r="AQ792" s="13" t="inlineStr"/>
      <c r="AR792" s="13" t="inlineStr"/>
      <c r="AS792" s="13" t="inlineStr"/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7" t="n">
        <v>126288</v>
      </c>
      <c r="AK793" s="8" t="n">
        <v>-6151</v>
      </c>
      <c r="AL793" s="8" t="n">
        <v>-5350</v>
      </c>
      <c r="AM793" s="11" t="inlineStr"/>
      <c r="AN793" s="12" t="inlineStr"/>
      <c r="AO793" s="12" t="inlineStr"/>
      <c r="AP793" s="13" t="inlineStr"/>
      <c r="AQ793" s="13" t="inlineStr"/>
      <c r="AR793" s="13" t="inlineStr"/>
      <c r="AS793" s="13" t="inlineStr"/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7" t="n">
        <v>34270</v>
      </c>
      <c r="AK794" s="8" t="n">
        <v>6979</v>
      </c>
      <c r="AL794" s="8" t="n">
        <v>6856</v>
      </c>
      <c r="AM794" s="11" t="inlineStr"/>
      <c r="AN794" s="12" t="inlineStr"/>
      <c r="AO794" s="12" t="inlineStr"/>
      <c r="AP794" s="13" t="inlineStr"/>
      <c r="AQ794" s="13" t="inlineStr"/>
      <c r="AR794" s="13" t="inlineStr"/>
      <c r="AS794" s="13" t="inlineStr"/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7" t="n">
        <v>770501</v>
      </c>
      <c r="AK795" s="8" t="n">
        <v>173861</v>
      </c>
      <c r="AL795" s="8" t="n">
        <v>131181</v>
      </c>
      <c r="AM795" s="11" t="inlineStr"/>
      <c r="AN795" s="12" t="inlineStr"/>
      <c r="AO795" s="12" t="inlineStr"/>
      <c r="AP795" s="13" t="inlineStr"/>
      <c r="AQ795" s="13" t="inlineStr"/>
      <c r="AR795" s="13" t="inlineStr"/>
      <c r="AS795" s="13" t="inlineStr"/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7" t="n">
        <v>433735</v>
      </c>
      <c r="AK796" s="8" t="n">
        <v>20265</v>
      </c>
      <c r="AL796" s="8" t="n">
        <v>-3912</v>
      </c>
      <c r="AM796" s="11" t="inlineStr"/>
      <c r="AN796" s="12" t="inlineStr"/>
      <c r="AO796" s="12" t="inlineStr"/>
      <c r="AP796" s="13" t="inlineStr"/>
      <c r="AQ796" s="13" t="inlineStr"/>
      <c r="AR796" s="13" t="inlineStr"/>
      <c r="AS796" s="13" t="inlineStr"/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7" t="n">
        <v>58549</v>
      </c>
      <c r="AK797" s="8" t="n">
        <v>9099</v>
      </c>
      <c r="AL797" s="8" t="n">
        <v>7229</v>
      </c>
      <c r="AM797" s="11" t="inlineStr"/>
      <c r="AN797" s="12" t="inlineStr"/>
      <c r="AO797" s="12" t="inlineStr"/>
      <c r="AP797" s="13" t="inlineStr"/>
      <c r="AQ797" s="13" t="inlineStr"/>
      <c r="AR797" s="13" t="inlineStr"/>
      <c r="AS797" s="13" t="inlineStr"/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7" t="n">
        <v>69478</v>
      </c>
      <c r="AK798" s="8" t="n">
        <v>1378</v>
      </c>
      <c r="AL798" s="8" t="n">
        <v>-166</v>
      </c>
      <c r="AM798" s="11" t="inlineStr"/>
      <c r="AN798" s="12" t="inlineStr"/>
      <c r="AO798" s="12" t="inlineStr"/>
      <c r="AP798" s="13" t="inlineStr"/>
      <c r="AQ798" s="13" t="inlineStr"/>
      <c r="AR798" s="13" t="inlineStr"/>
      <c r="AS798" s="13" t="inlineStr"/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7" t="n">
        <v>24723</v>
      </c>
      <c r="AK799" s="8" t="n">
        <v>4382</v>
      </c>
      <c r="AL799" s="8" t="n">
        <v>6916</v>
      </c>
      <c r="AM799" s="11" t="inlineStr"/>
      <c r="AN799" s="12" t="inlineStr"/>
      <c r="AO799" s="12" t="inlineStr"/>
      <c r="AP799" s="13" t="inlineStr"/>
      <c r="AQ799" s="13" t="inlineStr"/>
      <c r="AR799" s="13" t="inlineStr"/>
      <c r="AS799" s="13" t="inlineStr"/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7" t="n">
        <v>35513</v>
      </c>
      <c r="AK800" s="8" t="n">
        <v>3819</v>
      </c>
      <c r="AL800" s="8" t="n">
        <v>3034</v>
      </c>
      <c r="AM800" s="11" t="inlineStr"/>
      <c r="AN800" s="12" t="inlineStr"/>
      <c r="AO800" s="12" t="inlineStr"/>
      <c r="AP800" s="13" t="inlineStr"/>
      <c r="AQ800" s="13" t="inlineStr"/>
      <c r="AR800" s="13" t="inlineStr"/>
      <c r="AS800" s="13" t="inlineStr"/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7" t="n">
        <v>18265</v>
      </c>
      <c r="AK801" s="8" t="n">
        <v>2237</v>
      </c>
      <c r="AL801" s="8" t="n">
        <v>1697</v>
      </c>
      <c r="AM801" s="11" t="inlineStr"/>
      <c r="AN801" s="12" t="inlineStr"/>
      <c r="AO801" s="12" t="inlineStr"/>
      <c r="AP801" s="13" t="inlineStr"/>
      <c r="AQ801" s="13" t="inlineStr"/>
      <c r="AR801" s="13" t="inlineStr"/>
      <c r="AS801" s="13" t="inlineStr"/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7" t="n">
        <v>558207</v>
      </c>
      <c r="AK802" s="8" t="n">
        <v>57559</v>
      </c>
      <c r="AL802" s="8" t="n">
        <v>30117</v>
      </c>
      <c r="AM802" s="11" t="inlineStr"/>
      <c r="AN802" s="12" t="inlineStr"/>
      <c r="AO802" s="12" t="inlineStr"/>
      <c r="AP802" s="13" t="inlineStr"/>
      <c r="AQ802" s="13" t="inlineStr"/>
      <c r="AR802" s="13" t="inlineStr"/>
      <c r="AS802" s="13" t="inlineStr"/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7" t="n">
        <v>316161</v>
      </c>
      <c r="AK803" s="8" t="n">
        <v>21283</v>
      </c>
      <c r="AL803" s="8" t="n">
        <v>19485</v>
      </c>
      <c r="AM803" s="11" t="inlineStr"/>
      <c r="AN803" s="12" t="inlineStr"/>
      <c r="AO803" s="12" t="inlineStr"/>
      <c r="AP803" s="13" t="inlineStr"/>
      <c r="AQ803" s="13" t="inlineStr"/>
      <c r="AR803" s="13" t="inlineStr"/>
      <c r="AS803" s="13" t="inlineStr"/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7" t="n">
        <v>89303</v>
      </c>
      <c r="AK804" s="8" t="n">
        <v>9622</v>
      </c>
      <c r="AL804" s="8" t="n">
        <v>7000</v>
      </c>
      <c r="AM804" s="11" t="inlineStr"/>
      <c r="AN804" s="12" t="inlineStr"/>
      <c r="AO804" s="12" t="inlineStr"/>
      <c r="AP804" s="13" t="inlineStr"/>
      <c r="AQ804" s="13" t="inlineStr"/>
      <c r="AR804" s="13" t="inlineStr"/>
      <c r="AS804" s="13" t="inlineStr"/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7" t="n">
        <v>208793</v>
      </c>
      <c r="AK805" s="8" t="n">
        <v>31892</v>
      </c>
      <c r="AL805" s="8" t="n">
        <v>107806</v>
      </c>
      <c r="AM805" s="11" t="inlineStr"/>
      <c r="AN805" s="12" t="inlineStr"/>
      <c r="AO805" s="12" t="inlineStr"/>
      <c r="AP805" s="13" t="inlineStr"/>
      <c r="AQ805" s="13" t="inlineStr"/>
      <c r="AR805" s="13" t="inlineStr"/>
      <c r="AS805" s="13" t="inlineStr"/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7" t="n">
        <v>152845</v>
      </c>
      <c r="AK806" s="8" t="n">
        <v>11492</v>
      </c>
      <c r="AL806" s="8" t="n">
        <v>33984</v>
      </c>
      <c r="AM806" s="11" t="inlineStr"/>
      <c r="AN806" s="12" t="inlineStr"/>
      <c r="AO806" s="12" t="inlineStr"/>
      <c r="AP806" s="13" t="inlineStr"/>
      <c r="AQ806" s="13" t="inlineStr"/>
      <c r="AR806" s="13" t="inlineStr"/>
      <c r="AS806" s="13" t="inlineStr"/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7" t="n">
        <v>59882</v>
      </c>
      <c r="AK807" s="8" t="n">
        <v>1423</v>
      </c>
      <c r="AL807" s="8" t="n">
        <v>5501</v>
      </c>
      <c r="AM807" s="11" t="inlineStr"/>
      <c r="AN807" s="12" t="inlineStr"/>
      <c r="AO807" s="12" t="inlineStr"/>
      <c r="AP807" s="13" t="inlineStr"/>
      <c r="AQ807" s="13" t="inlineStr"/>
      <c r="AR807" s="13" t="inlineStr"/>
      <c r="AS807" s="13" t="inlineStr"/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7" t="n">
        <v>104244</v>
      </c>
      <c r="AK808" s="8" t="n">
        <v>6900</v>
      </c>
      <c r="AL808" s="8" t="n">
        <v>374</v>
      </c>
      <c r="AM808" s="11" t="inlineStr"/>
      <c r="AN808" s="12" t="inlineStr"/>
      <c r="AO808" s="12" t="inlineStr"/>
      <c r="AP808" s="13" t="inlineStr"/>
      <c r="AQ808" s="13" t="inlineStr"/>
      <c r="AR808" s="13" t="inlineStr"/>
      <c r="AS808" s="13" t="inlineStr"/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7" t="n">
        <v>46702</v>
      </c>
      <c r="AK809" s="8" t="n">
        <v>2352</v>
      </c>
      <c r="AL809" s="8" t="n">
        <v>2420</v>
      </c>
      <c r="AM809" s="11" t="inlineStr"/>
      <c r="AN809" s="12" t="inlineStr"/>
      <c r="AO809" s="12" t="inlineStr"/>
      <c r="AP809" s="13" t="inlineStr"/>
      <c r="AQ809" s="13" t="inlineStr"/>
      <c r="AR809" s="13" t="inlineStr"/>
      <c r="AS809" s="13" t="inlineStr"/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7" t="n">
        <v>62614</v>
      </c>
      <c r="AK810" s="8" t="n">
        <v>2059</v>
      </c>
      <c r="AL810" s="8" t="n">
        <v>1061</v>
      </c>
      <c r="AM810" s="11" t="inlineStr"/>
      <c r="AN810" s="12" t="inlineStr"/>
      <c r="AO810" s="12" t="inlineStr"/>
      <c r="AP810" s="13" t="inlineStr"/>
      <c r="AQ810" s="13" t="inlineStr"/>
      <c r="AR810" s="13" t="inlineStr"/>
      <c r="AS810" s="13" t="inlineStr"/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7" t="n">
        <v>62117</v>
      </c>
      <c r="AK811" s="8" t="n">
        <v>4760</v>
      </c>
      <c r="AL811" s="8" t="n">
        <v>2749</v>
      </c>
      <c r="AM811" s="11" t="inlineStr"/>
      <c r="AN811" s="12" t="inlineStr"/>
      <c r="AO811" s="12" t="inlineStr"/>
      <c r="AP811" s="13" t="inlineStr"/>
      <c r="AQ811" s="13" t="inlineStr"/>
      <c r="AR811" s="13" t="inlineStr"/>
      <c r="AS811" s="13" t="inlineStr"/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7" t="n">
        <v>163989</v>
      </c>
      <c r="AK812" s="8" t="n">
        <v>-2106</v>
      </c>
      <c r="AL812" s="8" t="n">
        <v>2407</v>
      </c>
      <c r="AM812" s="11" t="inlineStr"/>
      <c r="AN812" s="12" t="inlineStr"/>
      <c r="AO812" s="12" t="inlineStr"/>
      <c r="AP812" s="13" t="inlineStr"/>
      <c r="AQ812" s="13" t="inlineStr"/>
      <c r="AR812" s="13" t="inlineStr"/>
      <c r="AS812" s="13" t="inlineStr"/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7" t="n">
        <v>174640</v>
      </c>
      <c r="AK813" s="8" t="n">
        <v>10238</v>
      </c>
      <c r="AL813" s="8" t="n">
        <v>5672</v>
      </c>
      <c r="AM813" s="11" t="inlineStr"/>
      <c r="AN813" s="12" t="inlineStr"/>
      <c r="AO813" s="12" t="inlineStr"/>
      <c r="AP813" s="13" t="inlineStr"/>
      <c r="AQ813" s="13" t="inlineStr"/>
      <c r="AR813" s="13" t="inlineStr"/>
      <c r="AS813" s="13" t="inlineStr"/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7" t="n">
        <v>18680</v>
      </c>
      <c r="AK814" s="8" t="n">
        <v>1038</v>
      </c>
      <c r="AL814" s="8" t="n">
        <v>-1640</v>
      </c>
      <c r="AM814" s="11" t="inlineStr"/>
      <c r="AN814" s="12" t="inlineStr"/>
      <c r="AO814" s="12" t="inlineStr"/>
      <c r="AP814" s="13" t="inlineStr"/>
      <c r="AQ814" s="13" t="inlineStr"/>
      <c r="AR814" s="13" t="inlineStr"/>
      <c r="AS814" s="13" t="inlineStr"/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7" t="n">
        <v>321592</v>
      </c>
      <c r="AK815" s="8" t="n">
        <v>-2714</v>
      </c>
      <c r="AL815" s="8" t="n">
        <v>-3238</v>
      </c>
      <c r="AM815" s="11" t="inlineStr"/>
      <c r="AN815" s="12" t="inlineStr"/>
      <c r="AO815" s="12" t="inlineStr"/>
      <c r="AP815" s="13" t="inlineStr"/>
      <c r="AQ815" s="13" t="inlineStr"/>
      <c r="AR815" s="13" t="inlineStr"/>
      <c r="AS815" s="13" t="inlineStr"/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7" t="n">
        <v>56745</v>
      </c>
      <c r="AK816" s="8" t="n">
        <v>2248</v>
      </c>
      <c r="AL816" s="8" t="n">
        <v>2008</v>
      </c>
      <c r="AM816" s="11" t="inlineStr"/>
      <c r="AN816" s="12" t="inlineStr"/>
      <c r="AO816" s="12" t="inlineStr"/>
      <c r="AP816" s="13" t="inlineStr"/>
      <c r="AQ816" s="13" t="inlineStr"/>
      <c r="AR816" s="13" t="inlineStr"/>
      <c r="AS816" s="13" t="inlineStr"/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7" t="n">
        <v>2690378</v>
      </c>
      <c r="AK817" s="8" t="n">
        <v>158401</v>
      </c>
      <c r="AL817" s="8" t="n">
        <v>113402</v>
      </c>
      <c r="AM817" s="11" t="inlineStr"/>
      <c r="AN817" s="12" t="inlineStr"/>
      <c r="AO817" s="12" t="inlineStr"/>
      <c r="AP817" s="13" t="inlineStr"/>
      <c r="AQ817" s="13" t="inlineStr"/>
      <c r="AR817" s="13" t="inlineStr"/>
      <c r="AS817" s="13" t="inlineStr"/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7" t="n">
        <v>243276</v>
      </c>
      <c r="AK818" s="8" t="n">
        <v>2968</v>
      </c>
      <c r="AL818" s="8" t="n">
        <v>1144</v>
      </c>
      <c r="AM818" s="11" t="inlineStr"/>
      <c r="AN818" s="12" t="inlineStr"/>
      <c r="AO818" s="12" t="inlineStr"/>
      <c r="AP818" s="13" t="inlineStr"/>
      <c r="AQ818" s="13" t="inlineStr"/>
      <c r="AR818" s="13" t="inlineStr"/>
      <c r="AS818" s="13" t="inlineStr"/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2026Q3</t>
        </is>
      </c>
      <c r="E819" s="6" t="inlineStr">
        <is>
          <t>2023Q4, 2026Q3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7" t="n">
        <v>48352</v>
      </c>
      <c r="AK819" s="8" t="n">
        <v>13897</v>
      </c>
      <c r="AL819" s="8" t="n">
        <v>12104</v>
      </c>
      <c r="AM819" s="14" t="n">
        <v>16623</v>
      </c>
      <c r="AN819" s="12" t="inlineStr"/>
      <c r="AO819" s="12" t="inlineStr"/>
      <c r="AP819" s="13" t="n">
        <v>-65.59999999999999</v>
      </c>
      <c r="AQ819" s="13" t="n">
        <v>-59.8</v>
      </c>
      <c r="AR819" s="13" t="inlineStr"/>
      <c r="AS819" s="13" t="inlineStr"/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7" t="n">
        <v>36525</v>
      </c>
      <c r="AK820" s="8" t="n">
        <v>726</v>
      </c>
      <c r="AL820" s="8" t="n">
        <v>-258</v>
      </c>
      <c r="AM820" s="11" t="inlineStr"/>
      <c r="AN820" s="12" t="inlineStr"/>
      <c r="AO820" s="12" t="inlineStr"/>
      <c r="AP820" s="13" t="inlineStr"/>
      <c r="AQ820" s="13" t="inlineStr"/>
      <c r="AR820" s="13" t="inlineStr"/>
      <c r="AS820" s="13" t="inlineStr"/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7" t="n">
        <v>20690</v>
      </c>
      <c r="AK821" s="8" t="n">
        <v>1807</v>
      </c>
      <c r="AL821" s="8" t="n">
        <v>1876</v>
      </c>
      <c r="AM821" s="11" t="inlineStr"/>
      <c r="AN821" s="12" t="inlineStr"/>
      <c r="AO821" s="12" t="inlineStr"/>
      <c r="AP821" s="13" t="inlineStr"/>
      <c r="AQ821" s="13" t="inlineStr"/>
      <c r="AR821" s="13" t="inlineStr"/>
      <c r="AS821" s="13" t="inlineStr"/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7" t="n">
        <v>40616</v>
      </c>
      <c r="AK822" s="8" t="n">
        <v>2670</v>
      </c>
      <c r="AL822" s="8" t="n">
        <v>7627</v>
      </c>
      <c r="AM822" s="11" t="inlineStr"/>
      <c r="AN822" s="12" t="inlineStr"/>
      <c r="AO822" s="12" t="inlineStr"/>
      <c r="AP822" s="13" t="inlineStr"/>
      <c r="AQ822" s="13" t="inlineStr"/>
      <c r="AR822" s="13" t="inlineStr"/>
      <c r="AS822" s="13" t="inlineStr"/>
    </row>
    <row r="823">
      <c r="A823" s="5" t="inlineStr">
        <is>
          <t>루멘스바이오스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7" t="n">
        <v>34680</v>
      </c>
      <c r="AK823" s="8" t="n">
        <v>-1799</v>
      </c>
      <c r="AL823" s="8" t="n">
        <v>-817</v>
      </c>
      <c r="AM823" s="11" t="inlineStr"/>
      <c r="AN823" s="12" t="inlineStr"/>
      <c r="AO823" s="12" t="inlineStr"/>
      <c r="AP823" s="13" t="inlineStr"/>
      <c r="AQ823" s="13" t="inlineStr"/>
      <c r="AR823" s="13" t="inlineStr"/>
      <c r="AS823" s="13" t="inlineStr"/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7" t="n">
        <v>20803</v>
      </c>
      <c r="AK824" s="8" t="n">
        <v>-597</v>
      </c>
      <c r="AL824" s="8" t="n">
        <v>342</v>
      </c>
      <c r="AM824" s="11" t="inlineStr"/>
      <c r="AN824" s="12" t="inlineStr"/>
      <c r="AO824" s="12" t="inlineStr"/>
      <c r="AP824" s="13" t="inlineStr"/>
      <c r="AQ824" s="13" t="inlineStr"/>
      <c r="AR824" s="13" t="inlineStr"/>
      <c r="AS824" s="13" t="inlineStr"/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7" t="n">
        <v>633464</v>
      </c>
      <c r="AK825" s="8" t="n">
        <v>25880</v>
      </c>
      <c r="AL825" s="8" t="n">
        <v>18042</v>
      </c>
      <c r="AM825" s="11" t="inlineStr"/>
      <c r="AN825" s="12" t="inlineStr"/>
      <c r="AO825" s="12" t="inlineStr"/>
      <c r="AP825" s="13" t="inlineStr"/>
      <c r="AQ825" s="13" t="inlineStr"/>
      <c r="AR825" s="13" t="inlineStr"/>
      <c r="AS825" s="13" t="inlineStr"/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7" t="n">
        <v>51004</v>
      </c>
      <c r="AK826" s="8" t="n">
        <v>698</v>
      </c>
      <c r="AL826" s="8" t="n">
        <v>4299</v>
      </c>
      <c r="AM826" s="11" t="inlineStr"/>
      <c r="AN826" s="12" t="inlineStr"/>
      <c r="AO826" s="12" t="inlineStr"/>
      <c r="AP826" s="13" t="inlineStr"/>
      <c r="AQ826" s="13" t="inlineStr"/>
      <c r="AR826" s="13" t="inlineStr"/>
      <c r="AS826" s="13" t="inlineStr"/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7" t="n">
        <v>98227</v>
      </c>
      <c r="AK827" s="8" t="n">
        <v>15737</v>
      </c>
      <c r="AL827" s="8" t="n">
        <v>9129</v>
      </c>
      <c r="AM827" s="11" t="inlineStr"/>
      <c r="AN827" s="12" t="inlineStr"/>
      <c r="AO827" s="12" t="inlineStr"/>
      <c r="AP827" s="13" t="inlineStr"/>
      <c r="AQ827" s="13" t="inlineStr"/>
      <c r="AR827" s="13" t="inlineStr"/>
      <c r="AS827" s="13" t="inlineStr"/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7" t="n">
        <v>167623</v>
      </c>
      <c r="AK828" s="8" t="n">
        <v>5119</v>
      </c>
      <c r="AL828" s="8" t="n">
        <v>2158</v>
      </c>
      <c r="AM828" s="11" t="inlineStr"/>
      <c r="AN828" s="12" t="inlineStr"/>
      <c r="AO828" s="12" t="inlineStr"/>
      <c r="AP828" s="13" t="inlineStr"/>
      <c r="AQ828" s="13" t="inlineStr"/>
      <c r="AR828" s="13" t="inlineStr"/>
      <c r="AS828" s="13" t="inlineStr"/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7" t="n">
        <v>182126</v>
      </c>
      <c r="AK829" s="8" t="n">
        <v>11652</v>
      </c>
      <c r="AL829" s="8" t="n">
        <v>4693</v>
      </c>
      <c r="AM829" s="11" t="inlineStr"/>
      <c r="AN829" s="12" t="inlineStr"/>
      <c r="AO829" s="12" t="inlineStr"/>
      <c r="AP829" s="13" t="inlineStr"/>
      <c r="AQ829" s="13" t="inlineStr"/>
      <c r="AR829" s="13" t="inlineStr"/>
      <c r="AS829" s="13" t="inlineStr"/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7" t="n">
        <v>12242</v>
      </c>
      <c r="AK830" s="8" t="n">
        <v>520</v>
      </c>
      <c r="AL830" s="8" t="n">
        <v>-42252</v>
      </c>
      <c r="AM830" s="11" t="inlineStr"/>
      <c r="AN830" s="12" t="inlineStr"/>
      <c r="AO830" s="12" t="inlineStr"/>
      <c r="AP830" s="13" t="inlineStr"/>
      <c r="AQ830" s="13" t="inlineStr"/>
      <c r="AR830" s="13" t="inlineStr"/>
      <c r="AS830" s="13" t="inlineStr"/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7" t="n">
        <v>126036</v>
      </c>
      <c r="AK831" s="8" t="n">
        <v>-4517</v>
      </c>
      <c r="AL831" s="8" t="n">
        <v>-6364</v>
      </c>
      <c r="AM831" s="11" t="inlineStr"/>
      <c r="AN831" s="12" t="inlineStr"/>
      <c r="AO831" s="12" t="inlineStr"/>
      <c r="AP831" s="13" t="inlineStr"/>
      <c r="AQ831" s="13" t="inlineStr"/>
      <c r="AR831" s="13" t="inlineStr"/>
      <c r="AS831" s="13" t="inlineStr"/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7" t="n">
        <v>27205</v>
      </c>
      <c r="AK832" s="8" t="n">
        <v>2223</v>
      </c>
      <c r="AL832" s="8" t="n">
        <v>8187</v>
      </c>
      <c r="AM832" s="11" t="inlineStr"/>
      <c r="AN832" s="12" t="inlineStr"/>
      <c r="AO832" s="12" t="inlineStr"/>
      <c r="AP832" s="13" t="inlineStr"/>
      <c r="AQ832" s="13" t="inlineStr"/>
      <c r="AR832" s="13" t="inlineStr"/>
      <c r="AS832" s="13" t="inlineStr"/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7" t="n">
        <v>186052</v>
      </c>
      <c r="AK833" s="8" t="n">
        <v>3123</v>
      </c>
      <c r="AL833" s="8" t="n">
        <v>2732</v>
      </c>
      <c r="AM833" s="11" t="inlineStr"/>
      <c r="AN833" s="12" t="inlineStr"/>
      <c r="AO833" s="12" t="inlineStr"/>
      <c r="AP833" s="13" t="inlineStr"/>
      <c r="AQ833" s="13" t="inlineStr"/>
      <c r="AR833" s="13" t="inlineStr"/>
      <c r="AS833" s="13" t="inlineStr"/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7" t="n">
        <v>3480</v>
      </c>
      <c r="AK834" s="8" t="n">
        <v>-531</v>
      </c>
      <c r="AL834" s="8" t="n">
        <v>2038</v>
      </c>
      <c r="AM834" s="11" t="inlineStr"/>
      <c r="AN834" s="12" t="inlineStr"/>
      <c r="AO834" s="12" t="inlineStr"/>
      <c r="AP834" s="13" t="inlineStr"/>
      <c r="AQ834" s="13" t="inlineStr"/>
      <c r="AR834" s="13" t="inlineStr"/>
      <c r="AS834" s="13" t="inlineStr"/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7" t="n">
        <v>30060</v>
      </c>
      <c r="AK835" s="8" t="n">
        <v>1544</v>
      </c>
      <c r="AL835" s="8" t="n">
        <v>70</v>
      </c>
      <c r="AM835" s="11" t="inlineStr"/>
      <c r="AN835" s="12" t="inlineStr"/>
      <c r="AO835" s="12" t="inlineStr"/>
      <c r="AP835" s="13" t="inlineStr"/>
      <c r="AQ835" s="13" t="inlineStr"/>
      <c r="AR835" s="13" t="inlineStr"/>
      <c r="AS835" s="13" t="inlineStr"/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7" t="n">
        <v>13492</v>
      </c>
      <c r="AK836" s="8" t="n">
        <v>-1770</v>
      </c>
      <c r="AL836" s="8" t="n">
        <v>-1879</v>
      </c>
      <c r="AM836" s="11" t="inlineStr"/>
      <c r="AN836" s="12" t="inlineStr"/>
      <c r="AO836" s="12" t="inlineStr"/>
      <c r="AP836" s="13" t="inlineStr"/>
      <c r="AQ836" s="13" t="inlineStr"/>
      <c r="AR836" s="13" t="inlineStr"/>
      <c r="AS836" s="13" t="inlineStr"/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7" t="n">
        <v>36435</v>
      </c>
      <c r="AK837" s="8" t="n">
        <v>201</v>
      </c>
      <c r="AL837" s="8" t="n">
        <v>-1491</v>
      </c>
      <c r="AM837" s="11" t="inlineStr"/>
      <c r="AN837" s="12" t="inlineStr"/>
      <c r="AO837" s="12" t="inlineStr"/>
      <c r="AP837" s="13" t="inlineStr"/>
      <c r="AQ837" s="13" t="inlineStr"/>
      <c r="AR837" s="13" t="inlineStr"/>
      <c r="AS837" s="13" t="inlineStr"/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7" t="n">
        <v>126605</v>
      </c>
      <c r="AK838" s="8" t="n">
        <v>11564</v>
      </c>
      <c r="AL838" s="8" t="n">
        <v>7010</v>
      </c>
      <c r="AM838" s="11" t="inlineStr"/>
      <c r="AN838" s="12" t="inlineStr"/>
      <c r="AO838" s="12" t="inlineStr"/>
      <c r="AP838" s="13" t="inlineStr"/>
      <c r="AQ838" s="13" t="inlineStr"/>
      <c r="AR838" s="13" t="inlineStr"/>
      <c r="AS838" s="13" t="inlineStr"/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7" t="n">
        <v>127799</v>
      </c>
      <c r="AK839" s="8" t="n">
        <v>39088</v>
      </c>
      <c r="AL839" s="8" t="n">
        <v>36993</v>
      </c>
      <c r="AM839" s="11" t="inlineStr"/>
      <c r="AN839" s="12" t="inlineStr"/>
      <c r="AO839" s="12" t="inlineStr"/>
      <c r="AP839" s="13" t="inlineStr"/>
      <c r="AQ839" s="13" t="inlineStr"/>
      <c r="AR839" s="13" t="inlineStr"/>
      <c r="AS839" s="13" t="inlineStr"/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7" t="n">
        <v>115435</v>
      </c>
      <c r="AK840" s="8" t="n">
        <v>5440</v>
      </c>
      <c r="AL840" s="8" t="n">
        <v>6948</v>
      </c>
      <c r="AM840" s="11" t="inlineStr"/>
      <c r="AN840" s="12" t="inlineStr"/>
      <c r="AO840" s="12" t="inlineStr"/>
      <c r="AP840" s="13" t="inlineStr"/>
      <c r="AQ840" s="13" t="inlineStr"/>
      <c r="AR840" s="13" t="inlineStr"/>
      <c r="AS840" s="13" t="inlineStr"/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7" t="n">
        <v>52649</v>
      </c>
      <c r="AK841" s="8" t="n">
        <v>38672</v>
      </c>
      <c r="AL841" s="8" t="n">
        <v>40755</v>
      </c>
      <c r="AM841" s="11" t="inlineStr"/>
      <c r="AN841" s="12" t="inlineStr"/>
      <c r="AO841" s="12" t="inlineStr"/>
      <c r="AP841" s="13" t="inlineStr"/>
      <c r="AQ841" s="13" t="inlineStr"/>
      <c r="AR841" s="13" t="inlineStr"/>
      <c r="AS841" s="13" t="inlineStr"/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7" t="n">
        <v>98311</v>
      </c>
      <c r="AK842" s="8" t="n">
        <v>2247</v>
      </c>
      <c r="AL842" s="8" t="n">
        <v>2232</v>
      </c>
      <c r="AM842" s="11" t="inlineStr"/>
      <c r="AN842" s="12" t="inlineStr"/>
      <c r="AO842" s="12" t="inlineStr"/>
      <c r="AP842" s="13" t="inlineStr"/>
      <c r="AQ842" s="13" t="inlineStr"/>
      <c r="AR842" s="13" t="inlineStr"/>
      <c r="AS842" s="13" t="inlineStr"/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7" t="n">
        <v>43718</v>
      </c>
      <c r="AK843" s="8" t="n">
        <v>-314</v>
      </c>
      <c r="AL843" s="8" t="n">
        <v>1292</v>
      </c>
      <c r="AM843" s="11" t="inlineStr"/>
      <c r="AN843" s="12" t="inlineStr"/>
      <c r="AO843" s="12" t="inlineStr"/>
      <c r="AP843" s="13" t="inlineStr"/>
      <c r="AQ843" s="13" t="inlineStr"/>
      <c r="AR843" s="13" t="inlineStr"/>
      <c r="AS843" s="13" t="inlineStr"/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7" t="n">
        <v>7388</v>
      </c>
      <c r="AK844" s="8" t="n">
        <v>-28</v>
      </c>
      <c r="AL844" s="8" t="n">
        <v>-501</v>
      </c>
      <c r="AM844" s="11" t="inlineStr"/>
      <c r="AN844" s="12" t="inlineStr"/>
      <c r="AO844" s="12" t="inlineStr"/>
      <c r="AP844" s="13" t="inlineStr"/>
      <c r="AQ844" s="13" t="inlineStr"/>
      <c r="AR844" s="13" t="inlineStr"/>
      <c r="AS844" s="13" t="inlineStr"/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7" t="inlineStr"/>
      <c r="AK845" s="8" t="n">
        <v>3138</v>
      </c>
      <c r="AL845" s="8" t="n">
        <v>4827</v>
      </c>
      <c r="AM845" s="11" t="inlineStr"/>
      <c r="AN845" s="12" t="inlineStr"/>
      <c r="AO845" s="12" t="inlineStr"/>
      <c r="AP845" s="13" t="inlineStr"/>
      <c r="AQ845" s="13" t="inlineStr"/>
      <c r="AR845" s="13" t="inlineStr"/>
      <c r="AS845" s="13" t="inlineStr"/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7" t="n">
        <v>10652</v>
      </c>
      <c r="AK846" s="8" t="n">
        <v>2547</v>
      </c>
      <c r="AL846" s="8" t="n">
        <v>1871</v>
      </c>
      <c r="AM846" s="11" t="inlineStr"/>
      <c r="AN846" s="12" t="inlineStr"/>
      <c r="AO846" s="12" t="inlineStr"/>
      <c r="AP846" s="13" t="inlineStr"/>
      <c r="AQ846" s="13" t="inlineStr"/>
      <c r="AR846" s="13" t="inlineStr"/>
      <c r="AS846" s="13" t="inlineStr"/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7" t="n">
        <v>72460</v>
      </c>
      <c r="AK847" s="8" t="n">
        <v>2896</v>
      </c>
      <c r="AL847" s="8" t="n">
        <v>4329</v>
      </c>
      <c r="AM847" s="11" t="inlineStr"/>
      <c r="AN847" s="12" t="inlineStr"/>
      <c r="AO847" s="12" t="inlineStr"/>
      <c r="AP847" s="13" t="inlineStr"/>
      <c r="AQ847" s="13" t="inlineStr"/>
      <c r="AR847" s="13" t="inlineStr"/>
      <c r="AS847" s="13" t="inlineStr"/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7" t="n">
        <v>16073176</v>
      </c>
      <c r="AK848" s="8" t="n">
        <v>788950</v>
      </c>
      <c r="AL848" s="8" t="n">
        <v>680567</v>
      </c>
      <c r="AM848" s="11" t="inlineStr"/>
      <c r="AN848" s="12" t="inlineStr"/>
      <c r="AO848" s="12" t="inlineStr"/>
      <c r="AP848" s="13" t="inlineStr"/>
      <c r="AQ848" s="13" t="inlineStr"/>
      <c r="AR848" s="13" t="inlineStr"/>
      <c r="AS848" s="13" t="inlineStr"/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7" t="n">
        <v>159155</v>
      </c>
      <c r="AK849" s="8" t="n">
        <v>16330</v>
      </c>
      <c r="AL849" s="8" t="n">
        <v>9060</v>
      </c>
      <c r="AM849" s="11" t="inlineStr"/>
      <c r="AN849" s="12" t="inlineStr"/>
      <c r="AO849" s="12" t="inlineStr"/>
      <c r="AP849" s="13" t="inlineStr"/>
      <c r="AQ849" s="13" t="inlineStr"/>
      <c r="AR849" s="13" t="inlineStr"/>
      <c r="AS849" s="13" t="inlineStr"/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7" t="n">
        <v>153733</v>
      </c>
      <c r="AK850" s="8" t="n">
        <v>5706</v>
      </c>
      <c r="AL850" s="8" t="n">
        <v>6915</v>
      </c>
      <c r="AM850" s="11" t="inlineStr"/>
      <c r="AN850" s="12" t="inlineStr"/>
      <c r="AO850" s="12" t="inlineStr"/>
      <c r="AP850" s="13" t="inlineStr"/>
      <c r="AQ850" s="13" t="inlineStr"/>
      <c r="AR850" s="13" t="inlineStr"/>
      <c r="AS850" s="13" t="inlineStr"/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7" t="n">
        <v>25583</v>
      </c>
      <c r="AK851" s="8" t="n">
        <v>759</v>
      </c>
      <c r="AL851" s="8" t="n">
        <v>2504</v>
      </c>
      <c r="AM851" s="11" t="inlineStr"/>
      <c r="AN851" s="12" t="inlineStr"/>
      <c r="AO851" s="12" t="inlineStr"/>
      <c r="AP851" s="13" t="inlineStr"/>
      <c r="AQ851" s="13" t="inlineStr"/>
      <c r="AR851" s="13" t="inlineStr"/>
      <c r="AS851" s="13" t="inlineStr"/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7" t="n">
        <v>62913</v>
      </c>
      <c r="AK852" s="8" t="n">
        <v>454</v>
      </c>
      <c r="AL852" s="8" t="n">
        <v>976</v>
      </c>
      <c r="AM852" s="11" t="inlineStr"/>
      <c r="AN852" s="12" t="inlineStr"/>
      <c r="AO852" s="12" t="inlineStr"/>
      <c r="AP852" s="13" t="inlineStr"/>
      <c r="AQ852" s="13" t="inlineStr"/>
      <c r="AR852" s="13" t="inlineStr"/>
      <c r="AS852" s="13" t="inlineStr"/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7" t="n">
        <v>91165</v>
      </c>
      <c r="AK853" s="8" t="n">
        <v>12177</v>
      </c>
      <c r="AL853" s="8" t="n">
        <v>10488</v>
      </c>
      <c r="AM853" s="11" t="inlineStr"/>
      <c r="AN853" s="12" t="inlineStr"/>
      <c r="AO853" s="12" t="inlineStr"/>
      <c r="AP853" s="13" t="inlineStr"/>
      <c r="AQ853" s="13" t="inlineStr"/>
      <c r="AR853" s="13" t="inlineStr"/>
      <c r="AS853" s="13" t="inlineStr"/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7" t="n">
        <v>44950</v>
      </c>
      <c r="AK854" s="8" t="n">
        <v>4408</v>
      </c>
      <c r="AL854" s="8" t="n">
        <v>5034</v>
      </c>
      <c r="AM854" s="11" t="inlineStr"/>
      <c r="AN854" s="12" t="inlineStr"/>
      <c r="AO854" s="12" t="inlineStr"/>
      <c r="AP854" s="13" t="inlineStr"/>
      <c r="AQ854" s="13" t="inlineStr"/>
      <c r="AR854" s="13" t="inlineStr"/>
      <c r="AS854" s="13" t="inlineStr"/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7" t="n">
        <v>12508</v>
      </c>
      <c r="AK855" s="8" t="n">
        <v>687</v>
      </c>
      <c r="AL855" s="8" t="n">
        <v>2118</v>
      </c>
      <c r="AM855" s="11" t="inlineStr"/>
      <c r="AN855" s="12" t="inlineStr"/>
      <c r="AO855" s="12" t="inlineStr"/>
      <c r="AP855" s="13" t="inlineStr"/>
      <c r="AQ855" s="13" t="inlineStr"/>
      <c r="AR855" s="13" t="inlineStr"/>
      <c r="AS855" s="13" t="inlineStr"/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7" t="n">
        <v>11063</v>
      </c>
      <c r="AK856" s="8" t="n">
        <v>499</v>
      </c>
      <c r="AL856" s="8" t="n">
        <v>-783</v>
      </c>
      <c r="AM856" s="11" t="inlineStr"/>
      <c r="AN856" s="12" t="inlineStr"/>
      <c r="AO856" s="12" t="inlineStr"/>
      <c r="AP856" s="13" t="inlineStr"/>
      <c r="AQ856" s="13" t="inlineStr"/>
      <c r="AR856" s="13" t="inlineStr"/>
      <c r="AS856" s="13" t="inlineStr"/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7" t="n">
        <v>25251</v>
      </c>
      <c r="AK857" s="8" t="n">
        <v>-89</v>
      </c>
      <c r="AL857" s="8" t="n">
        <v>4907</v>
      </c>
      <c r="AM857" s="11" t="inlineStr"/>
      <c r="AN857" s="12" t="inlineStr"/>
      <c r="AO857" s="12" t="inlineStr"/>
      <c r="AP857" s="13" t="inlineStr"/>
      <c r="AQ857" s="13" t="inlineStr"/>
      <c r="AR857" s="13" t="inlineStr"/>
      <c r="AS857" s="13" t="inlineStr"/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7" t="n">
        <v>32872</v>
      </c>
      <c r="AK858" s="8" t="n">
        <v>-826</v>
      </c>
      <c r="AL858" s="8" t="n">
        <v>558</v>
      </c>
      <c r="AM858" s="11" t="inlineStr"/>
      <c r="AN858" s="12" t="inlineStr"/>
      <c r="AO858" s="12" t="inlineStr"/>
      <c r="AP858" s="13" t="inlineStr"/>
      <c r="AQ858" s="13" t="inlineStr"/>
      <c r="AR858" s="13" t="inlineStr"/>
      <c r="AS858" s="13" t="inlineStr"/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7" t="n">
        <v>3181</v>
      </c>
      <c r="AK859" s="8" t="n">
        <v>-137</v>
      </c>
      <c r="AL859" s="8" t="n">
        <v>1784</v>
      </c>
      <c r="AM859" s="11" t="inlineStr"/>
      <c r="AN859" s="12" t="inlineStr"/>
      <c r="AO859" s="12" t="inlineStr"/>
      <c r="AP859" s="13" t="inlineStr"/>
      <c r="AQ859" s="13" t="inlineStr"/>
      <c r="AR859" s="13" t="inlineStr"/>
      <c r="AS859" s="13" t="inlineStr"/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7" t="n">
        <v>24891</v>
      </c>
      <c r="AK860" s="8" t="n">
        <v>2629</v>
      </c>
      <c r="AL860" s="8" t="n">
        <v>2845</v>
      </c>
      <c r="AM860" s="11" t="inlineStr"/>
      <c r="AN860" s="12" t="inlineStr"/>
      <c r="AO860" s="12" t="inlineStr"/>
      <c r="AP860" s="13" t="inlineStr"/>
      <c r="AQ860" s="13" t="inlineStr"/>
      <c r="AR860" s="13" t="inlineStr"/>
      <c r="AS860" s="13" t="inlineStr"/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7" t="n">
        <v>12825</v>
      </c>
      <c r="AK861" s="8" t="n">
        <v>1444</v>
      </c>
      <c r="AL861" s="8" t="n">
        <v>68406</v>
      </c>
      <c r="AM861" s="11" t="inlineStr"/>
      <c r="AN861" s="12" t="inlineStr"/>
      <c r="AO861" s="12" t="inlineStr"/>
      <c r="AP861" s="13" t="inlineStr"/>
      <c r="AQ861" s="13" t="inlineStr"/>
      <c r="AR861" s="13" t="inlineStr"/>
      <c r="AS861" s="13" t="inlineStr"/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7" t="n">
        <v>29018</v>
      </c>
      <c r="AK862" s="8" t="n">
        <v>1766</v>
      </c>
      <c r="AL862" s="8" t="n">
        <v>4516</v>
      </c>
      <c r="AM862" s="11" t="inlineStr"/>
      <c r="AN862" s="12" t="inlineStr"/>
      <c r="AO862" s="12" t="inlineStr"/>
      <c r="AP862" s="13" t="inlineStr"/>
      <c r="AQ862" s="13" t="inlineStr"/>
      <c r="AR862" s="13" t="inlineStr"/>
      <c r="AS862" s="13" t="inlineStr"/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7" t="inlineStr"/>
      <c r="AK863" s="8" t="n">
        <v>3593</v>
      </c>
      <c r="AL863" s="8" t="n">
        <v>7845</v>
      </c>
      <c r="AM863" s="11" t="inlineStr"/>
      <c r="AN863" s="12" t="inlineStr"/>
      <c r="AO863" s="12" t="inlineStr"/>
      <c r="AP863" s="13" t="inlineStr"/>
      <c r="AQ863" s="13" t="inlineStr"/>
      <c r="AR863" s="13" t="inlineStr"/>
      <c r="AS863" s="13" t="inlineStr"/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7" t="n">
        <v>85401</v>
      </c>
      <c r="AK864" s="8" t="n">
        <v>75774</v>
      </c>
      <c r="AL864" s="8" t="n">
        <v>60451</v>
      </c>
      <c r="AM864" s="11" t="inlineStr"/>
      <c r="AN864" s="12" t="inlineStr"/>
      <c r="AO864" s="12" t="inlineStr"/>
      <c r="AP864" s="13" t="inlineStr"/>
      <c r="AQ864" s="13" t="inlineStr"/>
      <c r="AR864" s="13" t="inlineStr"/>
      <c r="AS864" s="13" t="inlineStr"/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7" t="n">
        <v>79717</v>
      </c>
      <c r="AK865" s="8" t="n">
        <v>3202</v>
      </c>
      <c r="AL865" s="8" t="n">
        <v>2961</v>
      </c>
      <c r="AM865" s="11" t="inlineStr"/>
      <c r="AN865" s="12" t="inlineStr"/>
      <c r="AO865" s="12" t="inlineStr"/>
      <c r="AP865" s="13" t="inlineStr"/>
      <c r="AQ865" s="13" t="inlineStr"/>
      <c r="AR865" s="13" t="inlineStr"/>
      <c r="AS865" s="13" t="inlineStr"/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7" t="n">
        <v>10542</v>
      </c>
      <c r="AK866" s="8" t="n">
        <v>1626</v>
      </c>
      <c r="AL866" s="8" t="n">
        <v>1222</v>
      </c>
      <c r="AM866" s="11" t="inlineStr"/>
      <c r="AN866" s="12" t="inlineStr"/>
      <c r="AO866" s="12" t="inlineStr"/>
      <c r="AP866" s="13" t="inlineStr"/>
      <c r="AQ866" s="13" t="inlineStr"/>
      <c r="AR866" s="13" t="inlineStr"/>
      <c r="AS866" s="13" t="inlineStr"/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7" t="n">
        <v>349641</v>
      </c>
      <c r="AK867" s="8" t="n">
        <v>52880</v>
      </c>
      <c r="AL867" s="8" t="n">
        <v>29163</v>
      </c>
      <c r="AM867" s="11" t="inlineStr"/>
      <c r="AN867" s="12" t="inlineStr"/>
      <c r="AO867" s="12" t="inlineStr"/>
      <c r="AP867" s="13" t="inlineStr"/>
      <c r="AQ867" s="13" t="inlineStr"/>
      <c r="AR867" s="13" t="inlineStr"/>
      <c r="AS867" s="13" t="inlineStr"/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7" t="n">
        <v>18303</v>
      </c>
      <c r="AK868" s="8" t="n">
        <v>4679</v>
      </c>
      <c r="AL868" s="8" t="n">
        <v>4487</v>
      </c>
      <c r="AM868" s="11" t="inlineStr"/>
      <c r="AN868" s="12" t="inlineStr"/>
      <c r="AO868" s="12" t="inlineStr"/>
      <c r="AP868" s="13" t="inlineStr"/>
      <c r="AQ868" s="13" t="inlineStr"/>
      <c r="AR868" s="13" t="inlineStr"/>
      <c r="AS868" s="13" t="inlineStr"/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7" t="n">
        <v>2526</v>
      </c>
      <c r="AK869" s="8" t="n">
        <v>-863</v>
      </c>
      <c r="AL869" s="8" t="n">
        <v>200</v>
      </c>
      <c r="AM869" s="11" t="inlineStr"/>
      <c r="AN869" s="12" t="inlineStr"/>
      <c r="AO869" s="12" t="inlineStr"/>
      <c r="AP869" s="13" t="inlineStr"/>
      <c r="AQ869" s="13" t="inlineStr"/>
      <c r="AR869" s="13" t="inlineStr"/>
      <c r="AS869" s="13" t="inlineStr"/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7" t="n">
        <v>149909</v>
      </c>
      <c r="AK870" s="8" t="n">
        <v>918</v>
      </c>
      <c r="AL870" s="8" t="n">
        <v>686</v>
      </c>
      <c r="AM870" s="11" t="inlineStr"/>
      <c r="AN870" s="12" t="inlineStr"/>
      <c r="AO870" s="12" t="inlineStr"/>
      <c r="AP870" s="13" t="inlineStr"/>
      <c r="AQ870" s="13" t="inlineStr"/>
      <c r="AR870" s="13" t="inlineStr"/>
      <c r="AS870" s="13" t="inlineStr"/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7" t="n">
        <v>73254</v>
      </c>
      <c r="AK871" s="8" t="n">
        <v>17743</v>
      </c>
      <c r="AL871" s="8" t="n">
        <v>14530</v>
      </c>
      <c r="AM871" s="11" t="inlineStr"/>
      <c r="AN871" s="12" t="inlineStr"/>
      <c r="AO871" s="12" t="inlineStr"/>
      <c r="AP871" s="13" t="inlineStr"/>
      <c r="AQ871" s="13" t="inlineStr"/>
      <c r="AR871" s="13" t="inlineStr"/>
      <c r="AS871" s="13" t="inlineStr"/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7" t="n">
        <v>14705</v>
      </c>
      <c r="AK872" s="8" t="n">
        <v>779</v>
      </c>
      <c r="AL872" s="8" t="n">
        <v>6749</v>
      </c>
      <c r="AM872" s="11" t="inlineStr"/>
      <c r="AN872" s="12" t="inlineStr"/>
      <c r="AO872" s="12" t="inlineStr"/>
      <c r="AP872" s="13" t="inlineStr"/>
      <c r="AQ872" s="13" t="inlineStr"/>
      <c r="AR872" s="13" t="inlineStr"/>
      <c r="AS872" s="13" t="inlineStr"/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7" t="n">
        <v>21144</v>
      </c>
      <c r="AK873" s="8" t="n">
        <v>2950</v>
      </c>
      <c r="AL873" s="8" t="n">
        <v>3109</v>
      </c>
      <c r="AM873" s="11" t="inlineStr"/>
      <c r="AN873" s="12" t="inlineStr"/>
      <c r="AO873" s="12" t="inlineStr"/>
      <c r="AP873" s="13" t="inlineStr"/>
      <c r="AQ873" s="13" t="inlineStr"/>
      <c r="AR873" s="13" t="inlineStr"/>
      <c r="AS873" s="13" t="inlineStr"/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7" t="n">
        <v>98694</v>
      </c>
      <c r="AK874" s="8" t="n">
        <v>2186</v>
      </c>
      <c r="AL874" s="8" t="n">
        <v>-646</v>
      </c>
      <c r="AM874" s="11" t="inlineStr"/>
      <c r="AN874" s="12" t="inlineStr"/>
      <c r="AO874" s="12" t="inlineStr"/>
      <c r="AP874" s="13" t="inlineStr"/>
      <c r="AQ874" s="13" t="inlineStr"/>
      <c r="AR874" s="13" t="inlineStr"/>
      <c r="AS874" s="13" t="inlineStr"/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7" t="n">
        <v>16702</v>
      </c>
      <c r="AK875" s="8" t="n">
        <v>1638</v>
      </c>
      <c r="AL875" s="8" t="n">
        <v>518</v>
      </c>
      <c r="AM875" s="11" t="inlineStr"/>
      <c r="AN875" s="12" t="inlineStr"/>
      <c r="AO875" s="12" t="inlineStr"/>
      <c r="AP875" s="13" t="inlineStr"/>
      <c r="AQ875" s="13" t="inlineStr"/>
      <c r="AR875" s="13" t="inlineStr"/>
      <c r="AS875" s="13" t="inlineStr"/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7" t="n">
        <v>83427</v>
      </c>
      <c r="AK876" s="8" t="n">
        <v>8233</v>
      </c>
      <c r="AL876" s="8" t="n">
        <v>8833</v>
      </c>
      <c r="AM876" s="11" t="inlineStr"/>
      <c r="AN876" s="12" t="inlineStr"/>
      <c r="AO876" s="12" t="inlineStr"/>
      <c r="AP876" s="13" t="inlineStr"/>
      <c r="AQ876" s="13" t="inlineStr"/>
      <c r="AR876" s="13" t="inlineStr"/>
      <c r="AS876" s="13" t="inlineStr"/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7" t="n">
        <v>20092</v>
      </c>
      <c r="AK877" s="8" t="n">
        <v>-135</v>
      </c>
      <c r="AL877" s="8" t="n">
        <v>-14002</v>
      </c>
      <c r="AM877" s="11" t="inlineStr"/>
      <c r="AN877" s="12" t="inlineStr"/>
      <c r="AO877" s="12" t="inlineStr"/>
      <c r="AP877" s="13" t="inlineStr"/>
      <c r="AQ877" s="13" t="inlineStr"/>
      <c r="AR877" s="13" t="inlineStr"/>
      <c r="AS877" s="13" t="inlineStr"/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7" t="n">
        <v>47910</v>
      </c>
      <c r="AK878" s="8" t="n">
        <v>89</v>
      </c>
      <c r="AL878" s="8" t="n">
        <v>-62</v>
      </c>
      <c r="AM878" s="11" t="inlineStr"/>
      <c r="AN878" s="12" t="inlineStr"/>
      <c r="AO878" s="12" t="inlineStr"/>
      <c r="AP878" s="13" t="inlineStr"/>
      <c r="AQ878" s="13" t="inlineStr"/>
      <c r="AR878" s="13" t="inlineStr"/>
      <c r="AS878" s="13" t="inlineStr"/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7" t="n">
        <v>123207</v>
      </c>
      <c r="AK879" s="8" t="n">
        <v>11817</v>
      </c>
      <c r="AL879" s="8" t="n">
        <v>11637</v>
      </c>
      <c r="AM879" s="11" t="inlineStr"/>
      <c r="AN879" s="12" t="inlineStr"/>
      <c r="AO879" s="12" t="inlineStr"/>
      <c r="AP879" s="13" t="inlineStr"/>
      <c r="AQ879" s="13" t="inlineStr"/>
      <c r="AR879" s="13" t="inlineStr"/>
      <c r="AS879" s="13" t="inlineStr"/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7" t="n">
        <v>103792</v>
      </c>
      <c r="AK880" s="8" t="n">
        <v>8231</v>
      </c>
      <c r="AL880" s="8" t="n">
        <v>18803</v>
      </c>
      <c r="AM880" s="11" t="inlineStr"/>
      <c r="AN880" s="12" t="inlineStr"/>
      <c r="AO880" s="12" t="inlineStr"/>
      <c r="AP880" s="13" t="inlineStr"/>
      <c r="AQ880" s="13" t="inlineStr"/>
      <c r="AR880" s="13" t="inlineStr"/>
      <c r="AS880" s="13" t="inlineStr"/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7" t="n">
        <v>57974</v>
      </c>
      <c r="AK881" s="8" t="n">
        <v>621</v>
      </c>
      <c r="AL881" s="8" t="n">
        <v>1711</v>
      </c>
      <c r="AM881" s="11" t="inlineStr"/>
      <c r="AN881" s="12" t="inlineStr"/>
      <c r="AO881" s="12" t="inlineStr"/>
      <c r="AP881" s="13" t="inlineStr"/>
      <c r="AQ881" s="13" t="inlineStr"/>
      <c r="AR881" s="13" t="inlineStr"/>
      <c r="AS881" s="13" t="inlineStr"/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7" t="n">
        <v>12176</v>
      </c>
      <c r="AK882" s="8" t="n">
        <v>-674</v>
      </c>
      <c r="AL882" s="8" t="n">
        <v>208</v>
      </c>
      <c r="AM882" s="11" t="inlineStr"/>
      <c r="AN882" s="12" t="inlineStr"/>
      <c r="AO882" s="12" t="inlineStr"/>
      <c r="AP882" s="13" t="inlineStr"/>
      <c r="AQ882" s="13" t="inlineStr"/>
      <c r="AR882" s="13" t="inlineStr"/>
      <c r="AS882" s="13" t="inlineStr"/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2026Q3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7" t="n">
        <v>34486</v>
      </c>
      <c r="AK883" s="8" t="n">
        <v>4439</v>
      </c>
      <c r="AL883" s="8" t="n">
        <v>3744</v>
      </c>
      <c r="AM883" s="11" t="n">
        <v>36346</v>
      </c>
      <c r="AN883" s="12" t="n">
        <v>4095</v>
      </c>
      <c r="AO883" s="12" t="n">
        <v>1786</v>
      </c>
      <c r="AP883" s="13" t="n">
        <v>5.4</v>
      </c>
      <c r="AQ883" s="13" t="n">
        <v>65</v>
      </c>
      <c r="AR883" s="13" t="n">
        <v>-7.7</v>
      </c>
      <c r="AS883" s="13" t="n">
        <v>9887.799999999999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7" t="n">
        <v>42727</v>
      </c>
      <c r="AK884" s="8" t="n">
        <v>-4490</v>
      </c>
      <c r="AL884" s="8" t="n">
        <v>14286</v>
      </c>
      <c r="AM884" s="11" t="inlineStr"/>
      <c r="AN884" s="12" t="inlineStr"/>
      <c r="AO884" s="12" t="inlineStr"/>
      <c r="AP884" s="13" t="inlineStr"/>
      <c r="AQ884" s="13" t="inlineStr"/>
      <c r="AR884" s="13" t="inlineStr"/>
      <c r="AS884" s="13" t="inlineStr"/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7" t="n">
        <v>5443171</v>
      </c>
      <c r="AK885" s="8" t="n">
        <v>736114</v>
      </c>
      <c r="AL885" s="8" t="n">
        <v>692589</v>
      </c>
      <c r="AM885" s="11" t="inlineStr"/>
      <c r="AN885" s="12" t="inlineStr"/>
      <c r="AO885" s="12" t="inlineStr"/>
      <c r="AP885" s="13" t="inlineStr"/>
      <c r="AQ885" s="13" t="inlineStr"/>
      <c r="AR885" s="13" t="inlineStr"/>
      <c r="AS885" s="13" t="inlineStr"/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7" t="n">
        <v>251163</v>
      </c>
      <c r="AK886" s="8" t="n">
        <v>130347</v>
      </c>
      <c r="AL886" s="8" t="n">
        <v>108431</v>
      </c>
      <c r="AM886" s="11" t="inlineStr"/>
      <c r="AN886" s="12" t="inlineStr"/>
      <c r="AO886" s="12" t="inlineStr"/>
      <c r="AP886" s="13" t="inlineStr"/>
      <c r="AQ886" s="13" t="inlineStr"/>
      <c r="AR886" s="13" t="inlineStr"/>
      <c r="AS886" s="13" t="inlineStr"/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7" t="n">
        <v>2122</v>
      </c>
      <c r="AK887" s="8" t="n">
        <v>-1809</v>
      </c>
      <c r="AL887" s="8" t="n">
        <v>-3020</v>
      </c>
      <c r="AM887" s="11" t="inlineStr"/>
      <c r="AN887" s="12" t="inlineStr"/>
      <c r="AO887" s="12" t="inlineStr"/>
      <c r="AP887" s="13" t="inlineStr"/>
      <c r="AQ887" s="13" t="inlineStr"/>
      <c r="AR887" s="13" t="inlineStr"/>
      <c r="AS887" s="13" t="inlineStr"/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7" t="n">
        <v>4364</v>
      </c>
      <c r="AK888" s="8" t="n">
        <v>-261</v>
      </c>
      <c r="AL888" s="8" t="n">
        <v>-3145</v>
      </c>
      <c r="AM888" s="11" t="inlineStr"/>
      <c r="AN888" s="12" t="inlineStr"/>
      <c r="AO888" s="12" t="inlineStr"/>
      <c r="AP888" s="13" t="inlineStr"/>
      <c r="AQ888" s="13" t="inlineStr"/>
      <c r="AR888" s="13" t="inlineStr"/>
      <c r="AS888" s="13" t="inlineStr"/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7" t="n">
        <v>3194</v>
      </c>
      <c r="AK889" s="8" t="n">
        <v>-1127</v>
      </c>
      <c r="AL889" s="8" t="n">
        <v>-1674</v>
      </c>
      <c r="AM889" s="11" t="inlineStr"/>
      <c r="AN889" s="12" t="inlineStr"/>
      <c r="AO889" s="12" t="inlineStr"/>
      <c r="AP889" s="13" t="inlineStr"/>
      <c r="AQ889" s="13" t="inlineStr"/>
      <c r="AR889" s="13" t="inlineStr"/>
      <c r="AS889" s="13" t="inlineStr"/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7" t="n">
        <v>121363</v>
      </c>
      <c r="AK890" s="8" t="n">
        <v>24473</v>
      </c>
      <c r="AL890" s="8" t="n">
        <v>22190</v>
      </c>
      <c r="AM890" s="11" t="inlineStr"/>
      <c r="AN890" s="12" t="inlineStr"/>
      <c r="AO890" s="12" t="inlineStr"/>
      <c r="AP890" s="13" t="inlineStr"/>
      <c r="AQ890" s="13" t="inlineStr"/>
      <c r="AR890" s="13" t="inlineStr"/>
      <c r="AS890" s="13" t="inlineStr"/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7" t="n">
        <v>6207</v>
      </c>
      <c r="AK891" s="8" t="n">
        <v>106</v>
      </c>
      <c r="AL891" s="8" t="n">
        <v>-157</v>
      </c>
      <c r="AM891" s="11" t="inlineStr"/>
      <c r="AN891" s="12" t="inlineStr"/>
      <c r="AO891" s="12" t="inlineStr"/>
      <c r="AP891" s="13" t="inlineStr"/>
      <c r="AQ891" s="13" t="inlineStr"/>
      <c r="AR891" s="13" t="inlineStr"/>
      <c r="AS891" s="13" t="inlineStr"/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7" t="n">
        <v>2025</v>
      </c>
      <c r="AK892" s="8" t="n">
        <v>4</v>
      </c>
      <c r="AL892" s="8" t="n">
        <v>-593</v>
      </c>
      <c r="AM892" s="11" t="inlineStr"/>
      <c r="AN892" s="12" t="inlineStr"/>
      <c r="AO892" s="12" t="inlineStr"/>
      <c r="AP892" s="13" t="inlineStr"/>
      <c r="AQ892" s="13" t="inlineStr"/>
      <c r="AR892" s="13" t="inlineStr"/>
      <c r="AS892" s="13" t="inlineStr"/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7" t="n">
        <v>85243</v>
      </c>
      <c r="AK893" s="8" t="n">
        <v>6893</v>
      </c>
      <c r="AL893" s="8" t="n">
        <v>-45997</v>
      </c>
      <c r="AM893" s="11" t="inlineStr"/>
      <c r="AN893" s="12" t="inlineStr"/>
      <c r="AO893" s="12" t="inlineStr"/>
      <c r="AP893" s="13" t="inlineStr"/>
      <c r="AQ893" s="13" t="inlineStr"/>
      <c r="AR893" s="13" t="inlineStr"/>
      <c r="AS893" s="13" t="inlineStr"/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7" t="n">
        <v>16216</v>
      </c>
      <c r="AK894" s="8" t="n">
        <v>1048</v>
      </c>
      <c r="AL894" s="8" t="n">
        <v>822</v>
      </c>
      <c r="AM894" s="11" t="inlineStr"/>
      <c r="AN894" s="12" t="inlineStr"/>
      <c r="AO894" s="12" t="inlineStr"/>
      <c r="AP894" s="13" t="inlineStr"/>
      <c r="AQ894" s="13" t="inlineStr"/>
      <c r="AR894" s="13" t="inlineStr"/>
      <c r="AS894" s="13" t="inlineStr"/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7" t="n">
        <v>4526</v>
      </c>
      <c r="AK895" s="8" t="n">
        <v>-343</v>
      </c>
      <c r="AL895" s="8" t="n">
        <v>-126</v>
      </c>
      <c r="AM895" s="11" t="inlineStr"/>
      <c r="AN895" s="12" t="inlineStr"/>
      <c r="AO895" s="12" t="inlineStr"/>
      <c r="AP895" s="13" t="inlineStr"/>
      <c r="AQ895" s="13" t="inlineStr"/>
      <c r="AR895" s="13" t="inlineStr"/>
      <c r="AS895" s="13" t="inlineStr"/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7" t="n">
        <v>316818</v>
      </c>
      <c r="AK896" s="8" t="n">
        <v>11382</v>
      </c>
      <c r="AL896" s="8" t="n">
        <v>14375</v>
      </c>
      <c r="AM896" s="11" t="inlineStr"/>
      <c r="AN896" s="12" t="inlineStr"/>
      <c r="AO896" s="12" t="inlineStr"/>
      <c r="AP896" s="13" t="inlineStr"/>
      <c r="AQ896" s="13" t="inlineStr"/>
      <c r="AR896" s="13" t="inlineStr"/>
      <c r="AS896" s="13" t="inlineStr"/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7" t="n">
        <v>3895</v>
      </c>
      <c r="AK897" s="8" t="n">
        <v>-728</v>
      </c>
      <c r="AL897" s="8" t="n">
        <v>-704</v>
      </c>
      <c r="AM897" s="11" t="inlineStr"/>
      <c r="AN897" s="12" t="inlineStr"/>
      <c r="AO897" s="12" t="inlineStr"/>
      <c r="AP897" s="13" t="inlineStr"/>
      <c r="AQ897" s="13" t="inlineStr"/>
      <c r="AR897" s="13" t="inlineStr"/>
      <c r="AS897" s="13" t="inlineStr"/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7" t="n">
        <v>77216</v>
      </c>
      <c r="AK898" s="8" t="n">
        <v>1894</v>
      </c>
      <c r="AL898" s="8" t="n">
        <v>-465</v>
      </c>
      <c r="AM898" s="11" t="inlineStr"/>
      <c r="AN898" s="12" t="inlineStr"/>
      <c r="AO898" s="12" t="inlineStr"/>
      <c r="AP898" s="13" t="inlineStr"/>
      <c r="AQ898" s="13" t="inlineStr"/>
      <c r="AR898" s="13" t="inlineStr"/>
      <c r="AS898" s="13" t="inlineStr"/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7" t="n">
        <v>14702</v>
      </c>
      <c r="AK899" s="8" t="n">
        <v>-1426</v>
      </c>
      <c r="AL899" s="8" t="n">
        <v>737</v>
      </c>
      <c r="AM899" s="11" t="inlineStr"/>
      <c r="AN899" s="12" t="inlineStr"/>
      <c r="AO899" s="12" t="inlineStr"/>
      <c r="AP899" s="13" t="inlineStr"/>
      <c r="AQ899" s="13" t="inlineStr"/>
      <c r="AR899" s="13" t="inlineStr"/>
      <c r="AS899" s="13" t="inlineStr"/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7" t="n">
        <v>42378</v>
      </c>
      <c r="AK900" s="8" t="n">
        <v>-600</v>
      </c>
      <c r="AL900" s="8" t="n">
        <v>-6278</v>
      </c>
      <c r="AM900" s="11" t="inlineStr"/>
      <c r="AN900" s="12" t="inlineStr"/>
      <c r="AO900" s="12" t="inlineStr"/>
      <c r="AP900" s="13" t="inlineStr"/>
      <c r="AQ900" s="13" t="inlineStr"/>
      <c r="AR900" s="13" t="inlineStr"/>
      <c r="AS900" s="13" t="inlineStr"/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7" t="n">
        <v>9069</v>
      </c>
      <c r="AK901" s="8" t="n">
        <v>290</v>
      </c>
      <c r="AL901" s="8" t="n">
        <v>-337</v>
      </c>
      <c r="AM901" s="11" t="inlineStr"/>
      <c r="AN901" s="12" t="inlineStr"/>
      <c r="AO901" s="12" t="inlineStr"/>
      <c r="AP901" s="13" t="inlineStr"/>
      <c r="AQ901" s="13" t="inlineStr"/>
      <c r="AR901" s="13" t="inlineStr"/>
      <c r="AS901" s="13" t="inlineStr"/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7" t="n">
        <v>8077</v>
      </c>
      <c r="AK902" s="8" t="n">
        <v>-278</v>
      </c>
      <c r="AL902" s="8" t="n">
        <v>-14494</v>
      </c>
      <c r="AM902" s="11" t="inlineStr"/>
      <c r="AN902" s="12" t="inlineStr"/>
      <c r="AO902" s="12" t="inlineStr"/>
      <c r="AP902" s="13" t="inlineStr"/>
      <c r="AQ902" s="13" t="inlineStr"/>
      <c r="AR902" s="13" t="inlineStr"/>
      <c r="AS902" s="13" t="inlineStr"/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7" t="n">
        <v>137862</v>
      </c>
      <c r="AK903" s="8" t="n">
        <v>-39537</v>
      </c>
      <c r="AL903" s="8" t="n">
        <v>-48149</v>
      </c>
      <c r="AM903" s="11" t="inlineStr"/>
      <c r="AN903" s="12" t="inlineStr"/>
      <c r="AO903" s="12" t="inlineStr"/>
      <c r="AP903" s="13" t="inlineStr"/>
      <c r="AQ903" s="13" t="inlineStr"/>
      <c r="AR903" s="13" t="inlineStr"/>
      <c r="AS903" s="13" t="inlineStr"/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7" t="n">
        <v>14791</v>
      </c>
      <c r="AK904" s="8" t="n">
        <v>100</v>
      </c>
      <c r="AL904" s="8" t="n">
        <v>296</v>
      </c>
      <c r="AM904" s="11" t="inlineStr"/>
      <c r="AN904" s="12" t="inlineStr"/>
      <c r="AO904" s="12" t="inlineStr"/>
      <c r="AP904" s="13" t="inlineStr"/>
      <c r="AQ904" s="13" t="inlineStr"/>
      <c r="AR904" s="13" t="inlineStr"/>
      <c r="AS904" s="13" t="inlineStr"/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7" t="n">
        <v>159897</v>
      </c>
      <c r="AK905" s="8" t="n">
        <v>32012</v>
      </c>
      <c r="AL905" s="8" t="n">
        <v>17011</v>
      </c>
      <c r="AM905" s="11" t="inlineStr"/>
      <c r="AN905" s="12" t="inlineStr"/>
      <c r="AO905" s="12" t="inlineStr"/>
      <c r="AP905" s="13" t="inlineStr"/>
      <c r="AQ905" s="13" t="inlineStr"/>
      <c r="AR905" s="13" t="inlineStr"/>
      <c r="AS905" s="13" t="inlineStr"/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7" t="n">
        <v>6757</v>
      </c>
      <c r="AK906" s="8" t="n">
        <v>-580</v>
      </c>
      <c r="AL906" s="8" t="n">
        <v>-13278</v>
      </c>
      <c r="AM906" s="11" t="inlineStr"/>
      <c r="AN906" s="12" t="inlineStr"/>
      <c r="AO906" s="12" t="inlineStr"/>
      <c r="AP906" s="13" t="inlineStr"/>
      <c r="AQ906" s="13" t="inlineStr"/>
      <c r="AR906" s="13" t="inlineStr"/>
      <c r="AS906" s="13" t="inlineStr"/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7" t="n">
        <v>105494</v>
      </c>
      <c r="AK907" s="8" t="n">
        <v>3196</v>
      </c>
      <c r="AL907" s="8" t="n">
        <v>4284</v>
      </c>
      <c r="AM907" s="11" t="inlineStr"/>
      <c r="AN907" s="12" t="inlineStr"/>
      <c r="AO907" s="12" t="inlineStr"/>
      <c r="AP907" s="13" t="inlineStr"/>
      <c r="AQ907" s="13" t="inlineStr"/>
      <c r="AR907" s="13" t="inlineStr"/>
      <c r="AS907" s="13" t="inlineStr"/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7" t="n">
        <v>14593</v>
      </c>
      <c r="AK908" s="8" t="n">
        <v>-187</v>
      </c>
      <c r="AL908" s="8" t="n">
        <v>7920</v>
      </c>
      <c r="AM908" s="11" t="inlineStr"/>
      <c r="AN908" s="12" t="inlineStr"/>
      <c r="AO908" s="12" t="inlineStr"/>
      <c r="AP908" s="13" t="inlineStr"/>
      <c r="AQ908" s="13" t="inlineStr"/>
      <c r="AR908" s="13" t="inlineStr"/>
      <c r="AS908" s="13" t="inlineStr"/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7" t="n">
        <v>238977</v>
      </c>
      <c r="AK909" s="8" t="n">
        <v>16260</v>
      </c>
      <c r="AL909" s="8" t="n">
        <v>46550</v>
      </c>
      <c r="AM909" s="11" t="inlineStr"/>
      <c r="AN909" s="12" t="inlineStr"/>
      <c r="AO909" s="12" t="inlineStr"/>
      <c r="AP909" s="13" t="inlineStr"/>
      <c r="AQ909" s="13" t="inlineStr"/>
      <c r="AR909" s="13" t="inlineStr"/>
      <c r="AS909" s="13" t="inlineStr"/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7" t="n">
        <v>12146</v>
      </c>
      <c r="AK910" s="8" t="n">
        <v>1744</v>
      </c>
      <c r="AL910" s="8" t="n">
        <v>2261</v>
      </c>
      <c r="AM910" s="11" t="inlineStr"/>
      <c r="AN910" s="12" t="inlineStr"/>
      <c r="AO910" s="12" t="inlineStr"/>
      <c r="AP910" s="13" t="inlineStr"/>
      <c r="AQ910" s="13" t="inlineStr"/>
      <c r="AR910" s="13" t="inlineStr"/>
      <c r="AS910" s="13" t="inlineStr"/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7" t="n">
        <v>22826</v>
      </c>
      <c r="AK911" s="8" t="n">
        <v>1967</v>
      </c>
      <c r="AL911" s="8" t="n">
        <v>1533</v>
      </c>
      <c r="AM911" s="11" t="inlineStr"/>
      <c r="AN911" s="12" t="inlineStr"/>
      <c r="AO911" s="12" t="inlineStr"/>
      <c r="AP911" s="13" t="inlineStr"/>
      <c r="AQ911" s="13" t="inlineStr"/>
      <c r="AR911" s="13" t="inlineStr"/>
      <c r="AS911" s="13" t="inlineStr"/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7" t="n">
        <v>45344</v>
      </c>
      <c r="AK912" s="8" t="n">
        <v>4941</v>
      </c>
      <c r="AL912" s="8" t="n">
        <v>4083</v>
      </c>
      <c r="AM912" s="11" t="inlineStr"/>
      <c r="AN912" s="12" t="inlineStr"/>
      <c r="AO912" s="12" t="inlineStr"/>
      <c r="AP912" s="13" t="inlineStr"/>
      <c r="AQ912" s="13" t="inlineStr"/>
      <c r="AR912" s="13" t="inlineStr"/>
      <c r="AS912" s="13" t="inlineStr"/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7" t="n">
        <v>354703</v>
      </c>
      <c r="AK913" s="8" t="n">
        <v>28525</v>
      </c>
      <c r="AL913" s="8" t="n">
        <v>21875</v>
      </c>
      <c r="AM913" s="11" t="inlineStr"/>
      <c r="AN913" s="12" t="inlineStr"/>
      <c r="AO913" s="12" t="inlineStr"/>
      <c r="AP913" s="13" t="inlineStr"/>
      <c r="AQ913" s="13" t="inlineStr"/>
      <c r="AR913" s="13" t="inlineStr"/>
      <c r="AS913" s="13" t="inlineStr"/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7" t="n">
        <v>14434</v>
      </c>
      <c r="AK914" s="8" t="n">
        <v>2535</v>
      </c>
      <c r="AL914" s="8" t="n">
        <v>2805</v>
      </c>
      <c r="AM914" s="11" t="inlineStr"/>
      <c r="AN914" s="12" t="inlineStr"/>
      <c r="AO914" s="12" t="inlineStr"/>
      <c r="AP914" s="13" t="inlineStr"/>
      <c r="AQ914" s="13" t="inlineStr"/>
      <c r="AR914" s="13" t="inlineStr"/>
      <c r="AS914" s="13" t="inlineStr"/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7" t="n">
        <v>9596</v>
      </c>
      <c r="AK915" s="8" t="n">
        <v>4177</v>
      </c>
      <c r="AL915" s="8" t="n">
        <v>3586</v>
      </c>
      <c r="AM915" s="11" t="inlineStr"/>
      <c r="AN915" s="12" t="inlineStr"/>
      <c r="AO915" s="12" t="inlineStr"/>
      <c r="AP915" s="13" t="inlineStr"/>
      <c r="AQ915" s="13" t="inlineStr"/>
      <c r="AR915" s="13" t="inlineStr"/>
      <c r="AS915" s="13" t="inlineStr"/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7" t="n">
        <v>30465</v>
      </c>
      <c r="AK916" s="8" t="n">
        <v>1798</v>
      </c>
      <c r="AL916" s="8" t="n">
        <v>1939</v>
      </c>
      <c r="AM916" s="11" t="inlineStr"/>
      <c r="AN916" s="12" t="inlineStr"/>
      <c r="AO916" s="12" t="inlineStr"/>
      <c r="AP916" s="13" t="inlineStr"/>
      <c r="AQ916" s="13" t="inlineStr"/>
      <c r="AR916" s="13" t="inlineStr"/>
      <c r="AS916" s="13" t="inlineStr"/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7" t="n">
        <v>58341</v>
      </c>
      <c r="AK917" s="8" t="n">
        <v>1867</v>
      </c>
      <c r="AL917" s="8" t="n">
        <v>1124</v>
      </c>
      <c r="AM917" s="11" t="inlineStr"/>
      <c r="AN917" s="12" t="inlineStr"/>
      <c r="AO917" s="12" t="inlineStr"/>
      <c r="AP917" s="13" t="inlineStr"/>
      <c r="AQ917" s="13" t="inlineStr"/>
      <c r="AR917" s="13" t="inlineStr"/>
      <c r="AS917" s="13" t="inlineStr"/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7" t="n">
        <v>24969</v>
      </c>
      <c r="AK918" s="8" t="n">
        <v>389</v>
      </c>
      <c r="AL918" s="8" t="n">
        <v>141</v>
      </c>
      <c r="AM918" s="11" t="inlineStr"/>
      <c r="AN918" s="12" t="inlineStr"/>
      <c r="AO918" s="12" t="inlineStr"/>
      <c r="AP918" s="13" t="inlineStr"/>
      <c r="AQ918" s="13" t="inlineStr"/>
      <c r="AR918" s="13" t="inlineStr"/>
      <c r="AS918" s="13" t="inlineStr"/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7" t="n">
        <v>53576</v>
      </c>
      <c r="AK919" s="8" t="n">
        <v>10472</v>
      </c>
      <c r="AL919" s="8" t="n">
        <v>9617</v>
      </c>
      <c r="AM919" s="11" t="inlineStr"/>
      <c r="AN919" s="12" t="inlineStr"/>
      <c r="AO919" s="12" t="inlineStr"/>
      <c r="AP919" s="13" t="inlineStr"/>
      <c r="AQ919" s="13" t="inlineStr"/>
      <c r="AR919" s="13" t="inlineStr"/>
      <c r="AS919" s="13" t="inlineStr"/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7" t="n">
        <v>132073</v>
      </c>
      <c r="AK920" s="8" t="n">
        <v>-3037</v>
      </c>
      <c r="AL920" s="8" t="n">
        <v>-3352</v>
      </c>
      <c r="AM920" s="11" t="inlineStr"/>
      <c r="AN920" s="12" t="inlineStr"/>
      <c r="AO920" s="12" t="inlineStr"/>
      <c r="AP920" s="13" t="inlineStr"/>
      <c r="AQ920" s="13" t="inlineStr"/>
      <c r="AR920" s="13" t="inlineStr"/>
      <c r="AS920" s="13" t="inlineStr"/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7" t="n">
        <v>45439</v>
      </c>
      <c r="AK921" s="8" t="n">
        <v>-540</v>
      </c>
      <c r="AL921" s="8" t="n">
        <v>7927</v>
      </c>
      <c r="AM921" s="11" t="inlineStr"/>
      <c r="AN921" s="12" t="inlineStr"/>
      <c r="AO921" s="12" t="inlineStr"/>
      <c r="AP921" s="13" t="inlineStr"/>
      <c r="AQ921" s="13" t="inlineStr"/>
      <c r="AR921" s="13" t="inlineStr"/>
      <c r="AS921" s="13" t="inlineStr"/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7" t="n">
        <v>16569</v>
      </c>
      <c r="AK922" s="8" t="n">
        <v>-1395</v>
      </c>
      <c r="AL922" s="8" t="n">
        <v>-5076</v>
      </c>
      <c r="AM922" s="11" t="inlineStr"/>
      <c r="AN922" s="12" t="inlineStr"/>
      <c r="AO922" s="12" t="inlineStr"/>
      <c r="AP922" s="13" t="inlineStr"/>
      <c r="AQ922" s="13" t="inlineStr"/>
      <c r="AR922" s="13" t="inlineStr"/>
      <c r="AS922" s="13" t="inlineStr"/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7" t="n">
        <v>3708</v>
      </c>
      <c r="AK923" s="8" t="n">
        <v>-158</v>
      </c>
      <c r="AL923" s="8" t="n">
        <v>1550</v>
      </c>
      <c r="AM923" s="11" t="inlineStr"/>
      <c r="AN923" s="12" t="inlineStr"/>
      <c r="AO923" s="12" t="inlineStr"/>
      <c r="AP923" s="13" t="inlineStr"/>
      <c r="AQ923" s="13" t="inlineStr"/>
      <c r="AR923" s="13" t="inlineStr"/>
      <c r="AS923" s="13" t="inlineStr"/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7" t="n">
        <v>39539</v>
      </c>
      <c r="AK924" s="8" t="n">
        <v>407</v>
      </c>
      <c r="AL924" s="8" t="n">
        <v>545</v>
      </c>
      <c r="AM924" s="11" t="inlineStr"/>
      <c r="AN924" s="12" t="inlineStr"/>
      <c r="AO924" s="12" t="inlineStr"/>
      <c r="AP924" s="13" t="inlineStr"/>
      <c r="AQ924" s="13" t="inlineStr"/>
      <c r="AR924" s="13" t="inlineStr"/>
      <c r="AS924" s="13" t="inlineStr"/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7" t="n">
        <v>391</v>
      </c>
      <c r="AK925" s="8" t="n">
        <v>-1377</v>
      </c>
      <c r="AL925" s="8" t="n">
        <v>-1227</v>
      </c>
      <c r="AM925" s="11" t="inlineStr"/>
      <c r="AN925" s="12" t="inlineStr"/>
      <c r="AO925" s="12" t="inlineStr"/>
      <c r="AP925" s="13" t="inlineStr"/>
      <c r="AQ925" s="13" t="inlineStr"/>
      <c r="AR925" s="13" t="inlineStr"/>
      <c r="AS925" s="13" t="inlineStr"/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7" t="n">
        <v>62246</v>
      </c>
      <c r="AK926" s="8" t="n">
        <v>8813</v>
      </c>
      <c r="AL926" s="8" t="n">
        <v>6718</v>
      </c>
      <c r="AM926" s="11" t="inlineStr"/>
      <c r="AN926" s="12" t="inlineStr"/>
      <c r="AO926" s="12" t="inlineStr"/>
      <c r="AP926" s="13" t="inlineStr"/>
      <c r="AQ926" s="13" t="inlineStr"/>
      <c r="AR926" s="13" t="inlineStr"/>
      <c r="AS926" s="13" t="inlineStr"/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2026Q3</t>
        </is>
      </c>
      <c r="E927" s="6" t="inlineStr">
        <is>
          <t>2023Q4, 2026Q3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7" t="n">
        <v>292104</v>
      </c>
      <c r="AK927" s="8" t="n">
        <v>3494</v>
      </c>
      <c r="AL927" s="8" t="n">
        <v>6194</v>
      </c>
      <c r="AM927" s="14" t="n">
        <v>302176</v>
      </c>
      <c r="AN927" s="12" t="inlineStr"/>
      <c r="AO927" s="12" t="inlineStr"/>
      <c r="AP927" s="13" t="n">
        <v>3.4</v>
      </c>
      <c r="AQ927" s="13" t="n">
        <v>17.6</v>
      </c>
      <c r="AR927" s="13" t="inlineStr"/>
      <c r="AS927" s="13" t="inlineStr"/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7" t="n">
        <v>67377</v>
      </c>
      <c r="AK928" s="8" t="n">
        <v>4035</v>
      </c>
      <c r="AL928" s="8" t="n">
        <v>3438</v>
      </c>
      <c r="AM928" s="11" t="inlineStr"/>
      <c r="AN928" s="12" t="inlineStr"/>
      <c r="AO928" s="12" t="inlineStr"/>
      <c r="AP928" s="13" t="inlineStr"/>
      <c r="AQ928" s="13" t="inlineStr"/>
      <c r="AR928" s="13" t="inlineStr"/>
      <c r="AS928" s="13" t="inlineStr"/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7" t="n">
        <v>14728</v>
      </c>
      <c r="AK929" s="8" t="n">
        <v>2555</v>
      </c>
      <c r="AL929" s="8" t="n">
        <v>1272</v>
      </c>
      <c r="AM929" s="11" t="inlineStr"/>
      <c r="AN929" s="12" t="inlineStr"/>
      <c r="AO929" s="12" t="inlineStr"/>
      <c r="AP929" s="13" t="inlineStr"/>
      <c r="AQ929" s="13" t="inlineStr"/>
      <c r="AR929" s="13" t="inlineStr"/>
      <c r="AS929" s="13" t="inlineStr"/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7" t="n">
        <v>2043499</v>
      </c>
      <c r="AK930" s="8" t="n">
        <v>232239</v>
      </c>
      <c r="AL930" s="8" t="n">
        <v>167145</v>
      </c>
      <c r="AM930" s="11" t="inlineStr"/>
      <c r="AN930" s="12" t="inlineStr"/>
      <c r="AO930" s="12" t="inlineStr"/>
      <c r="AP930" s="13" t="inlineStr"/>
      <c r="AQ930" s="13" t="inlineStr"/>
      <c r="AR930" s="13" t="inlineStr"/>
      <c r="AS930" s="13" t="inlineStr"/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7" t="n">
        <v>9623165</v>
      </c>
      <c r="AK931" s="8" t="n">
        <v>429006</v>
      </c>
      <c r="AL931" s="8" t="n">
        <v>247296</v>
      </c>
      <c r="AM931" s="11" t="inlineStr"/>
      <c r="AN931" s="12" t="inlineStr"/>
      <c r="AO931" s="12" t="inlineStr"/>
      <c r="AP931" s="13" t="inlineStr"/>
      <c r="AQ931" s="13" t="inlineStr"/>
      <c r="AR931" s="13" t="inlineStr"/>
      <c r="AS931" s="13" t="inlineStr"/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7" t="n">
        <v>6769</v>
      </c>
      <c r="AK932" s="8" t="n">
        <v>627</v>
      </c>
      <c r="AL932" s="8" t="n">
        <v>1126</v>
      </c>
      <c r="AM932" s="11" t="inlineStr"/>
      <c r="AN932" s="12" t="inlineStr"/>
      <c r="AO932" s="12" t="inlineStr"/>
      <c r="AP932" s="13" t="inlineStr"/>
      <c r="AQ932" s="13" t="inlineStr"/>
      <c r="AR932" s="13" t="inlineStr"/>
      <c r="AS932" s="13" t="inlineStr"/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7" t="n">
        <v>200535</v>
      </c>
      <c r="AK933" s="8" t="n">
        <v>4626</v>
      </c>
      <c r="AL933" s="8" t="n">
        <v>3642</v>
      </c>
      <c r="AM933" s="11" t="inlineStr"/>
      <c r="AN933" s="12" t="inlineStr"/>
      <c r="AO933" s="12" t="inlineStr"/>
      <c r="AP933" s="13" t="inlineStr"/>
      <c r="AQ933" s="13" t="inlineStr"/>
      <c r="AR933" s="13" t="inlineStr"/>
      <c r="AS933" s="13" t="inlineStr"/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7" t="n">
        <v>26903</v>
      </c>
      <c r="AK934" s="8" t="n">
        <v>714</v>
      </c>
      <c r="AL934" s="8" t="n">
        <v>322</v>
      </c>
      <c r="AM934" s="11" t="inlineStr"/>
      <c r="AN934" s="12" t="inlineStr"/>
      <c r="AO934" s="12" t="inlineStr"/>
      <c r="AP934" s="13" t="inlineStr"/>
      <c r="AQ934" s="13" t="inlineStr"/>
      <c r="AR934" s="13" t="inlineStr"/>
      <c r="AS934" s="13" t="inlineStr"/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7" t="inlineStr"/>
      <c r="AK935" s="8" t="n">
        <v>-332</v>
      </c>
      <c r="AL935" s="8" t="n">
        <v>-1330</v>
      </c>
      <c r="AM935" s="11" t="inlineStr"/>
      <c r="AN935" s="12" t="inlineStr"/>
      <c r="AO935" s="12" t="inlineStr"/>
      <c r="AP935" s="13" t="inlineStr"/>
      <c r="AQ935" s="13" t="inlineStr"/>
      <c r="AR935" s="13" t="inlineStr"/>
      <c r="AS935" s="13" t="inlineStr"/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7" t="n">
        <v>12262</v>
      </c>
      <c r="AK936" s="8" t="n">
        <v>1617</v>
      </c>
      <c r="AL936" s="8" t="n">
        <v>5979</v>
      </c>
      <c r="AM936" s="11" t="inlineStr"/>
      <c r="AN936" s="12" t="inlineStr"/>
      <c r="AO936" s="12" t="inlineStr"/>
      <c r="AP936" s="13" t="inlineStr"/>
      <c r="AQ936" s="13" t="inlineStr"/>
      <c r="AR936" s="13" t="inlineStr"/>
      <c r="AS936" s="13" t="inlineStr"/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7" t="n">
        <v>1167894</v>
      </c>
      <c r="AK937" s="8" t="n">
        <v>48442</v>
      </c>
      <c r="AL937" s="8" t="n">
        <v>37013</v>
      </c>
      <c r="AM937" s="11" t="inlineStr"/>
      <c r="AN937" s="12" t="inlineStr"/>
      <c r="AO937" s="12" t="inlineStr"/>
      <c r="AP937" s="13" t="inlineStr"/>
      <c r="AQ937" s="13" t="inlineStr"/>
      <c r="AR937" s="13" t="inlineStr"/>
      <c r="AS937" s="13" t="inlineStr"/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7" t="n">
        <v>25173</v>
      </c>
      <c r="AK938" s="8" t="n">
        <v>-507</v>
      </c>
      <c r="AL938" s="8" t="n">
        <v>-5783</v>
      </c>
      <c r="AM938" s="11" t="inlineStr"/>
      <c r="AN938" s="12" t="inlineStr"/>
      <c r="AO938" s="12" t="inlineStr"/>
      <c r="AP938" s="13" t="inlineStr"/>
      <c r="AQ938" s="13" t="inlineStr"/>
      <c r="AR938" s="13" t="inlineStr"/>
      <c r="AS938" s="13" t="inlineStr"/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7" t="n">
        <v>62278</v>
      </c>
      <c r="AK939" s="8" t="n">
        <v>-31</v>
      </c>
      <c r="AL939" s="8" t="n">
        <v>-57</v>
      </c>
      <c r="AM939" s="11" t="inlineStr"/>
      <c r="AN939" s="12" t="inlineStr"/>
      <c r="AO939" s="12" t="inlineStr"/>
      <c r="AP939" s="13" t="inlineStr"/>
      <c r="AQ939" s="13" t="inlineStr"/>
      <c r="AR939" s="13" t="inlineStr"/>
      <c r="AS939" s="13" t="inlineStr"/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7" t="n">
        <v>520</v>
      </c>
      <c r="AK940" s="8" t="n">
        <v>-5538</v>
      </c>
      <c r="AL940" s="8" t="n">
        <v>-11559</v>
      </c>
      <c r="AM940" s="11" t="inlineStr"/>
      <c r="AN940" s="12" t="inlineStr"/>
      <c r="AO940" s="12" t="inlineStr"/>
      <c r="AP940" s="13" t="inlineStr"/>
      <c r="AQ940" s="13" t="inlineStr"/>
      <c r="AR940" s="13" t="inlineStr"/>
      <c r="AS940" s="13" t="inlineStr"/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7" t="n">
        <v>54246</v>
      </c>
      <c r="AK941" s="8" t="n">
        <v>1108</v>
      </c>
      <c r="AL941" s="8" t="n">
        <v>2524</v>
      </c>
      <c r="AM941" s="11" t="inlineStr"/>
      <c r="AN941" s="12" t="inlineStr"/>
      <c r="AO941" s="12" t="inlineStr"/>
      <c r="AP941" s="13" t="inlineStr"/>
      <c r="AQ941" s="13" t="inlineStr"/>
      <c r="AR941" s="13" t="inlineStr"/>
      <c r="AS941" s="13" t="inlineStr"/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7" t="n">
        <v>31060</v>
      </c>
      <c r="AK942" s="8" t="n">
        <v>2110</v>
      </c>
      <c r="AL942" s="8" t="n">
        <v>2781</v>
      </c>
      <c r="AM942" s="11" t="inlineStr"/>
      <c r="AN942" s="12" t="inlineStr"/>
      <c r="AO942" s="12" t="inlineStr"/>
      <c r="AP942" s="13" t="inlineStr"/>
      <c r="AQ942" s="13" t="inlineStr"/>
      <c r="AR942" s="13" t="inlineStr"/>
      <c r="AS942" s="13" t="inlineStr"/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7" t="n">
        <v>2035</v>
      </c>
      <c r="AK943" s="8" t="n">
        <v>-1636</v>
      </c>
      <c r="AL943" s="8" t="n">
        <v>-2259</v>
      </c>
      <c r="AM943" s="11" t="inlineStr"/>
      <c r="AN943" s="12" t="inlineStr"/>
      <c r="AO943" s="12" t="inlineStr"/>
      <c r="AP943" s="13" t="inlineStr"/>
      <c r="AQ943" s="13" t="inlineStr"/>
      <c r="AR943" s="13" t="inlineStr"/>
      <c r="AS943" s="13" t="inlineStr"/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7" t="n">
        <v>27230</v>
      </c>
      <c r="AK944" s="8" t="n">
        <v>-1557</v>
      </c>
      <c r="AL944" s="8" t="n">
        <v>-4366</v>
      </c>
      <c r="AM944" s="11" t="inlineStr"/>
      <c r="AN944" s="12" t="inlineStr"/>
      <c r="AO944" s="12" t="inlineStr"/>
      <c r="AP944" s="13" t="inlineStr"/>
      <c r="AQ944" s="13" t="inlineStr"/>
      <c r="AR944" s="13" t="inlineStr"/>
      <c r="AS944" s="13" t="inlineStr"/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7" t="n">
        <v>24856</v>
      </c>
      <c r="AK945" s="8" t="n">
        <v>-593</v>
      </c>
      <c r="AL945" s="8" t="n">
        <v>-1039</v>
      </c>
      <c r="AM945" s="11" t="inlineStr"/>
      <c r="AN945" s="12" t="inlineStr"/>
      <c r="AO945" s="12" t="inlineStr"/>
      <c r="AP945" s="13" t="inlineStr"/>
      <c r="AQ945" s="13" t="inlineStr"/>
      <c r="AR945" s="13" t="inlineStr"/>
      <c r="AS945" s="13" t="inlineStr"/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7" t="n">
        <v>24873</v>
      </c>
      <c r="AK946" s="8" t="n">
        <v>1056</v>
      </c>
      <c r="AL946" s="8" t="n">
        <v>801</v>
      </c>
      <c r="AM946" s="11" t="inlineStr"/>
      <c r="AN946" s="12" t="inlineStr"/>
      <c r="AO946" s="12" t="inlineStr"/>
      <c r="AP946" s="13" t="inlineStr"/>
      <c r="AQ946" s="13" t="inlineStr"/>
      <c r="AR946" s="13" t="inlineStr"/>
      <c r="AS946" s="13" t="inlineStr"/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7" t="n">
        <v>31408</v>
      </c>
      <c r="AK947" s="8" t="n">
        <v>5378</v>
      </c>
      <c r="AL947" s="8" t="n">
        <v>7708</v>
      </c>
      <c r="AM947" s="11" t="inlineStr"/>
      <c r="AN947" s="12" t="inlineStr"/>
      <c r="AO947" s="12" t="inlineStr"/>
      <c r="AP947" s="13" t="inlineStr"/>
      <c r="AQ947" s="13" t="inlineStr"/>
      <c r="AR947" s="13" t="inlineStr"/>
      <c r="AS947" s="13" t="inlineStr"/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7" t="n">
        <v>124485</v>
      </c>
      <c r="AK948" s="8" t="n">
        <v>6994</v>
      </c>
      <c r="AL948" s="8" t="n">
        <v>3724</v>
      </c>
      <c r="AM948" s="11" t="inlineStr"/>
      <c r="AN948" s="12" t="inlineStr"/>
      <c r="AO948" s="12" t="inlineStr"/>
      <c r="AP948" s="13" t="inlineStr"/>
      <c r="AQ948" s="13" t="inlineStr"/>
      <c r="AR948" s="13" t="inlineStr"/>
      <c r="AS948" s="13" t="inlineStr"/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7" t="n">
        <v>155007</v>
      </c>
      <c r="AK949" s="8" t="n">
        <v>1867</v>
      </c>
      <c r="AL949" s="8" t="n">
        <v>4402</v>
      </c>
      <c r="AM949" s="11" t="inlineStr"/>
      <c r="AN949" s="12" t="inlineStr"/>
      <c r="AO949" s="12" t="inlineStr"/>
      <c r="AP949" s="13" t="inlineStr"/>
      <c r="AQ949" s="13" t="inlineStr"/>
      <c r="AR949" s="13" t="inlineStr"/>
      <c r="AS949" s="13" t="inlineStr"/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7" t="n">
        <v>13684</v>
      </c>
      <c r="AK950" s="8" t="n">
        <v>-2376</v>
      </c>
      <c r="AL950" s="8" t="n">
        <v>-1607</v>
      </c>
      <c r="AM950" s="11" t="inlineStr"/>
      <c r="AN950" s="12" t="inlineStr"/>
      <c r="AO950" s="12" t="inlineStr"/>
      <c r="AP950" s="13" t="inlineStr"/>
      <c r="AQ950" s="13" t="inlineStr"/>
      <c r="AR950" s="13" t="inlineStr"/>
      <c r="AS950" s="13" t="inlineStr"/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7" t="n">
        <v>10960</v>
      </c>
      <c r="AK951" s="8" t="n">
        <v>-1420</v>
      </c>
      <c r="AL951" s="8" t="n">
        <v>-1133</v>
      </c>
      <c r="AM951" s="11" t="inlineStr"/>
      <c r="AN951" s="12" t="inlineStr"/>
      <c r="AO951" s="12" t="inlineStr"/>
      <c r="AP951" s="13" t="inlineStr"/>
      <c r="AQ951" s="13" t="inlineStr"/>
      <c r="AR951" s="13" t="inlineStr"/>
      <c r="AS951" s="13" t="inlineStr"/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7" t="n">
        <v>30814</v>
      </c>
      <c r="AK952" s="8" t="n">
        <v>1564</v>
      </c>
      <c r="AL952" s="8" t="n">
        <v>2630</v>
      </c>
      <c r="AM952" s="11" t="inlineStr"/>
      <c r="AN952" s="12" t="inlineStr"/>
      <c r="AO952" s="12" t="inlineStr"/>
      <c r="AP952" s="13" t="inlineStr"/>
      <c r="AQ952" s="13" t="inlineStr"/>
      <c r="AR952" s="13" t="inlineStr"/>
      <c r="AS952" s="13" t="inlineStr"/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7" t="n">
        <v>23712</v>
      </c>
      <c r="AK953" s="8" t="n">
        <v>9875</v>
      </c>
      <c r="AL953" s="8" t="n">
        <v>14358</v>
      </c>
      <c r="AM953" s="11" t="inlineStr"/>
      <c r="AN953" s="12" t="inlineStr"/>
      <c r="AO953" s="12" t="inlineStr"/>
      <c r="AP953" s="13" t="inlineStr"/>
      <c r="AQ953" s="13" t="inlineStr"/>
      <c r="AR953" s="13" t="inlineStr"/>
      <c r="AS953" s="13" t="inlineStr"/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7" t="n">
        <v>7946</v>
      </c>
      <c r="AK954" s="8" t="n">
        <v>-767</v>
      </c>
      <c r="AL954" s="8" t="n">
        <v>-3722</v>
      </c>
      <c r="AM954" s="11" t="inlineStr"/>
      <c r="AN954" s="12" t="inlineStr"/>
      <c r="AO954" s="12" t="inlineStr"/>
      <c r="AP954" s="13" t="inlineStr"/>
      <c r="AQ954" s="13" t="inlineStr"/>
      <c r="AR954" s="13" t="inlineStr"/>
      <c r="AS954" s="13" t="inlineStr"/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7" t="n">
        <v>60740</v>
      </c>
      <c r="AK955" s="8" t="n">
        <v>3160</v>
      </c>
      <c r="AL955" s="8" t="n">
        <v>4710</v>
      </c>
      <c r="AM955" s="11" t="inlineStr"/>
      <c r="AN955" s="12" t="inlineStr"/>
      <c r="AO955" s="12" t="inlineStr"/>
      <c r="AP955" s="13" t="inlineStr"/>
      <c r="AQ955" s="13" t="inlineStr"/>
      <c r="AR955" s="13" t="inlineStr"/>
      <c r="AS955" s="13" t="inlineStr"/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7" t="n">
        <v>89763</v>
      </c>
      <c r="AK956" s="8" t="n">
        <v>6846</v>
      </c>
      <c r="AL956" s="8" t="n">
        <v>4133</v>
      </c>
      <c r="AM956" s="11" t="inlineStr"/>
      <c r="AN956" s="12" t="inlineStr"/>
      <c r="AO956" s="12" t="inlineStr"/>
      <c r="AP956" s="13" t="inlineStr"/>
      <c r="AQ956" s="13" t="inlineStr"/>
      <c r="AR956" s="13" t="inlineStr"/>
      <c r="AS956" s="13" t="inlineStr"/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7" t="n">
        <v>23312</v>
      </c>
      <c r="AK957" s="8" t="n">
        <v>2380</v>
      </c>
      <c r="AL957" s="8" t="n">
        <v>2139</v>
      </c>
      <c r="AM957" s="11" t="inlineStr"/>
      <c r="AN957" s="12" t="inlineStr"/>
      <c r="AO957" s="12" t="inlineStr"/>
      <c r="AP957" s="13" t="inlineStr"/>
      <c r="AQ957" s="13" t="inlineStr"/>
      <c r="AR957" s="13" t="inlineStr"/>
      <c r="AS957" s="13" t="inlineStr"/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7" t="n">
        <v>48977</v>
      </c>
      <c r="AK958" s="8" t="n">
        <v>7969</v>
      </c>
      <c r="AL958" s="8" t="n">
        <v>6529</v>
      </c>
      <c r="AM958" s="11" t="inlineStr"/>
      <c r="AN958" s="12" t="inlineStr"/>
      <c r="AO958" s="12" t="inlineStr"/>
      <c r="AP958" s="13" t="inlineStr"/>
      <c r="AQ958" s="13" t="inlineStr"/>
      <c r="AR958" s="13" t="inlineStr"/>
      <c r="AS958" s="13" t="inlineStr"/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7" t="n">
        <v>43323</v>
      </c>
      <c r="AK959" s="8" t="n">
        <v>3847</v>
      </c>
      <c r="AL959" s="8" t="n">
        <v>3350</v>
      </c>
      <c r="AM959" s="11" t="inlineStr"/>
      <c r="AN959" s="12" t="inlineStr"/>
      <c r="AO959" s="12" t="inlineStr"/>
      <c r="AP959" s="13" t="inlineStr"/>
      <c r="AQ959" s="13" t="inlineStr"/>
      <c r="AR959" s="13" t="inlineStr"/>
      <c r="AS959" s="13" t="inlineStr"/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7" t="n">
        <v>55760</v>
      </c>
      <c r="AK960" s="8" t="n">
        <v>803</v>
      </c>
      <c r="AL960" s="8" t="n">
        <v>923</v>
      </c>
      <c r="AM960" s="11" t="inlineStr"/>
      <c r="AN960" s="12" t="inlineStr"/>
      <c r="AO960" s="12" t="inlineStr"/>
      <c r="AP960" s="13" t="inlineStr"/>
      <c r="AQ960" s="13" t="inlineStr"/>
      <c r="AR960" s="13" t="inlineStr"/>
      <c r="AS960" s="13" t="inlineStr"/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7" t="n">
        <v>41421</v>
      </c>
      <c r="AK961" s="8" t="n">
        <v>1953</v>
      </c>
      <c r="AL961" s="8" t="n">
        <v>1857</v>
      </c>
      <c r="AM961" s="11" t="inlineStr"/>
      <c r="AN961" s="12" t="inlineStr"/>
      <c r="AO961" s="12" t="inlineStr"/>
      <c r="AP961" s="13" t="inlineStr"/>
      <c r="AQ961" s="13" t="inlineStr"/>
      <c r="AR961" s="13" t="inlineStr"/>
      <c r="AS961" s="13" t="inlineStr"/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7" t="n">
        <v>23340</v>
      </c>
      <c r="AK962" s="8" t="n">
        <v>4487</v>
      </c>
      <c r="AL962" s="8" t="n">
        <v>5574</v>
      </c>
      <c r="AM962" s="11" t="inlineStr"/>
      <c r="AN962" s="12" t="inlineStr"/>
      <c r="AO962" s="12" t="inlineStr"/>
      <c r="AP962" s="13" t="inlineStr"/>
      <c r="AQ962" s="13" t="inlineStr"/>
      <c r="AR962" s="13" t="inlineStr"/>
      <c r="AS962" s="13" t="inlineStr"/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7" t="n">
        <v>15814</v>
      </c>
      <c r="AK963" s="8" t="n">
        <v>1640</v>
      </c>
      <c r="AL963" s="8" t="n">
        <v>3606</v>
      </c>
      <c r="AM963" s="11" t="inlineStr"/>
      <c r="AN963" s="12" t="inlineStr"/>
      <c r="AO963" s="12" t="inlineStr"/>
      <c r="AP963" s="13" t="inlineStr"/>
      <c r="AQ963" s="13" t="inlineStr"/>
      <c r="AR963" s="13" t="inlineStr"/>
      <c r="AS963" s="13" t="inlineStr"/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7" t="n">
        <v>1425</v>
      </c>
      <c r="AK964" s="8" t="n">
        <v>-727</v>
      </c>
      <c r="AL964" s="8" t="n">
        <v>-1038</v>
      </c>
      <c r="AM964" s="11" t="inlineStr"/>
      <c r="AN964" s="12" t="inlineStr"/>
      <c r="AO964" s="12" t="inlineStr"/>
      <c r="AP964" s="13" t="inlineStr"/>
      <c r="AQ964" s="13" t="inlineStr"/>
      <c r="AR964" s="13" t="inlineStr"/>
      <c r="AS964" s="13" t="inlineStr"/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2026Q3</t>
        </is>
      </c>
      <c r="E965" s="6" t="inlineStr">
        <is>
          <t>2026Q3</t>
        </is>
      </c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7" t="n">
        <v>121824</v>
      </c>
      <c r="AK965" s="8" t="n">
        <v>2598</v>
      </c>
      <c r="AL965" s="8" t="n">
        <v>1226</v>
      </c>
      <c r="AM965" s="14" t="n">
        <v>153674</v>
      </c>
      <c r="AN965" s="15" t="n">
        <v>7434</v>
      </c>
      <c r="AO965" s="12" t="inlineStr"/>
      <c r="AP965" s="13" t="n">
        <v>26.1</v>
      </c>
      <c r="AQ965" s="13" t="n">
        <v>38</v>
      </c>
      <c r="AR965" s="13" t="n">
        <v>186.1</v>
      </c>
      <c r="AS965" s="13" t="n">
        <v>326.2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7" t="n">
        <v>4796</v>
      </c>
      <c r="AK966" s="8" t="n">
        <v>-127</v>
      </c>
      <c r="AL966" s="8" t="n">
        <v>-441</v>
      </c>
      <c r="AM966" s="11" t="inlineStr"/>
      <c r="AN966" s="12" t="inlineStr"/>
      <c r="AO966" s="12" t="inlineStr"/>
      <c r="AP966" s="13" t="inlineStr"/>
      <c r="AQ966" s="13" t="inlineStr"/>
      <c r="AR966" s="13" t="inlineStr"/>
      <c r="AS966" s="13" t="inlineStr"/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7" t="n">
        <v>19857</v>
      </c>
      <c r="AK967" s="8" t="n">
        <v>1374</v>
      </c>
      <c r="AL967" s="8" t="n">
        <v>1395</v>
      </c>
      <c r="AM967" s="11" t="inlineStr"/>
      <c r="AN967" s="12" t="inlineStr"/>
      <c r="AO967" s="12" t="inlineStr"/>
      <c r="AP967" s="13" t="inlineStr"/>
      <c r="AQ967" s="13" t="inlineStr"/>
      <c r="AR967" s="13" t="inlineStr"/>
      <c r="AS967" s="13" t="inlineStr"/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2026Q3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7" t="inlineStr"/>
      <c r="AK968" s="8" t="inlineStr"/>
      <c r="AL968" s="8" t="inlineStr"/>
      <c r="AM968" s="11" t="n">
        <v>31879</v>
      </c>
      <c r="AN968" s="12" t="n">
        <v>200</v>
      </c>
      <c r="AO968" s="12" t="n">
        <v>132</v>
      </c>
      <c r="AP968" s="13" t="inlineStr"/>
      <c r="AQ968" s="13" t="n">
        <v>-27.1</v>
      </c>
      <c r="AR968" s="13" t="inlineStr"/>
      <c r="AS968" s="13" t="n">
        <v>-96</v>
      </c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7" t="n">
        <v>70131</v>
      </c>
      <c r="AK969" s="8" t="n">
        <v>3536</v>
      </c>
      <c r="AL969" s="8" t="n">
        <v>-188</v>
      </c>
      <c r="AM969" s="11" t="inlineStr"/>
      <c r="AN969" s="12" t="inlineStr"/>
      <c r="AO969" s="12" t="inlineStr"/>
      <c r="AP969" s="13" t="inlineStr"/>
      <c r="AQ969" s="13" t="inlineStr"/>
      <c r="AR969" s="13" t="inlineStr"/>
      <c r="AS969" s="13" t="inlineStr"/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7" t="n">
        <v>7721</v>
      </c>
      <c r="AK970" s="8" t="n">
        <v>646</v>
      </c>
      <c r="AL970" s="8" t="n">
        <v>3871</v>
      </c>
      <c r="AM970" s="11" t="inlineStr"/>
      <c r="AN970" s="12" t="inlineStr"/>
      <c r="AO970" s="12" t="inlineStr"/>
      <c r="AP970" s="13" t="inlineStr"/>
      <c r="AQ970" s="13" t="inlineStr"/>
      <c r="AR970" s="13" t="inlineStr"/>
      <c r="AS970" s="13" t="inlineStr"/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7" t="n">
        <v>145103</v>
      </c>
      <c r="AK971" s="8" t="n">
        <v>9901</v>
      </c>
      <c r="AL971" s="8" t="n">
        <v>7607</v>
      </c>
      <c r="AM971" s="11" t="inlineStr"/>
      <c r="AN971" s="12" t="inlineStr"/>
      <c r="AO971" s="12" t="inlineStr"/>
      <c r="AP971" s="13" t="inlineStr"/>
      <c r="AQ971" s="13" t="inlineStr"/>
      <c r="AR971" s="13" t="inlineStr"/>
      <c r="AS971" s="13" t="inlineStr"/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7" t="n">
        <v>188093</v>
      </c>
      <c r="AK972" s="8" t="n">
        <v>15814</v>
      </c>
      <c r="AL972" s="8" t="n">
        <v>14010</v>
      </c>
      <c r="AM972" s="11" t="inlineStr"/>
      <c r="AN972" s="12" t="inlineStr"/>
      <c r="AO972" s="12" t="inlineStr"/>
      <c r="AP972" s="13" t="inlineStr"/>
      <c r="AQ972" s="13" t="inlineStr"/>
      <c r="AR972" s="13" t="inlineStr"/>
      <c r="AS972" s="13" t="inlineStr"/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7" t="n">
        <v>90881</v>
      </c>
      <c r="AK973" s="8" t="n">
        <v>-5165</v>
      </c>
      <c r="AL973" s="8" t="n">
        <v>-3979</v>
      </c>
      <c r="AM973" s="11" t="inlineStr"/>
      <c r="AN973" s="12" t="inlineStr"/>
      <c r="AO973" s="12" t="inlineStr"/>
      <c r="AP973" s="13" t="inlineStr"/>
      <c r="AQ973" s="13" t="inlineStr"/>
      <c r="AR973" s="13" t="inlineStr"/>
      <c r="AS973" s="13" t="inlineStr"/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7" t="n">
        <v>101425</v>
      </c>
      <c r="AK974" s="8" t="n">
        <v>2271</v>
      </c>
      <c r="AL974" s="8" t="n">
        <v>1415</v>
      </c>
      <c r="AM974" s="11" t="inlineStr"/>
      <c r="AN974" s="12" t="inlineStr"/>
      <c r="AO974" s="12" t="inlineStr"/>
      <c r="AP974" s="13" t="inlineStr"/>
      <c r="AQ974" s="13" t="inlineStr"/>
      <c r="AR974" s="13" t="inlineStr"/>
      <c r="AS974" s="13" t="inlineStr"/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7" t="n">
        <v>3006</v>
      </c>
      <c r="AK975" s="8" t="n">
        <v>1204</v>
      </c>
      <c r="AL975" s="8" t="n">
        <v>1021</v>
      </c>
      <c r="AM975" s="11" t="inlineStr"/>
      <c r="AN975" s="12" t="inlineStr"/>
      <c r="AO975" s="12" t="inlineStr"/>
      <c r="AP975" s="13" t="inlineStr"/>
      <c r="AQ975" s="13" t="inlineStr"/>
      <c r="AR975" s="13" t="inlineStr"/>
      <c r="AS975" s="13" t="inlineStr"/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7" t="n">
        <v>47661</v>
      </c>
      <c r="AK976" s="8" t="n">
        <v>101</v>
      </c>
      <c r="AL976" s="8" t="n">
        <v>-783</v>
      </c>
      <c r="AM976" s="11" t="inlineStr"/>
      <c r="AN976" s="12" t="inlineStr"/>
      <c r="AO976" s="12" t="inlineStr"/>
      <c r="AP976" s="13" t="inlineStr"/>
      <c r="AQ976" s="13" t="inlineStr"/>
      <c r="AR976" s="13" t="inlineStr"/>
      <c r="AS976" s="13" t="inlineStr"/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7" t="n">
        <v>923162</v>
      </c>
      <c r="AK977" s="8" t="n">
        <v>23533</v>
      </c>
      <c r="AL977" s="8" t="n">
        <v>10139</v>
      </c>
      <c r="AM977" s="11" t="inlineStr"/>
      <c r="AN977" s="12" t="inlineStr"/>
      <c r="AO977" s="12" t="inlineStr"/>
      <c r="AP977" s="13" t="inlineStr"/>
      <c r="AQ977" s="13" t="inlineStr"/>
      <c r="AR977" s="13" t="inlineStr"/>
      <c r="AS977" s="13" t="inlineStr"/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7" t="n">
        <v>437939</v>
      </c>
      <c r="AK978" s="8" t="n">
        <v>43580</v>
      </c>
      <c r="AL978" s="8" t="n">
        <v>38274</v>
      </c>
      <c r="AM978" s="11" t="inlineStr"/>
      <c r="AN978" s="12" t="inlineStr"/>
      <c r="AO978" s="12" t="inlineStr"/>
      <c r="AP978" s="13" t="inlineStr"/>
      <c r="AQ978" s="13" t="inlineStr"/>
      <c r="AR978" s="13" t="inlineStr"/>
      <c r="AS978" s="13" t="inlineStr"/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7" t="n">
        <v>5307</v>
      </c>
      <c r="AK979" s="8" t="n">
        <v>-190</v>
      </c>
      <c r="AL979" s="8" t="n">
        <v>-246</v>
      </c>
      <c r="AM979" s="11" t="inlineStr"/>
      <c r="AN979" s="12" t="inlineStr"/>
      <c r="AO979" s="12" t="inlineStr"/>
      <c r="AP979" s="13" t="inlineStr"/>
      <c r="AQ979" s="13" t="inlineStr"/>
      <c r="AR979" s="13" t="inlineStr"/>
      <c r="AS979" s="13" t="inlineStr"/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7" t="n">
        <v>15047</v>
      </c>
      <c r="AK980" s="8" t="n">
        <v>-650</v>
      </c>
      <c r="AL980" s="8" t="n">
        <v>-3014</v>
      </c>
      <c r="AM980" s="11" t="inlineStr"/>
      <c r="AN980" s="12" t="inlineStr"/>
      <c r="AO980" s="12" t="inlineStr"/>
      <c r="AP980" s="13" t="inlineStr"/>
      <c r="AQ980" s="13" t="inlineStr"/>
      <c r="AR980" s="13" t="inlineStr"/>
      <c r="AS980" s="13" t="inlineStr"/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7" t="n">
        <v>1657418</v>
      </c>
      <c r="AK981" s="8" t="n">
        <v>102782</v>
      </c>
      <c r="AL981" s="8" t="n">
        <v>77602</v>
      </c>
      <c r="AM981" s="11" t="inlineStr"/>
      <c r="AN981" s="12" t="inlineStr"/>
      <c r="AO981" s="12" t="inlineStr"/>
      <c r="AP981" s="13" t="inlineStr"/>
      <c r="AQ981" s="13" t="inlineStr"/>
      <c r="AR981" s="13" t="inlineStr"/>
      <c r="AS981" s="13" t="inlineStr"/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7" t="n">
        <v>14175901</v>
      </c>
      <c r="AK982" s="8" t="n">
        <v>599588</v>
      </c>
      <c r="AL982" s="8" t="n">
        <v>66788</v>
      </c>
      <c r="AM982" s="11" t="inlineStr"/>
      <c r="AN982" s="12" t="inlineStr"/>
      <c r="AO982" s="12" t="inlineStr"/>
      <c r="AP982" s="13" t="inlineStr"/>
      <c r="AQ982" s="13" t="inlineStr"/>
      <c r="AR982" s="13" t="inlineStr"/>
      <c r="AS982" s="13" t="inlineStr"/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7" t="n">
        <v>4900</v>
      </c>
      <c r="AK983" s="8" t="n">
        <v>-1045</v>
      </c>
      <c r="AL983" s="8" t="n">
        <v>-2111</v>
      </c>
      <c r="AM983" s="11" t="inlineStr"/>
      <c r="AN983" s="12" t="inlineStr"/>
      <c r="AO983" s="12" t="inlineStr"/>
      <c r="AP983" s="13" t="inlineStr"/>
      <c r="AQ983" s="13" t="inlineStr"/>
      <c r="AR983" s="13" t="inlineStr"/>
      <c r="AS983" s="13" t="inlineStr"/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7" t="n">
        <v>1502</v>
      </c>
      <c r="AK984" s="8" t="n">
        <v>-6058</v>
      </c>
      <c r="AL984" s="8" t="n">
        <v>-5525</v>
      </c>
      <c r="AM984" s="11" t="inlineStr"/>
      <c r="AN984" s="12" t="inlineStr"/>
      <c r="AO984" s="12" t="inlineStr"/>
      <c r="AP984" s="13" t="inlineStr"/>
      <c r="AQ984" s="13" t="inlineStr"/>
      <c r="AR984" s="13" t="inlineStr"/>
      <c r="AS984" s="13" t="inlineStr"/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7" t="n">
        <v>9815</v>
      </c>
      <c r="AK985" s="8" t="n">
        <v>180</v>
      </c>
      <c r="AL985" s="8" t="n">
        <v>478</v>
      </c>
      <c r="AM985" s="11" t="inlineStr"/>
      <c r="AN985" s="12" t="inlineStr"/>
      <c r="AO985" s="12" t="inlineStr"/>
      <c r="AP985" s="13" t="inlineStr"/>
      <c r="AQ985" s="13" t="inlineStr"/>
      <c r="AR985" s="13" t="inlineStr"/>
      <c r="AS985" s="13" t="inlineStr"/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7" t="n">
        <v>40273</v>
      </c>
      <c r="AK986" s="8" t="n">
        <v>7044</v>
      </c>
      <c r="AL986" s="8" t="n">
        <v>5963</v>
      </c>
      <c r="AM986" s="11" t="inlineStr"/>
      <c r="AN986" s="12" t="inlineStr"/>
      <c r="AO986" s="12" t="inlineStr"/>
      <c r="AP986" s="13" t="inlineStr"/>
      <c r="AQ986" s="13" t="inlineStr"/>
      <c r="AR986" s="13" t="inlineStr"/>
      <c r="AS986" s="13" t="inlineStr"/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7" t="n">
        <v>15008</v>
      </c>
      <c r="AK987" s="8" t="n">
        <v>1947</v>
      </c>
      <c r="AL987" s="8" t="n">
        <v>-5308</v>
      </c>
      <c r="AM987" s="11" t="inlineStr"/>
      <c r="AN987" s="12" t="inlineStr"/>
      <c r="AO987" s="12" t="inlineStr"/>
      <c r="AP987" s="13" t="inlineStr"/>
      <c r="AQ987" s="13" t="inlineStr"/>
      <c r="AR987" s="13" t="inlineStr"/>
      <c r="AS987" s="13" t="inlineStr"/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7" t="n">
        <v>129614</v>
      </c>
      <c r="AK988" s="8" t="n">
        <v>16038</v>
      </c>
      <c r="AL988" s="8" t="n">
        <v>16180</v>
      </c>
      <c r="AM988" s="11" t="inlineStr"/>
      <c r="AN988" s="12" t="inlineStr"/>
      <c r="AO988" s="12" t="inlineStr"/>
      <c r="AP988" s="13" t="inlineStr"/>
      <c r="AQ988" s="13" t="inlineStr"/>
      <c r="AR988" s="13" t="inlineStr"/>
      <c r="AS988" s="13" t="inlineStr"/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7" t="n">
        <v>84596</v>
      </c>
      <c r="AK989" s="8" t="n">
        <v>21396</v>
      </c>
      <c r="AL989" s="8" t="n">
        <v>22480</v>
      </c>
      <c r="AM989" s="11" t="inlineStr"/>
      <c r="AN989" s="12" t="inlineStr"/>
      <c r="AO989" s="12" t="inlineStr"/>
      <c r="AP989" s="13" t="inlineStr"/>
      <c r="AQ989" s="13" t="inlineStr"/>
      <c r="AR989" s="13" t="inlineStr"/>
      <c r="AS989" s="13" t="inlineStr"/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7" t="n">
        <v>11441</v>
      </c>
      <c r="AK990" s="8" t="n">
        <v>-2380</v>
      </c>
      <c r="AL990" s="8" t="n">
        <v>132994</v>
      </c>
      <c r="AM990" s="11" t="inlineStr"/>
      <c r="AN990" s="12" t="inlineStr"/>
      <c r="AO990" s="12" t="inlineStr"/>
      <c r="AP990" s="13" t="inlineStr"/>
      <c r="AQ990" s="13" t="inlineStr"/>
      <c r="AR990" s="13" t="inlineStr"/>
      <c r="AS990" s="13" t="inlineStr"/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7" t="n">
        <v>40030</v>
      </c>
      <c r="AK991" s="8" t="n">
        <v>-291</v>
      </c>
      <c r="AL991" s="8" t="n">
        <v>-1695</v>
      </c>
      <c r="AM991" s="11" t="inlineStr"/>
      <c r="AN991" s="12" t="inlineStr"/>
      <c r="AO991" s="12" t="inlineStr"/>
      <c r="AP991" s="13" t="inlineStr"/>
      <c r="AQ991" s="13" t="inlineStr"/>
      <c r="AR991" s="13" t="inlineStr"/>
      <c r="AS991" s="13" t="inlineStr"/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7" t="n">
        <v>6458</v>
      </c>
      <c r="AK992" s="8" t="n">
        <v>1080</v>
      </c>
      <c r="AL992" s="8" t="n">
        <v>1450</v>
      </c>
      <c r="AM992" s="11" t="inlineStr"/>
      <c r="AN992" s="12" t="inlineStr"/>
      <c r="AO992" s="12" t="inlineStr"/>
      <c r="AP992" s="13" t="inlineStr"/>
      <c r="AQ992" s="13" t="inlineStr"/>
      <c r="AR992" s="13" t="inlineStr"/>
      <c r="AS992" s="13" t="inlineStr"/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7" t="n">
        <v>103284</v>
      </c>
      <c r="AK993" s="8" t="n">
        <v>2993</v>
      </c>
      <c r="AL993" s="8" t="n">
        <v>2727</v>
      </c>
      <c r="AM993" s="11" t="inlineStr"/>
      <c r="AN993" s="12" t="inlineStr"/>
      <c r="AO993" s="12" t="inlineStr"/>
      <c r="AP993" s="13" t="inlineStr"/>
      <c r="AQ993" s="13" t="inlineStr"/>
      <c r="AR993" s="13" t="inlineStr"/>
      <c r="AS993" s="13" t="inlineStr"/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7" t="n">
        <v>62300</v>
      </c>
      <c r="AK994" s="8" t="n">
        <v>-575</v>
      </c>
      <c r="AL994" s="8" t="n">
        <v>-2409</v>
      </c>
      <c r="AM994" s="11" t="inlineStr"/>
      <c r="AN994" s="12" t="inlineStr"/>
      <c r="AO994" s="12" t="inlineStr"/>
      <c r="AP994" s="13" t="inlineStr"/>
      <c r="AQ994" s="13" t="inlineStr"/>
      <c r="AR994" s="13" t="inlineStr"/>
      <c r="AS994" s="13" t="inlineStr"/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7" t="n">
        <v>72</v>
      </c>
      <c r="AK995" s="8" t="n">
        <v>-552</v>
      </c>
      <c r="AL995" s="8" t="n">
        <v>-387</v>
      </c>
      <c r="AM995" s="11" t="inlineStr"/>
      <c r="AN995" s="12" t="inlineStr"/>
      <c r="AO995" s="12" t="inlineStr"/>
      <c r="AP995" s="13" t="inlineStr"/>
      <c r="AQ995" s="13" t="inlineStr"/>
      <c r="AR995" s="13" t="inlineStr"/>
      <c r="AS995" s="13" t="inlineStr"/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7" t="n">
        <v>17132</v>
      </c>
      <c r="AK996" s="8" t="n">
        <v>5424</v>
      </c>
      <c r="AL996" s="8" t="n">
        <v>15767</v>
      </c>
      <c r="AM996" s="11" t="inlineStr"/>
      <c r="AN996" s="12" t="inlineStr"/>
      <c r="AO996" s="12" t="inlineStr"/>
      <c r="AP996" s="13" t="inlineStr"/>
      <c r="AQ996" s="13" t="inlineStr"/>
      <c r="AR996" s="13" t="inlineStr"/>
      <c r="AS996" s="13" t="inlineStr"/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7" t="n">
        <v>8980</v>
      </c>
      <c r="AK997" s="8" t="n">
        <v>349</v>
      </c>
      <c r="AL997" s="8" t="n">
        <v>554</v>
      </c>
      <c r="AM997" s="11" t="inlineStr"/>
      <c r="AN997" s="12" t="inlineStr"/>
      <c r="AO997" s="12" t="inlineStr"/>
      <c r="AP997" s="13" t="inlineStr"/>
      <c r="AQ997" s="13" t="inlineStr"/>
      <c r="AR997" s="13" t="inlineStr"/>
      <c r="AS997" s="13" t="inlineStr"/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7" t="n">
        <v>40447</v>
      </c>
      <c r="AK998" s="8" t="n">
        <v>7273</v>
      </c>
      <c r="AL998" s="8" t="n">
        <v>4309</v>
      </c>
      <c r="AM998" s="11" t="inlineStr"/>
      <c r="AN998" s="12" t="inlineStr"/>
      <c r="AO998" s="12" t="inlineStr"/>
      <c r="AP998" s="13" t="inlineStr"/>
      <c r="AQ998" s="13" t="inlineStr"/>
      <c r="AR998" s="13" t="inlineStr"/>
      <c r="AS998" s="13" t="inlineStr"/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7" t="n">
        <v>37810</v>
      </c>
      <c r="AK999" s="8" t="n">
        <v>-9154</v>
      </c>
      <c r="AL999" s="8" t="n">
        <v>-15019</v>
      </c>
      <c r="AM999" s="11" t="inlineStr"/>
      <c r="AN999" s="12" t="inlineStr"/>
      <c r="AO999" s="12" t="inlineStr"/>
      <c r="AP999" s="13" t="inlineStr"/>
      <c r="AQ999" s="13" t="inlineStr"/>
      <c r="AR999" s="13" t="inlineStr"/>
      <c r="AS999" s="13" t="inlineStr"/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7" t="n">
        <v>36322</v>
      </c>
      <c r="AK1000" s="8" t="n">
        <v>1961</v>
      </c>
      <c r="AL1000" s="8" t="n">
        <v>1768</v>
      </c>
      <c r="AM1000" s="11" t="inlineStr"/>
      <c r="AN1000" s="12" t="inlineStr"/>
      <c r="AO1000" s="12" t="inlineStr"/>
      <c r="AP1000" s="13" t="inlineStr"/>
      <c r="AQ1000" s="13" t="inlineStr"/>
      <c r="AR1000" s="13" t="inlineStr"/>
      <c r="AS1000" s="13" t="inlineStr"/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7" t="n">
        <v>53822</v>
      </c>
      <c r="AK1001" s="8" t="n">
        <v>-18</v>
      </c>
      <c r="AL1001" s="8" t="n">
        <v>-165</v>
      </c>
      <c r="AM1001" s="11" t="inlineStr"/>
      <c r="AN1001" s="12" t="inlineStr"/>
      <c r="AO1001" s="12" t="inlineStr"/>
      <c r="AP1001" s="13" t="inlineStr"/>
      <c r="AQ1001" s="13" t="inlineStr"/>
      <c r="AR1001" s="13" t="inlineStr"/>
      <c r="AS1001" s="13" t="inlineStr"/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7" t="n">
        <v>136973</v>
      </c>
      <c r="AK1002" s="8" t="n">
        <v>-5548</v>
      </c>
      <c r="AL1002" s="8" t="n">
        <v>-6618</v>
      </c>
      <c r="AM1002" s="11" t="inlineStr"/>
      <c r="AN1002" s="12" t="inlineStr"/>
      <c r="AO1002" s="12" t="inlineStr"/>
      <c r="AP1002" s="13" t="inlineStr"/>
      <c r="AQ1002" s="13" t="inlineStr"/>
      <c r="AR1002" s="13" t="inlineStr"/>
      <c r="AS1002" s="13" t="inlineStr"/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7" t="n">
        <v>5539</v>
      </c>
      <c r="AK1003" s="8" t="n">
        <v>-232</v>
      </c>
      <c r="AL1003" s="8" t="n">
        <v>645</v>
      </c>
      <c r="AM1003" s="11" t="inlineStr"/>
      <c r="AN1003" s="12" t="inlineStr"/>
      <c r="AO1003" s="12" t="inlineStr"/>
      <c r="AP1003" s="13" t="inlineStr"/>
      <c r="AQ1003" s="13" t="inlineStr"/>
      <c r="AR1003" s="13" t="inlineStr"/>
      <c r="AS1003" s="13" t="inlineStr"/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7" t="n">
        <v>249926</v>
      </c>
      <c r="AK1004" s="8" t="n">
        <v>11101</v>
      </c>
      <c r="AL1004" s="8" t="n">
        <v>10428</v>
      </c>
      <c r="AM1004" s="11" t="inlineStr"/>
      <c r="AN1004" s="12" t="inlineStr"/>
      <c r="AO1004" s="12" t="inlineStr"/>
      <c r="AP1004" s="13" t="inlineStr"/>
      <c r="AQ1004" s="13" t="inlineStr"/>
      <c r="AR1004" s="13" t="inlineStr"/>
      <c r="AS1004" s="13" t="inlineStr"/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7" t="n">
        <v>51955</v>
      </c>
      <c r="AK1005" s="8" t="n">
        <v>1175</v>
      </c>
      <c r="AL1005" s="8" t="n">
        <v>1468</v>
      </c>
      <c r="AM1005" s="11" t="inlineStr"/>
      <c r="AN1005" s="12" t="inlineStr"/>
      <c r="AO1005" s="12" t="inlineStr"/>
      <c r="AP1005" s="13" t="inlineStr"/>
      <c r="AQ1005" s="13" t="inlineStr"/>
      <c r="AR1005" s="13" t="inlineStr"/>
      <c r="AS1005" s="13" t="inlineStr"/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7" t="n">
        <v>141300</v>
      </c>
      <c r="AK1006" s="8" t="n">
        <v>9173</v>
      </c>
      <c r="AL1006" s="8" t="n">
        <v>6901</v>
      </c>
      <c r="AM1006" s="11" t="inlineStr"/>
      <c r="AN1006" s="12" t="inlineStr"/>
      <c r="AO1006" s="12" t="inlineStr"/>
      <c r="AP1006" s="13" t="inlineStr"/>
      <c r="AQ1006" s="13" t="inlineStr"/>
      <c r="AR1006" s="13" t="inlineStr"/>
      <c r="AS1006" s="13" t="inlineStr"/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7" t="n">
        <v>135760</v>
      </c>
      <c r="AK1007" s="8" t="n">
        <v>-3472</v>
      </c>
      <c r="AL1007" s="8" t="n">
        <v>-887</v>
      </c>
      <c r="AM1007" s="11" t="inlineStr"/>
      <c r="AN1007" s="12" t="inlineStr"/>
      <c r="AO1007" s="12" t="inlineStr"/>
      <c r="AP1007" s="13" t="inlineStr"/>
      <c r="AQ1007" s="13" t="inlineStr"/>
      <c r="AR1007" s="13" t="inlineStr"/>
      <c r="AS1007" s="13" t="inlineStr"/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7" t="n">
        <v>3578</v>
      </c>
      <c r="AK1008" s="8" t="n">
        <v>1632</v>
      </c>
      <c r="AL1008" s="8" t="n">
        <v>482</v>
      </c>
      <c r="AM1008" s="11" t="inlineStr"/>
      <c r="AN1008" s="12" t="inlineStr"/>
      <c r="AO1008" s="12" t="inlineStr"/>
      <c r="AP1008" s="13" t="inlineStr"/>
      <c r="AQ1008" s="13" t="inlineStr"/>
      <c r="AR1008" s="13" t="inlineStr"/>
      <c r="AS1008" s="13" t="inlineStr"/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7" t="n">
        <v>36911</v>
      </c>
      <c r="AK1009" s="8" t="n">
        <v>8539</v>
      </c>
      <c r="AL1009" s="8" t="n">
        <v>6046</v>
      </c>
      <c r="AM1009" s="11" t="inlineStr"/>
      <c r="AN1009" s="12" t="inlineStr"/>
      <c r="AO1009" s="12" t="inlineStr"/>
      <c r="AP1009" s="13" t="inlineStr"/>
      <c r="AQ1009" s="13" t="inlineStr"/>
      <c r="AR1009" s="13" t="inlineStr"/>
      <c r="AS1009" s="13" t="inlineStr"/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7" t="n">
        <v>9490</v>
      </c>
      <c r="AK1010" s="8" t="n">
        <v>-431</v>
      </c>
      <c r="AL1010" s="8" t="n">
        <v>6451</v>
      </c>
      <c r="AM1010" s="11" t="inlineStr"/>
      <c r="AN1010" s="12" t="inlineStr"/>
      <c r="AO1010" s="12" t="inlineStr"/>
      <c r="AP1010" s="13" t="inlineStr"/>
      <c r="AQ1010" s="13" t="inlineStr"/>
      <c r="AR1010" s="13" t="inlineStr"/>
      <c r="AS1010" s="13" t="inlineStr"/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7" t="n">
        <v>97626</v>
      </c>
      <c r="AK1011" s="8" t="n">
        <v>-32903</v>
      </c>
      <c r="AL1011" s="8" t="n">
        <v>-32575</v>
      </c>
      <c r="AM1011" s="11" t="inlineStr"/>
      <c r="AN1011" s="12" t="inlineStr"/>
      <c r="AO1011" s="12" t="inlineStr"/>
      <c r="AP1011" s="13" t="inlineStr"/>
      <c r="AQ1011" s="13" t="inlineStr"/>
      <c r="AR1011" s="13" t="inlineStr"/>
      <c r="AS1011" s="13" t="inlineStr"/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7" t="n">
        <v>20327</v>
      </c>
      <c r="AK1012" s="8" t="n">
        <v>3336</v>
      </c>
      <c r="AL1012" s="8" t="n">
        <v>2783</v>
      </c>
      <c r="AM1012" s="11" t="inlineStr"/>
      <c r="AN1012" s="12" t="inlineStr"/>
      <c r="AO1012" s="12" t="inlineStr"/>
      <c r="AP1012" s="13" t="inlineStr"/>
      <c r="AQ1012" s="13" t="inlineStr"/>
      <c r="AR1012" s="13" t="inlineStr"/>
      <c r="AS1012" s="13" t="inlineStr"/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7" t="n">
        <v>77314</v>
      </c>
      <c r="AK1013" s="8" t="n">
        <v>23097</v>
      </c>
      <c r="AL1013" s="8" t="n">
        <v>34943</v>
      </c>
      <c r="AM1013" s="11" t="inlineStr"/>
      <c r="AN1013" s="12" t="inlineStr"/>
      <c r="AO1013" s="12" t="inlineStr"/>
      <c r="AP1013" s="13" t="inlineStr"/>
      <c r="AQ1013" s="13" t="inlineStr"/>
      <c r="AR1013" s="13" t="inlineStr"/>
      <c r="AS1013" s="13" t="inlineStr"/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7" t="n">
        <v>44168</v>
      </c>
      <c r="AK1014" s="8" t="n">
        <v>3637</v>
      </c>
      <c r="AL1014" s="8" t="n">
        <v>5203</v>
      </c>
      <c r="AM1014" s="11" t="inlineStr"/>
      <c r="AN1014" s="12" t="inlineStr"/>
      <c r="AO1014" s="12" t="inlineStr"/>
      <c r="AP1014" s="13" t="inlineStr"/>
      <c r="AQ1014" s="13" t="inlineStr"/>
      <c r="AR1014" s="13" t="inlineStr"/>
      <c r="AS1014" s="13" t="inlineStr"/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7" t="n">
        <v>119663</v>
      </c>
      <c r="AK1015" s="8" t="n">
        <v>6248</v>
      </c>
      <c r="AL1015" s="8" t="n">
        <v>5839</v>
      </c>
      <c r="AM1015" s="11" t="inlineStr"/>
      <c r="AN1015" s="12" t="inlineStr"/>
      <c r="AO1015" s="12" t="inlineStr"/>
      <c r="AP1015" s="13" t="inlineStr"/>
      <c r="AQ1015" s="13" t="inlineStr"/>
      <c r="AR1015" s="13" t="inlineStr"/>
      <c r="AS1015" s="13" t="inlineStr"/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7" t="n">
        <v>460286</v>
      </c>
      <c r="AK1016" s="8" t="n">
        <v>5046</v>
      </c>
      <c r="AL1016" s="8" t="n">
        <v>5311</v>
      </c>
      <c r="AM1016" s="11" t="inlineStr"/>
      <c r="AN1016" s="12" t="inlineStr"/>
      <c r="AO1016" s="12" t="inlineStr"/>
      <c r="AP1016" s="13" t="inlineStr"/>
      <c r="AQ1016" s="13" t="inlineStr"/>
      <c r="AR1016" s="13" t="inlineStr"/>
      <c r="AS1016" s="13" t="inlineStr"/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7" t="n">
        <v>71309</v>
      </c>
      <c r="AK1017" s="8" t="n">
        <v>5382</v>
      </c>
      <c r="AL1017" s="8" t="n">
        <v>6413</v>
      </c>
      <c r="AM1017" s="11" t="inlineStr"/>
      <c r="AN1017" s="12" t="inlineStr"/>
      <c r="AO1017" s="12" t="inlineStr"/>
      <c r="AP1017" s="13" t="inlineStr"/>
      <c r="AQ1017" s="13" t="inlineStr"/>
      <c r="AR1017" s="13" t="inlineStr"/>
      <c r="AS1017" s="13" t="inlineStr"/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7" t="n">
        <v>17811</v>
      </c>
      <c r="AK1018" s="8" t="n">
        <v>-212</v>
      </c>
      <c r="AL1018" s="8" t="n">
        <v>-3404</v>
      </c>
      <c r="AM1018" s="11" t="inlineStr"/>
      <c r="AN1018" s="12" t="inlineStr"/>
      <c r="AO1018" s="12" t="inlineStr"/>
      <c r="AP1018" s="13" t="inlineStr"/>
      <c r="AQ1018" s="13" t="inlineStr"/>
      <c r="AR1018" s="13" t="inlineStr"/>
      <c r="AS1018" s="13" t="inlineStr"/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7" t="n">
        <v>29392</v>
      </c>
      <c r="AK1019" s="8" t="n">
        <v>2068</v>
      </c>
      <c r="AL1019" s="8" t="n">
        <v>3929</v>
      </c>
      <c r="AM1019" s="11" t="inlineStr"/>
      <c r="AN1019" s="12" t="inlineStr"/>
      <c r="AO1019" s="12" t="inlineStr"/>
      <c r="AP1019" s="13" t="inlineStr"/>
      <c r="AQ1019" s="13" t="inlineStr"/>
      <c r="AR1019" s="13" t="inlineStr"/>
      <c r="AS1019" s="13" t="inlineStr"/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7" t="n">
        <v>77758</v>
      </c>
      <c r="AK1020" s="8" t="n">
        <v>1204</v>
      </c>
      <c r="AL1020" s="8" t="n">
        <v>1810</v>
      </c>
      <c r="AM1020" s="11" t="inlineStr"/>
      <c r="AN1020" s="12" t="inlineStr"/>
      <c r="AO1020" s="12" t="inlineStr"/>
      <c r="AP1020" s="13" t="inlineStr"/>
      <c r="AQ1020" s="13" t="inlineStr"/>
      <c r="AR1020" s="13" t="inlineStr"/>
      <c r="AS1020" s="13" t="inlineStr"/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7" t="n">
        <v>46100</v>
      </c>
      <c r="AK1021" s="8" t="n">
        <v>2500</v>
      </c>
      <c r="AL1021" s="8" t="n">
        <v>3197</v>
      </c>
      <c r="AM1021" s="11" t="inlineStr"/>
      <c r="AN1021" s="12" t="inlineStr"/>
      <c r="AO1021" s="12" t="inlineStr"/>
      <c r="AP1021" s="13" t="inlineStr"/>
      <c r="AQ1021" s="13" t="inlineStr"/>
      <c r="AR1021" s="13" t="inlineStr"/>
      <c r="AS1021" s="13" t="inlineStr"/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7" t="n">
        <v>40384</v>
      </c>
      <c r="AK1022" s="8" t="n">
        <v>1368</v>
      </c>
      <c r="AL1022" s="8" t="n">
        <v>-667</v>
      </c>
      <c r="AM1022" s="11" t="inlineStr"/>
      <c r="AN1022" s="12" t="inlineStr"/>
      <c r="AO1022" s="12" t="inlineStr"/>
      <c r="AP1022" s="13" t="inlineStr"/>
      <c r="AQ1022" s="13" t="inlineStr"/>
      <c r="AR1022" s="13" t="inlineStr"/>
      <c r="AS1022" s="13" t="inlineStr"/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7" t="n">
        <v>6443</v>
      </c>
      <c r="AK1023" s="8" t="n">
        <v>-1114</v>
      </c>
      <c r="AL1023" s="8" t="n">
        <v>-1072</v>
      </c>
      <c r="AM1023" s="11" t="inlineStr"/>
      <c r="AN1023" s="12" t="inlineStr"/>
      <c r="AO1023" s="12" t="inlineStr"/>
      <c r="AP1023" s="13" t="inlineStr"/>
      <c r="AQ1023" s="13" t="inlineStr"/>
      <c r="AR1023" s="13" t="inlineStr"/>
      <c r="AS1023" s="13" t="inlineStr"/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7" t="n">
        <v>213542</v>
      </c>
      <c r="AK1024" s="8" t="n">
        <v>7109</v>
      </c>
      <c r="AL1024" s="8" t="n">
        <v>3229</v>
      </c>
      <c r="AM1024" s="11" t="inlineStr"/>
      <c r="AN1024" s="12" t="inlineStr"/>
      <c r="AO1024" s="12" t="inlineStr"/>
      <c r="AP1024" s="13" t="inlineStr"/>
      <c r="AQ1024" s="13" t="inlineStr"/>
      <c r="AR1024" s="13" t="inlineStr"/>
      <c r="AS1024" s="13" t="inlineStr"/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7" t="n">
        <v>23181</v>
      </c>
      <c r="AK1025" s="8" t="n">
        <v>327</v>
      </c>
      <c r="AL1025" s="8" t="n">
        <v>295</v>
      </c>
      <c r="AM1025" s="11" t="inlineStr"/>
      <c r="AN1025" s="12" t="inlineStr"/>
      <c r="AO1025" s="12" t="inlineStr"/>
      <c r="AP1025" s="13" t="inlineStr"/>
      <c r="AQ1025" s="13" t="inlineStr"/>
      <c r="AR1025" s="13" t="inlineStr"/>
      <c r="AS1025" s="13" t="inlineStr"/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7" t="n">
        <v>19882</v>
      </c>
      <c r="AK1026" s="8" t="n">
        <v>307</v>
      </c>
      <c r="AL1026" s="8" t="n">
        <v>1246</v>
      </c>
      <c r="AM1026" s="11" t="inlineStr"/>
      <c r="AN1026" s="12" t="inlineStr"/>
      <c r="AO1026" s="12" t="inlineStr"/>
      <c r="AP1026" s="13" t="inlineStr"/>
      <c r="AQ1026" s="13" t="inlineStr"/>
      <c r="AR1026" s="13" t="inlineStr"/>
      <c r="AS1026" s="13" t="inlineStr"/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7" t="n">
        <v>12912</v>
      </c>
      <c r="AK1027" s="8" t="n">
        <v>1020</v>
      </c>
      <c r="AL1027" s="8" t="n">
        <v>613</v>
      </c>
      <c r="AM1027" s="11" t="inlineStr"/>
      <c r="AN1027" s="12" t="inlineStr"/>
      <c r="AO1027" s="12" t="inlineStr"/>
      <c r="AP1027" s="13" t="inlineStr"/>
      <c r="AQ1027" s="13" t="inlineStr"/>
      <c r="AR1027" s="13" t="inlineStr"/>
      <c r="AS1027" s="13" t="inlineStr"/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7" t="n">
        <v>59174</v>
      </c>
      <c r="AK1028" s="8" t="n">
        <v>3180</v>
      </c>
      <c r="AL1028" s="8" t="n">
        <v>-4097</v>
      </c>
      <c r="AM1028" s="11" t="inlineStr"/>
      <c r="AN1028" s="12" t="inlineStr"/>
      <c r="AO1028" s="12" t="inlineStr"/>
      <c r="AP1028" s="13" t="inlineStr"/>
      <c r="AQ1028" s="13" t="inlineStr"/>
      <c r="AR1028" s="13" t="inlineStr"/>
      <c r="AS1028" s="13" t="inlineStr"/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7" t="n">
        <v>131393</v>
      </c>
      <c r="AK1029" s="8" t="n">
        <v>3176</v>
      </c>
      <c r="AL1029" s="8" t="n">
        <v>1460</v>
      </c>
      <c r="AM1029" s="11" t="inlineStr"/>
      <c r="AN1029" s="12" t="inlineStr"/>
      <c r="AO1029" s="12" t="inlineStr"/>
      <c r="AP1029" s="13" t="inlineStr"/>
      <c r="AQ1029" s="13" t="inlineStr"/>
      <c r="AR1029" s="13" t="inlineStr"/>
      <c r="AS1029" s="13" t="inlineStr"/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7" t="n">
        <v>17883</v>
      </c>
      <c r="AK1030" s="8" t="n">
        <v>-3949</v>
      </c>
      <c r="AL1030" s="8" t="n">
        <v>-7207</v>
      </c>
      <c r="AM1030" s="11" t="inlineStr"/>
      <c r="AN1030" s="12" t="inlineStr"/>
      <c r="AO1030" s="12" t="inlineStr"/>
      <c r="AP1030" s="13" t="inlineStr"/>
      <c r="AQ1030" s="13" t="inlineStr"/>
      <c r="AR1030" s="13" t="inlineStr"/>
      <c r="AS1030" s="13" t="inlineStr"/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7" t="n">
        <v>55966</v>
      </c>
      <c r="AK1031" s="8" t="n">
        <v>2150</v>
      </c>
      <c r="AL1031" s="8" t="n">
        <v>11264</v>
      </c>
      <c r="AM1031" s="11" t="inlineStr"/>
      <c r="AN1031" s="12" t="inlineStr"/>
      <c r="AO1031" s="12" t="inlineStr"/>
      <c r="AP1031" s="13" t="inlineStr"/>
      <c r="AQ1031" s="13" t="inlineStr"/>
      <c r="AR1031" s="13" t="inlineStr"/>
      <c r="AS1031" s="13" t="inlineStr"/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7" t="n">
        <v>10722</v>
      </c>
      <c r="AK1032" s="8" t="n">
        <v>-1039</v>
      </c>
      <c r="AL1032" s="8" t="n">
        <v>-1720</v>
      </c>
      <c r="AM1032" s="11" t="inlineStr"/>
      <c r="AN1032" s="12" t="inlineStr"/>
      <c r="AO1032" s="12" t="inlineStr"/>
      <c r="AP1032" s="13" t="inlineStr"/>
      <c r="AQ1032" s="13" t="inlineStr"/>
      <c r="AR1032" s="13" t="inlineStr"/>
      <c r="AS1032" s="13" t="inlineStr"/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7" t="n">
        <v>268254</v>
      </c>
      <c r="AK1033" s="8" t="n">
        <v>38615</v>
      </c>
      <c r="AL1033" s="8" t="n">
        <v>27140</v>
      </c>
      <c r="AM1033" s="11" t="inlineStr"/>
      <c r="AN1033" s="12" t="inlineStr"/>
      <c r="AO1033" s="12" t="inlineStr"/>
      <c r="AP1033" s="13" t="inlineStr"/>
      <c r="AQ1033" s="13" t="inlineStr"/>
      <c r="AR1033" s="13" t="inlineStr"/>
      <c r="AS1033" s="13" t="inlineStr"/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7" t="n">
        <v>99815</v>
      </c>
      <c r="AK1034" s="8" t="n">
        <v>-713</v>
      </c>
      <c r="AL1034" s="8" t="n">
        <v>6601</v>
      </c>
      <c r="AM1034" s="11" t="inlineStr"/>
      <c r="AN1034" s="12" t="inlineStr"/>
      <c r="AO1034" s="12" t="inlineStr"/>
      <c r="AP1034" s="13" t="inlineStr"/>
      <c r="AQ1034" s="13" t="inlineStr"/>
      <c r="AR1034" s="13" t="inlineStr"/>
      <c r="AS1034" s="13" t="inlineStr"/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7" t="n">
        <v>111986</v>
      </c>
      <c r="AK1035" s="8" t="n">
        <v>6790</v>
      </c>
      <c r="AL1035" s="8" t="n">
        <v>5121</v>
      </c>
      <c r="AM1035" s="11" t="inlineStr"/>
      <c r="AN1035" s="12" t="inlineStr"/>
      <c r="AO1035" s="12" t="inlineStr"/>
      <c r="AP1035" s="13" t="inlineStr"/>
      <c r="AQ1035" s="13" t="inlineStr"/>
      <c r="AR1035" s="13" t="inlineStr"/>
      <c r="AS1035" s="13" t="inlineStr"/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7" t="n">
        <v>50108</v>
      </c>
      <c r="AK1036" s="8" t="n">
        <v>673</v>
      </c>
      <c r="AL1036" s="8" t="n">
        <v>-213</v>
      </c>
      <c r="AM1036" s="11" t="inlineStr"/>
      <c r="AN1036" s="12" t="inlineStr"/>
      <c r="AO1036" s="12" t="inlineStr"/>
      <c r="AP1036" s="13" t="inlineStr"/>
      <c r="AQ1036" s="13" t="inlineStr"/>
      <c r="AR1036" s="13" t="inlineStr"/>
      <c r="AS1036" s="13" t="inlineStr"/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7" t="n">
        <v>49306</v>
      </c>
      <c r="AK1037" s="8" t="n">
        <v>13524</v>
      </c>
      <c r="AL1037" s="8" t="n">
        <v>11579</v>
      </c>
      <c r="AM1037" s="11" t="inlineStr"/>
      <c r="AN1037" s="12" t="inlineStr"/>
      <c r="AO1037" s="12" t="inlineStr"/>
      <c r="AP1037" s="13" t="inlineStr"/>
      <c r="AQ1037" s="13" t="inlineStr"/>
      <c r="AR1037" s="13" t="inlineStr"/>
      <c r="AS1037" s="13" t="inlineStr"/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7" t="n">
        <v>40697</v>
      </c>
      <c r="AK1038" s="8" t="n">
        <v>3183</v>
      </c>
      <c r="AL1038" s="8" t="n">
        <v>3201</v>
      </c>
      <c r="AM1038" s="11" t="inlineStr"/>
      <c r="AN1038" s="12" t="inlineStr"/>
      <c r="AO1038" s="12" t="inlineStr"/>
      <c r="AP1038" s="13" t="inlineStr"/>
      <c r="AQ1038" s="13" t="inlineStr"/>
      <c r="AR1038" s="13" t="inlineStr"/>
      <c r="AS1038" s="13" t="inlineStr"/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14" t="n">
        <v>28492432</v>
      </c>
      <c r="AH1039" s="10" t="n">
        <v>2154453</v>
      </c>
      <c r="AI1039" s="10" t="n">
        <v>1649148</v>
      </c>
      <c r="AJ1039" s="14" t="n">
        <v>25063156</v>
      </c>
      <c r="AK1039" s="8" t="n">
        <v>2476281</v>
      </c>
      <c r="AL1039" s="8" t="n">
        <v>1846651</v>
      </c>
      <c r="AM1039" s="11" t="inlineStr"/>
      <c r="AN1039" s="12" t="inlineStr"/>
      <c r="AO1039" s="12" t="inlineStr"/>
      <c r="AP1039" s="13" t="inlineStr"/>
      <c r="AQ1039" s="13" t="inlineStr"/>
      <c r="AR1039" s="13" t="inlineStr"/>
      <c r="AS1039" s="13" t="inlineStr"/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7" t="n">
        <v>8203</v>
      </c>
      <c r="AK1040" s="8" t="n">
        <v>-2954</v>
      </c>
      <c r="AL1040" s="8" t="n">
        <v>-2900</v>
      </c>
      <c r="AM1040" s="11" t="inlineStr"/>
      <c r="AN1040" s="12" t="inlineStr"/>
      <c r="AO1040" s="12" t="inlineStr"/>
      <c r="AP1040" s="13" t="inlineStr"/>
      <c r="AQ1040" s="13" t="inlineStr"/>
      <c r="AR1040" s="13" t="inlineStr"/>
      <c r="AS1040" s="13" t="inlineStr"/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7" t="n">
        <v>15316</v>
      </c>
      <c r="AK1041" s="8" t="n">
        <v>333</v>
      </c>
      <c r="AL1041" s="8" t="n">
        <v>1096</v>
      </c>
      <c r="AM1041" s="11" t="inlineStr"/>
      <c r="AN1041" s="12" t="inlineStr"/>
      <c r="AO1041" s="12" t="inlineStr"/>
      <c r="AP1041" s="13" t="inlineStr"/>
      <c r="AQ1041" s="13" t="inlineStr"/>
      <c r="AR1041" s="13" t="inlineStr"/>
      <c r="AS1041" s="13" t="inlineStr"/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7" t="n">
        <v>400007</v>
      </c>
      <c r="AK1042" s="8" t="n">
        <v>28991</v>
      </c>
      <c r="AL1042" s="8" t="n">
        <v>23344</v>
      </c>
      <c r="AM1042" s="11" t="inlineStr"/>
      <c r="AN1042" s="12" t="inlineStr"/>
      <c r="AO1042" s="12" t="inlineStr"/>
      <c r="AP1042" s="13" t="inlineStr"/>
      <c r="AQ1042" s="13" t="inlineStr"/>
      <c r="AR1042" s="13" t="inlineStr"/>
      <c r="AS1042" s="13" t="inlineStr"/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7" t="n">
        <v>11971</v>
      </c>
      <c r="AK1043" s="8" t="n">
        <v>-1273</v>
      </c>
      <c r="AL1043" s="8" t="n">
        <v>-422</v>
      </c>
      <c r="AM1043" s="11" t="inlineStr"/>
      <c r="AN1043" s="12" t="inlineStr"/>
      <c r="AO1043" s="12" t="inlineStr"/>
      <c r="AP1043" s="13" t="inlineStr"/>
      <c r="AQ1043" s="13" t="inlineStr"/>
      <c r="AR1043" s="13" t="inlineStr"/>
      <c r="AS1043" s="13" t="inlineStr"/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7" t="n">
        <v>44272</v>
      </c>
      <c r="AK1044" s="8" t="n">
        <v>2791</v>
      </c>
      <c r="AL1044" s="8" t="n">
        <v>1365</v>
      </c>
      <c r="AM1044" s="11" t="inlineStr"/>
      <c r="AN1044" s="12" t="inlineStr"/>
      <c r="AO1044" s="12" t="inlineStr"/>
      <c r="AP1044" s="13" t="inlineStr"/>
      <c r="AQ1044" s="13" t="inlineStr"/>
      <c r="AR1044" s="13" t="inlineStr"/>
      <c r="AS1044" s="13" t="inlineStr"/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7" t="n">
        <v>9992</v>
      </c>
      <c r="AK1045" s="8" t="n">
        <v>533</v>
      </c>
      <c r="AL1045" s="8" t="n">
        <v>311</v>
      </c>
      <c r="AM1045" s="11" t="inlineStr"/>
      <c r="AN1045" s="12" t="inlineStr"/>
      <c r="AO1045" s="12" t="inlineStr"/>
      <c r="AP1045" s="13" t="inlineStr"/>
      <c r="AQ1045" s="13" t="inlineStr"/>
      <c r="AR1045" s="13" t="inlineStr"/>
      <c r="AS1045" s="13" t="inlineStr"/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7" t="n">
        <v>12174</v>
      </c>
      <c r="AK1046" s="8" t="n">
        <v>298</v>
      </c>
      <c r="AL1046" s="8" t="n">
        <v>419</v>
      </c>
      <c r="AM1046" s="11" t="inlineStr"/>
      <c r="AN1046" s="12" t="inlineStr"/>
      <c r="AO1046" s="12" t="inlineStr"/>
      <c r="AP1046" s="13" t="inlineStr"/>
      <c r="AQ1046" s="13" t="inlineStr"/>
      <c r="AR1046" s="13" t="inlineStr"/>
      <c r="AS1046" s="13" t="inlineStr"/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7" t="n">
        <v>975725</v>
      </c>
      <c r="AK1047" s="8" t="n">
        <v>37683</v>
      </c>
      <c r="AL1047" s="8" t="n">
        <v>34459</v>
      </c>
      <c r="AM1047" s="11" t="inlineStr"/>
      <c r="AN1047" s="12" t="inlineStr"/>
      <c r="AO1047" s="12" t="inlineStr"/>
      <c r="AP1047" s="13" t="inlineStr"/>
      <c r="AQ1047" s="13" t="inlineStr"/>
      <c r="AR1047" s="13" t="inlineStr"/>
      <c r="AS1047" s="13" t="inlineStr"/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7" t="n">
        <v>24221</v>
      </c>
      <c r="AK1048" s="8" t="n">
        <v>77</v>
      </c>
      <c r="AL1048" s="8" t="n">
        <v>275</v>
      </c>
      <c r="AM1048" s="11" t="inlineStr"/>
      <c r="AN1048" s="12" t="inlineStr"/>
      <c r="AO1048" s="12" t="inlineStr"/>
      <c r="AP1048" s="13" t="inlineStr"/>
      <c r="AQ1048" s="13" t="inlineStr"/>
      <c r="AR1048" s="13" t="inlineStr"/>
      <c r="AS1048" s="13" t="inlineStr"/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7" t="n">
        <v>7019</v>
      </c>
      <c r="AK1049" s="8" t="n">
        <v>-536</v>
      </c>
      <c r="AL1049" s="8" t="n">
        <v>-677</v>
      </c>
      <c r="AM1049" s="11" t="inlineStr"/>
      <c r="AN1049" s="12" t="inlineStr"/>
      <c r="AO1049" s="12" t="inlineStr"/>
      <c r="AP1049" s="13" t="inlineStr"/>
      <c r="AQ1049" s="13" t="inlineStr"/>
      <c r="AR1049" s="13" t="inlineStr"/>
      <c r="AS1049" s="13" t="inlineStr"/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7" t="n">
        <v>3863</v>
      </c>
      <c r="AK1050" s="8" t="n">
        <v>178</v>
      </c>
      <c r="AL1050" s="8" t="n">
        <v>245</v>
      </c>
      <c r="AM1050" s="11" t="inlineStr"/>
      <c r="AN1050" s="12" t="inlineStr"/>
      <c r="AO1050" s="12" t="inlineStr"/>
      <c r="AP1050" s="13" t="inlineStr"/>
      <c r="AQ1050" s="13" t="inlineStr"/>
      <c r="AR1050" s="13" t="inlineStr"/>
      <c r="AS1050" s="13" t="inlineStr"/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7" t="n">
        <v>14151</v>
      </c>
      <c r="AK1051" s="8" t="n">
        <v>984</v>
      </c>
      <c r="AL1051" s="8" t="n">
        <v>18916</v>
      </c>
      <c r="AM1051" s="11" t="inlineStr"/>
      <c r="AN1051" s="12" t="inlineStr"/>
      <c r="AO1051" s="12" t="inlineStr"/>
      <c r="AP1051" s="13" t="inlineStr"/>
      <c r="AQ1051" s="13" t="inlineStr"/>
      <c r="AR1051" s="13" t="inlineStr"/>
      <c r="AS1051" s="13" t="inlineStr"/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7" t="n">
        <v>298199</v>
      </c>
      <c r="AK1052" s="8" t="n">
        <v>9587</v>
      </c>
      <c r="AL1052" s="8" t="n">
        <v>7047</v>
      </c>
      <c r="AM1052" s="11" t="inlineStr"/>
      <c r="AN1052" s="12" t="inlineStr"/>
      <c r="AO1052" s="12" t="inlineStr"/>
      <c r="AP1052" s="13" t="inlineStr"/>
      <c r="AQ1052" s="13" t="inlineStr"/>
      <c r="AR1052" s="13" t="inlineStr"/>
      <c r="AS1052" s="13" t="inlineStr"/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7" t="n">
        <v>6437</v>
      </c>
      <c r="AK1053" s="8" t="n">
        <v>-27</v>
      </c>
      <c r="AL1053" s="8" t="n">
        <v>5</v>
      </c>
      <c r="AM1053" s="11" t="inlineStr"/>
      <c r="AN1053" s="12" t="inlineStr"/>
      <c r="AO1053" s="12" t="inlineStr"/>
      <c r="AP1053" s="13" t="inlineStr"/>
      <c r="AQ1053" s="13" t="inlineStr"/>
      <c r="AR1053" s="13" t="inlineStr"/>
      <c r="AS1053" s="13" t="inlineStr"/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7" t="n">
        <v>143187</v>
      </c>
      <c r="AK1054" s="8" t="n">
        <v>73514</v>
      </c>
      <c r="AL1054" s="8" t="n">
        <v>65923</v>
      </c>
      <c r="AM1054" s="11" t="inlineStr"/>
      <c r="AN1054" s="12" t="inlineStr"/>
      <c r="AO1054" s="12" t="inlineStr"/>
      <c r="AP1054" s="13" t="inlineStr"/>
      <c r="AQ1054" s="13" t="inlineStr"/>
      <c r="AR1054" s="13" t="inlineStr"/>
      <c r="AS1054" s="13" t="inlineStr"/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7" t="n">
        <v>88770</v>
      </c>
      <c r="AK1055" s="8" t="n">
        <v>3997</v>
      </c>
      <c r="AL1055" s="8" t="n">
        <v>2435</v>
      </c>
      <c r="AM1055" s="11" t="inlineStr"/>
      <c r="AN1055" s="12" t="inlineStr"/>
      <c r="AO1055" s="12" t="inlineStr"/>
      <c r="AP1055" s="13" t="inlineStr"/>
      <c r="AQ1055" s="13" t="inlineStr"/>
      <c r="AR1055" s="13" t="inlineStr"/>
      <c r="AS1055" s="13" t="inlineStr"/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7" t="n">
        <v>21259</v>
      </c>
      <c r="AK1056" s="8" t="n">
        <v>2443</v>
      </c>
      <c r="AL1056" s="8" t="n">
        <v>717</v>
      </c>
      <c r="AM1056" s="11" t="inlineStr"/>
      <c r="AN1056" s="12" t="inlineStr"/>
      <c r="AO1056" s="12" t="inlineStr"/>
      <c r="AP1056" s="13" t="inlineStr"/>
      <c r="AQ1056" s="13" t="inlineStr"/>
      <c r="AR1056" s="13" t="inlineStr"/>
      <c r="AS1056" s="13" t="inlineStr"/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7" t="n">
        <v>2023591</v>
      </c>
      <c r="AK1057" s="8" t="n">
        <v>98050</v>
      </c>
      <c r="AL1057" s="8" t="n">
        <v>66478</v>
      </c>
      <c r="AM1057" s="11" t="inlineStr"/>
      <c r="AN1057" s="12" t="inlineStr"/>
      <c r="AO1057" s="12" t="inlineStr"/>
      <c r="AP1057" s="13" t="inlineStr"/>
      <c r="AQ1057" s="13" t="inlineStr"/>
      <c r="AR1057" s="13" t="inlineStr"/>
      <c r="AS1057" s="13" t="inlineStr"/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7" t="n">
        <v>80365</v>
      </c>
      <c r="AK1058" s="8" t="n">
        <v>-3924</v>
      </c>
      <c r="AL1058" s="8" t="n">
        <v>-4077</v>
      </c>
      <c r="AM1058" s="11" t="inlineStr"/>
      <c r="AN1058" s="12" t="inlineStr"/>
      <c r="AO1058" s="12" t="inlineStr"/>
      <c r="AP1058" s="13" t="inlineStr"/>
      <c r="AQ1058" s="13" t="inlineStr"/>
      <c r="AR1058" s="13" t="inlineStr"/>
      <c r="AS1058" s="13" t="inlineStr"/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7" t="n">
        <v>28259</v>
      </c>
      <c r="AK1059" s="8" t="n">
        <v>-2951</v>
      </c>
      <c r="AL1059" s="8" t="n">
        <v>2132</v>
      </c>
      <c r="AM1059" s="11" t="inlineStr"/>
      <c r="AN1059" s="12" t="inlineStr"/>
      <c r="AO1059" s="12" t="inlineStr"/>
      <c r="AP1059" s="13" t="inlineStr"/>
      <c r="AQ1059" s="13" t="inlineStr"/>
      <c r="AR1059" s="13" t="inlineStr"/>
      <c r="AS1059" s="13" t="inlineStr"/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7" t="n">
        <v>238408</v>
      </c>
      <c r="AK1060" s="8" t="n">
        <v>9655</v>
      </c>
      <c r="AL1060" s="8" t="n">
        <v>7601</v>
      </c>
      <c r="AM1060" s="11" t="inlineStr"/>
      <c r="AN1060" s="12" t="inlineStr"/>
      <c r="AO1060" s="12" t="inlineStr"/>
      <c r="AP1060" s="13" t="inlineStr"/>
      <c r="AQ1060" s="13" t="inlineStr"/>
      <c r="AR1060" s="13" t="inlineStr"/>
      <c r="AS1060" s="13" t="inlineStr"/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7" t="n">
        <v>155356</v>
      </c>
      <c r="AK1061" s="8" t="n">
        <v>7127</v>
      </c>
      <c r="AL1061" s="8" t="n">
        <v>5790</v>
      </c>
      <c r="AM1061" s="11" t="inlineStr"/>
      <c r="AN1061" s="12" t="inlineStr"/>
      <c r="AO1061" s="12" t="inlineStr"/>
      <c r="AP1061" s="13" t="inlineStr"/>
      <c r="AQ1061" s="13" t="inlineStr"/>
      <c r="AR1061" s="13" t="inlineStr"/>
      <c r="AS1061" s="13" t="inlineStr"/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7" t="n">
        <v>17766</v>
      </c>
      <c r="AK1062" s="8" t="n">
        <v>-1111</v>
      </c>
      <c r="AL1062" s="8" t="n">
        <v>-1053</v>
      </c>
      <c r="AM1062" s="11" t="inlineStr"/>
      <c r="AN1062" s="12" t="inlineStr"/>
      <c r="AO1062" s="12" t="inlineStr"/>
      <c r="AP1062" s="13" t="inlineStr"/>
      <c r="AQ1062" s="13" t="inlineStr"/>
      <c r="AR1062" s="13" t="inlineStr"/>
      <c r="AS1062" s="13" t="inlineStr"/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7" t="n">
        <v>349190</v>
      </c>
      <c r="AK1063" s="8" t="n">
        <v>19502</v>
      </c>
      <c r="AL1063" s="8" t="n">
        <v>16339</v>
      </c>
      <c r="AM1063" s="11" t="inlineStr"/>
      <c r="AN1063" s="12" t="inlineStr"/>
      <c r="AO1063" s="12" t="inlineStr"/>
      <c r="AP1063" s="13" t="inlineStr"/>
      <c r="AQ1063" s="13" t="inlineStr"/>
      <c r="AR1063" s="13" t="inlineStr"/>
      <c r="AS1063" s="13" t="inlineStr"/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7" t="n">
        <v>11865</v>
      </c>
      <c r="AK1064" s="8" t="n">
        <v>3601</v>
      </c>
      <c r="AL1064" s="8" t="n">
        <v>4875</v>
      </c>
      <c r="AM1064" s="11" t="inlineStr"/>
      <c r="AN1064" s="12" t="inlineStr"/>
      <c r="AO1064" s="12" t="inlineStr"/>
      <c r="AP1064" s="13" t="inlineStr"/>
      <c r="AQ1064" s="13" t="inlineStr"/>
      <c r="AR1064" s="13" t="inlineStr"/>
      <c r="AS1064" s="13" t="inlineStr"/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7" t="n">
        <v>8873</v>
      </c>
      <c r="AK1065" s="8" t="n">
        <v>1811</v>
      </c>
      <c r="AL1065" s="8" t="n">
        <v>1743</v>
      </c>
      <c r="AM1065" s="11" t="inlineStr"/>
      <c r="AN1065" s="12" t="inlineStr"/>
      <c r="AO1065" s="12" t="inlineStr"/>
      <c r="AP1065" s="13" t="inlineStr"/>
      <c r="AQ1065" s="13" t="inlineStr"/>
      <c r="AR1065" s="13" t="inlineStr"/>
      <c r="AS1065" s="13" t="inlineStr"/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7" t="n">
        <v>26991</v>
      </c>
      <c r="AK1066" s="8" t="n">
        <v>6267</v>
      </c>
      <c r="AL1066" s="8" t="n">
        <v>6298</v>
      </c>
      <c r="AM1066" s="11" t="inlineStr"/>
      <c r="AN1066" s="12" t="inlineStr"/>
      <c r="AO1066" s="12" t="inlineStr"/>
      <c r="AP1066" s="13" t="inlineStr"/>
      <c r="AQ1066" s="13" t="inlineStr"/>
      <c r="AR1066" s="13" t="inlineStr"/>
      <c r="AS1066" s="13" t="inlineStr"/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7" t="n">
        <v>3315</v>
      </c>
      <c r="AK1067" s="8" t="n">
        <v>-736</v>
      </c>
      <c r="AL1067" s="8" t="n">
        <v>1278</v>
      </c>
      <c r="AM1067" s="11" t="inlineStr"/>
      <c r="AN1067" s="12" t="inlineStr"/>
      <c r="AO1067" s="12" t="inlineStr"/>
      <c r="AP1067" s="13" t="inlineStr"/>
      <c r="AQ1067" s="13" t="inlineStr"/>
      <c r="AR1067" s="13" t="inlineStr"/>
      <c r="AS1067" s="13" t="inlineStr"/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7" t="n">
        <v>50260</v>
      </c>
      <c r="AK1068" s="8" t="n">
        <v>2317</v>
      </c>
      <c r="AL1068" s="8" t="n">
        <v>1239</v>
      </c>
      <c r="AM1068" s="11" t="inlineStr"/>
      <c r="AN1068" s="12" t="inlineStr"/>
      <c r="AO1068" s="12" t="inlineStr"/>
      <c r="AP1068" s="13" t="inlineStr"/>
      <c r="AQ1068" s="13" t="inlineStr"/>
      <c r="AR1068" s="13" t="inlineStr"/>
      <c r="AS1068" s="13" t="inlineStr"/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7" t="n">
        <v>23284</v>
      </c>
      <c r="AK1069" s="8" t="n">
        <v>-790</v>
      </c>
      <c r="AL1069" s="8" t="n">
        <v>2646</v>
      </c>
      <c r="AM1069" s="11" t="inlineStr"/>
      <c r="AN1069" s="12" t="inlineStr"/>
      <c r="AO1069" s="12" t="inlineStr"/>
      <c r="AP1069" s="13" t="inlineStr"/>
      <c r="AQ1069" s="13" t="inlineStr"/>
      <c r="AR1069" s="13" t="inlineStr"/>
      <c r="AS1069" s="13" t="inlineStr"/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7" t="n">
        <v>5439</v>
      </c>
      <c r="AK1070" s="8" t="n">
        <v>-238</v>
      </c>
      <c r="AL1070" s="8" t="n">
        <v>-287</v>
      </c>
      <c r="AM1070" s="11" t="inlineStr"/>
      <c r="AN1070" s="12" t="inlineStr"/>
      <c r="AO1070" s="12" t="inlineStr"/>
      <c r="AP1070" s="13" t="inlineStr"/>
      <c r="AQ1070" s="13" t="inlineStr"/>
      <c r="AR1070" s="13" t="inlineStr"/>
      <c r="AS1070" s="13" t="inlineStr"/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7" t="n">
        <v>383375</v>
      </c>
      <c r="AK1071" s="8" t="n">
        <v>15441</v>
      </c>
      <c r="AL1071" s="8" t="n">
        <v>12973</v>
      </c>
      <c r="AM1071" s="11" t="inlineStr"/>
      <c r="AN1071" s="12" t="inlineStr"/>
      <c r="AO1071" s="12" t="inlineStr"/>
      <c r="AP1071" s="13" t="inlineStr"/>
      <c r="AQ1071" s="13" t="inlineStr"/>
      <c r="AR1071" s="13" t="inlineStr"/>
      <c r="AS1071" s="13" t="inlineStr"/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7" t="n">
        <v>10392</v>
      </c>
      <c r="AK1072" s="8" t="n">
        <v>179</v>
      </c>
      <c r="AL1072" s="8" t="n">
        <v>206</v>
      </c>
      <c r="AM1072" s="11" t="inlineStr"/>
      <c r="AN1072" s="12" t="inlineStr"/>
      <c r="AO1072" s="12" t="inlineStr"/>
      <c r="AP1072" s="13" t="inlineStr"/>
      <c r="AQ1072" s="13" t="inlineStr"/>
      <c r="AR1072" s="13" t="inlineStr"/>
      <c r="AS1072" s="13" t="inlineStr"/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7" t="n">
        <v>23618</v>
      </c>
      <c r="AK1073" s="8" t="n">
        <v>2436</v>
      </c>
      <c r="AL1073" s="8" t="n">
        <v>2485</v>
      </c>
      <c r="AM1073" s="11" t="inlineStr"/>
      <c r="AN1073" s="12" t="inlineStr"/>
      <c r="AO1073" s="12" t="inlineStr"/>
      <c r="AP1073" s="13" t="inlineStr"/>
      <c r="AQ1073" s="13" t="inlineStr"/>
      <c r="AR1073" s="13" t="inlineStr"/>
      <c r="AS1073" s="13" t="inlineStr"/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7" t="inlineStr"/>
      <c r="AK1074" s="8" t="inlineStr"/>
      <c r="AL1074" s="8" t="inlineStr"/>
      <c r="AM1074" s="11" t="inlineStr"/>
      <c r="AN1074" s="12" t="inlineStr"/>
      <c r="AO1074" s="12" t="inlineStr"/>
      <c r="AP1074" s="13" t="inlineStr"/>
      <c r="AQ1074" s="13" t="inlineStr"/>
      <c r="AR1074" s="13" t="inlineStr"/>
      <c r="AS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2026Q3</t>
        </is>
      </c>
      <c r="E1075" s="6" t="inlineStr">
        <is>
          <t>2023Q4, 2026Q3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7" t="n">
        <v>95440</v>
      </c>
      <c r="AK1075" s="8" t="n">
        <v>6122</v>
      </c>
      <c r="AL1075" s="8" t="n">
        <v>6976</v>
      </c>
      <c r="AM1075" s="14" t="n">
        <v>73632</v>
      </c>
      <c r="AN1075" s="15" t="n">
        <v>6872</v>
      </c>
      <c r="AO1075" s="15" t="n">
        <v>6192</v>
      </c>
      <c r="AP1075" s="13" t="n">
        <v>-22.8</v>
      </c>
      <c r="AQ1075" s="13" t="n">
        <v>-4.3</v>
      </c>
      <c r="AR1075" s="13" t="n">
        <v>12.3</v>
      </c>
      <c r="AS1075" s="13" t="n">
        <v>234.7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7" t="n">
        <v>60949</v>
      </c>
      <c r="AK1076" s="8" t="n">
        <v>2539</v>
      </c>
      <c r="AL1076" s="8" t="n">
        <v>2376</v>
      </c>
      <c r="AM1076" s="11" t="inlineStr"/>
      <c r="AN1076" s="12" t="inlineStr"/>
      <c r="AO1076" s="12" t="inlineStr"/>
      <c r="AP1076" s="13" t="inlineStr"/>
      <c r="AQ1076" s="13" t="inlineStr"/>
      <c r="AR1076" s="13" t="inlineStr"/>
      <c r="AS1076" s="13" t="inlineStr"/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7" t="n">
        <v>10182</v>
      </c>
      <c r="AK1077" s="8" t="n">
        <v>182</v>
      </c>
      <c r="AL1077" s="8" t="n">
        <v>407</v>
      </c>
      <c r="AM1077" s="11" t="inlineStr"/>
      <c r="AN1077" s="12" t="inlineStr"/>
      <c r="AO1077" s="12" t="inlineStr"/>
      <c r="AP1077" s="13" t="inlineStr"/>
      <c r="AQ1077" s="13" t="inlineStr"/>
      <c r="AR1077" s="13" t="inlineStr"/>
      <c r="AS1077" s="13" t="inlineStr"/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7" t="n">
        <v>48576</v>
      </c>
      <c r="AK1078" s="8" t="n">
        <v>2037</v>
      </c>
      <c r="AL1078" s="8" t="n">
        <v>1843</v>
      </c>
      <c r="AM1078" s="11" t="inlineStr"/>
      <c r="AN1078" s="12" t="inlineStr"/>
      <c r="AO1078" s="12" t="inlineStr"/>
      <c r="AP1078" s="13" t="inlineStr"/>
      <c r="AQ1078" s="13" t="inlineStr"/>
      <c r="AR1078" s="13" t="inlineStr"/>
      <c r="AS1078" s="13" t="inlineStr"/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7" t="n">
        <v>85144</v>
      </c>
      <c r="AK1079" s="8" t="n">
        <v>-1956</v>
      </c>
      <c r="AL1079" s="8" t="n">
        <v>-1250</v>
      </c>
      <c r="AM1079" s="11" t="inlineStr"/>
      <c r="AN1079" s="12" t="inlineStr"/>
      <c r="AO1079" s="12" t="inlineStr"/>
      <c r="AP1079" s="13" t="inlineStr"/>
      <c r="AQ1079" s="13" t="inlineStr"/>
      <c r="AR1079" s="13" t="inlineStr"/>
      <c r="AS1079" s="13" t="inlineStr"/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7" t="n">
        <v>42753</v>
      </c>
      <c r="AK1080" s="8" t="n">
        <v>890</v>
      </c>
      <c r="AL1080" s="8" t="n">
        <v>1371</v>
      </c>
      <c r="AM1080" s="11" t="inlineStr"/>
      <c r="AN1080" s="12" t="inlineStr"/>
      <c r="AO1080" s="12" t="inlineStr"/>
      <c r="AP1080" s="13" t="inlineStr"/>
      <c r="AQ1080" s="13" t="inlineStr"/>
      <c r="AR1080" s="13" t="inlineStr"/>
      <c r="AS1080" s="13" t="inlineStr"/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7" t="n">
        <v>33687</v>
      </c>
      <c r="AK1081" s="8" t="n">
        <v>3794</v>
      </c>
      <c r="AL1081" s="8" t="n">
        <v>2602</v>
      </c>
      <c r="AM1081" s="11" t="inlineStr"/>
      <c r="AN1081" s="12" t="inlineStr"/>
      <c r="AO1081" s="12" t="inlineStr"/>
      <c r="AP1081" s="13" t="inlineStr"/>
      <c r="AQ1081" s="13" t="inlineStr"/>
      <c r="AR1081" s="13" t="inlineStr"/>
      <c r="AS1081" s="13" t="inlineStr"/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7" t="n">
        <v>103888</v>
      </c>
      <c r="AK1082" s="8" t="n">
        <v>4975</v>
      </c>
      <c r="AL1082" s="8" t="n">
        <v>3094</v>
      </c>
      <c r="AM1082" s="11" t="inlineStr"/>
      <c r="AN1082" s="12" t="inlineStr"/>
      <c r="AO1082" s="12" t="inlineStr"/>
      <c r="AP1082" s="13" t="inlineStr"/>
      <c r="AQ1082" s="13" t="inlineStr"/>
      <c r="AR1082" s="13" t="inlineStr"/>
      <c r="AS1082" s="13" t="inlineStr"/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7" t="n">
        <v>19480</v>
      </c>
      <c r="AK1083" s="8" t="n">
        <v>-1627</v>
      </c>
      <c r="AL1083" s="8" t="n">
        <v>-2752</v>
      </c>
      <c r="AM1083" s="11" t="inlineStr"/>
      <c r="AN1083" s="12" t="inlineStr"/>
      <c r="AO1083" s="12" t="inlineStr"/>
      <c r="AP1083" s="13" t="inlineStr"/>
      <c r="AQ1083" s="13" t="inlineStr"/>
      <c r="AR1083" s="13" t="inlineStr"/>
      <c r="AS1083" s="13" t="inlineStr"/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7" t="n">
        <v>2926</v>
      </c>
      <c r="AK1084" s="8" t="n">
        <v>-1468</v>
      </c>
      <c r="AL1084" s="8" t="n">
        <v>1600</v>
      </c>
      <c r="AM1084" s="11" t="inlineStr"/>
      <c r="AN1084" s="12" t="inlineStr"/>
      <c r="AO1084" s="12" t="inlineStr"/>
      <c r="AP1084" s="13" t="inlineStr"/>
      <c r="AQ1084" s="13" t="inlineStr"/>
      <c r="AR1084" s="13" t="inlineStr"/>
      <c r="AS1084" s="13" t="inlineStr"/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7" t="n">
        <v>359892</v>
      </c>
      <c r="AK1085" s="8" t="n">
        <v>37209</v>
      </c>
      <c r="AL1085" s="8" t="n">
        <v>20656</v>
      </c>
      <c r="AM1085" s="11" t="inlineStr"/>
      <c r="AN1085" s="12" t="inlineStr"/>
      <c r="AO1085" s="12" t="inlineStr"/>
      <c r="AP1085" s="13" t="inlineStr"/>
      <c r="AQ1085" s="13" t="inlineStr"/>
      <c r="AR1085" s="13" t="inlineStr"/>
      <c r="AS1085" s="13" t="inlineStr"/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7" t="n">
        <v>53866</v>
      </c>
      <c r="AK1086" s="8" t="n">
        <v>-2290</v>
      </c>
      <c r="AL1086" s="8" t="n">
        <v>-1069</v>
      </c>
      <c r="AM1086" s="11" t="inlineStr"/>
      <c r="AN1086" s="12" t="inlineStr"/>
      <c r="AO1086" s="12" t="inlineStr"/>
      <c r="AP1086" s="13" t="inlineStr"/>
      <c r="AQ1086" s="13" t="inlineStr"/>
      <c r="AR1086" s="13" t="inlineStr"/>
      <c r="AS1086" s="13" t="inlineStr"/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2026Q3</t>
        </is>
      </c>
      <c r="E1087" s="6" t="inlineStr">
        <is>
          <t>2026Q3</t>
        </is>
      </c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7" t="n">
        <v>75460</v>
      </c>
      <c r="AK1087" s="8" t="n">
        <v>18002</v>
      </c>
      <c r="AL1087" s="8" t="n">
        <v>14772</v>
      </c>
      <c r="AM1087" s="14" t="n">
        <v>52178</v>
      </c>
      <c r="AN1087" s="15" t="n">
        <v>4869</v>
      </c>
      <c r="AO1087" s="15" t="n">
        <v>1227</v>
      </c>
      <c r="AP1087" s="13" t="n">
        <v>-30.9</v>
      </c>
      <c r="AQ1087" s="13" t="n">
        <v>14.1</v>
      </c>
      <c r="AR1087" s="13" t="n">
        <v>-73</v>
      </c>
      <c r="AS1087" s="13" t="n">
        <v>-10.7</v>
      </c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7" t="n">
        <v>24463</v>
      </c>
      <c r="AK1088" s="8" t="n">
        <v>-912</v>
      </c>
      <c r="AL1088" s="8" t="n">
        <v>4374</v>
      </c>
      <c r="AM1088" s="11" t="inlineStr"/>
      <c r="AN1088" s="12" t="inlineStr"/>
      <c r="AO1088" s="12" t="inlineStr"/>
      <c r="AP1088" s="13" t="inlineStr"/>
      <c r="AQ1088" s="13" t="inlineStr"/>
      <c r="AR1088" s="13" t="inlineStr"/>
      <c r="AS1088" s="13" t="inlineStr"/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7" t="n">
        <v>144855</v>
      </c>
      <c r="AK1089" s="8" t="n">
        <v>13109</v>
      </c>
      <c r="AL1089" s="8" t="n">
        <v>8971</v>
      </c>
      <c r="AM1089" s="11" t="inlineStr"/>
      <c r="AN1089" s="12" t="inlineStr"/>
      <c r="AO1089" s="12" t="inlineStr"/>
      <c r="AP1089" s="13" t="inlineStr"/>
      <c r="AQ1089" s="13" t="inlineStr"/>
      <c r="AR1089" s="13" t="inlineStr"/>
      <c r="AS1089" s="13" t="inlineStr"/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7" t="n">
        <v>164179</v>
      </c>
      <c r="AK1090" s="8" t="n">
        <v>62035</v>
      </c>
      <c r="AL1090" s="8" t="n">
        <v>54584</v>
      </c>
      <c r="AM1090" s="11" t="inlineStr"/>
      <c r="AN1090" s="12" t="inlineStr"/>
      <c r="AO1090" s="12" t="inlineStr"/>
      <c r="AP1090" s="13" t="inlineStr"/>
      <c r="AQ1090" s="13" t="inlineStr"/>
      <c r="AR1090" s="13" t="inlineStr"/>
      <c r="AS1090" s="13" t="inlineStr"/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7" t="n">
        <v>1188</v>
      </c>
      <c r="AK1091" s="8" t="n">
        <v>-596</v>
      </c>
      <c r="AL1091" s="8" t="n">
        <v>1481</v>
      </c>
      <c r="AM1091" s="11" t="inlineStr"/>
      <c r="AN1091" s="12" t="inlineStr"/>
      <c r="AO1091" s="12" t="inlineStr"/>
      <c r="AP1091" s="13" t="inlineStr"/>
      <c r="AQ1091" s="13" t="inlineStr"/>
      <c r="AR1091" s="13" t="inlineStr"/>
      <c r="AS1091" s="13" t="inlineStr"/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7" t="n">
        <v>15553</v>
      </c>
      <c r="AK1092" s="8" t="n">
        <v>-5275</v>
      </c>
      <c r="AL1092" s="8" t="n">
        <v>7706</v>
      </c>
      <c r="AM1092" s="11" t="inlineStr"/>
      <c r="AN1092" s="12" t="inlineStr"/>
      <c r="AO1092" s="12" t="inlineStr"/>
      <c r="AP1092" s="13" t="inlineStr"/>
      <c r="AQ1092" s="13" t="inlineStr"/>
      <c r="AR1092" s="13" t="inlineStr"/>
      <c r="AS1092" s="13" t="inlineStr"/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7" t="n">
        <v>41086</v>
      </c>
      <c r="AK1093" s="8" t="n">
        <v>-5003</v>
      </c>
      <c r="AL1093" s="8" t="n">
        <v>-5405</v>
      </c>
      <c r="AM1093" s="11" t="inlineStr"/>
      <c r="AN1093" s="12" t="inlineStr"/>
      <c r="AO1093" s="12" t="inlineStr"/>
      <c r="AP1093" s="13" t="inlineStr"/>
      <c r="AQ1093" s="13" t="inlineStr"/>
      <c r="AR1093" s="13" t="inlineStr"/>
      <c r="AS1093" s="13" t="inlineStr"/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7" t="n">
        <v>4265</v>
      </c>
      <c r="AK1094" s="8" t="n">
        <v>386</v>
      </c>
      <c r="AL1094" s="8" t="n">
        <v>-354</v>
      </c>
      <c r="AM1094" s="11" t="inlineStr"/>
      <c r="AN1094" s="12" t="inlineStr"/>
      <c r="AO1094" s="12" t="inlineStr"/>
      <c r="AP1094" s="13" t="inlineStr"/>
      <c r="AQ1094" s="13" t="inlineStr"/>
      <c r="AR1094" s="13" t="inlineStr"/>
      <c r="AS1094" s="13" t="inlineStr"/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7" t="n">
        <v>14341</v>
      </c>
      <c r="AK1095" s="8" t="n">
        <v>2285</v>
      </c>
      <c r="AL1095" s="8" t="n">
        <v>2494</v>
      </c>
      <c r="AM1095" s="11" t="inlineStr"/>
      <c r="AN1095" s="12" t="inlineStr"/>
      <c r="AO1095" s="12" t="inlineStr"/>
      <c r="AP1095" s="13" t="inlineStr"/>
      <c r="AQ1095" s="13" t="inlineStr"/>
      <c r="AR1095" s="13" t="inlineStr"/>
      <c r="AS1095" s="13" t="inlineStr"/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7" t="n">
        <v>110468</v>
      </c>
      <c r="AK1096" s="8" t="n">
        <v>9647</v>
      </c>
      <c r="AL1096" s="8" t="n">
        <v>4985</v>
      </c>
      <c r="AM1096" s="11" t="inlineStr"/>
      <c r="AN1096" s="12" t="inlineStr"/>
      <c r="AO1096" s="12" t="inlineStr"/>
      <c r="AP1096" s="13" t="inlineStr"/>
      <c r="AQ1096" s="13" t="inlineStr"/>
      <c r="AR1096" s="13" t="inlineStr"/>
      <c r="AS1096" s="13" t="inlineStr"/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7" t="n">
        <v>6084</v>
      </c>
      <c r="AK1097" s="8" t="n">
        <v>403</v>
      </c>
      <c r="AL1097" s="8" t="n">
        <v>626</v>
      </c>
      <c r="AM1097" s="11" t="inlineStr"/>
      <c r="AN1097" s="12" t="inlineStr"/>
      <c r="AO1097" s="12" t="inlineStr"/>
      <c r="AP1097" s="13" t="inlineStr"/>
      <c r="AQ1097" s="13" t="inlineStr"/>
      <c r="AR1097" s="13" t="inlineStr"/>
      <c r="AS1097" s="13" t="inlineStr"/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7" t="n">
        <v>625</v>
      </c>
      <c r="AK1098" s="8" t="n">
        <v>-1805</v>
      </c>
      <c r="AL1098" s="8" t="n">
        <v>-1790</v>
      </c>
      <c r="AM1098" s="11" t="inlineStr"/>
      <c r="AN1098" s="12" t="inlineStr"/>
      <c r="AO1098" s="12" t="inlineStr"/>
      <c r="AP1098" s="13" t="inlineStr"/>
      <c r="AQ1098" s="13" t="inlineStr"/>
      <c r="AR1098" s="13" t="inlineStr"/>
      <c r="AS1098" s="13" t="inlineStr"/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7" t="n">
        <v>867</v>
      </c>
      <c r="AK1099" s="8" t="n">
        <v>-2010</v>
      </c>
      <c r="AL1099" s="8" t="n">
        <v>-2356</v>
      </c>
      <c r="AM1099" s="11" t="inlineStr"/>
      <c r="AN1099" s="12" t="inlineStr"/>
      <c r="AO1099" s="12" t="inlineStr"/>
      <c r="AP1099" s="13" t="inlineStr"/>
      <c r="AQ1099" s="13" t="inlineStr"/>
      <c r="AR1099" s="13" t="inlineStr"/>
      <c r="AS1099" s="13" t="inlineStr"/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7" t="n">
        <v>60531</v>
      </c>
      <c r="AK1100" s="8" t="n">
        <v>1797</v>
      </c>
      <c r="AL1100" s="8" t="n">
        <v>-8195</v>
      </c>
      <c r="AM1100" s="11" t="inlineStr"/>
      <c r="AN1100" s="12" t="inlineStr"/>
      <c r="AO1100" s="12" t="inlineStr"/>
      <c r="AP1100" s="13" t="inlineStr"/>
      <c r="AQ1100" s="13" t="inlineStr"/>
      <c r="AR1100" s="13" t="inlineStr"/>
      <c r="AS1100" s="13" t="inlineStr"/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7" t="n">
        <v>8961</v>
      </c>
      <c r="AK1101" s="8" t="n">
        <v>-5117</v>
      </c>
      <c r="AL1101" s="8" t="n">
        <v>-6094</v>
      </c>
      <c r="AM1101" s="11" t="inlineStr"/>
      <c r="AN1101" s="12" t="inlineStr"/>
      <c r="AO1101" s="12" t="inlineStr"/>
      <c r="AP1101" s="13" t="inlineStr"/>
      <c r="AQ1101" s="13" t="inlineStr"/>
      <c r="AR1101" s="13" t="inlineStr"/>
      <c r="AS1101" s="13" t="inlineStr"/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2026Q3</t>
        </is>
      </c>
      <c r="E1102" s="6" t="inlineStr">
        <is>
          <t>2023Q4, 2026Q3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7" t="n">
        <v>1606051</v>
      </c>
      <c r="AK1102" s="8" t="n">
        <v>232383</v>
      </c>
      <c r="AL1102" s="8" t="n">
        <v>186275</v>
      </c>
      <c r="AM1102" s="14" t="n">
        <v>1620700</v>
      </c>
      <c r="AN1102" s="15" t="n">
        <v>247074</v>
      </c>
      <c r="AO1102" s="15" t="n">
        <v>177984</v>
      </c>
      <c r="AP1102" s="13" t="n">
        <v>0.9</v>
      </c>
      <c r="AQ1102" s="13" t="n">
        <v>0.1</v>
      </c>
      <c r="AR1102" s="13" t="n">
        <v>6.3</v>
      </c>
      <c r="AS1102" s="13" t="n">
        <v>-11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7" t="n">
        <v>1520828</v>
      </c>
      <c r="AK1103" s="8" t="n">
        <v>127880</v>
      </c>
      <c r="AL1103" s="8" t="n">
        <v>118738</v>
      </c>
      <c r="AM1103" s="11" t="inlineStr"/>
      <c r="AN1103" s="12" t="inlineStr"/>
      <c r="AO1103" s="12" t="inlineStr"/>
      <c r="AP1103" s="13" t="inlineStr"/>
      <c r="AQ1103" s="13" t="inlineStr"/>
      <c r="AR1103" s="13" t="inlineStr"/>
      <c r="AS1103" s="13" t="inlineStr"/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7" t="n">
        <v>11181</v>
      </c>
      <c r="AK1104" s="8" t="n">
        <v>977</v>
      </c>
      <c r="AL1104" s="8" t="n">
        <v>1028</v>
      </c>
      <c r="AM1104" s="11" t="inlineStr"/>
      <c r="AN1104" s="12" t="inlineStr"/>
      <c r="AO1104" s="12" t="inlineStr"/>
      <c r="AP1104" s="13" t="inlineStr"/>
      <c r="AQ1104" s="13" t="inlineStr"/>
      <c r="AR1104" s="13" t="inlineStr"/>
      <c r="AS1104" s="13" t="inlineStr"/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7" t="n">
        <v>1769</v>
      </c>
      <c r="AK1105" s="8" t="n">
        <v>-1661</v>
      </c>
      <c r="AL1105" s="8" t="n">
        <v>178</v>
      </c>
      <c r="AM1105" s="11" t="inlineStr"/>
      <c r="AN1105" s="12" t="inlineStr"/>
      <c r="AO1105" s="12" t="inlineStr"/>
      <c r="AP1105" s="13" t="inlineStr"/>
      <c r="AQ1105" s="13" t="inlineStr"/>
      <c r="AR1105" s="13" t="inlineStr"/>
      <c r="AS1105" s="13" t="inlineStr"/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7" t="n">
        <v>96153</v>
      </c>
      <c r="AK1106" s="8" t="n">
        <v>1176</v>
      </c>
      <c r="AL1106" s="8" t="n">
        <v>-1100</v>
      </c>
      <c r="AM1106" s="11" t="inlineStr"/>
      <c r="AN1106" s="12" t="inlineStr"/>
      <c r="AO1106" s="12" t="inlineStr"/>
      <c r="AP1106" s="13" t="inlineStr"/>
      <c r="AQ1106" s="13" t="inlineStr"/>
      <c r="AR1106" s="13" t="inlineStr"/>
      <c r="AS1106" s="13" t="inlineStr"/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7" t="n">
        <v>94873</v>
      </c>
      <c r="AK1107" s="8" t="n">
        <v>26850</v>
      </c>
      <c r="AL1107" s="8" t="n">
        <v>23651</v>
      </c>
      <c r="AM1107" s="11" t="inlineStr"/>
      <c r="AN1107" s="12" t="inlineStr"/>
      <c r="AO1107" s="12" t="inlineStr"/>
      <c r="AP1107" s="13" t="inlineStr"/>
      <c r="AQ1107" s="13" t="inlineStr"/>
      <c r="AR1107" s="13" t="inlineStr"/>
      <c r="AS1107" s="13" t="inlineStr"/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7" t="n">
        <v>11974</v>
      </c>
      <c r="AK1108" s="8" t="n">
        <v>-4417</v>
      </c>
      <c r="AL1108" s="8" t="n">
        <v>-58708</v>
      </c>
      <c r="AM1108" s="11" t="inlineStr"/>
      <c r="AN1108" s="12" t="inlineStr"/>
      <c r="AO1108" s="12" t="inlineStr"/>
      <c r="AP1108" s="13" t="inlineStr"/>
      <c r="AQ1108" s="13" t="inlineStr"/>
      <c r="AR1108" s="13" t="inlineStr"/>
      <c r="AS1108" s="13" t="inlineStr"/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7" t="n">
        <v>161093</v>
      </c>
      <c r="AK1109" s="8" t="n">
        <v>2793</v>
      </c>
      <c r="AL1109" s="8" t="n">
        <v>-681</v>
      </c>
      <c r="AM1109" s="11" t="inlineStr"/>
      <c r="AN1109" s="12" t="inlineStr"/>
      <c r="AO1109" s="12" t="inlineStr"/>
      <c r="AP1109" s="13" t="inlineStr"/>
      <c r="AQ1109" s="13" t="inlineStr"/>
      <c r="AR1109" s="13" t="inlineStr"/>
      <c r="AS1109" s="13" t="inlineStr"/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2026Q3</t>
        </is>
      </c>
      <c r="E1110" s="6" t="inlineStr">
        <is>
          <t>2026Q3</t>
        </is>
      </c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7" t="n">
        <v>14921</v>
      </c>
      <c r="AK1110" s="8" t="n">
        <v>7863</v>
      </c>
      <c r="AL1110" s="8" t="n">
        <v>6164</v>
      </c>
      <c r="AM1110" s="14" t="n">
        <v>14841</v>
      </c>
      <c r="AN1110" s="15" t="n">
        <v>7729</v>
      </c>
      <c r="AO1110" s="15" t="n">
        <v>6263</v>
      </c>
      <c r="AP1110" s="13" t="n">
        <v>-0.5</v>
      </c>
      <c r="AQ1110" s="13" t="n">
        <v>76.5</v>
      </c>
      <c r="AR1110" s="13" t="n">
        <v>-1.7</v>
      </c>
      <c r="AS1110" s="13" t="n">
        <v>187.9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7" t="n">
        <v>258025</v>
      </c>
      <c r="AK1111" s="8" t="n">
        <v>25842</v>
      </c>
      <c r="AL1111" s="8" t="n">
        <v>23814</v>
      </c>
      <c r="AM1111" s="11" t="inlineStr"/>
      <c r="AN1111" s="12" t="inlineStr"/>
      <c r="AO1111" s="12" t="inlineStr"/>
      <c r="AP1111" s="13" t="inlineStr"/>
      <c r="AQ1111" s="13" t="inlineStr"/>
      <c r="AR1111" s="13" t="inlineStr"/>
      <c r="AS1111" s="13" t="inlineStr"/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7" t="n">
        <v>31725</v>
      </c>
      <c r="AK1112" s="8" t="n">
        <v>4314</v>
      </c>
      <c r="AL1112" s="8" t="n">
        <v>2583</v>
      </c>
      <c r="AM1112" s="11" t="inlineStr"/>
      <c r="AN1112" s="12" t="inlineStr"/>
      <c r="AO1112" s="12" t="inlineStr"/>
      <c r="AP1112" s="13" t="inlineStr"/>
      <c r="AQ1112" s="13" t="inlineStr"/>
      <c r="AR1112" s="13" t="inlineStr"/>
      <c r="AS1112" s="13" t="inlineStr"/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7" t="n">
        <v>238433</v>
      </c>
      <c r="AK1113" s="8" t="n">
        <v>5457</v>
      </c>
      <c r="AL1113" s="8" t="n">
        <v>6505</v>
      </c>
      <c r="AM1113" s="11" t="inlineStr"/>
      <c r="AN1113" s="12" t="inlineStr"/>
      <c r="AO1113" s="12" t="inlineStr"/>
      <c r="AP1113" s="13" t="inlineStr"/>
      <c r="AQ1113" s="13" t="inlineStr"/>
      <c r="AR1113" s="13" t="inlineStr"/>
      <c r="AS1113" s="13" t="inlineStr"/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7" t="n">
        <v>30803</v>
      </c>
      <c r="AK1114" s="8" t="n">
        <v>977</v>
      </c>
      <c r="AL1114" s="8" t="n">
        <v>1915</v>
      </c>
      <c r="AM1114" s="11" t="inlineStr"/>
      <c r="AN1114" s="12" t="inlineStr"/>
      <c r="AO1114" s="12" t="inlineStr"/>
      <c r="AP1114" s="13" t="inlineStr"/>
      <c r="AQ1114" s="13" t="inlineStr"/>
      <c r="AR1114" s="13" t="inlineStr"/>
      <c r="AS1114" s="13" t="inlineStr"/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7" t="n">
        <v>713</v>
      </c>
      <c r="AK1115" s="8" t="n">
        <v>-483</v>
      </c>
      <c r="AL1115" s="8" t="n">
        <v>-807</v>
      </c>
      <c r="AM1115" s="11" t="inlineStr"/>
      <c r="AN1115" s="12" t="inlineStr"/>
      <c r="AO1115" s="12" t="inlineStr"/>
      <c r="AP1115" s="13" t="inlineStr"/>
      <c r="AQ1115" s="13" t="inlineStr"/>
      <c r="AR1115" s="13" t="inlineStr"/>
      <c r="AS1115" s="13" t="inlineStr"/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7" t="n">
        <v>299159</v>
      </c>
      <c r="AK1116" s="8" t="n">
        <v>15634</v>
      </c>
      <c r="AL1116" s="8" t="n">
        <v>12718</v>
      </c>
      <c r="AM1116" s="11" t="inlineStr"/>
      <c r="AN1116" s="12" t="inlineStr"/>
      <c r="AO1116" s="12" t="inlineStr"/>
      <c r="AP1116" s="13" t="inlineStr"/>
      <c r="AQ1116" s="13" t="inlineStr"/>
      <c r="AR1116" s="13" t="inlineStr"/>
      <c r="AS1116" s="13" t="inlineStr"/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7" t="n">
        <v>9865</v>
      </c>
      <c r="AK1117" s="8" t="n">
        <v>-853</v>
      </c>
      <c r="AL1117" s="8" t="n">
        <v>307</v>
      </c>
      <c r="AM1117" s="11" t="inlineStr"/>
      <c r="AN1117" s="12" t="inlineStr"/>
      <c r="AO1117" s="12" t="inlineStr"/>
      <c r="AP1117" s="13" t="inlineStr"/>
      <c r="AQ1117" s="13" t="inlineStr"/>
      <c r="AR1117" s="13" t="inlineStr"/>
      <c r="AS1117" s="13" t="inlineStr"/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7" t="n">
        <v>3763</v>
      </c>
      <c r="AK1118" s="8" t="n">
        <v>-358</v>
      </c>
      <c r="AL1118" s="8" t="n">
        <v>-1224</v>
      </c>
      <c r="AM1118" s="11" t="inlineStr"/>
      <c r="AN1118" s="12" t="inlineStr"/>
      <c r="AO1118" s="12" t="inlineStr"/>
      <c r="AP1118" s="13" t="inlineStr"/>
      <c r="AQ1118" s="13" t="inlineStr"/>
      <c r="AR1118" s="13" t="inlineStr"/>
      <c r="AS1118" s="13" t="inlineStr"/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7" t="n">
        <v>9614</v>
      </c>
      <c r="AK1119" s="8" t="n">
        <v>-751</v>
      </c>
      <c r="AL1119" s="8" t="n">
        <v>-733</v>
      </c>
      <c r="AM1119" s="11" t="inlineStr"/>
      <c r="AN1119" s="12" t="inlineStr"/>
      <c r="AO1119" s="12" t="inlineStr"/>
      <c r="AP1119" s="13" t="inlineStr"/>
      <c r="AQ1119" s="13" t="inlineStr"/>
      <c r="AR1119" s="13" t="inlineStr"/>
      <c r="AS1119" s="13" t="inlineStr"/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7" t="n">
        <v>22574</v>
      </c>
      <c r="AK1120" s="8" t="n">
        <v>624</v>
      </c>
      <c r="AL1120" s="8" t="n">
        <v>-567</v>
      </c>
      <c r="AM1120" s="11" t="inlineStr"/>
      <c r="AN1120" s="12" t="inlineStr"/>
      <c r="AO1120" s="12" t="inlineStr"/>
      <c r="AP1120" s="13" t="inlineStr"/>
      <c r="AQ1120" s="13" t="inlineStr"/>
      <c r="AR1120" s="13" t="inlineStr"/>
      <c r="AS1120" s="13" t="inlineStr"/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7" t="n">
        <v>43833</v>
      </c>
      <c r="AK1121" s="8" t="n">
        <v>-273</v>
      </c>
      <c r="AL1121" s="8" t="n">
        <v>716</v>
      </c>
      <c r="AM1121" s="11" t="inlineStr"/>
      <c r="AN1121" s="12" t="inlineStr"/>
      <c r="AO1121" s="12" t="inlineStr"/>
      <c r="AP1121" s="13" t="inlineStr"/>
      <c r="AQ1121" s="13" t="inlineStr"/>
      <c r="AR1121" s="13" t="inlineStr"/>
      <c r="AS1121" s="13" t="inlineStr"/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7" t="n">
        <v>32531</v>
      </c>
      <c r="AK1122" s="8" t="n">
        <v>2134</v>
      </c>
      <c r="AL1122" s="8" t="n">
        <v>1002</v>
      </c>
      <c r="AM1122" s="11" t="inlineStr"/>
      <c r="AN1122" s="12" t="inlineStr"/>
      <c r="AO1122" s="12" t="inlineStr"/>
      <c r="AP1122" s="13" t="inlineStr"/>
      <c r="AQ1122" s="13" t="inlineStr"/>
      <c r="AR1122" s="13" t="inlineStr"/>
      <c r="AS1122" s="13" t="inlineStr"/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7" t="n">
        <v>16387</v>
      </c>
      <c r="AK1123" s="8" t="n">
        <v>1238</v>
      </c>
      <c r="AL1123" s="8" t="n">
        <v>1251</v>
      </c>
      <c r="AM1123" s="11" t="inlineStr"/>
      <c r="AN1123" s="12" t="inlineStr"/>
      <c r="AO1123" s="12" t="inlineStr"/>
      <c r="AP1123" s="13" t="inlineStr"/>
      <c r="AQ1123" s="13" t="inlineStr"/>
      <c r="AR1123" s="13" t="inlineStr"/>
      <c r="AS1123" s="13" t="inlineStr"/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7" t="n">
        <v>6126</v>
      </c>
      <c r="AK1124" s="8" t="n">
        <v>869</v>
      </c>
      <c r="AL1124" s="8" t="n">
        <v>-3353</v>
      </c>
      <c r="AM1124" s="11" t="inlineStr"/>
      <c r="AN1124" s="12" t="inlineStr"/>
      <c r="AO1124" s="12" t="inlineStr"/>
      <c r="AP1124" s="13" t="inlineStr"/>
      <c r="AQ1124" s="13" t="inlineStr"/>
      <c r="AR1124" s="13" t="inlineStr"/>
      <c r="AS1124" s="13" t="inlineStr"/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7" t="n">
        <v>18653</v>
      </c>
      <c r="AK1125" s="8" t="n">
        <v>-2490</v>
      </c>
      <c r="AL1125" s="8" t="n">
        <v>-2204</v>
      </c>
      <c r="AM1125" s="11" t="inlineStr"/>
      <c r="AN1125" s="12" t="inlineStr"/>
      <c r="AO1125" s="12" t="inlineStr"/>
      <c r="AP1125" s="13" t="inlineStr"/>
      <c r="AQ1125" s="13" t="inlineStr"/>
      <c r="AR1125" s="13" t="inlineStr"/>
      <c r="AS1125" s="13" t="inlineStr"/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7" t="n">
        <v>2200</v>
      </c>
      <c r="AK1126" s="8" t="n">
        <v>-478</v>
      </c>
      <c r="AL1126" s="8" t="n">
        <v>-150</v>
      </c>
      <c r="AM1126" s="11" t="inlineStr"/>
      <c r="AN1126" s="12" t="inlineStr"/>
      <c r="AO1126" s="12" t="inlineStr"/>
      <c r="AP1126" s="13" t="inlineStr"/>
      <c r="AQ1126" s="13" t="inlineStr"/>
      <c r="AR1126" s="13" t="inlineStr"/>
      <c r="AS1126" s="13" t="inlineStr"/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7" t="n">
        <v>44984</v>
      </c>
      <c r="AK1127" s="8" t="n">
        <v>447</v>
      </c>
      <c r="AL1127" s="8" t="n">
        <v>3536</v>
      </c>
      <c r="AM1127" s="11" t="inlineStr"/>
      <c r="AN1127" s="12" t="inlineStr"/>
      <c r="AO1127" s="12" t="inlineStr"/>
      <c r="AP1127" s="13" t="inlineStr"/>
      <c r="AQ1127" s="13" t="inlineStr"/>
      <c r="AR1127" s="13" t="inlineStr"/>
      <c r="AS1127" s="13" t="inlineStr"/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7" t="n">
        <v>13340</v>
      </c>
      <c r="AK1128" s="8" t="n">
        <v>-644</v>
      </c>
      <c r="AL1128" s="8" t="n">
        <v>1833</v>
      </c>
      <c r="AM1128" s="11" t="inlineStr"/>
      <c r="AN1128" s="12" t="inlineStr"/>
      <c r="AO1128" s="12" t="inlineStr"/>
      <c r="AP1128" s="13" t="inlineStr"/>
      <c r="AQ1128" s="13" t="inlineStr"/>
      <c r="AR1128" s="13" t="inlineStr"/>
      <c r="AS1128" s="13" t="inlineStr"/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7" t="n">
        <v>23953</v>
      </c>
      <c r="AK1129" s="8" t="n">
        <v>4199</v>
      </c>
      <c r="AL1129" s="8" t="n">
        <v>5218</v>
      </c>
      <c r="AM1129" s="11" t="inlineStr"/>
      <c r="AN1129" s="12" t="inlineStr"/>
      <c r="AO1129" s="12" t="inlineStr"/>
      <c r="AP1129" s="13" t="inlineStr"/>
      <c r="AQ1129" s="13" t="inlineStr"/>
      <c r="AR1129" s="13" t="inlineStr"/>
      <c r="AS1129" s="13" t="inlineStr"/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7" t="n">
        <v>4306</v>
      </c>
      <c r="AK1130" s="8" t="n">
        <v>-597</v>
      </c>
      <c r="AL1130" s="8" t="n">
        <v>-371</v>
      </c>
      <c r="AM1130" s="11" t="inlineStr"/>
      <c r="AN1130" s="12" t="inlineStr"/>
      <c r="AO1130" s="12" t="inlineStr"/>
      <c r="AP1130" s="13" t="inlineStr"/>
      <c r="AQ1130" s="13" t="inlineStr"/>
      <c r="AR1130" s="13" t="inlineStr"/>
      <c r="AS1130" s="13" t="inlineStr"/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7" t="n">
        <v>72023</v>
      </c>
      <c r="AK1131" s="8" t="n">
        <v>2179</v>
      </c>
      <c r="AL1131" s="8" t="n">
        <v>19857</v>
      </c>
      <c r="AM1131" s="11" t="inlineStr"/>
      <c r="AN1131" s="12" t="inlineStr"/>
      <c r="AO1131" s="12" t="inlineStr"/>
      <c r="AP1131" s="13" t="inlineStr"/>
      <c r="AQ1131" s="13" t="inlineStr"/>
      <c r="AR1131" s="13" t="inlineStr"/>
      <c r="AS1131" s="13" t="inlineStr"/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7" t="n">
        <v>46761</v>
      </c>
      <c r="AK1132" s="8" t="n">
        <v>3366</v>
      </c>
      <c r="AL1132" s="8" t="n">
        <v>3560</v>
      </c>
      <c r="AM1132" s="11" t="inlineStr"/>
      <c r="AN1132" s="12" t="inlineStr"/>
      <c r="AO1132" s="12" t="inlineStr"/>
      <c r="AP1132" s="13" t="inlineStr"/>
      <c r="AQ1132" s="13" t="inlineStr"/>
      <c r="AR1132" s="13" t="inlineStr"/>
      <c r="AS1132" s="13" t="inlineStr"/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7" t="n">
        <v>7703</v>
      </c>
      <c r="AK1133" s="8" t="n">
        <v>-13</v>
      </c>
      <c r="AL1133" s="8" t="n">
        <v>2046</v>
      </c>
      <c r="AM1133" s="11" t="inlineStr"/>
      <c r="AN1133" s="12" t="inlineStr"/>
      <c r="AO1133" s="12" t="inlineStr"/>
      <c r="AP1133" s="13" t="inlineStr"/>
      <c r="AQ1133" s="13" t="inlineStr"/>
      <c r="AR1133" s="13" t="inlineStr"/>
      <c r="AS1133" s="13" t="inlineStr"/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7" t="n">
        <v>112047</v>
      </c>
      <c r="AK1134" s="8" t="n">
        <v>8279</v>
      </c>
      <c r="AL1134" s="8" t="n">
        <v>5077</v>
      </c>
      <c r="AM1134" s="11" t="inlineStr"/>
      <c r="AN1134" s="12" t="inlineStr"/>
      <c r="AO1134" s="12" t="inlineStr"/>
      <c r="AP1134" s="13" t="inlineStr"/>
      <c r="AQ1134" s="13" t="inlineStr"/>
      <c r="AR1134" s="13" t="inlineStr"/>
      <c r="AS1134" s="13" t="inlineStr"/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7" t="n">
        <v>5241</v>
      </c>
      <c r="AK1135" s="8" t="n">
        <v>-1093</v>
      </c>
      <c r="AL1135" s="8" t="n">
        <v>-1822</v>
      </c>
      <c r="AM1135" s="11" t="inlineStr"/>
      <c r="AN1135" s="12" t="inlineStr"/>
      <c r="AO1135" s="12" t="inlineStr"/>
      <c r="AP1135" s="13" t="inlineStr"/>
      <c r="AQ1135" s="13" t="inlineStr"/>
      <c r="AR1135" s="13" t="inlineStr"/>
      <c r="AS1135" s="13" t="inlineStr"/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7" t="n">
        <v>12086</v>
      </c>
      <c r="AK1136" s="8" t="n">
        <v>-829</v>
      </c>
      <c r="AL1136" s="8" t="n">
        <v>-1045</v>
      </c>
      <c r="AM1136" s="11" t="inlineStr"/>
      <c r="AN1136" s="12" t="inlineStr"/>
      <c r="AO1136" s="12" t="inlineStr"/>
      <c r="AP1136" s="13" t="inlineStr"/>
      <c r="AQ1136" s="13" t="inlineStr"/>
      <c r="AR1136" s="13" t="inlineStr"/>
      <c r="AS1136" s="13" t="inlineStr"/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2026Q3</t>
        </is>
      </c>
      <c r="E1137" s="6" t="inlineStr">
        <is>
          <t>2023Q4, 2026Q3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7" t="n">
        <v>23826468</v>
      </c>
      <c r="AK1137" s="8" t="n">
        <v>1579082</v>
      </c>
      <c r="AL1137" s="8" t="n">
        <v>781322</v>
      </c>
      <c r="AM1137" s="14" t="n">
        <v>23827000</v>
      </c>
      <c r="AN1137" s="15" t="n">
        <v>781800</v>
      </c>
      <c r="AO1137" s="12" t="inlineStr"/>
      <c r="AP1137" s="13" t="n">
        <v>0</v>
      </c>
      <c r="AQ1137" s="13" t="n">
        <v>8.9</v>
      </c>
      <c r="AR1137" s="13" t="n">
        <v>-50.5</v>
      </c>
      <c r="AS1137" s="13" t="n">
        <v>13.5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7" t="n">
        <v>105230</v>
      </c>
      <c r="AK1138" s="8" t="n">
        <v>3035</v>
      </c>
      <c r="AL1138" s="8" t="n">
        <v>3064</v>
      </c>
      <c r="AM1138" s="11" t="inlineStr"/>
      <c r="AN1138" s="12" t="inlineStr"/>
      <c r="AO1138" s="12" t="inlineStr"/>
      <c r="AP1138" s="13" t="inlineStr"/>
      <c r="AQ1138" s="13" t="inlineStr"/>
      <c r="AR1138" s="13" t="inlineStr"/>
      <c r="AS1138" s="13" t="inlineStr"/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7" t="n">
        <v>105618</v>
      </c>
      <c r="AK1139" s="8" t="n">
        <v>7084</v>
      </c>
      <c r="AL1139" s="8" t="n">
        <v>74730</v>
      </c>
      <c r="AM1139" s="11" t="inlineStr"/>
      <c r="AN1139" s="12" t="inlineStr"/>
      <c r="AO1139" s="12" t="inlineStr"/>
      <c r="AP1139" s="13" t="inlineStr"/>
      <c r="AQ1139" s="13" t="inlineStr"/>
      <c r="AR1139" s="13" t="inlineStr"/>
      <c r="AS1139" s="13" t="inlineStr"/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7" t="n">
        <v>39514</v>
      </c>
      <c r="AK1140" s="8" t="n">
        <v>-660</v>
      </c>
      <c r="AL1140" s="8" t="n">
        <v>-444</v>
      </c>
      <c r="AM1140" s="11" t="inlineStr"/>
      <c r="AN1140" s="12" t="inlineStr"/>
      <c r="AO1140" s="12" t="inlineStr"/>
      <c r="AP1140" s="13" t="inlineStr"/>
      <c r="AQ1140" s="13" t="inlineStr"/>
      <c r="AR1140" s="13" t="inlineStr"/>
      <c r="AS1140" s="13" t="inlineStr"/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7" t="n">
        <v>69256</v>
      </c>
      <c r="AK1141" s="8" t="n">
        <v>2647</v>
      </c>
      <c r="AL1141" s="8" t="n">
        <v>-7181</v>
      </c>
      <c r="AM1141" s="11" t="inlineStr"/>
      <c r="AN1141" s="12" t="inlineStr"/>
      <c r="AO1141" s="12" t="inlineStr"/>
      <c r="AP1141" s="13" t="inlineStr"/>
      <c r="AQ1141" s="13" t="inlineStr"/>
      <c r="AR1141" s="13" t="inlineStr"/>
      <c r="AS1141" s="13" t="inlineStr"/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7" t="n">
        <v>4564</v>
      </c>
      <c r="AK1142" s="8" t="n">
        <v>-738</v>
      </c>
      <c r="AL1142" s="8" t="n">
        <v>-598</v>
      </c>
      <c r="AM1142" s="11" t="inlineStr"/>
      <c r="AN1142" s="12" t="inlineStr"/>
      <c r="AO1142" s="12" t="inlineStr"/>
      <c r="AP1142" s="13" t="inlineStr"/>
      <c r="AQ1142" s="13" t="inlineStr"/>
      <c r="AR1142" s="13" t="inlineStr"/>
      <c r="AS1142" s="13" t="inlineStr"/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7" t="n">
        <v>75834</v>
      </c>
      <c r="AK1143" s="8" t="n">
        <v>-9288</v>
      </c>
      <c r="AL1143" s="8" t="n">
        <v>-7137</v>
      </c>
      <c r="AM1143" s="11" t="inlineStr"/>
      <c r="AN1143" s="12" t="inlineStr"/>
      <c r="AO1143" s="12" t="inlineStr"/>
      <c r="AP1143" s="13" t="inlineStr"/>
      <c r="AQ1143" s="13" t="inlineStr"/>
      <c r="AR1143" s="13" t="inlineStr"/>
      <c r="AS1143" s="13" t="inlineStr"/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7" t="n">
        <v>43410</v>
      </c>
      <c r="AK1144" s="8" t="n">
        <v>-2621</v>
      </c>
      <c r="AL1144" s="8" t="n">
        <v>-4099</v>
      </c>
      <c r="AM1144" s="11" t="inlineStr"/>
      <c r="AN1144" s="12" t="inlineStr"/>
      <c r="AO1144" s="12" t="inlineStr"/>
      <c r="AP1144" s="13" t="inlineStr"/>
      <c r="AQ1144" s="13" t="inlineStr"/>
      <c r="AR1144" s="13" t="inlineStr"/>
      <c r="AS1144" s="13" t="inlineStr"/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7" t="n">
        <v>885044</v>
      </c>
      <c r="AK1145" s="8" t="n">
        <v>20829</v>
      </c>
      <c r="AL1145" s="8" t="n">
        <v>52924</v>
      </c>
      <c r="AM1145" s="11" t="inlineStr"/>
      <c r="AN1145" s="12" t="inlineStr"/>
      <c r="AO1145" s="12" t="inlineStr"/>
      <c r="AP1145" s="13" t="inlineStr"/>
      <c r="AQ1145" s="13" t="inlineStr"/>
      <c r="AR1145" s="13" t="inlineStr"/>
      <c r="AS1145" s="13" t="inlineStr"/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7" t="n">
        <v>50484</v>
      </c>
      <c r="AK1146" s="8" t="n">
        <v>1502</v>
      </c>
      <c r="AL1146" s="8" t="n">
        <v>-664</v>
      </c>
      <c r="AM1146" s="11" t="inlineStr"/>
      <c r="AN1146" s="12" t="inlineStr"/>
      <c r="AO1146" s="12" t="inlineStr"/>
      <c r="AP1146" s="13" t="inlineStr"/>
      <c r="AQ1146" s="13" t="inlineStr"/>
      <c r="AR1146" s="13" t="inlineStr"/>
      <c r="AS1146" s="13" t="inlineStr"/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7" t="n">
        <v>38635</v>
      </c>
      <c r="AK1147" s="8" t="n">
        <v>583</v>
      </c>
      <c r="AL1147" s="8" t="n">
        <v>-1011</v>
      </c>
      <c r="AM1147" s="11" t="inlineStr"/>
      <c r="AN1147" s="12" t="inlineStr"/>
      <c r="AO1147" s="12" t="inlineStr"/>
      <c r="AP1147" s="13" t="inlineStr"/>
      <c r="AQ1147" s="13" t="inlineStr"/>
      <c r="AR1147" s="13" t="inlineStr"/>
      <c r="AS1147" s="13" t="inlineStr"/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7" t="inlineStr"/>
      <c r="AK1148" s="8" t="inlineStr"/>
      <c r="AL1148" s="8" t="inlineStr"/>
      <c r="AM1148" s="11" t="inlineStr"/>
      <c r="AN1148" s="12" t="inlineStr"/>
      <c r="AO1148" s="12" t="inlineStr"/>
      <c r="AP1148" s="13" t="inlineStr"/>
      <c r="AQ1148" s="13" t="inlineStr"/>
      <c r="AR1148" s="13" t="inlineStr"/>
      <c r="AS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7" t="n">
        <v>41291</v>
      </c>
      <c r="AK1149" s="8" t="n">
        <v>3329</v>
      </c>
      <c r="AL1149" s="8" t="n">
        <v>1983</v>
      </c>
      <c r="AM1149" s="11" t="inlineStr"/>
      <c r="AN1149" s="12" t="inlineStr"/>
      <c r="AO1149" s="12" t="inlineStr"/>
      <c r="AP1149" s="13" t="inlineStr"/>
      <c r="AQ1149" s="13" t="inlineStr"/>
      <c r="AR1149" s="13" t="inlineStr"/>
      <c r="AS1149" s="13" t="inlineStr"/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7" t="n">
        <v>103839</v>
      </c>
      <c r="AK1150" s="8" t="n">
        <v>12628</v>
      </c>
      <c r="AL1150" s="8" t="n">
        <v>8749</v>
      </c>
      <c r="AM1150" s="11" t="inlineStr"/>
      <c r="AN1150" s="12" t="inlineStr"/>
      <c r="AO1150" s="12" t="inlineStr"/>
      <c r="AP1150" s="13" t="inlineStr"/>
      <c r="AQ1150" s="13" t="inlineStr"/>
      <c r="AR1150" s="13" t="inlineStr"/>
      <c r="AS1150" s="13" t="inlineStr"/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7" t="n">
        <v>250978</v>
      </c>
      <c r="AK1151" s="8" t="n">
        <v>5113</v>
      </c>
      <c r="AL1151" s="8" t="n">
        <v>1823</v>
      </c>
      <c r="AM1151" s="11" t="inlineStr"/>
      <c r="AN1151" s="12" t="inlineStr"/>
      <c r="AO1151" s="12" t="inlineStr"/>
      <c r="AP1151" s="13" t="inlineStr"/>
      <c r="AQ1151" s="13" t="inlineStr"/>
      <c r="AR1151" s="13" t="inlineStr"/>
      <c r="AS1151" s="13" t="inlineStr"/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2026Q3</t>
        </is>
      </c>
      <c r="E1152" s="6" t="inlineStr">
        <is>
          <t>2026Q3</t>
        </is>
      </c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7" t="n">
        <v>87638</v>
      </c>
      <c r="AK1152" s="8" t="n">
        <v>8809</v>
      </c>
      <c r="AL1152" s="8" t="n">
        <v>6864</v>
      </c>
      <c r="AM1152" s="14" t="n">
        <v>90778</v>
      </c>
      <c r="AN1152" s="15" t="n">
        <v>9117</v>
      </c>
      <c r="AO1152" s="15" t="n">
        <v>8234</v>
      </c>
      <c r="AP1152" s="13" t="n">
        <v>3.6</v>
      </c>
      <c r="AQ1152" s="13" t="n">
        <v>7</v>
      </c>
      <c r="AR1152" s="13" t="n">
        <v>3.5</v>
      </c>
      <c r="AS1152" s="13" t="n">
        <v>14.1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7" t="n">
        <v>21543</v>
      </c>
      <c r="AK1153" s="8" t="n">
        <v>3584</v>
      </c>
      <c r="AL1153" s="8" t="n">
        <v>3572</v>
      </c>
      <c r="AM1153" s="11" t="inlineStr"/>
      <c r="AN1153" s="12" t="inlineStr"/>
      <c r="AO1153" s="12" t="inlineStr"/>
      <c r="AP1153" s="13" t="inlineStr"/>
      <c r="AQ1153" s="13" t="inlineStr"/>
      <c r="AR1153" s="13" t="inlineStr"/>
      <c r="AS1153" s="13" t="inlineStr"/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7" t="n">
        <v>683159</v>
      </c>
      <c r="AK1154" s="8" t="n">
        <v>142322</v>
      </c>
      <c r="AL1154" s="8" t="n">
        <v>85127</v>
      </c>
      <c r="AM1154" s="11" t="inlineStr"/>
      <c r="AN1154" s="12" t="inlineStr"/>
      <c r="AO1154" s="12" t="inlineStr"/>
      <c r="AP1154" s="13" t="inlineStr"/>
      <c r="AQ1154" s="13" t="inlineStr"/>
      <c r="AR1154" s="13" t="inlineStr"/>
      <c r="AS1154" s="13" t="inlineStr"/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7" t="n">
        <v>2236</v>
      </c>
      <c r="AK1155" s="8" t="n">
        <v>284</v>
      </c>
      <c r="AL1155" s="8" t="n">
        <v>631</v>
      </c>
      <c r="AM1155" s="11" t="inlineStr"/>
      <c r="AN1155" s="12" t="inlineStr"/>
      <c r="AO1155" s="12" t="inlineStr"/>
      <c r="AP1155" s="13" t="inlineStr"/>
      <c r="AQ1155" s="13" t="inlineStr"/>
      <c r="AR1155" s="13" t="inlineStr"/>
      <c r="AS1155" s="13" t="inlineStr"/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7" t="n">
        <v>56997</v>
      </c>
      <c r="AK1156" s="8" t="n">
        <v>3823</v>
      </c>
      <c r="AL1156" s="8" t="n">
        <v>1754</v>
      </c>
      <c r="AM1156" s="11" t="inlineStr"/>
      <c r="AN1156" s="12" t="inlineStr"/>
      <c r="AO1156" s="12" t="inlineStr"/>
      <c r="AP1156" s="13" t="inlineStr"/>
      <c r="AQ1156" s="13" t="inlineStr"/>
      <c r="AR1156" s="13" t="inlineStr"/>
      <c r="AS1156" s="13" t="inlineStr"/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7" t="n">
        <v>408933</v>
      </c>
      <c r="AK1157" s="8" t="n">
        <v>4901</v>
      </c>
      <c r="AL1157" s="8" t="n">
        <v>850</v>
      </c>
      <c r="AM1157" s="11" t="inlineStr"/>
      <c r="AN1157" s="12" t="inlineStr"/>
      <c r="AO1157" s="12" t="inlineStr"/>
      <c r="AP1157" s="13" t="inlineStr"/>
      <c r="AQ1157" s="13" t="inlineStr"/>
      <c r="AR1157" s="13" t="inlineStr"/>
      <c r="AS1157" s="13" t="inlineStr"/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7" t="n">
        <v>14656</v>
      </c>
      <c r="AK1158" s="8" t="n">
        <v>-7559</v>
      </c>
      <c r="AL1158" s="8" t="n">
        <v>-8697</v>
      </c>
      <c r="AM1158" s="11" t="inlineStr"/>
      <c r="AN1158" s="12" t="inlineStr"/>
      <c r="AO1158" s="12" t="inlineStr"/>
      <c r="AP1158" s="13" t="inlineStr"/>
      <c r="AQ1158" s="13" t="inlineStr"/>
      <c r="AR1158" s="13" t="inlineStr"/>
      <c r="AS1158" s="13" t="inlineStr"/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7" t="n">
        <v>12144</v>
      </c>
      <c r="AK1159" s="8" t="n">
        <v>784</v>
      </c>
      <c r="AL1159" s="8" t="n">
        <v>1007</v>
      </c>
      <c r="AM1159" s="11" t="inlineStr"/>
      <c r="AN1159" s="12" t="inlineStr"/>
      <c r="AO1159" s="12" t="inlineStr"/>
      <c r="AP1159" s="13" t="inlineStr"/>
      <c r="AQ1159" s="13" t="inlineStr"/>
      <c r="AR1159" s="13" t="inlineStr"/>
      <c r="AS1159" s="13" t="inlineStr"/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7" t="n">
        <v>3063</v>
      </c>
      <c r="AK1160" s="8" t="n">
        <v>498</v>
      </c>
      <c r="AL1160" s="8" t="n">
        <v>801</v>
      </c>
      <c r="AM1160" s="11" t="inlineStr"/>
      <c r="AN1160" s="12" t="inlineStr"/>
      <c r="AO1160" s="12" t="inlineStr"/>
      <c r="AP1160" s="13" t="inlineStr"/>
      <c r="AQ1160" s="13" t="inlineStr"/>
      <c r="AR1160" s="13" t="inlineStr"/>
      <c r="AS1160" s="13" t="inlineStr"/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7" t="n">
        <v>31291</v>
      </c>
      <c r="AK1161" s="8" t="n">
        <v>2686</v>
      </c>
      <c r="AL1161" s="8" t="n">
        <v>31438</v>
      </c>
      <c r="AM1161" s="11" t="inlineStr"/>
      <c r="AN1161" s="12" t="inlineStr"/>
      <c r="AO1161" s="12" t="inlineStr"/>
      <c r="AP1161" s="13" t="inlineStr"/>
      <c r="AQ1161" s="13" t="inlineStr"/>
      <c r="AR1161" s="13" t="inlineStr"/>
      <c r="AS1161" s="13" t="inlineStr"/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7" t="n">
        <v>34132</v>
      </c>
      <c r="AK1162" s="8" t="n">
        <v>6369</v>
      </c>
      <c r="AL1162" s="8" t="n">
        <v>6534</v>
      </c>
      <c r="AM1162" s="11" t="inlineStr"/>
      <c r="AN1162" s="12" t="inlineStr"/>
      <c r="AO1162" s="12" t="inlineStr"/>
      <c r="AP1162" s="13" t="inlineStr"/>
      <c r="AQ1162" s="13" t="inlineStr"/>
      <c r="AR1162" s="13" t="inlineStr"/>
      <c r="AS1162" s="13" t="inlineStr"/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7" t="n">
        <v>45897</v>
      </c>
      <c r="AK1163" s="8" t="n">
        <v>28</v>
      </c>
      <c r="AL1163" s="8" t="n">
        <v>1641</v>
      </c>
      <c r="AM1163" s="11" t="inlineStr"/>
      <c r="AN1163" s="12" t="inlineStr"/>
      <c r="AO1163" s="12" t="inlineStr"/>
      <c r="AP1163" s="13" t="inlineStr"/>
      <c r="AQ1163" s="13" t="inlineStr"/>
      <c r="AR1163" s="13" t="inlineStr"/>
      <c r="AS1163" s="13" t="inlineStr"/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7" t="n">
        <v>710941</v>
      </c>
      <c r="AK1164" s="8" t="n">
        <v>12907</v>
      </c>
      <c r="AL1164" s="8" t="n">
        <v>2980</v>
      </c>
      <c r="AM1164" s="11" t="inlineStr"/>
      <c r="AN1164" s="12" t="inlineStr"/>
      <c r="AO1164" s="12" t="inlineStr"/>
      <c r="AP1164" s="13" t="inlineStr"/>
      <c r="AQ1164" s="13" t="inlineStr"/>
      <c r="AR1164" s="13" t="inlineStr"/>
      <c r="AS1164" s="13" t="inlineStr"/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7" t="n">
        <v>7697</v>
      </c>
      <c r="AK1165" s="8" t="n">
        <v>-1077</v>
      </c>
      <c r="AL1165" s="8" t="n">
        <v>-1521</v>
      </c>
      <c r="AM1165" s="11" t="inlineStr"/>
      <c r="AN1165" s="12" t="inlineStr"/>
      <c r="AO1165" s="12" t="inlineStr"/>
      <c r="AP1165" s="13" t="inlineStr"/>
      <c r="AQ1165" s="13" t="inlineStr"/>
      <c r="AR1165" s="13" t="inlineStr"/>
      <c r="AS1165" s="13" t="inlineStr"/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7" t="n">
        <v>5419</v>
      </c>
      <c r="AK1166" s="8" t="n">
        <v>154</v>
      </c>
      <c r="AL1166" s="8" t="n">
        <v>211</v>
      </c>
      <c r="AM1166" s="11" t="inlineStr"/>
      <c r="AN1166" s="12" t="inlineStr"/>
      <c r="AO1166" s="12" t="inlineStr"/>
      <c r="AP1166" s="13" t="inlineStr"/>
      <c r="AQ1166" s="13" t="inlineStr"/>
      <c r="AR1166" s="13" t="inlineStr"/>
      <c r="AS1166" s="13" t="inlineStr"/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7" t="n">
        <v>-1128</v>
      </c>
      <c r="AK1167" s="8" t="n">
        <v>-22875</v>
      </c>
      <c r="AL1167" s="8" t="n">
        <v>-24972</v>
      </c>
      <c r="AM1167" s="11" t="inlineStr"/>
      <c r="AN1167" s="12" t="inlineStr"/>
      <c r="AO1167" s="12" t="inlineStr"/>
      <c r="AP1167" s="13" t="inlineStr"/>
      <c r="AQ1167" s="13" t="inlineStr"/>
      <c r="AR1167" s="13" t="inlineStr"/>
      <c r="AS1167" s="13" t="inlineStr"/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2026Q3</t>
        </is>
      </c>
      <c r="E1168" s="6" t="inlineStr">
        <is>
          <t>2023Q4, 2026Q3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7" t="n">
        <v>1393693</v>
      </c>
      <c r="AK1168" s="8" t="n">
        <v>451792</v>
      </c>
      <c r="AL1168" s="8" t="n">
        <v>371317</v>
      </c>
      <c r="AM1168" s="14" t="n">
        <v>1500000</v>
      </c>
      <c r="AN1168" s="15" t="n">
        <v>510000</v>
      </c>
      <c r="AO1168" s="12" t="inlineStr"/>
      <c r="AP1168" s="13" t="n">
        <v>7.6</v>
      </c>
      <c r="AQ1168" s="13" t="n">
        <v>45.8</v>
      </c>
      <c r="AR1168" s="13" t="n">
        <v>12.9</v>
      </c>
      <c r="AS1168" s="13" t="n">
        <v>69.2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7" t="n">
        <v>10048</v>
      </c>
      <c r="AK1169" s="8" t="n">
        <v>-214</v>
      </c>
      <c r="AL1169" s="8" t="n">
        <v>3741</v>
      </c>
      <c r="AM1169" s="11" t="inlineStr"/>
      <c r="AN1169" s="12" t="inlineStr"/>
      <c r="AO1169" s="12" t="inlineStr"/>
      <c r="AP1169" s="13" t="inlineStr"/>
      <c r="AQ1169" s="13" t="inlineStr"/>
      <c r="AR1169" s="13" t="inlineStr"/>
      <c r="AS1169" s="13" t="inlineStr"/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7" t="n">
        <v>4173</v>
      </c>
      <c r="AK1170" s="8" t="n">
        <v>1525</v>
      </c>
      <c r="AL1170" s="8" t="n">
        <v>1649</v>
      </c>
      <c r="AM1170" s="11" t="inlineStr"/>
      <c r="AN1170" s="12" t="inlineStr"/>
      <c r="AO1170" s="12" t="inlineStr"/>
      <c r="AP1170" s="13" t="inlineStr"/>
      <c r="AQ1170" s="13" t="inlineStr"/>
      <c r="AR1170" s="13" t="inlineStr"/>
      <c r="AS1170" s="13" t="inlineStr"/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7" t="n">
        <v>153291</v>
      </c>
      <c r="AK1171" s="8" t="n">
        <v>19306</v>
      </c>
      <c r="AL1171" s="8" t="n">
        <v>13721</v>
      </c>
      <c r="AM1171" s="11" t="inlineStr"/>
      <c r="AN1171" s="12" t="inlineStr"/>
      <c r="AO1171" s="12" t="inlineStr"/>
      <c r="AP1171" s="13" t="inlineStr"/>
      <c r="AQ1171" s="13" t="inlineStr"/>
      <c r="AR1171" s="13" t="inlineStr"/>
      <c r="AS1171" s="13" t="inlineStr"/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7" t="n">
        <v>28807</v>
      </c>
      <c r="AK1172" s="8" t="n">
        <v>-5632</v>
      </c>
      <c r="AL1172" s="8" t="n">
        <v>-2578</v>
      </c>
      <c r="AM1172" s="11" t="inlineStr"/>
      <c r="AN1172" s="12" t="inlineStr"/>
      <c r="AO1172" s="12" t="inlineStr"/>
      <c r="AP1172" s="13" t="inlineStr"/>
      <c r="AQ1172" s="13" t="inlineStr"/>
      <c r="AR1172" s="13" t="inlineStr"/>
      <c r="AS1172" s="13" t="inlineStr"/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7" t="n">
        <v>69025</v>
      </c>
      <c r="AK1173" s="8" t="n">
        <v>15111</v>
      </c>
      <c r="AL1173" s="8" t="n">
        <v>20130</v>
      </c>
      <c r="AM1173" s="11" t="inlineStr"/>
      <c r="AN1173" s="12" t="inlineStr"/>
      <c r="AO1173" s="12" t="inlineStr"/>
      <c r="AP1173" s="13" t="inlineStr"/>
      <c r="AQ1173" s="13" t="inlineStr"/>
      <c r="AR1173" s="13" t="inlineStr"/>
      <c r="AS1173" s="13" t="inlineStr"/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7" t="n">
        <v>9586</v>
      </c>
      <c r="AK1174" s="8" t="n">
        <v>-786</v>
      </c>
      <c r="AL1174" s="8" t="n">
        <v>-727</v>
      </c>
      <c r="AM1174" s="11" t="inlineStr"/>
      <c r="AN1174" s="12" t="inlineStr"/>
      <c r="AO1174" s="12" t="inlineStr"/>
      <c r="AP1174" s="13" t="inlineStr"/>
      <c r="AQ1174" s="13" t="inlineStr"/>
      <c r="AR1174" s="13" t="inlineStr"/>
      <c r="AS1174" s="13" t="inlineStr"/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7" t="n">
        <v>38009</v>
      </c>
      <c r="AK1175" s="8" t="n">
        <v>5657</v>
      </c>
      <c r="AL1175" s="8" t="n">
        <v>6308</v>
      </c>
      <c r="AM1175" s="11" t="inlineStr"/>
      <c r="AN1175" s="12" t="inlineStr"/>
      <c r="AO1175" s="12" t="inlineStr"/>
      <c r="AP1175" s="13" t="inlineStr"/>
      <c r="AQ1175" s="13" t="inlineStr"/>
      <c r="AR1175" s="13" t="inlineStr"/>
      <c r="AS1175" s="13" t="inlineStr"/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7" t="n">
        <v>34976</v>
      </c>
      <c r="AK1176" s="8" t="n">
        <v>3748</v>
      </c>
      <c r="AL1176" s="8" t="n">
        <v>3859</v>
      </c>
      <c r="AM1176" s="11" t="inlineStr"/>
      <c r="AN1176" s="12" t="inlineStr"/>
      <c r="AO1176" s="12" t="inlineStr"/>
      <c r="AP1176" s="13" t="inlineStr"/>
      <c r="AQ1176" s="13" t="inlineStr"/>
      <c r="AR1176" s="13" t="inlineStr"/>
      <c r="AS1176" s="13" t="inlineStr"/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7" t="n">
        <v>397199</v>
      </c>
      <c r="AK1177" s="8" t="n">
        <v>32818</v>
      </c>
      <c r="AL1177" s="8" t="n">
        <v>22288</v>
      </c>
      <c r="AM1177" s="11" t="inlineStr"/>
      <c r="AN1177" s="12" t="inlineStr"/>
      <c r="AO1177" s="12" t="inlineStr"/>
      <c r="AP1177" s="13" t="inlineStr"/>
      <c r="AQ1177" s="13" t="inlineStr"/>
      <c r="AR1177" s="13" t="inlineStr"/>
      <c r="AS1177" s="13" t="inlineStr"/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7" t="n">
        <v>12469</v>
      </c>
      <c r="AK1178" s="8" t="n">
        <v>-740</v>
      </c>
      <c r="AL1178" s="8" t="n">
        <v>-538</v>
      </c>
      <c r="AM1178" s="11" t="inlineStr"/>
      <c r="AN1178" s="12" t="inlineStr"/>
      <c r="AO1178" s="12" t="inlineStr"/>
      <c r="AP1178" s="13" t="inlineStr"/>
      <c r="AQ1178" s="13" t="inlineStr"/>
      <c r="AR1178" s="13" t="inlineStr"/>
      <c r="AS1178" s="13" t="inlineStr"/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7" t="n">
        <v>18282</v>
      </c>
      <c r="AK1179" s="8" t="n">
        <v>21</v>
      </c>
      <c r="AL1179" s="8" t="n">
        <v>366</v>
      </c>
      <c r="AM1179" s="11" t="inlineStr"/>
      <c r="AN1179" s="12" t="inlineStr"/>
      <c r="AO1179" s="12" t="inlineStr"/>
      <c r="AP1179" s="13" t="inlineStr"/>
      <c r="AQ1179" s="13" t="inlineStr"/>
      <c r="AR1179" s="13" t="inlineStr"/>
      <c r="AS1179" s="13" t="inlineStr"/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7" t="n">
        <v>71141</v>
      </c>
      <c r="AK1180" s="8" t="n">
        <v>1867</v>
      </c>
      <c r="AL1180" s="8" t="n">
        <v>-2948</v>
      </c>
      <c r="AM1180" s="11" t="inlineStr"/>
      <c r="AN1180" s="12" t="inlineStr"/>
      <c r="AO1180" s="12" t="inlineStr"/>
      <c r="AP1180" s="13" t="inlineStr"/>
      <c r="AQ1180" s="13" t="inlineStr"/>
      <c r="AR1180" s="13" t="inlineStr"/>
      <c r="AS1180" s="13" t="inlineStr"/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7" t="n">
        <v>127106</v>
      </c>
      <c r="AK1181" s="8" t="n">
        <v>12543</v>
      </c>
      <c r="AL1181" s="8" t="n">
        <v>12602</v>
      </c>
      <c r="AM1181" s="11" t="inlineStr"/>
      <c r="AN1181" s="12" t="inlineStr"/>
      <c r="AO1181" s="12" t="inlineStr"/>
      <c r="AP1181" s="13" t="inlineStr"/>
      <c r="AQ1181" s="13" t="inlineStr"/>
      <c r="AR1181" s="13" t="inlineStr"/>
      <c r="AS1181" s="13" t="inlineStr"/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7" t="n">
        <v>4329</v>
      </c>
      <c r="AK1182" s="8" t="n">
        <v>-2078</v>
      </c>
      <c r="AL1182" s="8" t="n">
        <v>1035</v>
      </c>
      <c r="AM1182" s="11" t="inlineStr"/>
      <c r="AN1182" s="12" t="inlineStr"/>
      <c r="AO1182" s="12" t="inlineStr"/>
      <c r="AP1182" s="13" t="inlineStr"/>
      <c r="AQ1182" s="13" t="inlineStr"/>
      <c r="AR1182" s="13" t="inlineStr"/>
      <c r="AS1182" s="13" t="inlineStr"/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7" t="n">
        <v>448464</v>
      </c>
      <c r="AK1183" s="8" t="n">
        <v>68069</v>
      </c>
      <c r="AL1183" s="8" t="n">
        <v>19916</v>
      </c>
      <c r="AM1183" s="11" t="inlineStr"/>
      <c r="AN1183" s="12" t="inlineStr"/>
      <c r="AO1183" s="12" t="inlineStr"/>
      <c r="AP1183" s="13" t="inlineStr"/>
      <c r="AQ1183" s="13" t="inlineStr"/>
      <c r="AR1183" s="13" t="inlineStr"/>
      <c r="AS1183" s="13" t="inlineStr"/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7" t="n">
        <v>61342</v>
      </c>
      <c r="AK1184" s="8" t="n">
        <v>-734</v>
      </c>
      <c r="AL1184" s="8" t="n">
        <v>-3096</v>
      </c>
      <c r="AM1184" s="11" t="inlineStr"/>
      <c r="AN1184" s="12" t="inlineStr"/>
      <c r="AO1184" s="12" t="inlineStr"/>
      <c r="AP1184" s="13" t="inlineStr"/>
      <c r="AQ1184" s="13" t="inlineStr"/>
      <c r="AR1184" s="13" t="inlineStr"/>
      <c r="AS1184" s="13" t="inlineStr"/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7" t="n">
        <v>64084</v>
      </c>
      <c r="AK1185" s="8" t="n">
        <v>7720</v>
      </c>
      <c r="AL1185" s="8" t="n">
        <v>12012</v>
      </c>
      <c r="AM1185" s="11" t="inlineStr"/>
      <c r="AN1185" s="12" t="inlineStr"/>
      <c r="AO1185" s="12" t="inlineStr"/>
      <c r="AP1185" s="13" t="inlineStr"/>
      <c r="AQ1185" s="13" t="inlineStr"/>
      <c r="AR1185" s="13" t="inlineStr"/>
      <c r="AS1185" s="13" t="inlineStr"/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7" t="n">
        <v>24027</v>
      </c>
      <c r="AK1186" s="8" t="n">
        <v>-674</v>
      </c>
      <c r="AL1186" s="8" t="n">
        <v>-549</v>
      </c>
      <c r="AM1186" s="11" t="inlineStr"/>
      <c r="AN1186" s="12" t="inlineStr"/>
      <c r="AO1186" s="12" t="inlineStr"/>
      <c r="AP1186" s="13" t="inlineStr"/>
      <c r="AQ1186" s="13" t="inlineStr"/>
      <c r="AR1186" s="13" t="inlineStr"/>
      <c r="AS1186" s="13" t="inlineStr"/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7" t="n">
        <v>1068053</v>
      </c>
      <c r="AK1187" s="8" t="n">
        <v>79319</v>
      </c>
      <c r="AL1187" s="8" t="n">
        <v>60830</v>
      </c>
      <c r="AM1187" s="11" t="inlineStr"/>
      <c r="AN1187" s="12" t="inlineStr"/>
      <c r="AO1187" s="12" t="inlineStr"/>
      <c r="AP1187" s="13" t="inlineStr"/>
      <c r="AQ1187" s="13" t="inlineStr"/>
      <c r="AR1187" s="13" t="inlineStr"/>
      <c r="AS1187" s="13" t="inlineStr"/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7" t="n">
        <v>2330</v>
      </c>
      <c r="AK1188" s="8" t="n">
        <v>-1548</v>
      </c>
      <c r="AL1188" s="8" t="n">
        <v>-1309</v>
      </c>
      <c r="AM1188" s="11" t="inlineStr"/>
      <c r="AN1188" s="12" t="inlineStr"/>
      <c r="AO1188" s="12" t="inlineStr"/>
      <c r="AP1188" s="13" t="inlineStr"/>
      <c r="AQ1188" s="13" t="inlineStr"/>
      <c r="AR1188" s="13" t="inlineStr"/>
      <c r="AS1188" s="13" t="inlineStr"/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7" t="n">
        <v>10728</v>
      </c>
      <c r="AK1189" s="8" t="n">
        <v>-1023</v>
      </c>
      <c r="AL1189" s="8" t="n">
        <v>-934</v>
      </c>
      <c r="AM1189" s="11" t="inlineStr"/>
      <c r="AN1189" s="12" t="inlineStr"/>
      <c r="AO1189" s="12" t="inlineStr"/>
      <c r="AP1189" s="13" t="inlineStr"/>
      <c r="AQ1189" s="13" t="inlineStr"/>
      <c r="AR1189" s="13" t="inlineStr"/>
      <c r="AS1189" s="13" t="inlineStr"/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7" t="n">
        <v>34023</v>
      </c>
      <c r="AK1190" s="8" t="n">
        <v>-8194</v>
      </c>
      <c r="AL1190" s="8" t="n">
        <v>-9198</v>
      </c>
      <c r="AM1190" s="11" t="inlineStr"/>
      <c r="AN1190" s="12" t="inlineStr"/>
      <c r="AO1190" s="12" t="inlineStr"/>
      <c r="AP1190" s="13" t="inlineStr"/>
      <c r="AQ1190" s="13" t="inlineStr"/>
      <c r="AR1190" s="13" t="inlineStr"/>
      <c r="AS1190" s="13" t="inlineStr"/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8" t="n">
        <v>1344172</v>
      </c>
      <c r="AL1191" s="8" t="n">
        <v>998385</v>
      </c>
      <c r="AM1191" s="11" t="inlineStr"/>
      <c r="AN1191" s="12" t="inlineStr"/>
      <c r="AO1191" s="12" t="inlineStr"/>
      <c r="AP1191" s="13" t="inlineStr"/>
      <c r="AQ1191" s="13" t="inlineStr"/>
      <c r="AR1191" s="13" t="inlineStr"/>
      <c r="AS1191" s="13" t="inlineStr"/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7" t="n">
        <v>81277</v>
      </c>
      <c r="AK1192" s="8" t="n">
        <v>3233</v>
      </c>
      <c r="AL1192" s="8" t="n">
        <v>3296</v>
      </c>
      <c r="AM1192" s="11" t="inlineStr"/>
      <c r="AN1192" s="12" t="inlineStr"/>
      <c r="AO1192" s="12" t="inlineStr"/>
      <c r="AP1192" s="13" t="inlineStr"/>
      <c r="AQ1192" s="13" t="inlineStr"/>
      <c r="AR1192" s="13" t="inlineStr"/>
      <c r="AS1192" s="13" t="inlineStr"/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7" t="n">
        <v>25485</v>
      </c>
      <c r="AK1193" s="8" t="n">
        <v>4927</v>
      </c>
      <c r="AL1193" s="8" t="n">
        <v>25368</v>
      </c>
      <c r="AM1193" s="11" t="inlineStr"/>
      <c r="AN1193" s="12" t="inlineStr"/>
      <c r="AO1193" s="12" t="inlineStr"/>
      <c r="AP1193" s="13" t="inlineStr"/>
      <c r="AQ1193" s="13" t="inlineStr"/>
      <c r="AR1193" s="13" t="inlineStr"/>
      <c r="AS1193" s="13" t="inlineStr"/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7" t="n">
        <v>46913</v>
      </c>
      <c r="AK1194" s="8" t="n">
        <v>7514</v>
      </c>
      <c r="AL1194" s="8" t="n">
        <v>6501</v>
      </c>
      <c r="AM1194" s="11" t="inlineStr"/>
      <c r="AN1194" s="12" t="inlineStr"/>
      <c r="AO1194" s="12" t="inlineStr"/>
      <c r="AP1194" s="13" t="inlineStr"/>
      <c r="AQ1194" s="13" t="inlineStr"/>
      <c r="AR1194" s="13" t="inlineStr"/>
      <c r="AS1194" s="13" t="inlineStr"/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7" t="n">
        <v>653113</v>
      </c>
      <c r="AK1195" s="8" t="n">
        <v>33094</v>
      </c>
      <c r="AL1195" s="8" t="n">
        <v>10408</v>
      </c>
      <c r="AM1195" s="11" t="inlineStr"/>
      <c r="AN1195" s="12" t="inlineStr"/>
      <c r="AO1195" s="12" t="inlineStr"/>
      <c r="AP1195" s="13" t="inlineStr"/>
      <c r="AQ1195" s="13" t="inlineStr"/>
      <c r="AR1195" s="13" t="inlineStr"/>
      <c r="AS1195" s="13" t="inlineStr"/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7" t="n">
        <v>72995</v>
      </c>
      <c r="AK1196" s="8" t="n">
        <v>-328</v>
      </c>
      <c r="AL1196" s="8" t="n">
        <v>-775</v>
      </c>
      <c r="AM1196" s="11" t="inlineStr"/>
      <c r="AN1196" s="12" t="inlineStr"/>
      <c r="AO1196" s="12" t="inlineStr"/>
      <c r="AP1196" s="13" t="inlineStr"/>
      <c r="AQ1196" s="13" t="inlineStr"/>
      <c r="AR1196" s="13" t="inlineStr"/>
      <c r="AS1196" s="13" t="inlineStr"/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7" t="n">
        <v>591096</v>
      </c>
      <c r="AK1197" s="8" t="n">
        <v>918</v>
      </c>
      <c r="AL1197" s="8" t="n">
        <v>-4470</v>
      </c>
      <c r="AM1197" s="11" t="inlineStr"/>
      <c r="AN1197" s="12" t="inlineStr"/>
      <c r="AO1197" s="12" t="inlineStr"/>
      <c r="AP1197" s="13" t="inlineStr"/>
      <c r="AQ1197" s="13" t="inlineStr"/>
      <c r="AR1197" s="13" t="inlineStr"/>
      <c r="AS1197" s="13" t="inlineStr"/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7" t="n">
        <v>43503</v>
      </c>
      <c r="AK1198" s="8" t="n">
        <v>64</v>
      </c>
      <c r="AL1198" s="8" t="n">
        <v>9268</v>
      </c>
      <c r="AM1198" s="11" t="inlineStr"/>
      <c r="AN1198" s="12" t="inlineStr"/>
      <c r="AO1198" s="12" t="inlineStr"/>
      <c r="AP1198" s="13" t="inlineStr"/>
      <c r="AQ1198" s="13" t="inlineStr"/>
      <c r="AR1198" s="13" t="inlineStr"/>
      <c r="AS1198" s="13" t="inlineStr"/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7" t="n">
        <v>15802</v>
      </c>
      <c r="AK1199" s="8" t="n">
        <v>-771</v>
      </c>
      <c r="AL1199" s="8" t="n">
        <v>-3127</v>
      </c>
      <c r="AM1199" s="11" t="inlineStr"/>
      <c r="AN1199" s="12" t="inlineStr"/>
      <c r="AO1199" s="12" t="inlineStr"/>
      <c r="AP1199" s="13" t="inlineStr"/>
      <c r="AQ1199" s="13" t="inlineStr"/>
      <c r="AR1199" s="13" t="inlineStr"/>
      <c r="AS1199" s="13" t="inlineStr"/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7" t="n">
        <v>128119</v>
      </c>
      <c r="AK1200" s="8" t="n">
        <v>31286</v>
      </c>
      <c r="AL1200" s="8" t="n">
        <v>31873</v>
      </c>
      <c r="AM1200" s="11" t="inlineStr"/>
      <c r="AN1200" s="12" t="inlineStr"/>
      <c r="AO1200" s="12" t="inlineStr"/>
      <c r="AP1200" s="13" t="inlineStr"/>
      <c r="AQ1200" s="13" t="inlineStr"/>
      <c r="AR1200" s="13" t="inlineStr"/>
      <c r="AS1200" s="13" t="inlineStr"/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7" t="n">
        <v>11901</v>
      </c>
      <c r="AK1201" s="8" t="n">
        <v>1144</v>
      </c>
      <c r="AL1201" s="8" t="n">
        <v>1289</v>
      </c>
      <c r="AM1201" s="11" t="inlineStr"/>
      <c r="AN1201" s="12" t="inlineStr"/>
      <c r="AO1201" s="12" t="inlineStr"/>
      <c r="AP1201" s="13" t="inlineStr"/>
      <c r="AQ1201" s="13" t="inlineStr"/>
      <c r="AR1201" s="13" t="inlineStr"/>
      <c r="AS1201" s="13" t="inlineStr"/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7" t="n">
        <v>15195</v>
      </c>
      <c r="AK1202" s="8" t="n">
        <v>1234</v>
      </c>
      <c r="AL1202" s="8" t="n">
        <v>1893</v>
      </c>
      <c r="AM1202" s="11" t="inlineStr"/>
      <c r="AN1202" s="12" t="inlineStr"/>
      <c r="AO1202" s="12" t="inlineStr"/>
      <c r="AP1202" s="13" t="inlineStr"/>
      <c r="AQ1202" s="13" t="inlineStr"/>
      <c r="AR1202" s="13" t="inlineStr"/>
      <c r="AS1202" s="13" t="inlineStr"/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7" t="n">
        <v>177263</v>
      </c>
      <c r="AK1203" s="8" t="n">
        <v>1457</v>
      </c>
      <c r="AL1203" s="8" t="n">
        <v>1991</v>
      </c>
      <c r="AM1203" s="11" t="inlineStr"/>
      <c r="AN1203" s="12" t="inlineStr"/>
      <c r="AO1203" s="12" t="inlineStr"/>
      <c r="AP1203" s="13" t="inlineStr"/>
      <c r="AQ1203" s="13" t="inlineStr"/>
      <c r="AR1203" s="13" t="inlineStr"/>
      <c r="AS1203" s="13" t="inlineStr"/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7" t="n">
        <v>255122</v>
      </c>
      <c r="AK1204" s="8" t="n">
        <v>34609</v>
      </c>
      <c r="AL1204" s="8" t="n">
        <v>29124</v>
      </c>
      <c r="AM1204" s="11" t="inlineStr"/>
      <c r="AN1204" s="12" t="inlineStr"/>
      <c r="AO1204" s="12" t="inlineStr"/>
      <c r="AP1204" s="13" t="inlineStr"/>
      <c r="AQ1204" s="13" t="inlineStr"/>
      <c r="AR1204" s="13" t="inlineStr"/>
      <c r="AS1204" s="13" t="inlineStr"/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7" t="n">
        <v>25205</v>
      </c>
      <c r="AK1205" s="8" t="n">
        <v>-728</v>
      </c>
      <c r="AL1205" s="8" t="n">
        <v>-1983</v>
      </c>
      <c r="AM1205" s="11" t="inlineStr"/>
      <c r="AN1205" s="12" t="inlineStr"/>
      <c r="AO1205" s="12" t="inlineStr"/>
      <c r="AP1205" s="13" t="inlineStr"/>
      <c r="AQ1205" s="13" t="inlineStr"/>
      <c r="AR1205" s="13" t="inlineStr"/>
      <c r="AS1205" s="13" t="inlineStr"/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7" t="n">
        <v>33685</v>
      </c>
      <c r="AK1206" s="8" t="n">
        <v>7367</v>
      </c>
      <c r="AL1206" s="8" t="n">
        <v>10500</v>
      </c>
      <c r="AM1206" s="11" t="inlineStr"/>
      <c r="AN1206" s="12" t="inlineStr"/>
      <c r="AO1206" s="12" t="inlineStr"/>
      <c r="AP1206" s="13" t="inlineStr"/>
      <c r="AQ1206" s="13" t="inlineStr"/>
      <c r="AR1206" s="13" t="inlineStr"/>
      <c r="AS1206" s="13" t="inlineStr"/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7" t="n">
        <v>41225</v>
      </c>
      <c r="AK1207" s="8" t="n">
        <v>3630</v>
      </c>
      <c r="AL1207" s="8" t="n">
        <v>2985</v>
      </c>
      <c r="AM1207" s="11" t="inlineStr"/>
      <c r="AN1207" s="12" t="inlineStr"/>
      <c r="AO1207" s="12" t="inlineStr"/>
      <c r="AP1207" s="13" t="inlineStr"/>
      <c r="AQ1207" s="13" t="inlineStr"/>
      <c r="AR1207" s="13" t="inlineStr"/>
      <c r="AS1207" s="13" t="inlineStr"/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7" t="n">
        <v>25615</v>
      </c>
      <c r="AK1208" s="8" t="n">
        <v>-403</v>
      </c>
      <c r="AL1208" s="8" t="n">
        <v>-818</v>
      </c>
      <c r="AM1208" s="11" t="inlineStr"/>
      <c r="AN1208" s="12" t="inlineStr"/>
      <c r="AO1208" s="12" t="inlineStr"/>
      <c r="AP1208" s="13" t="inlineStr"/>
      <c r="AQ1208" s="13" t="inlineStr"/>
      <c r="AR1208" s="13" t="inlineStr"/>
      <c r="AS1208" s="13" t="inlineStr"/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7" t="n">
        <v>31358</v>
      </c>
      <c r="AK1209" s="8" t="n">
        <v>4297</v>
      </c>
      <c r="AL1209" s="8" t="n">
        <v>2953</v>
      </c>
      <c r="AM1209" s="11" t="inlineStr"/>
      <c r="AN1209" s="12" t="inlineStr"/>
      <c r="AO1209" s="12" t="inlineStr"/>
      <c r="AP1209" s="13" t="inlineStr"/>
      <c r="AQ1209" s="13" t="inlineStr"/>
      <c r="AR1209" s="13" t="inlineStr"/>
      <c r="AS1209" s="13" t="inlineStr"/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7" t="n">
        <v>26681</v>
      </c>
      <c r="AK1210" s="8" t="n">
        <v>1674</v>
      </c>
      <c r="AL1210" s="8" t="n">
        <v>3760</v>
      </c>
      <c r="AM1210" s="11" t="inlineStr"/>
      <c r="AN1210" s="12" t="inlineStr"/>
      <c r="AO1210" s="12" t="inlineStr"/>
      <c r="AP1210" s="13" t="inlineStr"/>
      <c r="AQ1210" s="13" t="inlineStr"/>
      <c r="AR1210" s="13" t="inlineStr"/>
      <c r="AS1210" s="13" t="inlineStr"/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7" t="n">
        <v>5782</v>
      </c>
      <c r="AK1211" s="8" t="n">
        <v>-652</v>
      </c>
      <c r="AL1211" s="8" t="n">
        <v>-659</v>
      </c>
      <c r="AM1211" s="11" t="inlineStr"/>
      <c r="AN1211" s="12" t="inlineStr"/>
      <c r="AO1211" s="12" t="inlineStr"/>
      <c r="AP1211" s="13" t="inlineStr"/>
      <c r="AQ1211" s="13" t="inlineStr"/>
      <c r="AR1211" s="13" t="inlineStr"/>
      <c r="AS1211" s="13" t="inlineStr"/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7" t="n">
        <v>1332767</v>
      </c>
      <c r="AK1212" s="8" t="n">
        <v>182238</v>
      </c>
      <c r="AL1212" s="8" t="n">
        <v>137774</v>
      </c>
      <c r="AM1212" s="11" t="inlineStr"/>
      <c r="AN1212" s="12" t="inlineStr"/>
      <c r="AO1212" s="12" t="inlineStr"/>
      <c r="AP1212" s="13" t="inlineStr"/>
      <c r="AQ1212" s="13" t="inlineStr"/>
      <c r="AR1212" s="13" t="inlineStr"/>
      <c r="AS1212" s="13" t="inlineStr"/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7" t="n">
        <v>63669</v>
      </c>
      <c r="AK1213" s="8" t="n">
        <v>5644</v>
      </c>
      <c r="AL1213" s="8" t="n">
        <v>4583</v>
      </c>
      <c r="AM1213" s="11" t="inlineStr"/>
      <c r="AN1213" s="12" t="inlineStr"/>
      <c r="AO1213" s="12" t="inlineStr"/>
      <c r="AP1213" s="13" t="inlineStr"/>
      <c r="AQ1213" s="13" t="inlineStr"/>
      <c r="AR1213" s="13" t="inlineStr"/>
      <c r="AS1213" s="13" t="inlineStr"/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7" t="n">
        <v>1832</v>
      </c>
      <c r="AK1214" s="8" t="n">
        <v>-1175</v>
      </c>
      <c r="AL1214" s="8" t="n">
        <v>-1041</v>
      </c>
      <c r="AM1214" s="11" t="inlineStr"/>
      <c r="AN1214" s="12" t="inlineStr"/>
      <c r="AO1214" s="12" t="inlineStr"/>
      <c r="AP1214" s="13" t="inlineStr"/>
      <c r="AQ1214" s="13" t="inlineStr"/>
      <c r="AR1214" s="13" t="inlineStr"/>
      <c r="AS1214" s="13" t="inlineStr"/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7" t="n">
        <v>77007</v>
      </c>
      <c r="AK1215" s="8" t="n">
        <v>17018</v>
      </c>
      <c r="AL1215" s="8" t="n">
        <v>12469</v>
      </c>
      <c r="AM1215" s="11" t="inlineStr"/>
      <c r="AN1215" s="12" t="inlineStr"/>
      <c r="AO1215" s="12" t="inlineStr"/>
      <c r="AP1215" s="13" t="inlineStr"/>
      <c r="AQ1215" s="13" t="inlineStr"/>
      <c r="AR1215" s="13" t="inlineStr"/>
      <c r="AS1215" s="13" t="inlineStr"/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7" t="n">
        <v>4875</v>
      </c>
      <c r="AK1216" s="8" t="n">
        <v>-1332</v>
      </c>
      <c r="AL1216" s="8" t="n">
        <v>1184</v>
      </c>
      <c r="AM1216" s="11" t="inlineStr"/>
      <c r="AN1216" s="12" t="inlineStr"/>
      <c r="AO1216" s="12" t="inlineStr"/>
      <c r="AP1216" s="13" t="inlineStr"/>
      <c r="AQ1216" s="13" t="inlineStr"/>
      <c r="AR1216" s="13" t="inlineStr"/>
      <c r="AS1216" s="13" t="inlineStr"/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7" t="n">
        <v>3890</v>
      </c>
      <c r="AK1217" s="8" t="n">
        <v>-2128</v>
      </c>
      <c r="AL1217" s="8" t="inlineStr"/>
      <c r="AM1217" s="11" t="inlineStr"/>
      <c r="AN1217" s="12" t="inlineStr"/>
      <c r="AO1217" s="12" t="inlineStr"/>
      <c r="AP1217" s="13" t="inlineStr"/>
      <c r="AQ1217" s="13" t="inlineStr"/>
      <c r="AR1217" s="13" t="inlineStr"/>
      <c r="AS1217" s="13" t="inlineStr"/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7" t="n">
        <v>8246</v>
      </c>
      <c r="AK1218" s="8" t="n">
        <v>1984</v>
      </c>
      <c r="AL1218" s="8" t="n">
        <v>990</v>
      </c>
      <c r="AM1218" s="11" t="inlineStr"/>
      <c r="AN1218" s="12" t="inlineStr"/>
      <c r="AO1218" s="12" t="inlineStr"/>
      <c r="AP1218" s="13" t="inlineStr"/>
      <c r="AQ1218" s="13" t="inlineStr"/>
      <c r="AR1218" s="13" t="inlineStr"/>
      <c r="AS1218" s="13" t="inlineStr"/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7" t="n">
        <v>271857</v>
      </c>
      <c r="AK1219" s="8" t="n">
        <v>30873</v>
      </c>
      <c r="AL1219" s="8" t="n">
        <v>26732</v>
      </c>
      <c r="AM1219" s="11" t="inlineStr"/>
      <c r="AN1219" s="12" t="inlineStr"/>
      <c r="AO1219" s="12" t="inlineStr"/>
      <c r="AP1219" s="13" t="inlineStr"/>
      <c r="AQ1219" s="13" t="inlineStr"/>
      <c r="AR1219" s="13" t="inlineStr"/>
      <c r="AS1219" s="13" t="inlineStr"/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7" t="n">
        <v>2243</v>
      </c>
      <c r="AK1220" s="8" t="n">
        <v>-1155</v>
      </c>
      <c r="AL1220" s="8" t="n">
        <v>-1221</v>
      </c>
      <c r="AM1220" s="11" t="inlineStr"/>
      <c r="AN1220" s="12" t="inlineStr"/>
      <c r="AO1220" s="12" t="inlineStr"/>
      <c r="AP1220" s="13" t="inlineStr"/>
      <c r="AQ1220" s="13" t="inlineStr"/>
      <c r="AR1220" s="13" t="inlineStr"/>
      <c r="AS1220" s="13" t="inlineStr"/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7" t="n">
        <v>9463</v>
      </c>
      <c r="AK1221" s="8" t="n">
        <v>85</v>
      </c>
      <c r="AL1221" s="8" t="n">
        <v>82</v>
      </c>
      <c r="AM1221" s="11" t="inlineStr"/>
      <c r="AN1221" s="12" t="inlineStr"/>
      <c r="AO1221" s="12" t="inlineStr"/>
      <c r="AP1221" s="13" t="inlineStr"/>
      <c r="AQ1221" s="13" t="inlineStr"/>
      <c r="AR1221" s="13" t="inlineStr"/>
      <c r="AS1221" s="13" t="inlineStr"/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7" t="n">
        <v>37579</v>
      </c>
      <c r="AK1222" s="8" t="n">
        <v>-639</v>
      </c>
      <c r="AL1222" s="8" t="n">
        <v>2464</v>
      </c>
      <c r="AM1222" s="11" t="inlineStr"/>
      <c r="AN1222" s="12" t="inlineStr"/>
      <c r="AO1222" s="12" t="inlineStr"/>
      <c r="AP1222" s="13" t="inlineStr"/>
      <c r="AQ1222" s="13" t="inlineStr"/>
      <c r="AR1222" s="13" t="inlineStr"/>
      <c r="AS1222" s="13" t="inlineStr"/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7" t="n">
        <v>93498</v>
      </c>
      <c r="AK1223" s="8" t="n">
        <v>20368</v>
      </c>
      <c r="AL1223" s="8" t="n">
        <v>20623</v>
      </c>
      <c r="AM1223" s="11" t="inlineStr"/>
      <c r="AN1223" s="12" t="inlineStr"/>
      <c r="AO1223" s="12" t="inlineStr"/>
      <c r="AP1223" s="13" t="inlineStr"/>
      <c r="AQ1223" s="13" t="inlineStr"/>
      <c r="AR1223" s="13" t="inlineStr"/>
      <c r="AS1223" s="13" t="inlineStr"/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7" t="n">
        <v>30110</v>
      </c>
      <c r="AK1224" s="8" t="n">
        <v>893</v>
      </c>
      <c r="AL1224" s="8" t="n">
        <v>410</v>
      </c>
      <c r="AM1224" s="11" t="inlineStr"/>
      <c r="AN1224" s="12" t="inlineStr"/>
      <c r="AO1224" s="12" t="inlineStr"/>
      <c r="AP1224" s="13" t="inlineStr"/>
      <c r="AQ1224" s="13" t="inlineStr"/>
      <c r="AR1224" s="13" t="inlineStr"/>
      <c r="AS1224" s="13" t="inlineStr"/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7" t="n">
        <v>35836</v>
      </c>
      <c r="AK1225" s="8" t="n">
        <v>1271</v>
      </c>
      <c r="AL1225" s="8" t="n">
        <v>20022</v>
      </c>
      <c r="AM1225" s="11" t="inlineStr"/>
      <c r="AN1225" s="12" t="inlineStr"/>
      <c r="AO1225" s="12" t="inlineStr"/>
      <c r="AP1225" s="13" t="inlineStr"/>
      <c r="AQ1225" s="13" t="inlineStr"/>
      <c r="AR1225" s="13" t="inlineStr"/>
      <c r="AS1225" s="13" t="inlineStr"/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7" t="n">
        <v>55887</v>
      </c>
      <c r="AK1226" s="8" t="n">
        <v>406</v>
      </c>
      <c r="AL1226" s="8" t="n">
        <v>-7401</v>
      </c>
      <c r="AM1226" s="11" t="inlineStr"/>
      <c r="AN1226" s="12" t="inlineStr"/>
      <c r="AO1226" s="12" t="inlineStr"/>
      <c r="AP1226" s="13" t="inlineStr"/>
      <c r="AQ1226" s="13" t="inlineStr"/>
      <c r="AR1226" s="13" t="inlineStr"/>
      <c r="AS1226" s="13" t="inlineStr"/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7" t="n">
        <v>90753</v>
      </c>
      <c r="AK1227" s="8" t="n">
        <v>10078</v>
      </c>
      <c r="AL1227" s="8" t="n">
        <v>12439</v>
      </c>
      <c r="AM1227" s="11" t="inlineStr"/>
      <c r="AN1227" s="12" t="inlineStr"/>
      <c r="AO1227" s="12" t="inlineStr"/>
      <c r="AP1227" s="13" t="inlineStr"/>
      <c r="AQ1227" s="13" t="inlineStr"/>
      <c r="AR1227" s="13" t="inlineStr"/>
      <c r="AS1227" s="13" t="inlineStr"/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7" t="n">
        <v>216298</v>
      </c>
      <c r="AK1228" s="8" t="n">
        <v>16574</v>
      </c>
      <c r="AL1228" s="8" t="n">
        <v>12930</v>
      </c>
      <c r="AM1228" s="11" t="inlineStr"/>
      <c r="AN1228" s="12" t="inlineStr"/>
      <c r="AO1228" s="12" t="inlineStr"/>
      <c r="AP1228" s="13" t="inlineStr"/>
      <c r="AQ1228" s="13" t="inlineStr"/>
      <c r="AR1228" s="13" t="inlineStr"/>
      <c r="AS1228" s="13" t="inlineStr"/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7" t="n">
        <v>212990</v>
      </c>
      <c r="AK1229" s="8" t="n">
        <v>24961</v>
      </c>
      <c r="AL1229" s="8" t="n">
        <v>22156</v>
      </c>
      <c r="AM1229" s="11" t="inlineStr"/>
      <c r="AN1229" s="12" t="inlineStr"/>
      <c r="AO1229" s="12" t="inlineStr"/>
      <c r="AP1229" s="13" t="inlineStr"/>
      <c r="AQ1229" s="13" t="inlineStr"/>
      <c r="AR1229" s="13" t="inlineStr"/>
      <c r="AS1229" s="13" t="inlineStr"/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7" t="n">
        <v>10304</v>
      </c>
      <c r="AK1230" s="8" t="n">
        <v>3144</v>
      </c>
      <c r="AL1230" s="8" t="n">
        <v>3076</v>
      </c>
      <c r="AM1230" s="11" t="inlineStr"/>
      <c r="AN1230" s="12" t="inlineStr"/>
      <c r="AO1230" s="12" t="inlineStr"/>
      <c r="AP1230" s="13" t="inlineStr"/>
      <c r="AQ1230" s="13" t="inlineStr"/>
      <c r="AR1230" s="13" t="inlineStr"/>
      <c r="AS1230" s="13" t="inlineStr"/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7" t="n">
        <v>2299403</v>
      </c>
      <c r="AK1231" s="8" t="n">
        <v>58075</v>
      </c>
      <c r="AL1231" s="8" t="n">
        <v>43573</v>
      </c>
      <c r="AM1231" s="11" t="inlineStr"/>
      <c r="AN1231" s="12" t="inlineStr"/>
      <c r="AO1231" s="12" t="inlineStr"/>
      <c r="AP1231" s="13" t="inlineStr"/>
      <c r="AQ1231" s="13" t="inlineStr"/>
      <c r="AR1231" s="13" t="inlineStr"/>
      <c r="AS1231" s="13" t="inlineStr"/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7" t="n">
        <v>43339</v>
      </c>
      <c r="AK1232" s="8" t="n">
        <v>10576</v>
      </c>
      <c r="AL1232" s="8" t="n">
        <v>17458</v>
      </c>
      <c r="AM1232" s="11" t="inlineStr"/>
      <c r="AN1232" s="12" t="inlineStr"/>
      <c r="AO1232" s="12" t="inlineStr"/>
      <c r="AP1232" s="13" t="inlineStr"/>
      <c r="AQ1232" s="13" t="inlineStr"/>
      <c r="AR1232" s="13" t="inlineStr"/>
      <c r="AS1232" s="13" t="inlineStr"/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7" t="n">
        <v>15252</v>
      </c>
      <c r="AK1233" s="8" t="n">
        <v>-200</v>
      </c>
      <c r="AL1233" s="8" t="n">
        <v>-208</v>
      </c>
      <c r="AM1233" s="11" t="inlineStr"/>
      <c r="AN1233" s="12" t="inlineStr"/>
      <c r="AO1233" s="12" t="inlineStr"/>
      <c r="AP1233" s="13" t="inlineStr"/>
      <c r="AQ1233" s="13" t="inlineStr"/>
      <c r="AR1233" s="13" t="inlineStr"/>
      <c r="AS1233" s="13" t="inlineStr"/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7" t="n">
        <v>33650</v>
      </c>
      <c r="AK1234" s="8" t="n">
        <v>3670</v>
      </c>
      <c r="AL1234" s="8" t="n">
        <v>1808</v>
      </c>
      <c r="AM1234" s="11" t="inlineStr"/>
      <c r="AN1234" s="12" t="inlineStr"/>
      <c r="AO1234" s="12" t="inlineStr"/>
      <c r="AP1234" s="13" t="inlineStr"/>
      <c r="AQ1234" s="13" t="inlineStr"/>
      <c r="AR1234" s="13" t="inlineStr"/>
      <c r="AS1234" s="13" t="inlineStr"/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7" t="n">
        <v>28536</v>
      </c>
      <c r="AK1235" s="8" t="n">
        <v>517</v>
      </c>
      <c r="AL1235" s="8" t="n">
        <v>10604</v>
      </c>
      <c r="AM1235" s="11" t="inlineStr"/>
      <c r="AN1235" s="12" t="inlineStr"/>
      <c r="AO1235" s="12" t="inlineStr"/>
      <c r="AP1235" s="13" t="inlineStr"/>
      <c r="AQ1235" s="13" t="inlineStr"/>
      <c r="AR1235" s="13" t="inlineStr"/>
      <c r="AS1235" s="13" t="inlineStr"/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7" t="n">
        <v>18784</v>
      </c>
      <c r="AK1236" s="8" t="n">
        <v>-24339</v>
      </c>
      <c r="AL1236" s="8" t="n">
        <v>32160</v>
      </c>
      <c r="AM1236" s="11" t="inlineStr"/>
      <c r="AN1236" s="12" t="inlineStr"/>
      <c r="AO1236" s="12" t="inlineStr"/>
      <c r="AP1236" s="13" t="inlineStr"/>
      <c r="AQ1236" s="13" t="inlineStr"/>
      <c r="AR1236" s="13" t="inlineStr"/>
      <c r="AS1236" s="13" t="inlineStr"/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7" t="n">
        <v>157020</v>
      </c>
      <c r="AK1237" s="8" t="n">
        <v>7160</v>
      </c>
      <c r="AL1237" s="8" t="n">
        <v>-3507</v>
      </c>
      <c r="AM1237" s="11" t="inlineStr"/>
      <c r="AN1237" s="12" t="inlineStr"/>
      <c r="AO1237" s="12" t="inlineStr"/>
      <c r="AP1237" s="13" t="inlineStr"/>
      <c r="AQ1237" s="13" t="inlineStr"/>
      <c r="AR1237" s="13" t="inlineStr"/>
      <c r="AS1237" s="13" t="inlineStr"/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7" t="n">
        <v>258012</v>
      </c>
      <c r="AK1238" s="8" t="n">
        <v>15383</v>
      </c>
      <c r="AL1238" s="8" t="n">
        <v>11142</v>
      </c>
      <c r="AM1238" s="11" t="inlineStr"/>
      <c r="AN1238" s="12" t="inlineStr"/>
      <c r="AO1238" s="12" t="inlineStr"/>
      <c r="AP1238" s="13" t="inlineStr"/>
      <c r="AQ1238" s="13" t="inlineStr"/>
      <c r="AR1238" s="13" t="inlineStr"/>
      <c r="AS1238" s="13" t="inlineStr"/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7" t="n">
        <v>65238</v>
      </c>
      <c r="AK1239" s="8" t="n">
        <v>10408</v>
      </c>
      <c r="AL1239" s="8" t="n">
        <v>9240</v>
      </c>
      <c r="AM1239" s="11" t="inlineStr"/>
      <c r="AN1239" s="12" t="inlineStr"/>
      <c r="AO1239" s="12" t="inlineStr"/>
      <c r="AP1239" s="13" t="inlineStr"/>
      <c r="AQ1239" s="13" t="inlineStr"/>
      <c r="AR1239" s="13" t="inlineStr"/>
      <c r="AS1239" s="13" t="inlineStr"/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7" t="n">
        <v>14571</v>
      </c>
      <c r="AK1240" s="8" t="n">
        <v>-584</v>
      </c>
      <c r="AL1240" s="8" t="n">
        <v>10</v>
      </c>
      <c r="AM1240" s="11" t="inlineStr"/>
      <c r="AN1240" s="12" t="inlineStr"/>
      <c r="AO1240" s="12" t="inlineStr"/>
      <c r="AP1240" s="13" t="inlineStr"/>
      <c r="AQ1240" s="13" t="inlineStr"/>
      <c r="AR1240" s="13" t="inlineStr"/>
      <c r="AS1240" s="13" t="inlineStr"/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7" t="n">
        <v>100582</v>
      </c>
      <c r="AK1241" s="8" t="n">
        <v>6784</v>
      </c>
      <c r="AL1241" s="8" t="n">
        <v>4258</v>
      </c>
      <c r="AM1241" s="11" t="inlineStr"/>
      <c r="AN1241" s="12" t="inlineStr"/>
      <c r="AO1241" s="12" t="inlineStr"/>
      <c r="AP1241" s="13" t="inlineStr"/>
      <c r="AQ1241" s="13" t="inlineStr"/>
      <c r="AR1241" s="13" t="inlineStr"/>
      <c r="AS1241" s="13" t="inlineStr"/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7" t="n">
        <v>2759</v>
      </c>
      <c r="AK1242" s="8" t="n">
        <v>-746</v>
      </c>
      <c r="AL1242" s="8" t="n">
        <v>-3414</v>
      </c>
      <c r="AM1242" s="11" t="inlineStr"/>
      <c r="AN1242" s="12" t="inlineStr"/>
      <c r="AO1242" s="12" t="inlineStr"/>
      <c r="AP1242" s="13" t="inlineStr"/>
      <c r="AQ1242" s="13" t="inlineStr"/>
      <c r="AR1242" s="13" t="inlineStr"/>
      <c r="AS1242" s="13" t="inlineStr"/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7" t="n">
        <v>127025</v>
      </c>
      <c r="AK1243" s="8" t="n">
        <v>7899</v>
      </c>
      <c r="AL1243" s="8" t="n">
        <v>3565</v>
      </c>
      <c r="AM1243" s="11" t="inlineStr"/>
      <c r="AN1243" s="12" t="inlineStr"/>
      <c r="AO1243" s="12" t="inlineStr"/>
      <c r="AP1243" s="13" t="inlineStr"/>
      <c r="AQ1243" s="13" t="inlineStr"/>
      <c r="AR1243" s="13" t="inlineStr"/>
      <c r="AS1243" s="13" t="inlineStr"/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7" t="n">
        <v>7413135</v>
      </c>
      <c r="AK1244" s="8" t="n">
        <v>1717400</v>
      </c>
      <c r="AL1244" s="8" t="n">
        <v>1132031</v>
      </c>
      <c r="AM1244" s="11" t="inlineStr"/>
      <c r="AN1244" s="12" t="inlineStr"/>
      <c r="AO1244" s="12" t="inlineStr"/>
      <c r="AP1244" s="13" t="inlineStr"/>
      <c r="AQ1244" s="13" t="inlineStr"/>
      <c r="AR1244" s="13" t="inlineStr"/>
      <c r="AS1244" s="13" t="inlineStr"/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7" t="n">
        <v>3401</v>
      </c>
      <c r="AK1245" s="8" t="n">
        <v>-480</v>
      </c>
      <c r="AL1245" s="8" t="n">
        <v>-26</v>
      </c>
      <c r="AM1245" s="11" t="inlineStr"/>
      <c r="AN1245" s="12" t="inlineStr"/>
      <c r="AO1245" s="12" t="inlineStr"/>
      <c r="AP1245" s="13" t="inlineStr"/>
      <c r="AQ1245" s="13" t="inlineStr"/>
      <c r="AR1245" s="13" t="inlineStr"/>
      <c r="AS1245" s="13" t="inlineStr"/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7" t="n">
        <v>593958</v>
      </c>
      <c r="AK1246" s="8" t="n">
        <v>11470</v>
      </c>
      <c r="AL1246" s="8" t="n">
        <v>22609</v>
      </c>
      <c r="AM1246" s="11" t="inlineStr"/>
      <c r="AN1246" s="12" t="inlineStr"/>
      <c r="AO1246" s="12" t="inlineStr"/>
      <c r="AP1246" s="13" t="inlineStr"/>
      <c r="AQ1246" s="13" t="inlineStr"/>
      <c r="AR1246" s="13" t="inlineStr"/>
      <c r="AS1246" s="13" t="inlineStr"/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7" t="n">
        <v>28947</v>
      </c>
      <c r="AK1247" s="8" t="n">
        <v>2224</v>
      </c>
      <c r="AL1247" s="8" t="n">
        <v>2259</v>
      </c>
      <c r="AM1247" s="11" t="inlineStr"/>
      <c r="AN1247" s="12" t="inlineStr"/>
      <c r="AO1247" s="12" t="inlineStr"/>
      <c r="AP1247" s="13" t="inlineStr"/>
      <c r="AQ1247" s="13" t="inlineStr"/>
      <c r="AR1247" s="13" t="inlineStr"/>
      <c r="AS1247" s="13" t="inlineStr"/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7" t="n">
        <v>9955</v>
      </c>
      <c r="AK1248" s="8" t="n">
        <v>563</v>
      </c>
      <c r="AL1248" s="8" t="n">
        <v>821</v>
      </c>
      <c r="AM1248" s="11" t="inlineStr"/>
      <c r="AN1248" s="12" t="inlineStr"/>
      <c r="AO1248" s="12" t="inlineStr"/>
      <c r="AP1248" s="13" t="inlineStr"/>
      <c r="AQ1248" s="13" t="inlineStr"/>
      <c r="AR1248" s="13" t="inlineStr"/>
      <c r="AS1248" s="13" t="inlineStr"/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7" t="n">
        <v>82392</v>
      </c>
      <c r="AK1249" s="8" t="n">
        <v>-9635</v>
      </c>
      <c r="AL1249" s="8" t="n">
        <v>-7865</v>
      </c>
      <c r="AM1249" s="11" t="inlineStr"/>
      <c r="AN1249" s="12" t="inlineStr"/>
      <c r="AO1249" s="12" t="inlineStr"/>
      <c r="AP1249" s="13" t="inlineStr"/>
      <c r="AQ1249" s="13" t="inlineStr"/>
      <c r="AR1249" s="13" t="inlineStr"/>
      <c r="AS1249" s="13" t="inlineStr"/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7" t="n">
        <v>373133</v>
      </c>
      <c r="AK1250" s="8" t="n">
        <v>5559</v>
      </c>
      <c r="AL1250" s="8" t="n">
        <v>3754</v>
      </c>
      <c r="AM1250" s="11" t="inlineStr"/>
      <c r="AN1250" s="12" t="inlineStr"/>
      <c r="AO1250" s="12" t="inlineStr"/>
      <c r="AP1250" s="13" t="inlineStr"/>
      <c r="AQ1250" s="13" t="inlineStr"/>
      <c r="AR1250" s="13" t="inlineStr"/>
      <c r="AS1250" s="13" t="inlineStr"/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7" t="n">
        <v>1110094</v>
      </c>
      <c r="AK1251" s="8" t="n">
        <v>105657</v>
      </c>
      <c r="AL1251" s="8" t="n">
        <v>78179</v>
      </c>
      <c r="AM1251" s="11" t="inlineStr"/>
      <c r="AN1251" s="12" t="inlineStr"/>
      <c r="AO1251" s="12" t="inlineStr"/>
      <c r="AP1251" s="13" t="inlineStr"/>
      <c r="AQ1251" s="13" t="inlineStr"/>
      <c r="AR1251" s="13" t="inlineStr"/>
      <c r="AS1251" s="13" t="inlineStr"/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7" t="n">
        <v>12976</v>
      </c>
      <c r="AK1252" s="8" t="n">
        <v>-326</v>
      </c>
      <c r="AL1252" s="8" t="n">
        <v>420</v>
      </c>
      <c r="AM1252" s="11" t="inlineStr"/>
      <c r="AN1252" s="12" t="inlineStr"/>
      <c r="AO1252" s="12" t="inlineStr"/>
      <c r="AP1252" s="13" t="inlineStr"/>
      <c r="AQ1252" s="13" t="inlineStr"/>
      <c r="AR1252" s="13" t="inlineStr"/>
      <c r="AS1252" s="13" t="inlineStr"/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7" t="n">
        <v>15849</v>
      </c>
      <c r="AK1253" s="8" t="n">
        <v>535</v>
      </c>
      <c r="AL1253" s="8" t="n">
        <v>2195</v>
      </c>
      <c r="AM1253" s="11" t="inlineStr"/>
      <c r="AN1253" s="12" t="inlineStr"/>
      <c r="AO1253" s="12" t="inlineStr"/>
      <c r="AP1253" s="13" t="inlineStr"/>
      <c r="AQ1253" s="13" t="inlineStr"/>
      <c r="AR1253" s="13" t="inlineStr"/>
      <c r="AS1253" s="13" t="inlineStr"/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7" t="n">
        <v>47254</v>
      </c>
      <c r="AK1254" s="8" t="n">
        <v>9608</v>
      </c>
      <c r="AL1254" s="8" t="n">
        <v>9529</v>
      </c>
      <c r="AM1254" s="11" t="inlineStr"/>
      <c r="AN1254" s="12" t="inlineStr"/>
      <c r="AO1254" s="12" t="inlineStr"/>
      <c r="AP1254" s="13" t="inlineStr"/>
      <c r="AQ1254" s="13" t="inlineStr"/>
      <c r="AR1254" s="13" t="inlineStr"/>
      <c r="AS1254" s="13" t="inlineStr"/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7" t="n">
        <v>88761</v>
      </c>
      <c r="AK1255" s="8" t="n">
        <v>12477</v>
      </c>
      <c r="AL1255" s="8" t="n">
        <v>8716</v>
      </c>
      <c r="AM1255" s="11" t="inlineStr"/>
      <c r="AN1255" s="12" t="inlineStr"/>
      <c r="AO1255" s="12" t="inlineStr"/>
      <c r="AP1255" s="13" t="inlineStr"/>
      <c r="AQ1255" s="13" t="inlineStr"/>
      <c r="AR1255" s="13" t="inlineStr"/>
      <c r="AS1255" s="13" t="inlineStr"/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7" t="n">
        <v>2623</v>
      </c>
      <c r="AK1256" s="8" t="n">
        <v>-2648</v>
      </c>
      <c r="AL1256" s="8" t="n">
        <v>-2774</v>
      </c>
      <c r="AM1256" s="11" t="inlineStr"/>
      <c r="AN1256" s="12" t="inlineStr"/>
      <c r="AO1256" s="12" t="inlineStr"/>
      <c r="AP1256" s="13" t="inlineStr"/>
      <c r="AQ1256" s="13" t="inlineStr"/>
      <c r="AR1256" s="13" t="inlineStr"/>
      <c r="AS1256" s="13" t="inlineStr"/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7" t="n">
        <v>105678</v>
      </c>
      <c r="AK1257" s="8" t="n">
        <v>2721</v>
      </c>
      <c r="AL1257" s="8" t="n">
        <v>9198</v>
      </c>
      <c r="AM1257" s="11" t="inlineStr"/>
      <c r="AN1257" s="12" t="inlineStr"/>
      <c r="AO1257" s="12" t="inlineStr"/>
      <c r="AP1257" s="13" t="inlineStr"/>
      <c r="AQ1257" s="13" t="inlineStr"/>
      <c r="AR1257" s="13" t="inlineStr"/>
      <c r="AS1257" s="13" t="inlineStr"/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7" t="n">
        <v>5966</v>
      </c>
      <c r="AK1258" s="8" t="n">
        <v>567</v>
      </c>
      <c r="AL1258" s="8" t="n">
        <v>550</v>
      </c>
      <c r="AM1258" s="11" t="inlineStr"/>
      <c r="AN1258" s="12" t="inlineStr"/>
      <c r="AO1258" s="12" t="inlineStr"/>
      <c r="AP1258" s="13" t="inlineStr"/>
      <c r="AQ1258" s="13" t="inlineStr"/>
      <c r="AR1258" s="13" t="inlineStr"/>
      <c r="AS1258" s="13" t="inlineStr"/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7" t="n">
        <v>238729</v>
      </c>
      <c r="AK1259" s="8" t="n">
        <v>3342</v>
      </c>
      <c r="AL1259" s="8" t="n">
        <v>-1595</v>
      </c>
      <c r="AM1259" s="11" t="inlineStr"/>
      <c r="AN1259" s="12" t="inlineStr"/>
      <c r="AO1259" s="12" t="inlineStr"/>
      <c r="AP1259" s="13" t="inlineStr"/>
      <c r="AQ1259" s="13" t="inlineStr"/>
      <c r="AR1259" s="13" t="inlineStr"/>
      <c r="AS1259" s="13" t="inlineStr"/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7" t="n">
        <v>28763</v>
      </c>
      <c r="AK1260" s="8" t="n">
        <v>8982</v>
      </c>
      <c r="AL1260" s="8" t="n">
        <v>8298</v>
      </c>
      <c r="AM1260" s="11" t="inlineStr"/>
      <c r="AN1260" s="12" t="inlineStr"/>
      <c r="AO1260" s="12" t="inlineStr"/>
      <c r="AP1260" s="13" t="inlineStr"/>
      <c r="AQ1260" s="13" t="inlineStr"/>
      <c r="AR1260" s="13" t="inlineStr"/>
      <c r="AS1260" s="13" t="inlineStr"/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7" t="n">
        <v>42245</v>
      </c>
      <c r="AK1261" s="8" t="n">
        <v>-856</v>
      </c>
      <c r="AL1261" s="8" t="n">
        <v>-216</v>
      </c>
      <c r="AM1261" s="11" t="inlineStr"/>
      <c r="AN1261" s="12" t="inlineStr"/>
      <c r="AO1261" s="12" t="inlineStr"/>
      <c r="AP1261" s="13" t="inlineStr"/>
      <c r="AQ1261" s="13" t="inlineStr"/>
      <c r="AR1261" s="13" t="inlineStr"/>
      <c r="AS1261" s="13" t="inlineStr"/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7" t="n">
        <v>289938</v>
      </c>
      <c r="AK1262" s="8" t="n">
        <v>121871</v>
      </c>
      <c r="AL1262" s="8" t="n">
        <v>145020</v>
      </c>
      <c r="AM1262" s="11" t="inlineStr"/>
      <c r="AN1262" s="12" t="inlineStr"/>
      <c r="AO1262" s="12" t="inlineStr"/>
      <c r="AP1262" s="13" t="inlineStr"/>
      <c r="AQ1262" s="13" t="inlineStr"/>
      <c r="AR1262" s="13" t="inlineStr"/>
      <c r="AS1262" s="13" t="inlineStr"/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7" t="n">
        <v>93685</v>
      </c>
      <c r="AK1263" s="8" t="n">
        <v>6395</v>
      </c>
      <c r="AL1263" s="8" t="n">
        <v>2595</v>
      </c>
      <c r="AM1263" s="11" t="inlineStr"/>
      <c r="AN1263" s="12" t="inlineStr"/>
      <c r="AO1263" s="12" t="inlineStr"/>
      <c r="AP1263" s="13" t="inlineStr"/>
      <c r="AQ1263" s="13" t="inlineStr"/>
      <c r="AR1263" s="13" t="inlineStr"/>
      <c r="AS1263" s="13" t="inlineStr"/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7" t="n">
        <v>58787</v>
      </c>
      <c r="AK1264" s="8" t="n">
        <v>2612</v>
      </c>
      <c r="AL1264" s="8" t="n">
        <v>-1239</v>
      </c>
      <c r="AM1264" s="11" t="inlineStr"/>
      <c r="AN1264" s="12" t="inlineStr"/>
      <c r="AO1264" s="12" t="inlineStr"/>
      <c r="AP1264" s="13" t="inlineStr"/>
      <c r="AQ1264" s="13" t="inlineStr"/>
      <c r="AR1264" s="13" t="inlineStr"/>
      <c r="AS1264" s="13" t="inlineStr"/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7" t="n">
        <v>12562</v>
      </c>
      <c r="AK1265" s="8" t="n">
        <v>-1495</v>
      </c>
      <c r="AL1265" s="8" t="n">
        <v>995</v>
      </c>
      <c r="AM1265" s="11" t="inlineStr"/>
      <c r="AN1265" s="12" t="inlineStr"/>
      <c r="AO1265" s="12" t="inlineStr"/>
      <c r="AP1265" s="13" t="inlineStr"/>
      <c r="AQ1265" s="13" t="inlineStr"/>
      <c r="AR1265" s="13" t="inlineStr"/>
      <c r="AS1265" s="13" t="inlineStr"/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7" t="n">
        <v>23602</v>
      </c>
      <c r="AK1266" s="8" t="n">
        <v>1031</v>
      </c>
      <c r="AL1266" s="8" t="n">
        <v>1916</v>
      </c>
      <c r="AM1266" s="11" t="inlineStr"/>
      <c r="AN1266" s="12" t="inlineStr"/>
      <c r="AO1266" s="12" t="inlineStr"/>
      <c r="AP1266" s="13" t="inlineStr"/>
      <c r="AQ1266" s="13" t="inlineStr"/>
      <c r="AR1266" s="13" t="inlineStr"/>
      <c r="AS1266" s="13" t="inlineStr"/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7" t="n">
        <v>35083</v>
      </c>
      <c r="AK1267" s="8" t="n">
        <v>8394</v>
      </c>
      <c r="AL1267" s="8" t="n">
        <v>8810</v>
      </c>
      <c r="AM1267" s="11" t="inlineStr"/>
      <c r="AN1267" s="12" t="inlineStr"/>
      <c r="AO1267" s="12" t="inlineStr"/>
      <c r="AP1267" s="13" t="inlineStr"/>
      <c r="AQ1267" s="13" t="inlineStr"/>
      <c r="AR1267" s="13" t="inlineStr"/>
      <c r="AS1267" s="13" t="inlineStr"/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7" t="n">
        <v>5944</v>
      </c>
      <c r="AK1268" s="8" t="n">
        <v>-1252</v>
      </c>
      <c r="AL1268" s="8" t="n">
        <v>2136</v>
      </c>
      <c r="AM1268" s="11" t="inlineStr"/>
      <c r="AN1268" s="12" t="inlineStr"/>
      <c r="AO1268" s="12" t="inlineStr"/>
      <c r="AP1268" s="13" t="inlineStr"/>
      <c r="AQ1268" s="13" t="inlineStr"/>
      <c r="AR1268" s="13" t="inlineStr"/>
      <c r="AS1268" s="13" t="inlineStr"/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7" t="n">
        <v>55098</v>
      </c>
      <c r="AK1269" s="8" t="n">
        <v>5732</v>
      </c>
      <c r="AL1269" s="8" t="n">
        <v>8236</v>
      </c>
      <c r="AM1269" s="11" t="inlineStr"/>
      <c r="AN1269" s="12" t="inlineStr"/>
      <c r="AO1269" s="12" t="inlineStr"/>
      <c r="AP1269" s="13" t="inlineStr"/>
      <c r="AQ1269" s="13" t="inlineStr"/>
      <c r="AR1269" s="13" t="inlineStr"/>
      <c r="AS1269" s="13" t="inlineStr"/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7" t="n">
        <v>71479</v>
      </c>
      <c r="AK1270" s="8" t="n">
        <v>2156</v>
      </c>
      <c r="AL1270" s="8" t="n">
        <v>455</v>
      </c>
      <c r="AM1270" s="11" t="inlineStr"/>
      <c r="AN1270" s="12" t="inlineStr"/>
      <c r="AO1270" s="12" t="inlineStr"/>
      <c r="AP1270" s="13" t="inlineStr"/>
      <c r="AQ1270" s="13" t="inlineStr"/>
      <c r="AR1270" s="13" t="inlineStr"/>
      <c r="AS1270" s="13" t="inlineStr"/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7" t="n">
        <v>7555</v>
      </c>
      <c r="AK1271" s="8" t="n">
        <v>-3964</v>
      </c>
      <c r="AL1271" s="8" t="n">
        <v>-3769</v>
      </c>
      <c r="AM1271" s="11" t="inlineStr"/>
      <c r="AN1271" s="12" t="inlineStr"/>
      <c r="AO1271" s="12" t="inlineStr"/>
      <c r="AP1271" s="13" t="inlineStr"/>
      <c r="AQ1271" s="13" t="inlineStr"/>
      <c r="AR1271" s="13" t="inlineStr"/>
      <c r="AS1271" s="13" t="inlineStr"/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7" t="n">
        <v>46382</v>
      </c>
      <c r="AK1272" s="8" t="n">
        <v>351</v>
      </c>
      <c r="AL1272" s="8" t="n">
        <v>-959</v>
      </c>
      <c r="AM1272" s="11" t="inlineStr"/>
      <c r="AN1272" s="12" t="inlineStr"/>
      <c r="AO1272" s="12" t="inlineStr"/>
      <c r="AP1272" s="13" t="inlineStr"/>
      <c r="AQ1272" s="13" t="inlineStr"/>
      <c r="AR1272" s="13" t="inlineStr"/>
      <c r="AS1272" s="13" t="inlineStr"/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7" t="n">
        <v>1431157</v>
      </c>
      <c r="AK1273" s="8" t="n">
        <v>295229</v>
      </c>
      <c r="AL1273" s="8" t="n">
        <v>220775</v>
      </c>
      <c r="AM1273" s="11" t="inlineStr"/>
      <c r="AN1273" s="12" t="inlineStr"/>
      <c r="AO1273" s="12" t="inlineStr"/>
      <c r="AP1273" s="13" t="inlineStr"/>
      <c r="AQ1273" s="13" t="inlineStr"/>
      <c r="AR1273" s="13" t="inlineStr"/>
      <c r="AS1273" s="13" t="inlineStr"/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7" t="n">
        <v>60743</v>
      </c>
      <c r="AK1274" s="8" t="n">
        <v>2646</v>
      </c>
      <c r="AL1274" s="8" t="n">
        <v>-2734</v>
      </c>
      <c r="AM1274" s="11" t="inlineStr"/>
      <c r="AN1274" s="12" t="inlineStr"/>
      <c r="AO1274" s="12" t="inlineStr"/>
      <c r="AP1274" s="13" t="inlineStr"/>
      <c r="AQ1274" s="13" t="inlineStr"/>
      <c r="AR1274" s="13" t="inlineStr"/>
      <c r="AS1274" s="13" t="inlineStr"/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7" t="n">
        <v>22705</v>
      </c>
      <c r="AK1275" s="8" t="n">
        <v>997</v>
      </c>
      <c r="AL1275" s="8" t="n">
        <v>-9865</v>
      </c>
      <c r="AM1275" s="11" t="inlineStr"/>
      <c r="AN1275" s="12" t="inlineStr"/>
      <c r="AO1275" s="12" t="inlineStr"/>
      <c r="AP1275" s="13" t="inlineStr"/>
      <c r="AQ1275" s="13" t="inlineStr"/>
      <c r="AR1275" s="13" t="inlineStr"/>
      <c r="AS1275" s="13" t="inlineStr"/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8" t="n">
        <v>86840</v>
      </c>
      <c r="AL1276" s="8" t="n">
        <v>66907</v>
      </c>
      <c r="AM1276" s="11" t="inlineStr"/>
      <c r="AN1276" s="12" t="inlineStr"/>
      <c r="AO1276" s="12" t="inlineStr"/>
      <c r="AP1276" s="13" t="inlineStr"/>
      <c r="AQ1276" s="13" t="inlineStr"/>
      <c r="AR1276" s="13" t="inlineStr"/>
      <c r="AS1276" s="13" t="inlineStr"/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7" t="inlineStr"/>
      <c r="AK1277" s="8" t="inlineStr"/>
      <c r="AL1277" s="8" t="inlineStr"/>
      <c r="AM1277" s="11" t="inlineStr"/>
      <c r="AN1277" s="12" t="inlineStr"/>
      <c r="AO1277" s="12" t="inlineStr"/>
      <c r="AP1277" s="13" t="inlineStr"/>
      <c r="AQ1277" s="13" t="inlineStr"/>
      <c r="AR1277" s="13" t="inlineStr"/>
      <c r="AS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7" t="n">
        <v>362220</v>
      </c>
      <c r="AK1278" s="8" t="n">
        <v>37911</v>
      </c>
      <c r="AL1278" s="8" t="n">
        <v>33200</v>
      </c>
      <c r="AM1278" s="11" t="inlineStr"/>
      <c r="AN1278" s="12" t="inlineStr"/>
      <c r="AO1278" s="12" t="inlineStr"/>
      <c r="AP1278" s="13" t="inlineStr"/>
      <c r="AQ1278" s="13" t="inlineStr"/>
      <c r="AR1278" s="13" t="inlineStr"/>
      <c r="AS1278" s="13" t="inlineStr"/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7" t="n">
        <v>13282</v>
      </c>
      <c r="AK1279" s="8" t="n">
        <v>-1938</v>
      </c>
      <c r="AL1279" s="8" t="n">
        <v>-2840</v>
      </c>
      <c r="AM1279" s="11" t="inlineStr"/>
      <c r="AN1279" s="12" t="inlineStr"/>
      <c r="AO1279" s="12" t="inlineStr"/>
      <c r="AP1279" s="13" t="inlineStr"/>
      <c r="AQ1279" s="13" t="inlineStr"/>
      <c r="AR1279" s="13" t="inlineStr"/>
      <c r="AS1279" s="13" t="inlineStr"/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7" t="n">
        <v>316366</v>
      </c>
      <c r="AK1280" s="8" t="n">
        <v>-2422</v>
      </c>
      <c r="AL1280" s="8" t="n">
        <v>-2801</v>
      </c>
      <c r="AM1280" s="11" t="inlineStr"/>
      <c r="AN1280" s="12" t="inlineStr"/>
      <c r="AO1280" s="12" t="inlineStr"/>
      <c r="AP1280" s="13" t="inlineStr"/>
      <c r="AQ1280" s="13" t="inlineStr"/>
      <c r="AR1280" s="13" t="inlineStr"/>
      <c r="AS1280" s="13" t="inlineStr"/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7" t="n">
        <v>76169</v>
      </c>
      <c r="AK1281" s="8" t="n">
        <v>18762</v>
      </c>
      <c r="AL1281" s="8" t="n">
        <v>17302</v>
      </c>
      <c r="AM1281" s="11" t="inlineStr"/>
      <c r="AN1281" s="12" t="inlineStr"/>
      <c r="AO1281" s="12" t="inlineStr"/>
      <c r="AP1281" s="13" t="inlineStr"/>
      <c r="AQ1281" s="13" t="inlineStr"/>
      <c r="AR1281" s="13" t="inlineStr"/>
      <c r="AS1281" s="13" t="inlineStr"/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7" t="n">
        <v>81458</v>
      </c>
      <c r="AK1282" s="8" t="n">
        <v>8738</v>
      </c>
      <c r="AL1282" s="8" t="n">
        <v>7962</v>
      </c>
      <c r="AM1282" s="11" t="inlineStr"/>
      <c r="AN1282" s="12" t="inlineStr"/>
      <c r="AO1282" s="12" t="inlineStr"/>
      <c r="AP1282" s="13" t="inlineStr"/>
      <c r="AQ1282" s="13" t="inlineStr"/>
      <c r="AR1282" s="13" t="inlineStr"/>
      <c r="AS1282" s="13" t="inlineStr"/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7" t="n">
        <v>91922</v>
      </c>
      <c r="AK1283" s="8" t="n">
        <v>7523</v>
      </c>
      <c r="AL1283" s="8" t="n">
        <v>9622</v>
      </c>
      <c r="AM1283" s="11" t="inlineStr"/>
      <c r="AN1283" s="12" t="inlineStr"/>
      <c r="AO1283" s="12" t="inlineStr"/>
      <c r="AP1283" s="13" t="inlineStr"/>
      <c r="AQ1283" s="13" t="inlineStr"/>
      <c r="AR1283" s="13" t="inlineStr"/>
      <c r="AS1283" s="13" t="inlineStr"/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7" t="n">
        <v>99244</v>
      </c>
      <c r="AK1284" s="8" t="n">
        <v>15459</v>
      </c>
      <c r="AL1284" s="8" t="n">
        <v>12190</v>
      </c>
      <c r="AM1284" s="11" t="inlineStr"/>
      <c r="AN1284" s="12" t="inlineStr"/>
      <c r="AO1284" s="12" t="inlineStr"/>
      <c r="AP1284" s="13" t="inlineStr"/>
      <c r="AQ1284" s="13" t="inlineStr"/>
      <c r="AR1284" s="13" t="inlineStr"/>
      <c r="AS1284" s="13" t="inlineStr"/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7" t="n">
        <v>4414</v>
      </c>
      <c r="AK1285" s="8" t="n">
        <v>-274</v>
      </c>
      <c r="AL1285" s="8" t="n">
        <v>-591</v>
      </c>
      <c r="AM1285" s="11" t="inlineStr"/>
      <c r="AN1285" s="12" t="inlineStr"/>
      <c r="AO1285" s="12" t="inlineStr"/>
      <c r="AP1285" s="13" t="inlineStr"/>
      <c r="AQ1285" s="13" t="inlineStr"/>
      <c r="AR1285" s="13" t="inlineStr"/>
      <c r="AS1285" s="13" t="inlineStr"/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7" t="n">
        <v>14043</v>
      </c>
      <c r="AK1286" s="8" t="n">
        <v>3759</v>
      </c>
      <c r="AL1286" s="8" t="n">
        <v>3496</v>
      </c>
      <c r="AM1286" s="11" t="inlineStr"/>
      <c r="AN1286" s="12" t="inlineStr"/>
      <c r="AO1286" s="12" t="inlineStr"/>
      <c r="AP1286" s="13" t="inlineStr"/>
      <c r="AQ1286" s="13" t="inlineStr"/>
      <c r="AR1286" s="13" t="inlineStr"/>
      <c r="AS1286" s="13" t="inlineStr"/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7" t="n">
        <v>39564</v>
      </c>
      <c r="AK1287" s="8" t="n">
        <v>928</v>
      </c>
      <c r="AL1287" s="8" t="n">
        <v>797</v>
      </c>
      <c r="AM1287" s="11" t="inlineStr"/>
      <c r="AN1287" s="12" t="inlineStr"/>
      <c r="AO1287" s="12" t="inlineStr"/>
      <c r="AP1287" s="13" t="inlineStr"/>
      <c r="AQ1287" s="13" t="inlineStr"/>
      <c r="AR1287" s="13" t="inlineStr"/>
      <c r="AS1287" s="13" t="inlineStr"/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7" t="n">
        <v>9572</v>
      </c>
      <c r="AK1288" s="8" t="n">
        <v>-461</v>
      </c>
      <c r="AL1288" s="8" t="n">
        <v>-2131</v>
      </c>
      <c r="AM1288" s="11" t="inlineStr"/>
      <c r="AN1288" s="12" t="inlineStr"/>
      <c r="AO1288" s="12" t="inlineStr"/>
      <c r="AP1288" s="13" t="inlineStr"/>
      <c r="AQ1288" s="13" t="inlineStr"/>
      <c r="AR1288" s="13" t="inlineStr"/>
      <c r="AS1288" s="13" t="inlineStr"/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7" t="n">
        <v>296273</v>
      </c>
      <c r="AK1289" s="8" t="n">
        <v>45483</v>
      </c>
      <c r="AL1289" s="8" t="n">
        <v>20318</v>
      </c>
      <c r="AM1289" s="11" t="inlineStr"/>
      <c r="AN1289" s="12" t="inlineStr"/>
      <c r="AO1289" s="12" t="inlineStr"/>
      <c r="AP1289" s="13" t="inlineStr"/>
      <c r="AQ1289" s="13" t="inlineStr"/>
      <c r="AR1289" s="13" t="inlineStr"/>
      <c r="AS1289" s="13" t="inlineStr"/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7" t="n">
        <v>8405</v>
      </c>
      <c r="AK1290" s="8" t="n">
        <v>-5686</v>
      </c>
      <c r="AL1290" s="8" t="n">
        <v>-1628</v>
      </c>
      <c r="AM1290" s="11" t="inlineStr"/>
      <c r="AN1290" s="12" t="inlineStr"/>
      <c r="AO1290" s="12" t="inlineStr"/>
      <c r="AP1290" s="13" t="inlineStr"/>
      <c r="AQ1290" s="13" t="inlineStr"/>
      <c r="AR1290" s="13" t="inlineStr"/>
      <c r="AS1290" s="13" t="inlineStr"/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7" t="n">
        <v>4614</v>
      </c>
      <c r="AK1291" s="8" t="n">
        <v>-5873</v>
      </c>
      <c r="AL1291" s="8" t="n">
        <v>-7492</v>
      </c>
      <c r="AM1291" s="11" t="inlineStr"/>
      <c r="AN1291" s="12" t="inlineStr"/>
      <c r="AO1291" s="12" t="inlineStr"/>
      <c r="AP1291" s="13" t="inlineStr"/>
      <c r="AQ1291" s="13" t="inlineStr"/>
      <c r="AR1291" s="13" t="inlineStr"/>
      <c r="AS1291" s="13" t="inlineStr"/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7" t="n">
        <v>16488</v>
      </c>
      <c r="AK1292" s="8" t="n">
        <v>-11028</v>
      </c>
      <c r="AL1292" s="8" t="n">
        <v>-7580</v>
      </c>
      <c r="AM1292" s="11" t="inlineStr"/>
      <c r="AN1292" s="12" t="inlineStr"/>
      <c r="AO1292" s="12" t="inlineStr"/>
      <c r="AP1292" s="13" t="inlineStr"/>
      <c r="AQ1292" s="13" t="inlineStr"/>
      <c r="AR1292" s="13" t="inlineStr"/>
      <c r="AS1292" s="13" t="inlineStr"/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7" t="n">
        <v>387727</v>
      </c>
      <c r="AK1293" s="8" t="n">
        <v>16293</v>
      </c>
      <c r="AL1293" s="8" t="n">
        <v>7254</v>
      </c>
      <c r="AM1293" s="11" t="inlineStr"/>
      <c r="AN1293" s="12" t="inlineStr"/>
      <c r="AO1293" s="12" t="inlineStr"/>
      <c r="AP1293" s="13" t="inlineStr"/>
      <c r="AQ1293" s="13" t="inlineStr"/>
      <c r="AR1293" s="13" t="inlineStr"/>
      <c r="AS1293" s="13" t="inlineStr"/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7" t="n">
        <v>214141</v>
      </c>
      <c r="AK1294" s="8" t="n">
        <v>19504</v>
      </c>
      <c r="AL1294" s="8" t="n">
        <v>-344</v>
      </c>
      <c r="AM1294" s="11" t="inlineStr"/>
      <c r="AN1294" s="12" t="inlineStr"/>
      <c r="AO1294" s="12" t="inlineStr"/>
      <c r="AP1294" s="13" t="inlineStr"/>
      <c r="AQ1294" s="13" t="inlineStr"/>
      <c r="AR1294" s="13" t="inlineStr"/>
      <c r="AS1294" s="13" t="inlineStr"/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7" t="n">
        <v>24661</v>
      </c>
      <c r="AK1295" s="8" t="n">
        <v>1830</v>
      </c>
      <c r="AL1295" s="8" t="n">
        <v>-866</v>
      </c>
      <c r="AM1295" s="11" t="inlineStr"/>
      <c r="AN1295" s="12" t="inlineStr"/>
      <c r="AO1295" s="12" t="inlineStr"/>
      <c r="AP1295" s="13" t="inlineStr"/>
      <c r="AQ1295" s="13" t="inlineStr"/>
      <c r="AR1295" s="13" t="inlineStr"/>
      <c r="AS1295" s="13" t="inlineStr"/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7" t="n">
        <v>122110</v>
      </c>
      <c r="AK1296" s="8" t="n">
        <v>18221</v>
      </c>
      <c r="AL1296" s="8" t="n">
        <v>65958</v>
      </c>
      <c r="AM1296" s="11" t="inlineStr"/>
      <c r="AN1296" s="12" t="inlineStr"/>
      <c r="AO1296" s="12" t="inlineStr"/>
      <c r="AP1296" s="13" t="inlineStr"/>
      <c r="AQ1296" s="13" t="inlineStr"/>
      <c r="AR1296" s="13" t="inlineStr"/>
      <c r="AS1296" s="13" t="inlineStr"/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2026Q3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7" t="n">
        <v>12731</v>
      </c>
      <c r="AK1297" s="8" t="n">
        <v>1125</v>
      </c>
      <c r="AL1297" s="8" t="n">
        <v>799</v>
      </c>
      <c r="AM1297" s="11" t="n">
        <v>8257</v>
      </c>
      <c r="AN1297" s="12" t="n">
        <v>-1506</v>
      </c>
      <c r="AO1297" s="12" t="n">
        <v>-1250</v>
      </c>
      <c r="AP1297" s="13" t="n">
        <v>-35.1</v>
      </c>
      <c r="AQ1297" s="13" t="n">
        <v>-11</v>
      </c>
      <c r="AR1297" s="13" t="n">
        <v>-233.9</v>
      </c>
      <c r="AS1297" s="13" t="n">
        <v>-188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7" t="n">
        <v>15751</v>
      </c>
      <c r="AK1298" s="8" t="n">
        <v>-6866</v>
      </c>
      <c r="AL1298" s="8" t="n">
        <v>-2538</v>
      </c>
      <c r="AM1298" s="11" t="inlineStr"/>
      <c r="AN1298" s="12" t="inlineStr"/>
      <c r="AO1298" s="12" t="inlineStr"/>
      <c r="AP1298" s="13" t="inlineStr"/>
      <c r="AQ1298" s="13" t="inlineStr"/>
      <c r="AR1298" s="13" t="inlineStr"/>
      <c r="AS1298" s="13" t="inlineStr"/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7" t="n">
        <v>33678</v>
      </c>
      <c r="AK1299" s="8" t="n">
        <v>-1404</v>
      </c>
      <c r="AL1299" s="8" t="n">
        <v>-2196</v>
      </c>
      <c r="AM1299" s="11" t="inlineStr"/>
      <c r="AN1299" s="12" t="inlineStr"/>
      <c r="AO1299" s="12" t="inlineStr"/>
      <c r="AP1299" s="13" t="inlineStr"/>
      <c r="AQ1299" s="13" t="inlineStr"/>
      <c r="AR1299" s="13" t="inlineStr"/>
      <c r="AS1299" s="13" t="inlineStr"/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7" t="n">
        <v>29178</v>
      </c>
      <c r="AK1300" s="8" t="n">
        <v>2482</v>
      </c>
      <c r="AL1300" s="8" t="n">
        <v>307</v>
      </c>
      <c r="AM1300" s="11" t="inlineStr"/>
      <c r="AN1300" s="12" t="inlineStr"/>
      <c r="AO1300" s="12" t="inlineStr"/>
      <c r="AP1300" s="13" t="inlineStr"/>
      <c r="AQ1300" s="13" t="inlineStr"/>
      <c r="AR1300" s="13" t="inlineStr"/>
      <c r="AS1300" s="13" t="inlineStr"/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7" t="n">
        <v>1497730</v>
      </c>
      <c r="AK1301" s="8" t="n">
        <v>59423</v>
      </c>
      <c r="AL1301" s="8" t="n">
        <v>25822</v>
      </c>
      <c r="AM1301" s="11" t="inlineStr"/>
      <c r="AN1301" s="12" t="inlineStr"/>
      <c r="AO1301" s="12" t="inlineStr"/>
      <c r="AP1301" s="13" t="inlineStr"/>
      <c r="AQ1301" s="13" t="inlineStr"/>
      <c r="AR1301" s="13" t="inlineStr"/>
      <c r="AS1301" s="13" t="inlineStr"/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7" t="n">
        <v>133794</v>
      </c>
      <c r="AK1302" s="8" t="n">
        <v>-3551</v>
      </c>
      <c r="AL1302" s="8" t="n">
        <v>-657</v>
      </c>
      <c r="AM1302" s="11" t="inlineStr"/>
      <c r="AN1302" s="12" t="inlineStr"/>
      <c r="AO1302" s="12" t="inlineStr"/>
      <c r="AP1302" s="13" t="inlineStr"/>
      <c r="AQ1302" s="13" t="inlineStr"/>
      <c r="AR1302" s="13" t="inlineStr"/>
      <c r="AS1302" s="13" t="inlineStr"/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7" t="n">
        <v>66982</v>
      </c>
      <c r="AK1303" s="8" t="n">
        <v>-8262</v>
      </c>
      <c r="AL1303" s="8" t="n">
        <v>-65926</v>
      </c>
      <c r="AM1303" s="11" t="inlineStr"/>
      <c r="AN1303" s="12" t="inlineStr"/>
      <c r="AO1303" s="12" t="inlineStr"/>
      <c r="AP1303" s="13" t="inlineStr"/>
      <c r="AQ1303" s="13" t="inlineStr"/>
      <c r="AR1303" s="13" t="inlineStr"/>
      <c r="AS1303" s="13" t="inlineStr"/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7" t="n">
        <v>53312</v>
      </c>
      <c r="AK1304" s="8" t="n">
        <v>3588</v>
      </c>
      <c r="AL1304" s="8" t="n">
        <v>2748</v>
      </c>
      <c r="AM1304" s="11" t="inlineStr"/>
      <c r="AN1304" s="12" t="inlineStr"/>
      <c r="AO1304" s="12" t="inlineStr"/>
      <c r="AP1304" s="13" t="inlineStr"/>
      <c r="AQ1304" s="13" t="inlineStr"/>
      <c r="AR1304" s="13" t="inlineStr"/>
      <c r="AS1304" s="13" t="inlineStr"/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7" t="n">
        <v>810</v>
      </c>
      <c r="AK1305" s="8" t="n">
        <v>-2184</v>
      </c>
      <c r="AL1305" s="8" t="n">
        <v>-2070</v>
      </c>
      <c r="AM1305" s="11" t="inlineStr"/>
      <c r="AN1305" s="12" t="inlineStr"/>
      <c r="AO1305" s="12" t="inlineStr"/>
      <c r="AP1305" s="13" t="inlineStr"/>
      <c r="AQ1305" s="13" t="inlineStr"/>
      <c r="AR1305" s="13" t="inlineStr"/>
      <c r="AS1305" s="13" t="inlineStr"/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7" t="n">
        <v>36792</v>
      </c>
      <c r="AK1306" s="8" t="n">
        <v>3144</v>
      </c>
      <c r="AL1306" s="8" t="n">
        <v>3552</v>
      </c>
      <c r="AM1306" s="11" t="inlineStr"/>
      <c r="AN1306" s="12" t="inlineStr"/>
      <c r="AO1306" s="12" t="inlineStr"/>
      <c r="AP1306" s="13" t="inlineStr"/>
      <c r="AQ1306" s="13" t="inlineStr"/>
      <c r="AR1306" s="13" t="inlineStr"/>
      <c r="AS1306" s="13" t="inlineStr"/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8" t="n">
        <v>23650</v>
      </c>
      <c r="AL1307" s="8" t="n">
        <v>17970</v>
      </c>
      <c r="AM1307" s="11" t="inlineStr"/>
      <c r="AN1307" s="12" t="inlineStr"/>
      <c r="AO1307" s="12" t="inlineStr"/>
      <c r="AP1307" s="13" t="inlineStr"/>
      <c r="AQ1307" s="13" t="inlineStr"/>
      <c r="AR1307" s="13" t="inlineStr"/>
      <c r="AS1307" s="13" t="inlineStr"/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7" t="n">
        <v>316430</v>
      </c>
      <c r="AK1308" s="8" t="n">
        <v>-28195</v>
      </c>
      <c r="AL1308" s="8" t="n">
        <v>30679</v>
      </c>
      <c r="AM1308" s="11" t="inlineStr"/>
      <c r="AN1308" s="12" t="inlineStr"/>
      <c r="AO1308" s="12" t="inlineStr"/>
      <c r="AP1308" s="13" t="inlineStr"/>
      <c r="AQ1308" s="13" t="inlineStr"/>
      <c r="AR1308" s="13" t="inlineStr"/>
      <c r="AS1308" s="13" t="inlineStr"/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7" t="n">
        <v>37118</v>
      </c>
      <c r="AK1309" s="8" t="n">
        <v>1421</v>
      </c>
      <c r="AL1309" s="8" t="n">
        <v>1584</v>
      </c>
      <c r="AM1309" s="11" t="inlineStr"/>
      <c r="AN1309" s="12" t="inlineStr"/>
      <c r="AO1309" s="12" t="inlineStr"/>
      <c r="AP1309" s="13" t="inlineStr"/>
      <c r="AQ1309" s="13" t="inlineStr"/>
      <c r="AR1309" s="13" t="inlineStr"/>
      <c r="AS1309" s="13" t="inlineStr"/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7" t="n">
        <v>24336</v>
      </c>
      <c r="AK1310" s="8" t="n">
        <v>-268</v>
      </c>
      <c r="AL1310" s="8" t="n">
        <v>-1730</v>
      </c>
      <c r="AM1310" s="11" t="inlineStr"/>
      <c r="AN1310" s="12" t="inlineStr"/>
      <c r="AO1310" s="12" t="inlineStr"/>
      <c r="AP1310" s="13" t="inlineStr"/>
      <c r="AQ1310" s="13" t="inlineStr"/>
      <c r="AR1310" s="13" t="inlineStr"/>
      <c r="AS1310" s="13" t="inlineStr"/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7" t="n">
        <v>22576</v>
      </c>
      <c r="AK1311" s="8" t="n">
        <v>4495</v>
      </c>
      <c r="AL1311" s="8" t="n">
        <v>4157</v>
      </c>
      <c r="AM1311" s="11" t="inlineStr"/>
      <c r="AN1311" s="12" t="inlineStr"/>
      <c r="AO1311" s="12" t="inlineStr"/>
      <c r="AP1311" s="13" t="inlineStr"/>
      <c r="AQ1311" s="13" t="inlineStr"/>
      <c r="AR1311" s="13" t="inlineStr"/>
      <c r="AS1311" s="13" t="inlineStr"/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7" t="n">
        <v>14463</v>
      </c>
      <c r="AK1312" s="8" t="n">
        <v>-182</v>
      </c>
      <c r="AL1312" s="8" t="n">
        <v>-6894</v>
      </c>
      <c r="AM1312" s="11" t="inlineStr"/>
      <c r="AN1312" s="12" t="inlineStr"/>
      <c r="AO1312" s="12" t="inlineStr"/>
      <c r="AP1312" s="13" t="inlineStr"/>
      <c r="AQ1312" s="13" t="inlineStr"/>
      <c r="AR1312" s="13" t="inlineStr"/>
      <c r="AS1312" s="13" t="inlineStr"/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7" t="n">
        <v>23024</v>
      </c>
      <c r="AK1313" s="8" t="n">
        <v>1498</v>
      </c>
      <c r="AL1313" s="8" t="n">
        <v>1292</v>
      </c>
      <c r="AM1313" s="11" t="inlineStr"/>
      <c r="AN1313" s="12" t="inlineStr"/>
      <c r="AO1313" s="12" t="inlineStr"/>
      <c r="AP1313" s="13" t="inlineStr"/>
      <c r="AQ1313" s="13" t="inlineStr"/>
      <c r="AR1313" s="13" t="inlineStr"/>
      <c r="AS1313" s="13" t="inlineStr"/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7" t="n">
        <v>8705366</v>
      </c>
      <c r="AK1314" s="8" t="n">
        <v>495063</v>
      </c>
      <c r="AL1314" s="8" t="n">
        <v>369212</v>
      </c>
      <c r="AM1314" s="11" t="inlineStr"/>
      <c r="AN1314" s="12" t="inlineStr"/>
      <c r="AO1314" s="12" t="inlineStr"/>
      <c r="AP1314" s="13" t="inlineStr"/>
      <c r="AQ1314" s="13" t="inlineStr"/>
      <c r="AR1314" s="13" t="inlineStr"/>
      <c r="AS1314" s="13" t="inlineStr"/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7" t="n">
        <v>50527</v>
      </c>
      <c r="AK1315" s="8" t="n">
        <v>7881</v>
      </c>
      <c r="AL1315" s="8" t="n">
        <v>6969</v>
      </c>
      <c r="AM1315" s="11" t="inlineStr"/>
      <c r="AN1315" s="12" t="inlineStr"/>
      <c r="AO1315" s="12" t="inlineStr"/>
      <c r="AP1315" s="13" t="inlineStr"/>
      <c r="AQ1315" s="13" t="inlineStr"/>
      <c r="AR1315" s="13" t="inlineStr"/>
      <c r="AS1315" s="13" t="inlineStr"/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7" t="n">
        <v>258897</v>
      </c>
      <c r="AK1316" s="8" t="n">
        <v>26094</v>
      </c>
      <c r="AL1316" s="8" t="n">
        <v>17242</v>
      </c>
      <c r="AM1316" s="11" t="inlineStr"/>
      <c r="AN1316" s="12" t="inlineStr"/>
      <c r="AO1316" s="12" t="inlineStr"/>
      <c r="AP1316" s="13" t="inlineStr"/>
      <c r="AQ1316" s="13" t="inlineStr"/>
      <c r="AR1316" s="13" t="inlineStr"/>
      <c r="AS1316" s="13" t="inlineStr"/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7" t="n">
        <v>821509</v>
      </c>
      <c r="AK1317" s="8" t="n">
        <v>33582</v>
      </c>
      <c r="AL1317" s="8" t="n">
        <v>51795</v>
      </c>
      <c r="AM1317" s="11" t="inlineStr"/>
      <c r="AN1317" s="12" t="inlineStr"/>
      <c r="AO1317" s="12" t="inlineStr"/>
      <c r="AP1317" s="13" t="inlineStr"/>
      <c r="AQ1317" s="13" t="inlineStr"/>
      <c r="AR1317" s="13" t="inlineStr"/>
      <c r="AS1317" s="13" t="inlineStr"/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7" t="n">
        <v>48647</v>
      </c>
      <c r="AK1318" s="8" t="n">
        <v>6296</v>
      </c>
      <c r="AL1318" s="8" t="n">
        <v>4883</v>
      </c>
      <c r="AM1318" s="11" t="inlineStr"/>
      <c r="AN1318" s="12" t="inlineStr"/>
      <c r="AO1318" s="12" t="inlineStr"/>
      <c r="AP1318" s="13" t="inlineStr"/>
      <c r="AQ1318" s="13" t="inlineStr"/>
      <c r="AR1318" s="13" t="inlineStr"/>
      <c r="AS1318" s="13" t="inlineStr"/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7" t="n">
        <v>23572</v>
      </c>
      <c r="AK1319" s="8" t="n">
        <v>1676</v>
      </c>
      <c r="AL1319" s="8" t="n">
        <v>2311</v>
      </c>
      <c r="AM1319" s="11" t="inlineStr"/>
      <c r="AN1319" s="12" t="inlineStr"/>
      <c r="AO1319" s="12" t="inlineStr"/>
      <c r="AP1319" s="13" t="inlineStr"/>
      <c r="AQ1319" s="13" t="inlineStr"/>
      <c r="AR1319" s="13" t="inlineStr"/>
      <c r="AS1319" s="13" t="inlineStr"/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2026Q3</t>
        </is>
      </c>
      <c r="E1320" s="6" t="inlineStr">
        <is>
          <t>2023Q4, 2026Q3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8" t="n">
        <v>1594384</v>
      </c>
      <c r="AL1320" s="8" t="n">
        <v>1206086</v>
      </c>
      <c r="AM1320" s="14" t="n">
        <v>19997938</v>
      </c>
      <c r="AN1320" s="15" t="n">
        <v>1631267</v>
      </c>
      <c r="AO1320" s="15" t="n">
        <v>1260947</v>
      </c>
      <c r="AP1320" s="13" t="n">
        <v>-26.6</v>
      </c>
      <c r="AQ1320" s="13" t="n">
        <v>83.59999999999999</v>
      </c>
      <c r="AR1320" s="13" t="n">
        <v>2.3</v>
      </c>
      <c r="AS1320" s="13" t="n">
        <v>10.4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7" t="n">
        <v>4704</v>
      </c>
      <c r="AK1321" s="8" t="n">
        <v>-482</v>
      </c>
      <c r="AL1321" s="8" t="n">
        <v>-736</v>
      </c>
      <c r="AM1321" s="11" t="inlineStr"/>
      <c r="AN1321" s="12" t="inlineStr"/>
      <c r="AO1321" s="12" t="inlineStr"/>
      <c r="AP1321" s="13" t="inlineStr"/>
      <c r="AQ1321" s="13" t="inlineStr"/>
      <c r="AR1321" s="13" t="inlineStr"/>
      <c r="AS1321" s="13" t="inlineStr"/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7" t="n">
        <v>14929</v>
      </c>
      <c r="AK1322" s="8" t="n">
        <v>479</v>
      </c>
      <c r="AL1322" s="8" t="n">
        <v>3170</v>
      </c>
      <c r="AM1322" s="11" t="inlineStr"/>
      <c r="AN1322" s="12" t="inlineStr"/>
      <c r="AO1322" s="12" t="inlineStr"/>
      <c r="AP1322" s="13" t="inlineStr"/>
      <c r="AQ1322" s="13" t="inlineStr"/>
      <c r="AR1322" s="13" t="inlineStr"/>
      <c r="AS1322" s="13" t="inlineStr"/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7" t="n">
        <v>68702</v>
      </c>
      <c r="AK1323" s="8" t="n">
        <v>4765</v>
      </c>
      <c r="AL1323" s="8" t="n">
        <v>3128</v>
      </c>
      <c r="AM1323" s="11" t="inlineStr"/>
      <c r="AN1323" s="12" t="inlineStr"/>
      <c r="AO1323" s="12" t="inlineStr"/>
      <c r="AP1323" s="13" t="inlineStr"/>
      <c r="AQ1323" s="13" t="inlineStr"/>
      <c r="AR1323" s="13" t="inlineStr"/>
      <c r="AS1323" s="13" t="inlineStr"/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7" t="n">
        <v>57637</v>
      </c>
      <c r="AK1324" s="8" t="n">
        <v>4200</v>
      </c>
      <c r="AL1324" s="8" t="n">
        <v>6597</v>
      </c>
      <c r="AM1324" s="11" t="inlineStr"/>
      <c r="AN1324" s="12" t="inlineStr"/>
      <c r="AO1324" s="12" t="inlineStr"/>
      <c r="AP1324" s="13" t="inlineStr"/>
      <c r="AQ1324" s="13" t="inlineStr"/>
      <c r="AR1324" s="13" t="inlineStr"/>
      <c r="AS1324" s="13" t="inlineStr"/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7" t="n">
        <v>67583</v>
      </c>
      <c r="AK1325" s="8" t="n">
        <v>12497</v>
      </c>
      <c r="AL1325" s="8" t="n">
        <v>9827</v>
      </c>
      <c r="AM1325" s="11" t="inlineStr"/>
      <c r="AN1325" s="12" t="inlineStr"/>
      <c r="AO1325" s="12" t="inlineStr"/>
      <c r="AP1325" s="13" t="inlineStr"/>
      <c r="AQ1325" s="13" t="inlineStr"/>
      <c r="AR1325" s="13" t="inlineStr"/>
      <c r="AS1325" s="13" t="inlineStr"/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7" t="n">
        <v>1445</v>
      </c>
      <c r="AK1326" s="8" t="n">
        <v>-7948</v>
      </c>
      <c r="AL1326" s="8" t="n">
        <v>-7713</v>
      </c>
      <c r="AM1326" s="11" t="inlineStr"/>
      <c r="AN1326" s="12" t="inlineStr"/>
      <c r="AO1326" s="12" t="inlineStr"/>
      <c r="AP1326" s="13" t="inlineStr"/>
      <c r="AQ1326" s="13" t="inlineStr"/>
      <c r="AR1326" s="13" t="inlineStr"/>
      <c r="AS1326" s="13" t="inlineStr"/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7" t="n">
        <v>8671</v>
      </c>
      <c r="AK1327" s="8" t="n">
        <v>-2807</v>
      </c>
      <c r="AL1327" s="8" t="n">
        <v>-3167</v>
      </c>
      <c r="AM1327" s="11" t="inlineStr"/>
      <c r="AN1327" s="12" t="inlineStr"/>
      <c r="AO1327" s="12" t="inlineStr"/>
      <c r="AP1327" s="13" t="inlineStr"/>
      <c r="AQ1327" s="13" t="inlineStr"/>
      <c r="AR1327" s="13" t="inlineStr"/>
      <c r="AS1327" s="13" t="inlineStr"/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7" t="n">
        <v>11844</v>
      </c>
      <c r="AK1328" s="8" t="n">
        <v>-1989</v>
      </c>
      <c r="AL1328" s="8" t="n">
        <v>-1951</v>
      </c>
      <c r="AM1328" s="11" t="inlineStr"/>
      <c r="AN1328" s="12" t="inlineStr"/>
      <c r="AO1328" s="12" t="inlineStr"/>
      <c r="AP1328" s="13" t="inlineStr"/>
      <c r="AQ1328" s="13" t="inlineStr"/>
      <c r="AR1328" s="13" t="inlineStr"/>
      <c r="AS1328" s="13" t="inlineStr"/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7" t="n">
        <v>55482</v>
      </c>
      <c r="AK1329" s="8" t="n">
        <v>991</v>
      </c>
      <c r="AL1329" s="8" t="n">
        <v>2724</v>
      </c>
      <c r="AM1329" s="11" t="inlineStr"/>
      <c r="AN1329" s="12" t="inlineStr"/>
      <c r="AO1329" s="12" t="inlineStr"/>
      <c r="AP1329" s="13" t="inlineStr"/>
      <c r="AQ1329" s="13" t="inlineStr"/>
      <c r="AR1329" s="13" t="inlineStr"/>
      <c r="AS1329" s="13" t="inlineStr"/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7" t="n">
        <v>11668</v>
      </c>
      <c r="AK1330" s="8" t="n">
        <v>9163</v>
      </c>
      <c r="AL1330" s="8" t="n">
        <v>3438</v>
      </c>
      <c r="AM1330" s="11" t="inlineStr"/>
      <c r="AN1330" s="12" t="inlineStr"/>
      <c r="AO1330" s="12" t="inlineStr"/>
      <c r="AP1330" s="13" t="inlineStr"/>
      <c r="AQ1330" s="13" t="inlineStr"/>
      <c r="AR1330" s="13" t="inlineStr"/>
      <c r="AS1330" s="13" t="inlineStr"/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7" t="n">
        <v>5868</v>
      </c>
      <c r="AK1331" s="8" t="n">
        <v>-1305</v>
      </c>
      <c r="AL1331" s="8" t="n">
        <v>-1143</v>
      </c>
      <c r="AM1331" s="11" t="inlineStr"/>
      <c r="AN1331" s="12" t="inlineStr"/>
      <c r="AO1331" s="12" t="inlineStr"/>
      <c r="AP1331" s="13" t="inlineStr"/>
      <c r="AQ1331" s="13" t="inlineStr"/>
      <c r="AR1331" s="13" t="inlineStr"/>
      <c r="AS1331" s="13" t="inlineStr"/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7" t="n">
        <v>15516</v>
      </c>
      <c r="AK1332" s="8" t="n">
        <v>1337</v>
      </c>
      <c r="AL1332" s="8" t="n">
        <v>1058</v>
      </c>
      <c r="AM1332" s="11" t="inlineStr"/>
      <c r="AN1332" s="12" t="inlineStr"/>
      <c r="AO1332" s="12" t="inlineStr"/>
      <c r="AP1332" s="13" t="inlineStr"/>
      <c r="AQ1332" s="13" t="inlineStr"/>
      <c r="AR1332" s="13" t="inlineStr"/>
      <c r="AS1332" s="13" t="inlineStr"/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7" t="n">
        <v>9981</v>
      </c>
      <c r="AK1333" s="8" t="n">
        <v>-1127</v>
      </c>
      <c r="AL1333" s="8" t="n">
        <v>-1142</v>
      </c>
      <c r="AM1333" s="11" t="inlineStr"/>
      <c r="AN1333" s="12" t="inlineStr"/>
      <c r="AO1333" s="12" t="inlineStr"/>
      <c r="AP1333" s="13" t="inlineStr"/>
      <c r="AQ1333" s="13" t="inlineStr"/>
      <c r="AR1333" s="13" t="inlineStr"/>
      <c r="AS1333" s="13" t="inlineStr"/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14" t="n">
        <v>7344164</v>
      </c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8" t="n">
        <v>626782</v>
      </c>
      <c r="AL1334" s="8" t="n">
        <v>522943</v>
      </c>
      <c r="AM1334" s="11" t="inlineStr"/>
      <c r="AN1334" s="12" t="inlineStr"/>
      <c r="AO1334" s="12" t="inlineStr"/>
      <c r="AP1334" s="13" t="inlineStr"/>
      <c r="AQ1334" s="13" t="inlineStr"/>
      <c r="AR1334" s="13" t="inlineStr"/>
      <c r="AS1334" s="13" t="inlineStr"/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7" t="n">
        <v>26170</v>
      </c>
      <c r="AK1335" s="8" t="n">
        <v>5267</v>
      </c>
      <c r="AL1335" s="8" t="n">
        <v>11241</v>
      </c>
      <c r="AM1335" s="11" t="inlineStr"/>
      <c r="AN1335" s="12" t="inlineStr"/>
      <c r="AO1335" s="12" t="inlineStr"/>
      <c r="AP1335" s="13" t="inlineStr"/>
      <c r="AQ1335" s="13" t="inlineStr"/>
      <c r="AR1335" s="13" t="inlineStr"/>
      <c r="AS1335" s="13" t="inlineStr"/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7" t="n">
        <v>3717</v>
      </c>
      <c r="AK1336" s="8" t="n">
        <v>-1697</v>
      </c>
      <c r="AL1336" s="8" t="n">
        <v>-1226</v>
      </c>
      <c r="AM1336" s="11" t="inlineStr"/>
      <c r="AN1336" s="12" t="inlineStr"/>
      <c r="AO1336" s="12" t="inlineStr"/>
      <c r="AP1336" s="13" t="inlineStr"/>
      <c r="AQ1336" s="13" t="inlineStr"/>
      <c r="AR1336" s="13" t="inlineStr"/>
      <c r="AS1336" s="13" t="inlineStr"/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7" t="n">
        <v>28725</v>
      </c>
      <c r="AK1337" s="8" t="n">
        <v>-8130</v>
      </c>
      <c r="AL1337" s="8" t="n">
        <v>-9531</v>
      </c>
      <c r="AM1337" s="11" t="inlineStr"/>
      <c r="AN1337" s="12" t="inlineStr"/>
      <c r="AO1337" s="12" t="inlineStr"/>
      <c r="AP1337" s="13" t="inlineStr"/>
      <c r="AQ1337" s="13" t="inlineStr"/>
      <c r="AR1337" s="13" t="inlineStr"/>
      <c r="AS1337" s="13" t="inlineStr"/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7" t="n">
        <v>91205</v>
      </c>
      <c r="AK1338" s="8" t="n">
        <v>957</v>
      </c>
      <c r="AL1338" s="8" t="n">
        <v>10778</v>
      </c>
      <c r="AM1338" s="11" t="inlineStr"/>
      <c r="AN1338" s="12" t="inlineStr"/>
      <c r="AO1338" s="12" t="inlineStr"/>
      <c r="AP1338" s="13" t="inlineStr"/>
      <c r="AQ1338" s="13" t="inlineStr"/>
      <c r="AR1338" s="13" t="inlineStr"/>
      <c r="AS1338" s="13" t="inlineStr"/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7" t="n">
        <v>175295</v>
      </c>
      <c r="AK1339" s="8" t="n">
        <v>10021</v>
      </c>
      <c r="AL1339" s="8" t="n">
        <v>5693</v>
      </c>
      <c r="AM1339" s="11" t="inlineStr"/>
      <c r="AN1339" s="12" t="inlineStr"/>
      <c r="AO1339" s="12" t="inlineStr"/>
      <c r="AP1339" s="13" t="inlineStr"/>
      <c r="AQ1339" s="13" t="inlineStr"/>
      <c r="AR1339" s="13" t="inlineStr"/>
      <c r="AS1339" s="13" t="inlineStr"/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2026Q3</t>
        </is>
      </c>
      <c r="E1340" s="6" t="inlineStr">
        <is>
          <t>2023Q4, 2026Q3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7" t="n">
        <v>56777</v>
      </c>
      <c r="AK1340" s="8" t="n">
        <v>12508</v>
      </c>
      <c r="AL1340" s="8" t="n">
        <v>5080</v>
      </c>
      <c r="AM1340" s="14" t="n">
        <v>87784</v>
      </c>
      <c r="AN1340" s="15" t="n">
        <v>17994</v>
      </c>
      <c r="AO1340" s="12" t="inlineStr"/>
      <c r="AP1340" s="13" t="n">
        <v>54.6</v>
      </c>
      <c r="AQ1340" s="13" t="n">
        <v>110.2</v>
      </c>
      <c r="AR1340" s="13" t="n">
        <v>43.9</v>
      </c>
      <c r="AS1340" s="13" t="n">
        <v>153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7" t="n">
        <v>37056</v>
      </c>
      <c r="AK1341" s="8" t="n">
        <v>8213</v>
      </c>
      <c r="AL1341" s="8" t="n">
        <v>9661</v>
      </c>
      <c r="AM1341" s="11" t="inlineStr"/>
      <c r="AN1341" s="12" t="inlineStr"/>
      <c r="AO1341" s="12" t="inlineStr"/>
      <c r="AP1341" s="13" t="inlineStr"/>
      <c r="AQ1341" s="13" t="inlineStr"/>
      <c r="AR1341" s="13" t="inlineStr"/>
      <c r="AS1341" s="13" t="inlineStr"/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7" t="n">
        <v>2751</v>
      </c>
      <c r="AK1342" s="8" t="n">
        <v>179</v>
      </c>
      <c r="AL1342" s="8" t="n">
        <v>11</v>
      </c>
      <c r="AM1342" s="11" t="inlineStr"/>
      <c r="AN1342" s="12" t="inlineStr"/>
      <c r="AO1342" s="12" t="inlineStr"/>
      <c r="AP1342" s="13" t="inlineStr"/>
      <c r="AQ1342" s="13" t="inlineStr"/>
      <c r="AR1342" s="13" t="inlineStr"/>
      <c r="AS1342" s="13" t="inlineStr"/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7" t="n">
        <v>7326</v>
      </c>
      <c r="AK1343" s="8" t="n">
        <v>-4073</v>
      </c>
      <c r="AL1343" s="8" t="n">
        <v>955</v>
      </c>
      <c r="AM1343" s="11" t="inlineStr"/>
      <c r="AN1343" s="12" t="inlineStr"/>
      <c r="AO1343" s="12" t="inlineStr"/>
      <c r="AP1343" s="13" t="inlineStr"/>
      <c r="AQ1343" s="13" t="inlineStr"/>
      <c r="AR1343" s="13" t="inlineStr"/>
      <c r="AS1343" s="13" t="inlineStr"/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7" t="n">
        <v>301412</v>
      </c>
      <c r="AK1344" s="8" t="n">
        <v>12833</v>
      </c>
      <c r="AL1344" s="8" t="n">
        <v>8054</v>
      </c>
      <c r="AM1344" s="11" t="inlineStr"/>
      <c r="AN1344" s="12" t="inlineStr"/>
      <c r="AO1344" s="12" t="inlineStr"/>
      <c r="AP1344" s="13" t="inlineStr"/>
      <c r="AQ1344" s="13" t="inlineStr"/>
      <c r="AR1344" s="13" t="inlineStr"/>
      <c r="AS1344" s="13" t="inlineStr"/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7" t="n">
        <v>461809</v>
      </c>
      <c r="AK1345" s="8" t="n">
        <v>-44963</v>
      </c>
      <c r="AL1345" s="8" t="n">
        <v>-43456</v>
      </c>
      <c r="AM1345" s="11" t="inlineStr"/>
      <c r="AN1345" s="12" t="inlineStr"/>
      <c r="AO1345" s="12" t="inlineStr"/>
      <c r="AP1345" s="13" t="inlineStr"/>
      <c r="AQ1345" s="13" t="inlineStr"/>
      <c r="AR1345" s="13" t="inlineStr"/>
      <c r="AS1345" s="13" t="inlineStr"/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7" t="n">
        <v>32264</v>
      </c>
      <c r="AK1346" s="8" t="n">
        <v>7820</v>
      </c>
      <c r="AL1346" s="8" t="n">
        <v>6818</v>
      </c>
      <c r="AM1346" s="11" t="inlineStr"/>
      <c r="AN1346" s="12" t="inlineStr"/>
      <c r="AO1346" s="12" t="inlineStr"/>
      <c r="AP1346" s="13" t="inlineStr"/>
      <c r="AQ1346" s="13" t="inlineStr"/>
      <c r="AR1346" s="13" t="inlineStr"/>
      <c r="AS1346" s="13" t="inlineStr"/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7" t="n">
        <v>13868</v>
      </c>
      <c r="AK1347" s="8" t="n">
        <v>2338</v>
      </c>
      <c r="AL1347" s="8" t="n">
        <v>5686</v>
      </c>
      <c r="AM1347" s="11" t="inlineStr"/>
      <c r="AN1347" s="12" t="inlineStr"/>
      <c r="AO1347" s="12" t="inlineStr"/>
      <c r="AP1347" s="13" t="inlineStr"/>
      <c r="AQ1347" s="13" t="inlineStr"/>
      <c r="AR1347" s="13" t="inlineStr"/>
      <c r="AS1347" s="13" t="inlineStr"/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7" t="n">
        <v>172576</v>
      </c>
      <c r="AK1348" s="8" t="n">
        <v>-2020</v>
      </c>
      <c r="AL1348" s="8" t="n">
        <v>1114</v>
      </c>
      <c r="AM1348" s="11" t="inlineStr"/>
      <c r="AN1348" s="12" t="inlineStr"/>
      <c r="AO1348" s="12" t="inlineStr"/>
      <c r="AP1348" s="13" t="inlineStr"/>
      <c r="AQ1348" s="13" t="inlineStr"/>
      <c r="AR1348" s="13" t="inlineStr"/>
      <c r="AS1348" s="13" t="inlineStr"/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7" t="n">
        <v>765764</v>
      </c>
      <c r="AK1349" s="8" t="n">
        <v>84638</v>
      </c>
      <c r="AL1349" s="8" t="n">
        <v>18291</v>
      </c>
      <c r="AM1349" s="11" t="inlineStr"/>
      <c r="AN1349" s="12" t="inlineStr"/>
      <c r="AO1349" s="12" t="inlineStr"/>
      <c r="AP1349" s="13" t="inlineStr"/>
      <c r="AQ1349" s="13" t="inlineStr"/>
      <c r="AR1349" s="13" t="inlineStr"/>
      <c r="AS1349" s="13" t="inlineStr"/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7" t="n">
        <v>18555</v>
      </c>
      <c r="AK1350" s="8" t="n">
        <v>5730</v>
      </c>
      <c r="AL1350" s="8" t="n">
        <v>6214</v>
      </c>
      <c r="AM1350" s="11" t="inlineStr"/>
      <c r="AN1350" s="12" t="inlineStr"/>
      <c r="AO1350" s="12" t="inlineStr"/>
      <c r="AP1350" s="13" t="inlineStr"/>
      <c r="AQ1350" s="13" t="inlineStr"/>
      <c r="AR1350" s="13" t="inlineStr"/>
      <c r="AS1350" s="13" t="inlineStr"/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7" t="n">
        <v>72293</v>
      </c>
      <c r="AK1351" s="8" t="n">
        <v>20055</v>
      </c>
      <c r="AL1351" s="8" t="n">
        <v>17906</v>
      </c>
      <c r="AM1351" s="11" t="inlineStr"/>
      <c r="AN1351" s="12" t="inlineStr"/>
      <c r="AO1351" s="12" t="inlineStr"/>
      <c r="AP1351" s="13" t="inlineStr"/>
      <c r="AQ1351" s="13" t="inlineStr"/>
      <c r="AR1351" s="13" t="inlineStr"/>
      <c r="AS1351" s="13" t="inlineStr"/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7" t="n">
        <v>55832</v>
      </c>
      <c r="AK1352" s="8" t="n">
        <v>3580</v>
      </c>
      <c r="AL1352" s="8" t="n">
        <v>4968</v>
      </c>
      <c r="AM1352" s="11" t="inlineStr"/>
      <c r="AN1352" s="12" t="inlineStr"/>
      <c r="AO1352" s="12" t="inlineStr"/>
      <c r="AP1352" s="13" t="inlineStr"/>
      <c r="AQ1352" s="13" t="inlineStr"/>
      <c r="AR1352" s="13" t="inlineStr"/>
      <c r="AS1352" s="13" t="inlineStr"/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7" t="n">
        <v>172187</v>
      </c>
      <c r="AK1353" s="8" t="n">
        <v>8257</v>
      </c>
      <c r="AL1353" s="8" t="n">
        <v>7376</v>
      </c>
      <c r="AM1353" s="11" t="inlineStr"/>
      <c r="AN1353" s="12" t="inlineStr"/>
      <c r="AO1353" s="12" t="inlineStr"/>
      <c r="AP1353" s="13" t="inlineStr"/>
      <c r="AQ1353" s="13" t="inlineStr"/>
      <c r="AR1353" s="13" t="inlineStr"/>
      <c r="AS1353" s="13" t="inlineStr"/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7" t="n">
        <v>29108</v>
      </c>
      <c r="AK1354" s="8" t="n">
        <v>3962</v>
      </c>
      <c r="AL1354" s="8" t="n">
        <v>14348</v>
      </c>
      <c r="AM1354" s="11" t="inlineStr"/>
      <c r="AN1354" s="12" t="inlineStr"/>
      <c r="AO1354" s="12" t="inlineStr"/>
      <c r="AP1354" s="13" t="inlineStr"/>
      <c r="AQ1354" s="13" t="inlineStr"/>
      <c r="AR1354" s="13" t="inlineStr"/>
      <c r="AS1354" s="13" t="inlineStr"/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7" t="n">
        <v>229928</v>
      </c>
      <c r="AK1355" s="8" t="n">
        <v>24348</v>
      </c>
      <c r="AL1355" s="8" t="n">
        <v>18556</v>
      </c>
      <c r="AM1355" s="11" t="inlineStr"/>
      <c r="AN1355" s="12" t="inlineStr"/>
      <c r="AO1355" s="12" t="inlineStr"/>
      <c r="AP1355" s="13" t="inlineStr"/>
      <c r="AQ1355" s="13" t="inlineStr"/>
      <c r="AR1355" s="13" t="inlineStr"/>
      <c r="AS1355" s="13" t="inlineStr"/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7" t="n">
        <v>26369</v>
      </c>
      <c r="AK1356" s="8" t="n">
        <v>500</v>
      </c>
      <c r="AL1356" s="8" t="n">
        <v>1098</v>
      </c>
      <c r="AM1356" s="11" t="inlineStr"/>
      <c r="AN1356" s="12" t="inlineStr"/>
      <c r="AO1356" s="12" t="inlineStr"/>
      <c r="AP1356" s="13" t="inlineStr"/>
      <c r="AQ1356" s="13" t="inlineStr"/>
      <c r="AR1356" s="13" t="inlineStr"/>
      <c r="AS1356" s="13" t="inlineStr"/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7" t="n">
        <v>27647</v>
      </c>
      <c r="AK1357" s="8" t="n">
        <v>279</v>
      </c>
      <c r="AL1357" s="8" t="n">
        <v>-1214</v>
      </c>
      <c r="AM1357" s="11" t="inlineStr"/>
      <c r="AN1357" s="12" t="inlineStr"/>
      <c r="AO1357" s="12" t="inlineStr"/>
      <c r="AP1357" s="13" t="inlineStr"/>
      <c r="AQ1357" s="13" t="inlineStr"/>
      <c r="AR1357" s="13" t="inlineStr"/>
      <c r="AS1357" s="13" t="inlineStr"/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7" t="n">
        <v>32504</v>
      </c>
      <c r="AK1358" s="8" t="n">
        <v>-371</v>
      </c>
      <c r="AL1358" s="8" t="n">
        <v>-153</v>
      </c>
      <c r="AM1358" s="11" t="inlineStr"/>
      <c r="AN1358" s="12" t="inlineStr"/>
      <c r="AO1358" s="12" t="inlineStr"/>
      <c r="AP1358" s="13" t="inlineStr"/>
      <c r="AQ1358" s="13" t="inlineStr"/>
      <c r="AR1358" s="13" t="inlineStr"/>
      <c r="AS1358" s="13" t="inlineStr"/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7" t="n">
        <v>1175899</v>
      </c>
      <c r="AK1359" s="8" t="n">
        <v>117338</v>
      </c>
      <c r="AL1359" s="8" t="n">
        <v>93363</v>
      </c>
      <c r="AM1359" s="11" t="inlineStr"/>
      <c r="AN1359" s="12" t="inlineStr"/>
      <c r="AO1359" s="12" t="inlineStr"/>
      <c r="AP1359" s="13" t="inlineStr"/>
      <c r="AQ1359" s="13" t="inlineStr"/>
      <c r="AR1359" s="13" t="inlineStr"/>
      <c r="AS1359" s="13" t="inlineStr"/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7" t="n">
        <v>414237</v>
      </c>
      <c r="AK1360" s="8" t="n">
        <v>7891</v>
      </c>
      <c r="AL1360" s="8" t="n">
        <v>7612</v>
      </c>
      <c r="AM1360" s="11" t="inlineStr"/>
      <c r="AN1360" s="12" t="inlineStr"/>
      <c r="AO1360" s="12" t="inlineStr"/>
      <c r="AP1360" s="13" t="inlineStr"/>
      <c r="AQ1360" s="13" t="inlineStr"/>
      <c r="AR1360" s="13" t="inlineStr"/>
      <c r="AS1360" s="13" t="inlineStr"/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7" t="n">
        <v>4041</v>
      </c>
      <c r="AK1361" s="8" t="n">
        <v>-4163</v>
      </c>
      <c r="AL1361" s="8" t="n">
        <v>-6862</v>
      </c>
      <c r="AM1361" s="11" t="inlineStr"/>
      <c r="AN1361" s="12" t="inlineStr"/>
      <c r="AO1361" s="12" t="inlineStr"/>
      <c r="AP1361" s="13" t="inlineStr"/>
      <c r="AQ1361" s="13" t="inlineStr"/>
      <c r="AR1361" s="13" t="inlineStr"/>
      <c r="AS1361" s="13" t="inlineStr"/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7" t="n">
        <v>25444</v>
      </c>
      <c r="AK1362" s="8" t="n">
        <v>-5301</v>
      </c>
      <c r="AL1362" s="8" t="n">
        <v>-7591</v>
      </c>
      <c r="AM1362" s="11" t="inlineStr"/>
      <c r="AN1362" s="12" t="inlineStr"/>
      <c r="AO1362" s="12" t="inlineStr"/>
      <c r="AP1362" s="13" t="inlineStr"/>
      <c r="AQ1362" s="13" t="inlineStr"/>
      <c r="AR1362" s="13" t="inlineStr"/>
      <c r="AS1362" s="13" t="inlineStr"/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7" t="n">
        <v>30068</v>
      </c>
      <c r="AK1363" s="8" t="n">
        <v>3483</v>
      </c>
      <c r="AL1363" s="8" t="n">
        <v>2847</v>
      </c>
      <c r="AM1363" s="11" t="inlineStr"/>
      <c r="AN1363" s="12" t="inlineStr"/>
      <c r="AO1363" s="12" t="inlineStr"/>
      <c r="AP1363" s="13" t="inlineStr"/>
      <c r="AQ1363" s="13" t="inlineStr"/>
      <c r="AR1363" s="13" t="inlineStr"/>
      <c r="AS1363" s="13" t="inlineStr"/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7" t="n">
        <v>40430</v>
      </c>
      <c r="AK1364" s="8" t="n">
        <v>-7318</v>
      </c>
      <c r="AL1364" s="8" t="n">
        <v>-5657</v>
      </c>
      <c r="AM1364" s="11" t="inlineStr"/>
      <c r="AN1364" s="12" t="inlineStr"/>
      <c r="AO1364" s="12" t="inlineStr"/>
      <c r="AP1364" s="13" t="inlineStr"/>
      <c r="AQ1364" s="13" t="inlineStr"/>
      <c r="AR1364" s="13" t="inlineStr"/>
      <c r="AS1364" s="13" t="inlineStr"/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7" t="n">
        <v>68360</v>
      </c>
      <c r="AK1365" s="8" t="n">
        <v>4947</v>
      </c>
      <c r="AL1365" s="8" t="n">
        <v>3623</v>
      </c>
      <c r="AM1365" s="11" t="inlineStr"/>
      <c r="AN1365" s="12" t="inlineStr"/>
      <c r="AO1365" s="12" t="inlineStr"/>
      <c r="AP1365" s="13" t="inlineStr"/>
      <c r="AQ1365" s="13" t="inlineStr"/>
      <c r="AR1365" s="13" t="inlineStr"/>
      <c r="AS1365" s="13" t="inlineStr"/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7" t="n">
        <v>2736</v>
      </c>
      <c r="AK1366" s="8" t="n">
        <v>-3540</v>
      </c>
      <c r="AL1366" s="8" t="n">
        <v>-8204</v>
      </c>
      <c r="AM1366" s="11" t="inlineStr"/>
      <c r="AN1366" s="12" t="inlineStr"/>
      <c r="AO1366" s="12" t="inlineStr"/>
      <c r="AP1366" s="13" t="inlineStr"/>
      <c r="AQ1366" s="13" t="inlineStr"/>
      <c r="AR1366" s="13" t="inlineStr"/>
      <c r="AS1366" s="13" t="inlineStr"/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7" t="n">
        <v>86037</v>
      </c>
      <c r="AK1367" s="8" t="n">
        <v>6399</v>
      </c>
      <c r="AL1367" s="8" t="n">
        <v>5366</v>
      </c>
      <c r="AM1367" s="11" t="inlineStr"/>
      <c r="AN1367" s="12" t="inlineStr"/>
      <c r="AO1367" s="12" t="inlineStr"/>
      <c r="AP1367" s="13" t="inlineStr"/>
      <c r="AQ1367" s="13" t="inlineStr"/>
      <c r="AR1367" s="13" t="inlineStr"/>
      <c r="AS1367" s="13" t="inlineStr"/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7" t="n">
        <v>18613</v>
      </c>
      <c r="AK1368" s="8" t="n">
        <v>50</v>
      </c>
      <c r="AL1368" s="8" t="n">
        <v>709</v>
      </c>
      <c r="AM1368" s="11" t="inlineStr"/>
      <c r="AN1368" s="12" t="inlineStr"/>
      <c r="AO1368" s="12" t="inlineStr"/>
      <c r="AP1368" s="13" t="inlineStr"/>
      <c r="AQ1368" s="13" t="inlineStr"/>
      <c r="AR1368" s="13" t="inlineStr"/>
      <c r="AS1368" s="13" t="inlineStr"/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7" t="n">
        <v>355039</v>
      </c>
      <c r="AK1369" s="8" t="n">
        <v>4477</v>
      </c>
      <c r="AL1369" s="8" t="n">
        <v>3936</v>
      </c>
      <c r="AM1369" s="11" t="inlineStr"/>
      <c r="AN1369" s="12" t="inlineStr"/>
      <c r="AO1369" s="12" t="inlineStr"/>
      <c r="AP1369" s="13" t="inlineStr"/>
      <c r="AQ1369" s="13" t="inlineStr"/>
      <c r="AR1369" s="13" t="inlineStr"/>
      <c r="AS1369" s="13" t="inlineStr"/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7" t="n">
        <v>469701</v>
      </c>
      <c r="AK1370" s="8" t="n">
        <v>-181983</v>
      </c>
      <c r="AL1370" s="8" t="n">
        <v>-211381</v>
      </c>
      <c r="AM1370" s="11" t="inlineStr"/>
      <c r="AN1370" s="12" t="inlineStr"/>
      <c r="AO1370" s="12" t="inlineStr"/>
      <c r="AP1370" s="13" t="inlineStr"/>
      <c r="AQ1370" s="13" t="inlineStr"/>
      <c r="AR1370" s="13" t="inlineStr"/>
      <c r="AS1370" s="13" t="inlineStr"/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7" t="n">
        <v>10208</v>
      </c>
      <c r="AK1371" s="8" t="n">
        <v>-1136</v>
      </c>
      <c r="AL1371" s="8" t="n">
        <v>3248</v>
      </c>
      <c r="AM1371" s="11" t="inlineStr"/>
      <c r="AN1371" s="12" t="inlineStr"/>
      <c r="AO1371" s="12" t="inlineStr"/>
      <c r="AP1371" s="13" t="inlineStr"/>
      <c r="AQ1371" s="13" t="inlineStr"/>
      <c r="AR1371" s="13" t="inlineStr"/>
      <c r="AS1371" s="13" t="inlineStr"/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7" t="n">
        <v>13393</v>
      </c>
      <c r="AK1372" s="8" t="n">
        <v>-1301</v>
      </c>
      <c r="AL1372" s="8" t="n">
        <v>-20842</v>
      </c>
      <c r="AM1372" s="11" t="inlineStr"/>
      <c r="AN1372" s="12" t="inlineStr"/>
      <c r="AO1372" s="12" t="inlineStr"/>
      <c r="AP1372" s="13" t="inlineStr"/>
      <c r="AQ1372" s="13" t="inlineStr"/>
      <c r="AR1372" s="13" t="inlineStr"/>
      <c r="AS1372" s="13" t="inlineStr"/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7" t="n">
        <v>21695</v>
      </c>
      <c r="AK1373" s="8" t="n">
        <v>705</v>
      </c>
      <c r="AL1373" s="8" t="n">
        <v>657</v>
      </c>
      <c r="AM1373" s="11" t="inlineStr"/>
      <c r="AN1373" s="12" t="inlineStr"/>
      <c r="AO1373" s="12" t="inlineStr"/>
      <c r="AP1373" s="13" t="inlineStr"/>
      <c r="AQ1373" s="13" t="inlineStr"/>
      <c r="AR1373" s="13" t="inlineStr"/>
      <c r="AS1373" s="13" t="inlineStr"/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7" t="n">
        <v>23017</v>
      </c>
      <c r="AK1374" s="8" t="n">
        <v>12258</v>
      </c>
      <c r="AL1374" s="8" t="n">
        <v>9734</v>
      </c>
      <c r="AM1374" s="11" t="inlineStr"/>
      <c r="AN1374" s="12" t="inlineStr"/>
      <c r="AO1374" s="12" t="inlineStr"/>
      <c r="AP1374" s="13" t="inlineStr"/>
      <c r="AQ1374" s="13" t="inlineStr"/>
      <c r="AR1374" s="13" t="inlineStr"/>
      <c r="AS1374" s="13" t="inlineStr"/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2026Q3</t>
        </is>
      </c>
      <c r="E1375" s="6" t="inlineStr">
        <is>
          <t>2023Q4, 2026Q3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7" t="n">
        <v>214144</v>
      </c>
      <c r="AK1375" s="8" t="n">
        <v>10196</v>
      </c>
      <c r="AL1375" s="8" t="n">
        <v>8162</v>
      </c>
      <c r="AM1375" s="14" t="n">
        <v>228520</v>
      </c>
      <c r="AN1375" s="12" t="inlineStr"/>
      <c r="AO1375" s="12" t="inlineStr"/>
      <c r="AP1375" s="13" t="n">
        <v>6.7</v>
      </c>
      <c r="AQ1375" s="13" t="n">
        <v>21.9</v>
      </c>
      <c r="AR1375" s="13" t="inlineStr"/>
      <c r="AS1375" s="13" t="inlineStr"/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7" t="n">
        <v>196619</v>
      </c>
      <c r="AK1376" s="8" t="n">
        <v>8730</v>
      </c>
      <c r="AL1376" s="8" t="n">
        <v>5429</v>
      </c>
      <c r="AM1376" s="11" t="inlineStr"/>
      <c r="AN1376" s="12" t="inlineStr"/>
      <c r="AO1376" s="12" t="inlineStr"/>
      <c r="AP1376" s="13" t="inlineStr"/>
      <c r="AQ1376" s="13" t="inlineStr"/>
      <c r="AR1376" s="13" t="inlineStr"/>
      <c r="AS1376" s="13" t="inlineStr"/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7" t="n">
        <v>67824</v>
      </c>
      <c r="AK1377" s="8" t="n">
        <v>-3272</v>
      </c>
      <c r="AL1377" s="8" t="n">
        <v>-2786</v>
      </c>
      <c r="AM1377" s="11" t="inlineStr"/>
      <c r="AN1377" s="12" t="inlineStr"/>
      <c r="AO1377" s="12" t="inlineStr"/>
      <c r="AP1377" s="13" t="inlineStr"/>
      <c r="AQ1377" s="13" t="inlineStr"/>
      <c r="AR1377" s="13" t="inlineStr"/>
      <c r="AS1377" s="13" t="inlineStr"/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7" t="n">
        <v>361514</v>
      </c>
      <c r="AK1378" s="8" t="n">
        <v>30995</v>
      </c>
      <c r="AL1378" s="8" t="n">
        <v>281841</v>
      </c>
      <c r="AM1378" s="11" t="inlineStr"/>
      <c r="AN1378" s="12" t="inlineStr"/>
      <c r="AO1378" s="12" t="inlineStr"/>
      <c r="AP1378" s="13" t="inlineStr"/>
      <c r="AQ1378" s="13" t="inlineStr"/>
      <c r="AR1378" s="13" t="inlineStr"/>
      <c r="AS1378" s="13" t="inlineStr"/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7" t="n">
        <v>75402</v>
      </c>
      <c r="AK1379" s="8" t="n">
        <v>4312</v>
      </c>
      <c r="AL1379" s="8" t="n">
        <v>6018</v>
      </c>
      <c r="AM1379" s="11" t="inlineStr"/>
      <c r="AN1379" s="12" t="inlineStr"/>
      <c r="AO1379" s="12" t="inlineStr"/>
      <c r="AP1379" s="13" t="inlineStr"/>
      <c r="AQ1379" s="13" t="inlineStr"/>
      <c r="AR1379" s="13" t="inlineStr"/>
      <c r="AS1379" s="13" t="inlineStr"/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7" t="inlineStr"/>
      <c r="AK1380" s="8" t="inlineStr"/>
      <c r="AL1380" s="8" t="inlineStr"/>
      <c r="AM1380" s="11" t="inlineStr"/>
      <c r="AN1380" s="12" t="inlineStr"/>
      <c r="AO1380" s="12" t="inlineStr"/>
      <c r="AP1380" s="13" t="inlineStr"/>
      <c r="AQ1380" s="13" t="inlineStr"/>
      <c r="AR1380" s="13" t="inlineStr"/>
      <c r="AS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7" t="n">
        <v>42836</v>
      </c>
      <c r="AK1381" s="8" t="n">
        <v>9194</v>
      </c>
      <c r="AL1381" s="8" t="n">
        <v>8364</v>
      </c>
      <c r="AM1381" s="11" t="inlineStr"/>
      <c r="AN1381" s="12" t="inlineStr"/>
      <c r="AO1381" s="12" t="inlineStr"/>
      <c r="AP1381" s="13" t="inlineStr"/>
      <c r="AQ1381" s="13" t="inlineStr"/>
      <c r="AR1381" s="13" t="inlineStr"/>
      <c r="AS1381" s="13" t="inlineStr"/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7" t="n">
        <v>17953</v>
      </c>
      <c r="AK1382" s="8" t="n">
        <v>672</v>
      </c>
      <c r="AL1382" s="8" t="n">
        <v>2442</v>
      </c>
      <c r="AM1382" s="11" t="inlineStr"/>
      <c r="AN1382" s="12" t="inlineStr"/>
      <c r="AO1382" s="12" t="inlineStr"/>
      <c r="AP1382" s="13" t="inlineStr"/>
      <c r="AQ1382" s="13" t="inlineStr"/>
      <c r="AR1382" s="13" t="inlineStr"/>
      <c r="AS1382" s="13" t="inlineStr"/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7" t="n">
        <v>43572</v>
      </c>
      <c r="AK1383" s="8" t="n">
        <v>9789</v>
      </c>
      <c r="AL1383" s="8" t="n">
        <v>8405</v>
      </c>
      <c r="AM1383" s="11" t="inlineStr"/>
      <c r="AN1383" s="12" t="inlineStr"/>
      <c r="AO1383" s="12" t="inlineStr"/>
      <c r="AP1383" s="13" t="inlineStr"/>
      <c r="AQ1383" s="13" t="inlineStr"/>
      <c r="AR1383" s="13" t="inlineStr"/>
      <c r="AS1383" s="13" t="inlineStr"/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7" t="n">
        <v>130271</v>
      </c>
      <c r="AK1384" s="8" t="n">
        <v>453</v>
      </c>
      <c r="AL1384" s="8" t="n">
        <v>-812</v>
      </c>
      <c r="AM1384" s="11" t="inlineStr"/>
      <c r="AN1384" s="12" t="inlineStr"/>
      <c r="AO1384" s="12" t="inlineStr"/>
      <c r="AP1384" s="13" t="inlineStr"/>
      <c r="AQ1384" s="13" t="inlineStr"/>
      <c r="AR1384" s="13" t="inlineStr"/>
      <c r="AS1384" s="13" t="inlineStr"/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7" t="n">
        <v>167465</v>
      </c>
      <c r="AK1385" s="8" t="n">
        <v>5492</v>
      </c>
      <c r="AL1385" s="8" t="n">
        <v>449</v>
      </c>
      <c r="AM1385" s="11" t="inlineStr"/>
      <c r="AN1385" s="12" t="inlineStr"/>
      <c r="AO1385" s="12" t="inlineStr"/>
      <c r="AP1385" s="13" t="inlineStr"/>
      <c r="AQ1385" s="13" t="inlineStr"/>
      <c r="AR1385" s="13" t="inlineStr"/>
      <c r="AS1385" s="13" t="inlineStr"/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7" t="n">
        <v>31469</v>
      </c>
      <c r="AK1386" s="8" t="n">
        <v>4135</v>
      </c>
      <c r="AL1386" s="8" t="n">
        <v>7587</v>
      </c>
      <c r="AM1386" s="11" t="inlineStr"/>
      <c r="AN1386" s="12" t="inlineStr"/>
      <c r="AO1386" s="12" t="inlineStr"/>
      <c r="AP1386" s="13" t="inlineStr"/>
      <c r="AQ1386" s="13" t="inlineStr"/>
      <c r="AR1386" s="13" t="inlineStr"/>
      <c r="AS1386" s="13" t="inlineStr"/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7" t="n">
        <v>465389</v>
      </c>
      <c r="AK1387" s="8" t="n">
        <v>44078</v>
      </c>
      <c r="AL1387" s="8" t="n">
        <v>35247</v>
      </c>
      <c r="AM1387" s="11" t="inlineStr"/>
      <c r="AN1387" s="12" t="inlineStr"/>
      <c r="AO1387" s="12" t="inlineStr"/>
      <c r="AP1387" s="13" t="inlineStr"/>
      <c r="AQ1387" s="13" t="inlineStr"/>
      <c r="AR1387" s="13" t="inlineStr"/>
      <c r="AS1387" s="13" t="inlineStr"/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7" t="n">
        <v>42691</v>
      </c>
      <c r="AK1388" s="8" t="n">
        <v>10295</v>
      </c>
      <c r="AL1388" s="8" t="n">
        <v>7888</v>
      </c>
      <c r="AM1388" s="11" t="inlineStr"/>
      <c r="AN1388" s="12" t="inlineStr"/>
      <c r="AO1388" s="12" t="inlineStr"/>
      <c r="AP1388" s="13" t="inlineStr"/>
      <c r="AQ1388" s="13" t="inlineStr"/>
      <c r="AR1388" s="13" t="inlineStr"/>
      <c r="AS1388" s="13" t="inlineStr"/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2026Q3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7" t="inlineStr"/>
      <c r="AK1389" s="8" t="inlineStr"/>
      <c r="AL1389" s="8" t="inlineStr"/>
      <c r="AM1389" s="11" t="n">
        <v>41409</v>
      </c>
      <c r="AN1389" s="12" t="n">
        <v>1529</v>
      </c>
      <c r="AO1389" s="12" t="n">
        <v>1681</v>
      </c>
      <c r="AP1389" s="13" t="inlineStr"/>
      <c r="AQ1389" s="13" t="n">
        <v>17.4</v>
      </c>
      <c r="AR1389" s="13" t="inlineStr"/>
      <c r="AS1389" s="13" t="n">
        <v>210.2</v>
      </c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7" t="n">
        <v>42506</v>
      </c>
      <c r="AK1390" s="8" t="n">
        <v>8818</v>
      </c>
      <c r="AL1390" s="8" t="n">
        <v>6772</v>
      </c>
      <c r="AM1390" s="11" t="inlineStr"/>
      <c r="AN1390" s="12" t="inlineStr"/>
      <c r="AO1390" s="12" t="inlineStr"/>
      <c r="AP1390" s="13" t="inlineStr"/>
      <c r="AQ1390" s="13" t="inlineStr"/>
      <c r="AR1390" s="13" t="inlineStr"/>
      <c r="AS1390" s="13" t="inlineStr"/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7" t="n">
        <v>188222</v>
      </c>
      <c r="AK1391" s="8" t="n">
        <v>23399</v>
      </c>
      <c r="AL1391" s="8" t="n">
        <v>24959</v>
      </c>
      <c r="AM1391" s="11" t="inlineStr"/>
      <c r="AN1391" s="12" t="inlineStr"/>
      <c r="AO1391" s="12" t="inlineStr"/>
      <c r="AP1391" s="13" t="inlineStr"/>
      <c r="AQ1391" s="13" t="inlineStr"/>
      <c r="AR1391" s="13" t="inlineStr"/>
      <c r="AS1391" s="13" t="inlineStr"/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2026Q3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7" t="n">
        <v>22135</v>
      </c>
      <c r="AK1392" s="8" t="n">
        <v>1828</v>
      </c>
      <c r="AL1392" s="8" t="n">
        <v>2256</v>
      </c>
      <c r="AM1392" s="11" t="n">
        <v>22954</v>
      </c>
      <c r="AN1392" s="12" t="n">
        <v>1535</v>
      </c>
      <c r="AO1392" s="12" t="n">
        <v>2093</v>
      </c>
      <c r="AP1392" s="13" t="n">
        <v>3.7</v>
      </c>
      <c r="AQ1392" s="13" t="n">
        <v>-2</v>
      </c>
      <c r="AR1392" s="13" t="n">
        <v>-16</v>
      </c>
      <c r="AS1392" s="13" t="n">
        <v>78.09999999999999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7" t="n">
        <v>66836</v>
      </c>
      <c r="AK1393" s="8" t="n">
        <v>13035</v>
      </c>
      <c r="AL1393" s="8" t="n">
        <v>14186</v>
      </c>
      <c r="AM1393" s="11" t="inlineStr"/>
      <c r="AN1393" s="12" t="inlineStr"/>
      <c r="AO1393" s="12" t="inlineStr"/>
      <c r="AP1393" s="13" t="inlineStr"/>
      <c r="AQ1393" s="13" t="inlineStr"/>
      <c r="AR1393" s="13" t="inlineStr"/>
      <c r="AS1393" s="13" t="inlineStr"/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7" t="n">
        <v>1593</v>
      </c>
      <c r="AK1394" s="8" t="n">
        <v>-2367</v>
      </c>
      <c r="AL1394" s="8" t="n">
        <v>-1752</v>
      </c>
      <c r="AM1394" s="11" t="inlineStr"/>
      <c r="AN1394" s="12" t="inlineStr"/>
      <c r="AO1394" s="12" t="inlineStr"/>
      <c r="AP1394" s="13" t="inlineStr"/>
      <c r="AQ1394" s="13" t="inlineStr"/>
      <c r="AR1394" s="13" t="inlineStr"/>
      <c r="AS1394" s="13" t="inlineStr"/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7" t="n">
        <v>43656</v>
      </c>
      <c r="AK1395" s="8" t="n">
        <v>1246</v>
      </c>
      <c r="AL1395" s="8" t="n">
        <v>2533</v>
      </c>
      <c r="AM1395" s="11" t="inlineStr"/>
      <c r="AN1395" s="12" t="inlineStr"/>
      <c r="AO1395" s="12" t="inlineStr"/>
      <c r="AP1395" s="13" t="inlineStr"/>
      <c r="AQ1395" s="13" t="inlineStr"/>
      <c r="AR1395" s="13" t="inlineStr"/>
      <c r="AS1395" s="13" t="inlineStr"/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7" t="n">
        <v>26114</v>
      </c>
      <c r="AK1396" s="8" t="n">
        <v>-5070</v>
      </c>
      <c r="AL1396" s="8" t="n">
        <v>19335</v>
      </c>
      <c r="AM1396" s="11" t="inlineStr"/>
      <c r="AN1396" s="12" t="inlineStr"/>
      <c r="AO1396" s="12" t="inlineStr"/>
      <c r="AP1396" s="13" t="inlineStr"/>
      <c r="AQ1396" s="13" t="inlineStr"/>
      <c r="AR1396" s="13" t="inlineStr"/>
      <c r="AS1396" s="13" t="inlineStr"/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7" t="n">
        <v>133994</v>
      </c>
      <c r="AK1397" s="8" t="n">
        <v>3471</v>
      </c>
      <c r="AL1397" s="8" t="n">
        <v>3055</v>
      </c>
      <c r="AM1397" s="11" t="inlineStr"/>
      <c r="AN1397" s="12" t="inlineStr"/>
      <c r="AO1397" s="12" t="inlineStr"/>
      <c r="AP1397" s="13" t="inlineStr"/>
      <c r="AQ1397" s="13" t="inlineStr"/>
      <c r="AR1397" s="13" t="inlineStr"/>
      <c r="AS1397" s="13" t="inlineStr"/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8" t="n">
        <v>1127</v>
      </c>
      <c r="AL1398" s="8" t="n">
        <v>2177</v>
      </c>
      <c r="AM1398" s="11" t="inlineStr"/>
      <c r="AN1398" s="12" t="inlineStr"/>
      <c r="AO1398" s="12" t="inlineStr"/>
      <c r="AP1398" s="13" t="inlineStr"/>
      <c r="AQ1398" s="13" t="inlineStr"/>
      <c r="AR1398" s="13" t="inlineStr"/>
      <c r="AS1398" s="13" t="inlineStr"/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7" t="n">
        <v>35926</v>
      </c>
      <c r="AK1399" s="8" t="n">
        <v>5601</v>
      </c>
      <c r="AL1399" s="8" t="n">
        <v>3612</v>
      </c>
      <c r="AM1399" s="11" t="inlineStr"/>
      <c r="AN1399" s="12" t="inlineStr"/>
      <c r="AO1399" s="12" t="inlineStr"/>
      <c r="AP1399" s="13" t="inlineStr"/>
      <c r="AQ1399" s="13" t="inlineStr"/>
      <c r="AR1399" s="13" t="inlineStr"/>
      <c r="AS1399" s="13" t="inlineStr"/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7" t="n">
        <v>86381</v>
      </c>
      <c r="AK1400" s="8" t="n">
        <v>5603</v>
      </c>
      <c r="AL1400" s="8" t="n">
        <v>3896</v>
      </c>
      <c r="AM1400" s="11" t="inlineStr"/>
      <c r="AN1400" s="12" t="inlineStr"/>
      <c r="AO1400" s="12" t="inlineStr"/>
      <c r="AP1400" s="13" t="inlineStr"/>
      <c r="AQ1400" s="13" t="inlineStr"/>
      <c r="AR1400" s="13" t="inlineStr"/>
      <c r="AS1400" s="13" t="inlineStr"/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7" t="n">
        <v>4241</v>
      </c>
      <c r="AK1401" s="8" t="n">
        <v>136</v>
      </c>
      <c r="AL1401" s="8" t="n">
        <v>4824</v>
      </c>
      <c r="AM1401" s="11" t="inlineStr"/>
      <c r="AN1401" s="12" t="inlineStr"/>
      <c r="AO1401" s="12" t="inlineStr"/>
      <c r="AP1401" s="13" t="inlineStr"/>
      <c r="AQ1401" s="13" t="inlineStr"/>
      <c r="AR1401" s="13" t="inlineStr"/>
      <c r="AS1401" s="13" t="inlineStr"/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7" t="inlineStr"/>
      <c r="AK1402" s="8" t="n">
        <v>251</v>
      </c>
      <c r="AL1402" s="8" t="n">
        <v>1291</v>
      </c>
      <c r="AM1402" s="11" t="inlineStr"/>
      <c r="AN1402" s="12" t="inlineStr"/>
      <c r="AO1402" s="12" t="inlineStr"/>
      <c r="AP1402" s="13" t="inlineStr"/>
      <c r="AQ1402" s="13" t="inlineStr"/>
      <c r="AR1402" s="13" t="inlineStr"/>
      <c r="AS1402" s="13" t="inlineStr"/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7" t="n">
        <v>4019</v>
      </c>
      <c r="AK1403" s="8" t="n">
        <v>-1915</v>
      </c>
      <c r="AL1403" s="8" t="n">
        <v>-3344</v>
      </c>
      <c r="AM1403" s="11" t="inlineStr"/>
      <c r="AN1403" s="12" t="inlineStr"/>
      <c r="AO1403" s="12" t="inlineStr"/>
      <c r="AP1403" s="13" t="inlineStr"/>
      <c r="AQ1403" s="13" t="inlineStr"/>
      <c r="AR1403" s="13" t="inlineStr"/>
      <c r="AS1403" s="13" t="inlineStr"/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7" t="n">
        <v>6013</v>
      </c>
      <c r="AK1404" s="8" t="n">
        <v>-60</v>
      </c>
      <c r="AL1404" s="8" t="n">
        <v>-153</v>
      </c>
      <c r="AM1404" s="11" t="inlineStr"/>
      <c r="AN1404" s="12" t="inlineStr"/>
      <c r="AO1404" s="12" t="inlineStr"/>
      <c r="AP1404" s="13" t="inlineStr"/>
      <c r="AQ1404" s="13" t="inlineStr"/>
      <c r="AR1404" s="13" t="inlineStr"/>
      <c r="AS1404" s="13" t="inlineStr"/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7" t="n">
        <v>60655</v>
      </c>
      <c r="AK1405" s="8" t="n">
        <v>3293</v>
      </c>
      <c r="AL1405" s="8" t="n">
        <v>4460</v>
      </c>
      <c r="AM1405" s="11" t="inlineStr"/>
      <c r="AN1405" s="12" t="inlineStr"/>
      <c r="AO1405" s="12" t="inlineStr"/>
      <c r="AP1405" s="13" t="inlineStr"/>
      <c r="AQ1405" s="13" t="inlineStr"/>
      <c r="AR1405" s="13" t="inlineStr"/>
      <c r="AS1405" s="13" t="inlineStr"/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7" t="n">
        <v>25092</v>
      </c>
      <c r="AK1406" s="8" t="n">
        <v>1528</v>
      </c>
      <c r="AL1406" s="8" t="n">
        <v>213</v>
      </c>
      <c r="AM1406" s="11" t="inlineStr"/>
      <c r="AN1406" s="12" t="inlineStr"/>
      <c r="AO1406" s="12" t="inlineStr"/>
      <c r="AP1406" s="13" t="inlineStr"/>
      <c r="AQ1406" s="13" t="inlineStr"/>
      <c r="AR1406" s="13" t="inlineStr"/>
      <c r="AS1406" s="13" t="inlineStr"/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7" t="n">
        <v>22024</v>
      </c>
      <c r="AK1407" s="8" t="n">
        <v>2031</v>
      </c>
      <c r="AL1407" s="8" t="n">
        <v>1889</v>
      </c>
      <c r="AM1407" s="11" t="inlineStr"/>
      <c r="AN1407" s="12" t="inlineStr"/>
      <c r="AO1407" s="12" t="inlineStr"/>
      <c r="AP1407" s="13" t="inlineStr"/>
      <c r="AQ1407" s="13" t="inlineStr"/>
      <c r="AR1407" s="13" t="inlineStr"/>
      <c r="AS1407" s="13" t="inlineStr"/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7" t="n">
        <v>72929</v>
      </c>
      <c r="AK1408" s="8" t="n">
        <v>21320</v>
      </c>
      <c r="AL1408" s="8" t="n">
        <v>19393</v>
      </c>
      <c r="AM1408" s="11" t="inlineStr"/>
      <c r="AN1408" s="12" t="inlineStr"/>
      <c r="AO1408" s="12" t="inlineStr"/>
      <c r="AP1408" s="13" t="inlineStr"/>
      <c r="AQ1408" s="13" t="inlineStr"/>
      <c r="AR1408" s="13" t="inlineStr"/>
      <c r="AS1408" s="13" t="inlineStr"/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7" t="n">
        <v>106692</v>
      </c>
      <c r="AK1409" s="8" t="n">
        <v>2600</v>
      </c>
      <c r="AL1409" s="8" t="n">
        <v>-9835</v>
      </c>
      <c r="AM1409" s="11" t="inlineStr"/>
      <c r="AN1409" s="12" t="inlineStr"/>
      <c r="AO1409" s="12" t="inlineStr"/>
      <c r="AP1409" s="13" t="inlineStr"/>
      <c r="AQ1409" s="13" t="inlineStr"/>
      <c r="AR1409" s="13" t="inlineStr"/>
      <c r="AS1409" s="13" t="inlineStr"/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7" t="n">
        <v>327849</v>
      </c>
      <c r="AK1410" s="8" t="n">
        <v>21486</v>
      </c>
      <c r="AL1410" s="8" t="n">
        <v>28331</v>
      </c>
      <c r="AM1410" s="11" t="inlineStr"/>
      <c r="AN1410" s="12" t="inlineStr"/>
      <c r="AO1410" s="12" t="inlineStr"/>
      <c r="AP1410" s="13" t="inlineStr"/>
      <c r="AQ1410" s="13" t="inlineStr"/>
      <c r="AR1410" s="13" t="inlineStr"/>
      <c r="AS1410" s="13" t="inlineStr"/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7" t="n">
        <v>123671</v>
      </c>
      <c r="AK1411" s="8" t="n">
        <v>26027</v>
      </c>
      <c r="AL1411" s="8" t="n">
        <v>34030</v>
      </c>
      <c r="AM1411" s="11" t="inlineStr"/>
      <c r="AN1411" s="12" t="inlineStr"/>
      <c r="AO1411" s="12" t="inlineStr"/>
      <c r="AP1411" s="13" t="inlineStr"/>
      <c r="AQ1411" s="13" t="inlineStr"/>
      <c r="AR1411" s="13" t="inlineStr"/>
      <c r="AS1411" s="13" t="inlineStr"/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7" t="n">
        <v>102073</v>
      </c>
      <c r="AK1412" s="8" t="n">
        <v>7942</v>
      </c>
      <c r="AL1412" s="8" t="n">
        <v>18406</v>
      </c>
      <c r="AM1412" s="11" t="inlineStr"/>
      <c r="AN1412" s="12" t="inlineStr"/>
      <c r="AO1412" s="12" t="inlineStr"/>
      <c r="AP1412" s="13" t="inlineStr"/>
      <c r="AQ1412" s="13" t="inlineStr"/>
      <c r="AR1412" s="13" t="inlineStr"/>
      <c r="AS1412" s="13" t="inlineStr"/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7" t="n">
        <v>972</v>
      </c>
      <c r="AK1413" s="8" t="n">
        <v>-10496</v>
      </c>
      <c r="AL1413" s="8" t="n">
        <v>-26268</v>
      </c>
      <c r="AM1413" s="11" t="inlineStr"/>
      <c r="AN1413" s="12" t="inlineStr"/>
      <c r="AO1413" s="12" t="inlineStr"/>
      <c r="AP1413" s="13" t="inlineStr"/>
      <c r="AQ1413" s="13" t="inlineStr"/>
      <c r="AR1413" s="13" t="inlineStr"/>
      <c r="AS1413" s="13" t="inlineStr"/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7" t="n">
        <v>190878</v>
      </c>
      <c r="AK1414" s="8" t="n">
        <v>3808</v>
      </c>
      <c r="AL1414" s="8" t="n">
        <v>1117</v>
      </c>
      <c r="AM1414" s="11" t="inlineStr"/>
      <c r="AN1414" s="12" t="inlineStr"/>
      <c r="AO1414" s="12" t="inlineStr"/>
      <c r="AP1414" s="13" t="inlineStr"/>
      <c r="AQ1414" s="13" t="inlineStr"/>
      <c r="AR1414" s="13" t="inlineStr"/>
      <c r="AS1414" s="13" t="inlineStr"/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7" t="n">
        <v>24225</v>
      </c>
      <c r="AK1415" s="8" t="n">
        <v>-4336</v>
      </c>
      <c r="AL1415" s="8" t="n">
        <v>-4040</v>
      </c>
      <c r="AM1415" s="11" t="inlineStr"/>
      <c r="AN1415" s="12" t="inlineStr"/>
      <c r="AO1415" s="12" t="inlineStr"/>
      <c r="AP1415" s="13" t="inlineStr"/>
      <c r="AQ1415" s="13" t="inlineStr"/>
      <c r="AR1415" s="13" t="inlineStr"/>
      <c r="AS1415" s="13" t="inlineStr"/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7" t="n">
        <v>55501</v>
      </c>
      <c r="AK1416" s="8" t="n">
        <v>2394</v>
      </c>
      <c r="AL1416" s="8" t="n">
        <v>2919</v>
      </c>
      <c r="AM1416" s="11" t="inlineStr"/>
      <c r="AN1416" s="12" t="inlineStr"/>
      <c r="AO1416" s="12" t="inlineStr"/>
      <c r="AP1416" s="13" t="inlineStr"/>
      <c r="AQ1416" s="13" t="inlineStr"/>
      <c r="AR1416" s="13" t="inlineStr"/>
      <c r="AS1416" s="13" t="inlineStr"/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7" t="n">
        <v>7433</v>
      </c>
      <c r="AK1417" s="8" t="n">
        <v>-165</v>
      </c>
      <c r="AL1417" s="8" t="n">
        <v>503</v>
      </c>
      <c r="AM1417" s="11" t="inlineStr"/>
      <c r="AN1417" s="12" t="inlineStr"/>
      <c r="AO1417" s="12" t="inlineStr"/>
      <c r="AP1417" s="13" t="inlineStr"/>
      <c r="AQ1417" s="13" t="inlineStr"/>
      <c r="AR1417" s="13" t="inlineStr"/>
      <c r="AS1417" s="13" t="inlineStr"/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7" t="n">
        <v>18886</v>
      </c>
      <c r="AK1418" s="8" t="n">
        <v>-136</v>
      </c>
      <c r="AL1418" s="8" t="n">
        <v>-1143</v>
      </c>
      <c r="AM1418" s="11" t="inlineStr"/>
      <c r="AN1418" s="12" t="inlineStr"/>
      <c r="AO1418" s="12" t="inlineStr"/>
      <c r="AP1418" s="13" t="inlineStr"/>
      <c r="AQ1418" s="13" t="inlineStr"/>
      <c r="AR1418" s="13" t="inlineStr"/>
      <c r="AS1418" s="13" t="inlineStr"/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7" t="n">
        <v>135959</v>
      </c>
      <c r="AK1419" s="8" t="n">
        <v>21585</v>
      </c>
      <c r="AL1419" s="8" t="n">
        <v>25955</v>
      </c>
      <c r="AM1419" s="11" t="inlineStr"/>
      <c r="AN1419" s="12" t="inlineStr"/>
      <c r="AO1419" s="12" t="inlineStr"/>
      <c r="AP1419" s="13" t="inlineStr"/>
      <c r="AQ1419" s="13" t="inlineStr"/>
      <c r="AR1419" s="13" t="inlineStr"/>
      <c r="AS1419" s="13" t="inlineStr"/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7" t="n">
        <v>6994</v>
      </c>
      <c r="AK1420" s="8" t="n">
        <v>213</v>
      </c>
      <c r="AL1420" s="8" t="n">
        <v>157</v>
      </c>
      <c r="AM1420" s="11" t="inlineStr"/>
      <c r="AN1420" s="12" t="inlineStr"/>
      <c r="AO1420" s="12" t="inlineStr"/>
      <c r="AP1420" s="13" t="inlineStr"/>
      <c r="AQ1420" s="13" t="inlineStr"/>
      <c r="AR1420" s="13" t="inlineStr"/>
      <c r="AS1420" s="13" t="inlineStr"/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7" t="n">
        <v>37542</v>
      </c>
      <c r="AK1421" s="8" t="n">
        <v>-2574</v>
      </c>
      <c r="AL1421" s="8" t="n">
        <v>-3931</v>
      </c>
      <c r="AM1421" s="11" t="inlineStr"/>
      <c r="AN1421" s="12" t="inlineStr"/>
      <c r="AO1421" s="12" t="inlineStr"/>
      <c r="AP1421" s="13" t="inlineStr"/>
      <c r="AQ1421" s="13" t="inlineStr"/>
      <c r="AR1421" s="13" t="inlineStr"/>
      <c r="AS1421" s="13" t="inlineStr"/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7" t="n">
        <v>16313</v>
      </c>
      <c r="AK1422" s="8" t="n">
        <v>-3357</v>
      </c>
      <c r="AL1422" s="8" t="n">
        <v>-4383</v>
      </c>
      <c r="AM1422" s="11" t="inlineStr"/>
      <c r="AN1422" s="12" t="inlineStr"/>
      <c r="AO1422" s="12" t="inlineStr"/>
      <c r="AP1422" s="13" t="inlineStr"/>
      <c r="AQ1422" s="13" t="inlineStr"/>
      <c r="AR1422" s="13" t="inlineStr"/>
      <c r="AS1422" s="13" t="inlineStr"/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7" t="n">
        <v>266470</v>
      </c>
      <c r="AK1423" s="8" t="n">
        <v>53782</v>
      </c>
      <c r="AL1423" s="8" t="n">
        <v>40994</v>
      </c>
      <c r="AM1423" s="11" t="inlineStr"/>
      <c r="AN1423" s="12" t="inlineStr"/>
      <c r="AO1423" s="12" t="inlineStr"/>
      <c r="AP1423" s="13" t="inlineStr"/>
      <c r="AQ1423" s="13" t="inlineStr"/>
      <c r="AR1423" s="13" t="inlineStr"/>
      <c r="AS1423" s="13" t="inlineStr"/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7" t="n">
        <v>29157205</v>
      </c>
      <c r="AK1424" s="8" t="n">
        <v>3487296</v>
      </c>
      <c r="AL1424" s="8" t="n">
        <v>73463</v>
      </c>
      <c r="AM1424" s="11" t="inlineStr"/>
      <c r="AN1424" s="12" t="inlineStr"/>
      <c r="AO1424" s="12" t="inlineStr"/>
      <c r="AP1424" s="13" t="inlineStr"/>
      <c r="AQ1424" s="13" t="inlineStr"/>
      <c r="AR1424" s="13" t="inlineStr"/>
      <c r="AS1424" s="13" t="inlineStr"/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7" t="n">
        <v>3854</v>
      </c>
      <c r="AK1425" s="8" t="n">
        <v>874</v>
      </c>
      <c r="AL1425" s="8" t="n">
        <v>949</v>
      </c>
      <c r="AM1425" s="11" t="inlineStr"/>
      <c r="AN1425" s="12" t="inlineStr"/>
      <c r="AO1425" s="12" t="inlineStr"/>
      <c r="AP1425" s="13" t="inlineStr"/>
      <c r="AQ1425" s="13" t="inlineStr"/>
      <c r="AR1425" s="13" t="inlineStr"/>
      <c r="AS1425" s="13" t="inlineStr"/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7" t="n">
        <v>729908</v>
      </c>
      <c r="AK1426" s="8" t="n">
        <v>64853</v>
      </c>
      <c r="AL1426" s="8" t="n">
        <v>62543</v>
      </c>
      <c r="AM1426" s="11" t="inlineStr"/>
      <c r="AN1426" s="12" t="inlineStr"/>
      <c r="AO1426" s="12" t="inlineStr"/>
      <c r="AP1426" s="13" t="inlineStr"/>
      <c r="AQ1426" s="13" t="inlineStr"/>
      <c r="AR1426" s="13" t="inlineStr"/>
      <c r="AS1426" s="13" t="inlineStr"/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7" t="n">
        <v>294668</v>
      </c>
      <c r="AK1427" s="8" t="n">
        <v>2188</v>
      </c>
      <c r="AL1427" s="8" t="n">
        <v>793</v>
      </c>
      <c r="AM1427" s="11" t="inlineStr"/>
      <c r="AN1427" s="12" t="inlineStr"/>
      <c r="AO1427" s="12" t="inlineStr"/>
      <c r="AP1427" s="13" t="inlineStr"/>
      <c r="AQ1427" s="13" t="inlineStr"/>
      <c r="AR1427" s="13" t="inlineStr"/>
      <c r="AS1427" s="13" t="inlineStr"/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7" t="n">
        <v>25184</v>
      </c>
      <c r="AK1428" s="8" t="n">
        <v>-2276</v>
      </c>
      <c r="AL1428" s="8" t="n">
        <v>2869</v>
      </c>
      <c r="AM1428" s="11" t="inlineStr"/>
      <c r="AN1428" s="12" t="inlineStr"/>
      <c r="AO1428" s="12" t="inlineStr"/>
      <c r="AP1428" s="13" t="inlineStr"/>
      <c r="AQ1428" s="13" t="inlineStr"/>
      <c r="AR1428" s="13" t="inlineStr"/>
      <c r="AS1428" s="13" t="inlineStr"/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8" t="n">
        <v>795</v>
      </c>
      <c r="AL1429" s="8" t="n">
        <v>127</v>
      </c>
      <c r="AM1429" s="11" t="inlineStr"/>
      <c r="AN1429" s="12" t="inlineStr"/>
      <c r="AO1429" s="12" t="inlineStr"/>
      <c r="AP1429" s="13" t="inlineStr"/>
      <c r="AQ1429" s="13" t="inlineStr"/>
      <c r="AR1429" s="13" t="inlineStr"/>
      <c r="AS1429" s="13" t="inlineStr"/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2026Q3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7" t="inlineStr"/>
      <c r="AK1430" s="8" t="inlineStr"/>
      <c r="AL1430" s="8" t="inlineStr"/>
      <c r="AM1430" s="11" t="n">
        <v>10626</v>
      </c>
      <c r="AN1430" s="12" t="n">
        <v>3222</v>
      </c>
      <c r="AO1430" s="12" t="n">
        <v>1750</v>
      </c>
      <c r="AP1430" s="13" t="inlineStr"/>
      <c r="AQ1430" s="13" t="n">
        <v>-5.4</v>
      </c>
      <c r="AR1430" s="13" t="inlineStr"/>
      <c r="AS1430" s="13" t="n">
        <v>23.8</v>
      </c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7" t="n">
        <v>7362113</v>
      </c>
      <c r="AK1431" s="8" t="n">
        <v>257575</v>
      </c>
      <c r="AL1431" s="8" t="n">
        <v>-3877</v>
      </c>
      <c r="AM1431" s="11" t="inlineStr"/>
      <c r="AN1431" s="12" t="inlineStr"/>
      <c r="AO1431" s="12" t="inlineStr"/>
      <c r="AP1431" s="13" t="inlineStr"/>
      <c r="AQ1431" s="13" t="inlineStr"/>
      <c r="AR1431" s="13" t="inlineStr"/>
      <c r="AS1431" s="13" t="inlineStr"/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7" t="n">
        <v>46339</v>
      </c>
      <c r="AK1432" s="8" t="n">
        <v>10597</v>
      </c>
      <c r="AL1432" s="8" t="n">
        <v>8976</v>
      </c>
      <c r="AM1432" s="11" t="inlineStr"/>
      <c r="AN1432" s="12" t="inlineStr"/>
      <c r="AO1432" s="12" t="inlineStr"/>
      <c r="AP1432" s="13" t="inlineStr"/>
      <c r="AQ1432" s="13" t="inlineStr"/>
      <c r="AR1432" s="13" t="inlineStr"/>
      <c r="AS1432" s="13" t="inlineStr"/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7" t="n">
        <v>41897</v>
      </c>
      <c r="AK1433" s="8" t="n">
        <v>13904</v>
      </c>
      <c r="AL1433" s="8" t="n">
        <v>11471</v>
      </c>
      <c r="AM1433" s="11" t="inlineStr"/>
      <c r="AN1433" s="12" t="inlineStr"/>
      <c r="AO1433" s="12" t="inlineStr"/>
      <c r="AP1433" s="13" t="inlineStr"/>
      <c r="AQ1433" s="13" t="inlineStr"/>
      <c r="AR1433" s="13" t="inlineStr"/>
      <c r="AS1433" s="13" t="inlineStr"/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7" t="n">
        <v>88759</v>
      </c>
      <c r="AK1434" s="8" t="n">
        <v>14553</v>
      </c>
      <c r="AL1434" s="8" t="n">
        <v>15724</v>
      </c>
      <c r="AM1434" s="11" t="inlineStr"/>
      <c r="AN1434" s="12" t="inlineStr"/>
      <c r="AO1434" s="12" t="inlineStr"/>
      <c r="AP1434" s="13" t="inlineStr"/>
      <c r="AQ1434" s="13" t="inlineStr"/>
      <c r="AR1434" s="13" t="inlineStr"/>
      <c r="AS1434" s="13" t="inlineStr"/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7" t="n">
        <v>19952</v>
      </c>
      <c r="AK1435" s="8" t="n">
        <v>310</v>
      </c>
      <c r="AL1435" s="8" t="n">
        <v>-231</v>
      </c>
      <c r="AM1435" s="11" t="inlineStr"/>
      <c r="AN1435" s="12" t="inlineStr"/>
      <c r="AO1435" s="12" t="inlineStr"/>
      <c r="AP1435" s="13" t="inlineStr"/>
      <c r="AQ1435" s="13" t="inlineStr"/>
      <c r="AR1435" s="13" t="inlineStr"/>
      <c r="AS1435" s="13" t="inlineStr"/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7" t="n">
        <v>88674</v>
      </c>
      <c r="AK1436" s="8" t="n">
        <v>6608</v>
      </c>
      <c r="AL1436" s="8" t="n">
        <v>3970</v>
      </c>
      <c r="AM1436" s="11" t="inlineStr"/>
      <c r="AN1436" s="12" t="inlineStr"/>
      <c r="AO1436" s="12" t="inlineStr"/>
      <c r="AP1436" s="13" t="inlineStr"/>
      <c r="AQ1436" s="13" t="inlineStr"/>
      <c r="AR1436" s="13" t="inlineStr"/>
      <c r="AS1436" s="13" t="inlineStr"/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7" t="n">
        <v>30027</v>
      </c>
      <c r="AK1437" s="8" t="n">
        <v>155</v>
      </c>
      <c r="AL1437" s="8" t="n">
        <v>757</v>
      </c>
      <c r="AM1437" s="11" t="inlineStr"/>
      <c r="AN1437" s="12" t="inlineStr"/>
      <c r="AO1437" s="12" t="inlineStr"/>
      <c r="AP1437" s="13" t="inlineStr"/>
      <c r="AQ1437" s="13" t="inlineStr"/>
      <c r="AR1437" s="13" t="inlineStr"/>
      <c r="AS1437" s="13" t="inlineStr"/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7" t="n">
        <v>51141</v>
      </c>
      <c r="AK1438" s="8" t="n">
        <v>1367</v>
      </c>
      <c r="AL1438" s="8" t="n">
        <v>-215</v>
      </c>
      <c r="AM1438" s="11" t="inlineStr"/>
      <c r="AN1438" s="12" t="inlineStr"/>
      <c r="AO1438" s="12" t="inlineStr"/>
      <c r="AP1438" s="13" t="inlineStr"/>
      <c r="AQ1438" s="13" t="inlineStr"/>
      <c r="AR1438" s="13" t="inlineStr"/>
      <c r="AS1438" s="13" t="inlineStr"/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7" t="n">
        <v>5517</v>
      </c>
      <c r="AK1439" s="8" t="n">
        <v>403</v>
      </c>
      <c r="AL1439" s="8" t="n">
        <v>1350</v>
      </c>
      <c r="AM1439" s="11" t="inlineStr"/>
      <c r="AN1439" s="12" t="inlineStr"/>
      <c r="AO1439" s="12" t="inlineStr"/>
      <c r="AP1439" s="13" t="inlineStr"/>
      <c r="AQ1439" s="13" t="inlineStr"/>
      <c r="AR1439" s="13" t="inlineStr"/>
      <c r="AS1439" s="13" t="inlineStr"/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7" t="n">
        <v>11660</v>
      </c>
      <c r="AK1440" s="8" t="n">
        <v>3905</v>
      </c>
      <c r="AL1440" s="8" t="n">
        <v>2782</v>
      </c>
      <c r="AM1440" s="11" t="inlineStr"/>
      <c r="AN1440" s="12" t="inlineStr"/>
      <c r="AO1440" s="12" t="inlineStr"/>
      <c r="AP1440" s="13" t="inlineStr"/>
      <c r="AQ1440" s="13" t="inlineStr"/>
      <c r="AR1440" s="13" t="inlineStr"/>
      <c r="AS1440" s="13" t="inlineStr"/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7" t="n">
        <v>25402</v>
      </c>
      <c r="AK1441" s="8" t="n">
        <v>6247</v>
      </c>
      <c r="AL1441" s="8" t="n">
        <v>3744</v>
      </c>
      <c r="AM1441" s="11" t="inlineStr"/>
      <c r="AN1441" s="12" t="inlineStr"/>
      <c r="AO1441" s="12" t="inlineStr"/>
      <c r="AP1441" s="13" t="inlineStr"/>
      <c r="AQ1441" s="13" t="inlineStr"/>
      <c r="AR1441" s="13" t="inlineStr"/>
      <c r="AS1441" s="13" t="inlineStr"/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7" t="n">
        <v>47761</v>
      </c>
      <c r="AK1442" s="8" t="n">
        <v>1609</v>
      </c>
      <c r="AL1442" s="8" t="n">
        <v>2864</v>
      </c>
      <c r="AM1442" s="11" t="inlineStr"/>
      <c r="AN1442" s="12" t="inlineStr"/>
      <c r="AO1442" s="12" t="inlineStr"/>
      <c r="AP1442" s="13" t="inlineStr"/>
      <c r="AQ1442" s="13" t="inlineStr"/>
      <c r="AR1442" s="13" t="inlineStr"/>
      <c r="AS1442" s="13" t="inlineStr"/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7" t="n">
        <v>9041</v>
      </c>
      <c r="AK1443" s="8" t="n">
        <v>995</v>
      </c>
      <c r="AL1443" s="8" t="n">
        <v>1442</v>
      </c>
      <c r="AM1443" s="11" t="inlineStr"/>
      <c r="AN1443" s="12" t="inlineStr"/>
      <c r="AO1443" s="12" t="inlineStr"/>
      <c r="AP1443" s="13" t="inlineStr"/>
      <c r="AQ1443" s="13" t="inlineStr"/>
      <c r="AR1443" s="13" t="inlineStr"/>
      <c r="AS1443" s="13" t="inlineStr"/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7" t="inlineStr"/>
      <c r="AK1444" s="8" t="inlineStr"/>
      <c r="AL1444" s="8" t="inlineStr"/>
      <c r="AM1444" s="11" t="inlineStr"/>
      <c r="AN1444" s="12" t="inlineStr"/>
      <c r="AO1444" s="12" t="inlineStr"/>
      <c r="AP1444" s="13" t="inlineStr"/>
      <c r="AQ1444" s="13" t="inlineStr"/>
      <c r="AR1444" s="13" t="inlineStr"/>
      <c r="AS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7" t="n">
        <v>4524</v>
      </c>
      <c r="AK1445" s="8" t="n">
        <v>1216</v>
      </c>
      <c r="AL1445" s="8" t="n">
        <v>47466</v>
      </c>
      <c r="AM1445" s="11" t="inlineStr"/>
      <c r="AN1445" s="12" t="inlineStr"/>
      <c r="AO1445" s="12" t="inlineStr"/>
      <c r="AP1445" s="13" t="inlineStr"/>
      <c r="AQ1445" s="13" t="inlineStr"/>
      <c r="AR1445" s="13" t="inlineStr"/>
      <c r="AS1445" s="13" t="inlineStr"/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7" t="n">
        <v>170484</v>
      </c>
      <c r="AK1446" s="8" t="n">
        <v>19344</v>
      </c>
      <c r="AL1446" s="8" t="n">
        <v>13789</v>
      </c>
      <c r="AM1446" s="11" t="inlineStr"/>
      <c r="AN1446" s="12" t="inlineStr"/>
      <c r="AO1446" s="12" t="inlineStr"/>
      <c r="AP1446" s="13" t="inlineStr"/>
      <c r="AQ1446" s="13" t="inlineStr"/>
      <c r="AR1446" s="13" t="inlineStr"/>
      <c r="AS1446" s="13" t="inlineStr"/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7" t="n">
        <v>63877</v>
      </c>
      <c r="AK1447" s="8" t="n">
        <v>10696</v>
      </c>
      <c r="AL1447" s="8" t="n">
        <v>16243</v>
      </c>
      <c r="AM1447" s="11" t="inlineStr"/>
      <c r="AN1447" s="12" t="inlineStr"/>
      <c r="AO1447" s="12" t="inlineStr"/>
      <c r="AP1447" s="13" t="inlineStr"/>
      <c r="AQ1447" s="13" t="inlineStr"/>
      <c r="AR1447" s="13" t="inlineStr"/>
      <c r="AS1447" s="13" t="inlineStr"/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7" t="n">
        <v>5034</v>
      </c>
      <c r="AK1448" s="8" t="n">
        <v>-3060</v>
      </c>
      <c r="AL1448" s="8" t="n">
        <v>-12811</v>
      </c>
      <c r="AM1448" s="11" t="inlineStr"/>
      <c r="AN1448" s="12" t="inlineStr"/>
      <c r="AO1448" s="12" t="inlineStr"/>
      <c r="AP1448" s="13" t="inlineStr"/>
      <c r="AQ1448" s="13" t="inlineStr"/>
      <c r="AR1448" s="13" t="inlineStr"/>
      <c r="AS1448" s="13" t="inlineStr"/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7" t="n">
        <v>52570</v>
      </c>
      <c r="AK1449" s="8" t="n">
        <v>-860</v>
      </c>
      <c r="AL1449" s="8" t="n">
        <v>880</v>
      </c>
      <c r="AM1449" s="11" t="inlineStr"/>
      <c r="AN1449" s="12" t="inlineStr"/>
      <c r="AO1449" s="12" t="inlineStr"/>
      <c r="AP1449" s="13" t="inlineStr"/>
      <c r="AQ1449" s="13" t="inlineStr"/>
      <c r="AR1449" s="13" t="inlineStr"/>
      <c r="AS1449" s="13" t="inlineStr"/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7" t="n">
        <v>77316</v>
      </c>
      <c r="AK1450" s="8" t="n">
        <v>2200</v>
      </c>
      <c r="AL1450" s="8" t="n">
        <v>91730</v>
      </c>
      <c r="AM1450" s="11" t="inlineStr"/>
      <c r="AN1450" s="12" t="inlineStr"/>
      <c r="AO1450" s="12" t="inlineStr"/>
      <c r="AP1450" s="13" t="inlineStr"/>
      <c r="AQ1450" s="13" t="inlineStr"/>
      <c r="AR1450" s="13" t="inlineStr"/>
      <c r="AS1450" s="13" t="inlineStr"/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7" t="n">
        <v>30144</v>
      </c>
      <c r="AK1451" s="8" t="n">
        <v>1327</v>
      </c>
      <c r="AL1451" s="8" t="n">
        <v>-5937</v>
      </c>
      <c r="AM1451" s="11" t="inlineStr"/>
      <c r="AN1451" s="12" t="inlineStr"/>
      <c r="AO1451" s="12" t="inlineStr"/>
      <c r="AP1451" s="13" t="inlineStr"/>
      <c r="AQ1451" s="13" t="inlineStr"/>
      <c r="AR1451" s="13" t="inlineStr"/>
      <c r="AS1451" s="13" t="inlineStr"/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7" t="n">
        <v>13465</v>
      </c>
      <c r="AK1452" s="8" t="n">
        <v>963</v>
      </c>
      <c r="AL1452" s="8" t="n">
        <v>950</v>
      </c>
      <c r="AM1452" s="11" t="inlineStr"/>
      <c r="AN1452" s="12" t="inlineStr"/>
      <c r="AO1452" s="12" t="inlineStr"/>
      <c r="AP1452" s="13" t="inlineStr"/>
      <c r="AQ1452" s="13" t="inlineStr"/>
      <c r="AR1452" s="13" t="inlineStr"/>
      <c r="AS1452" s="13" t="inlineStr"/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7" t="n">
        <v>17713</v>
      </c>
      <c r="AK1453" s="8" t="n">
        <v>3443</v>
      </c>
      <c r="AL1453" s="8" t="n">
        <v>3381</v>
      </c>
      <c r="AM1453" s="11" t="inlineStr"/>
      <c r="AN1453" s="12" t="inlineStr"/>
      <c r="AO1453" s="12" t="inlineStr"/>
      <c r="AP1453" s="13" t="inlineStr"/>
      <c r="AQ1453" s="13" t="inlineStr"/>
      <c r="AR1453" s="13" t="inlineStr"/>
      <c r="AS1453" s="13" t="inlineStr"/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7" t="n">
        <v>86097</v>
      </c>
      <c r="AK1454" s="8" t="n">
        <v>22353</v>
      </c>
      <c r="AL1454" s="8" t="n">
        <v>16371</v>
      </c>
      <c r="AM1454" s="11" t="inlineStr"/>
      <c r="AN1454" s="12" t="inlineStr"/>
      <c r="AO1454" s="12" t="inlineStr"/>
      <c r="AP1454" s="13" t="inlineStr"/>
      <c r="AQ1454" s="13" t="inlineStr"/>
      <c r="AR1454" s="13" t="inlineStr"/>
      <c r="AS1454" s="13" t="inlineStr"/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7" t="n">
        <v>108056</v>
      </c>
      <c r="AK1455" s="8" t="n">
        <v>21270</v>
      </c>
      <c r="AL1455" s="8" t="n">
        <v>18130</v>
      </c>
      <c r="AM1455" s="11" t="inlineStr"/>
      <c r="AN1455" s="12" t="inlineStr"/>
      <c r="AO1455" s="12" t="inlineStr"/>
      <c r="AP1455" s="13" t="inlineStr"/>
      <c r="AQ1455" s="13" t="inlineStr"/>
      <c r="AR1455" s="13" t="inlineStr"/>
      <c r="AS1455" s="13" t="inlineStr"/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7" t="n">
        <v>9465</v>
      </c>
      <c r="AK1456" s="8" t="n">
        <v>-806</v>
      </c>
      <c r="AL1456" s="8" t="n">
        <v>2518</v>
      </c>
      <c r="AM1456" s="11" t="inlineStr"/>
      <c r="AN1456" s="12" t="inlineStr"/>
      <c r="AO1456" s="12" t="inlineStr"/>
      <c r="AP1456" s="13" t="inlineStr"/>
      <c r="AQ1456" s="13" t="inlineStr"/>
      <c r="AR1456" s="13" t="inlineStr"/>
      <c r="AS1456" s="13" t="inlineStr"/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7" t="n">
        <v>1510</v>
      </c>
      <c r="AK1457" s="8" t="n">
        <v>-924</v>
      </c>
      <c r="AL1457" s="8" t="n">
        <v>-1475</v>
      </c>
      <c r="AM1457" s="11" t="inlineStr"/>
      <c r="AN1457" s="12" t="inlineStr"/>
      <c r="AO1457" s="12" t="inlineStr"/>
      <c r="AP1457" s="13" t="inlineStr"/>
      <c r="AQ1457" s="13" t="inlineStr"/>
      <c r="AR1457" s="13" t="inlineStr"/>
      <c r="AS1457" s="13" t="inlineStr"/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7" t="n">
        <v>75413</v>
      </c>
      <c r="AK1458" s="8" t="n">
        <v>16531</v>
      </c>
      <c r="AL1458" s="8" t="n">
        <v>15050</v>
      </c>
      <c r="AM1458" s="11" t="inlineStr"/>
      <c r="AN1458" s="12" t="inlineStr"/>
      <c r="AO1458" s="12" t="inlineStr"/>
      <c r="AP1458" s="13" t="inlineStr"/>
      <c r="AQ1458" s="13" t="inlineStr"/>
      <c r="AR1458" s="13" t="inlineStr"/>
      <c r="AS1458" s="13" t="inlineStr"/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7" t="n">
        <v>14205</v>
      </c>
      <c r="AK1459" s="8" t="n">
        <v>960</v>
      </c>
      <c r="AL1459" s="8" t="n">
        <v>1839</v>
      </c>
      <c r="AM1459" s="11" t="inlineStr"/>
      <c r="AN1459" s="12" t="inlineStr"/>
      <c r="AO1459" s="12" t="inlineStr"/>
      <c r="AP1459" s="13" t="inlineStr"/>
      <c r="AQ1459" s="13" t="inlineStr"/>
      <c r="AR1459" s="13" t="inlineStr"/>
      <c r="AS1459" s="13" t="inlineStr"/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7" t="n">
        <v>20212</v>
      </c>
      <c r="AK1460" s="8" t="n">
        <v>5539</v>
      </c>
      <c r="AL1460" s="8" t="n">
        <v>4807</v>
      </c>
      <c r="AM1460" s="11" t="inlineStr"/>
      <c r="AN1460" s="12" t="inlineStr"/>
      <c r="AO1460" s="12" t="inlineStr"/>
      <c r="AP1460" s="13" t="inlineStr"/>
      <c r="AQ1460" s="13" t="inlineStr"/>
      <c r="AR1460" s="13" t="inlineStr"/>
      <c r="AS1460" s="13" t="inlineStr"/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7" t="n">
        <v>332794</v>
      </c>
      <c r="AK1461" s="8" t="n">
        <v>8353</v>
      </c>
      <c r="AL1461" s="8" t="n">
        <v>6999</v>
      </c>
      <c r="AM1461" s="11" t="inlineStr"/>
      <c r="AN1461" s="12" t="inlineStr"/>
      <c r="AO1461" s="12" t="inlineStr"/>
      <c r="AP1461" s="13" t="inlineStr"/>
      <c r="AQ1461" s="13" t="inlineStr"/>
      <c r="AR1461" s="13" t="inlineStr"/>
      <c r="AS1461" s="13" t="inlineStr"/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7" t="n">
        <v>20212</v>
      </c>
      <c r="AK1462" s="8" t="n">
        <v>-5280</v>
      </c>
      <c r="AL1462" s="8" t="n">
        <v>-5370</v>
      </c>
      <c r="AM1462" s="11" t="inlineStr"/>
      <c r="AN1462" s="12" t="inlineStr"/>
      <c r="AO1462" s="12" t="inlineStr"/>
      <c r="AP1462" s="13" t="inlineStr"/>
      <c r="AQ1462" s="13" t="inlineStr"/>
      <c r="AR1462" s="13" t="inlineStr"/>
      <c r="AS1462" s="13" t="inlineStr"/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7" t="n">
        <v>26515</v>
      </c>
      <c r="AK1463" s="8" t="n">
        <v>761</v>
      </c>
      <c r="AL1463" s="8" t="n">
        <v>-594</v>
      </c>
      <c r="AM1463" s="11" t="inlineStr"/>
      <c r="AN1463" s="12" t="inlineStr"/>
      <c r="AO1463" s="12" t="inlineStr"/>
      <c r="AP1463" s="13" t="inlineStr"/>
      <c r="AQ1463" s="13" t="inlineStr"/>
      <c r="AR1463" s="13" t="inlineStr"/>
      <c r="AS1463" s="13" t="inlineStr"/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7" t="n">
        <v>9220</v>
      </c>
      <c r="AK1464" s="8" t="n">
        <v>-1229</v>
      </c>
      <c r="AL1464" s="8" t="n">
        <v>-1366</v>
      </c>
      <c r="AM1464" s="11" t="inlineStr"/>
      <c r="AN1464" s="12" t="inlineStr"/>
      <c r="AO1464" s="12" t="inlineStr"/>
      <c r="AP1464" s="13" t="inlineStr"/>
      <c r="AQ1464" s="13" t="inlineStr"/>
      <c r="AR1464" s="13" t="inlineStr"/>
      <c r="AS1464" s="13" t="inlineStr"/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7" t="n">
        <v>66415</v>
      </c>
      <c r="AK1465" s="8" t="n">
        <v>13595</v>
      </c>
      <c r="AL1465" s="8" t="n">
        <v>12743</v>
      </c>
      <c r="AM1465" s="11" t="inlineStr"/>
      <c r="AN1465" s="12" t="inlineStr"/>
      <c r="AO1465" s="12" t="inlineStr"/>
      <c r="AP1465" s="13" t="inlineStr"/>
      <c r="AQ1465" s="13" t="inlineStr"/>
      <c r="AR1465" s="13" t="inlineStr"/>
      <c r="AS1465" s="13" t="inlineStr"/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7" t="n">
        <v>160092</v>
      </c>
      <c r="AK1466" s="8" t="n">
        <v>9290</v>
      </c>
      <c r="AL1466" s="8" t="n">
        <v>4502</v>
      </c>
      <c r="AM1466" s="11" t="inlineStr"/>
      <c r="AN1466" s="12" t="inlineStr"/>
      <c r="AO1466" s="12" t="inlineStr"/>
      <c r="AP1466" s="13" t="inlineStr"/>
      <c r="AQ1466" s="13" t="inlineStr"/>
      <c r="AR1466" s="13" t="inlineStr"/>
      <c r="AS1466" s="13" t="inlineStr"/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7" t="n">
        <v>1066</v>
      </c>
      <c r="AK1467" s="8" t="n">
        <v>-3446</v>
      </c>
      <c r="AL1467" s="8" t="n">
        <v>-4053</v>
      </c>
      <c r="AM1467" s="11" t="inlineStr"/>
      <c r="AN1467" s="12" t="inlineStr"/>
      <c r="AO1467" s="12" t="inlineStr"/>
      <c r="AP1467" s="13" t="inlineStr"/>
      <c r="AQ1467" s="13" t="inlineStr"/>
      <c r="AR1467" s="13" t="inlineStr"/>
      <c r="AS1467" s="13" t="inlineStr"/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7" t="n">
        <v>8362</v>
      </c>
      <c r="AK1468" s="8" t="n">
        <v>-868</v>
      </c>
      <c r="AL1468" s="8" t="n">
        <v>-1384</v>
      </c>
      <c r="AM1468" s="11" t="inlineStr"/>
      <c r="AN1468" s="12" t="inlineStr"/>
      <c r="AO1468" s="12" t="inlineStr"/>
      <c r="AP1468" s="13" t="inlineStr"/>
      <c r="AQ1468" s="13" t="inlineStr"/>
      <c r="AR1468" s="13" t="inlineStr"/>
      <c r="AS1468" s="13" t="inlineStr"/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7" t="n">
        <v>33703</v>
      </c>
      <c r="AK1469" s="8" t="n">
        <v>-15429</v>
      </c>
      <c r="AL1469" s="8" t="n">
        <v>-14377</v>
      </c>
      <c r="AM1469" s="11" t="inlineStr"/>
      <c r="AN1469" s="12" t="inlineStr"/>
      <c r="AO1469" s="12" t="inlineStr"/>
      <c r="AP1469" s="13" t="inlineStr"/>
      <c r="AQ1469" s="13" t="inlineStr"/>
      <c r="AR1469" s="13" t="inlineStr"/>
      <c r="AS1469" s="13" t="inlineStr"/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7" t="n">
        <v>31830</v>
      </c>
      <c r="AK1470" s="8" t="n">
        <v>5134</v>
      </c>
      <c r="AL1470" s="8" t="n">
        <v>9386</v>
      </c>
      <c r="AM1470" s="11" t="inlineStr"/>
      <c r="AN1470" s="12" t="inlineStr"/>
      <c r="AO1470" s="12" t="inlineStr"/>
      <c r="AP1470" s="13" t="inlineStr"/>
      <c r="AQ1470" s="13" t="inlineStr"/>
      <c r="AR1470" s="13" t="inlineStr"/>
      <c r="AS1470" s="13" t="inlineStr"/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7" t="n">
        <v>19837</v>
      </c>
      <c r="AK1471" s="8" t="n">
        <v>2015</v>
      </c>
      <c r="AL1471" s="8" t="n">
        <v>2620</v>
      </c>
      <c r="AM1471" s="11" t="inlineStr"/>
      <c r="AN1471" s="12" t="inlineStr"/>
      <c r="AO1471" s="12" t="inlineStr"/>
      <c r="AP1471" s="13" t="inlineStr"/>
      <c r="AQ1471" s="13" t="inlineStr"/>
      <c r="AR1471" s="13" t="inlineStr"/>
      <c r="AS1471" s="13" t="inlineStr"/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7" t="n">
        <v>68857</v>
      </c>
      <c r="AK1472" s="8" t="n">
        <v>3522</v>
      </c>
      <c r="AL1472" s="8" t="n">
        <v>3223</v>
      </c>
      <c r="AM1472" s="11" t="inlineStr"/>
      <c r="AN1472" s="12" t="inlineStr"/>
      <c r="AO1472" s="12" t="inlineStr"/>
      <c r="AP1472" s="13" t="inlineStr"/>
      <c r="AQ1472" s="13" t="inlineStr"/>
      <c r="AR1472" s="13" t="inlineStr"/>
      <c r="AS1472" s="13" t="inlineStr"/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7" t="n">
        <v>352379</v>
      </c>
      <c r="AK1473" s="8" t="n">
        <v>46133</v>
      </c>
      <c r="AL1473" s="8" t="n">
        <v>31341</v>
      </c>
      <c r="AM1473" s="11" t="inlineStr"/>
      <c r="AN1473" s="12" t="inlineStr"/>
      <c r="AO1473" s="12" t="inlineStr"/>
      <c r="AP1473" s="13" t="inlineStr"/>
      <c r="AQ1473" s="13" t="inlineStr"/>
      <c r="AR1473" s="13" t="inlineStr"/>
      <c r="AS1473" s="13" t="inlineStr"/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7" t="n">
        <v>4026</v>
      </c>
      <c r="AK1474" s="8" t="n">
        <v>109</v>
      </c>
      <c r="AL1474" s="8" t="n">
        <v>18</v>
      </c>
      <c r="AM1474" s="11" t="inlineStr"/>
      <c r="AN1474" s="12" t="inlineStr"/>
      <c r="AO1474" s="12" t="inlineStr"/>
      <c r="AP1474" s="13" t="inlineStr"/>
      <c r="AQ1474" s="13" t="inlineStr"/>
      <c r="AR1474" s="13" t="inlineStr"/>
      <c r="AS1474" s="13" t="inlineStr"/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7" t="n">
        <v>35845</v>
      </c>
      <c r="AK1475" s="8" t="n">
        <v>-6978</v>
      </c>
      <c r="AL1475" s="8" t="n">
        <v>-6804</v>
      </c>
      <c r="AM1475" s="11" t="inlineStr"/>
      <c r="AN1475" s="12" t="inlineStr"/>
      <c r="AO1475" s="12" t="inlineStr"/>
      <c r="AP1475" s="13" t="inlineStr"/>
      <c r="AQ1475" s="13" t="inlineStr"/>
      <c r="AR1475" s="13" t="inlineStr"/>
      <c r="AS1475" s="13" t="inlineStr"/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7" t="n">
        <v>179011</v>
      </c>
      <c r="AK1476" s="8" t="n">
        <v>27255</v>
      </c>
      <c r="AL1476" s="8" t="n">
        <v>15388</v>
      </c>
      <c r="AM1476" s="11" t="inlineStr"/>
      <c r="AN1476" s="12" t="inlineStr"/>
      <c r="AO1476" s="12" t="inlineStr"/>
      <c r="AP1476" s="13" t="inlineStr"/>
      <c r="AQ1476" s="13" t="inlineStr"/>
      <c r="AR1476" s="13" t="inlineStr"/>
      <c r="AS1476" s="13" t="inlineStr"/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7" t="n">
        <v>50591</v>
      </c>
      <c r="AK1477" s="8" t="n">
        <v>-785</v>
      </c>
      <c r="AL1477" s="8" t="n">
        <v>-2186</v>
      </c>
      <c r="AM1477" s="11" t="inlineStr"/>
      <c r="AN1477" s="12" t="inlineStr"/>
      <c r="AO1477" s="12" t="inlineStr"/>
      <c r="AP1477" s="13" t="inlineStr"/>
      <c r="AQ1477" s="13" t="inlineStr"/>
      <c r="AR1477" s="13" t="inlineStr"/>
      <c r="AS1477" s="13" t="inlineStr"/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7" t="n">
        <v>1470322</v>
      </c>
      <c r="AK1478" s="8" t="n">
        <v>125211</v>
      </c>
      <c r="AL1478" s="8" t="n">
        <v>82480</v>
      </c>
      <c r="AM1478" s="11" t="inlineStr"/>
      <c r="AN1478" s="12" t="inlineStr"/>
      <c r="AO1478" s="12" t="inlineStr"/>
      <c r="AP1478" s="13" t="inlineStr"/>
      <c r="AQ1478" s="13" t="inlineStr"/>
      <c r="AR1478" s="13" t="inlineStr"/>
      <c r="AS1478" s="13" t="inlineStr"/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7" t="n">
        <v>12796</v>
      </c>
      <c r="AK1479" s="8" t="n">
        <v>415</v>
      </c>
      <c r="AL1479" s="8" t="n">
        <v>635</v>
      </c>
      <c r="AM1479" s="11" t="inlineStr"/>
      <c r="AN1479" s="12" t="inlineStr"/>
      <c r="AO1479" s="12" t="inlineStr"/>
      <c r="AP1479" s="13" t="inlineStr"/>
      <c r="AQ1479" s="13" t="inlineStr"/>
      <c r="AR1479" s="13" t="inlineStr"/>
      <c r="AS1479" s="13" t="inlineStr"/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7" t="n">
        <v>637385</v>
      </c>
      <c r="AK1480" s="8" t="n">
        <v>71962</v>
      </c>
      <c r="AL1480" s="8" t="n">
        <v>49942</v>
      </c>
      <c r="AM1480" s="11" t="inlineStr"/>
      <c r="AN1480" s="12" t="inlineStr"/>
      <c r="AO1480" s="12" t="inlineStr"/>
      <c r="AP1480" s="13" t="inlineStr"/>
      <c r="AQ1480" s="13" t="inlineStr"/>
      <c r="AR1480" s="13" t="inlineStr"/>
      <c r="AS1480" s="13" t="inlineStr"/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7" t="n">
        <v>49251</v>
      </c>
      <c r="AK1481" s="8" t="n">
        <v>102</v>
      </c>
      <c r="AL1481" s="8" t="n">
        <v>-654</v>
      </c>
      <c r="AM1481" s="11" t="inlineStr"/>
      <c r="AN1481" s="12" t="inlineStr"/>
      <c r="AO1481" s="12" t="inlineStr"/>
      <c r="AP1481" s="13" t="inlineStr"/>
      <c r="AQ1481" s="13" t="inlineStr"/>
      <c r="AR1481" s="13" t="inlineStr"/>
      <c r="AS1481" s="13" t="inlineStr"/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7" t="n">
        <v>16444</v>
      </c>
      <c r="AK1482" s="8" t="n">
        <v>-154</v>
      </c>
      <c r="AL1482" s="8" t="n">
        <v>-716</v>
      </c>
      <c r="AM1482" s="11" t="inlineStr"/>
      <c r="AN1482" s="12" t="inlineStr"/>
      <c r="AO1482" s="12" t="inlineStr"/>
      <c r="AP1482" s="13" t="inlineStr"/>
      <c r="AQ1482" s="13" t="inlineStr"/>
      <c r="AR1482" s="13" t="inlineStr"/>
      <c r="AS1482" s="13" t="inlineStr"/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7" t="n">
        <v>10597</v>
      </c>
      <c r="AK1483" s="8" t="n">
        <v>496</v>
      </c>
      <c r="AL1483" s="8" t="n">
        <v>240</v>
      </c>
      <c r="AM1483" s="11" t="inlineStr"/>
      <c r="AN1483" s="12" t="inlineStr"/>
      <c r="AO1483" s="12" t="inlineStr"/>
      <c r="AP1483" s="13" t="inlineStr"/>
      <c r="AQ1483" s="13" t="inlineStr"/>
      <c r="AR1483" s="13" t="inlineStr"/>
      <c r="AS1483" s="13" t="inlineStr"/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7" t="n">
        <v>36762</v>
      </c>
      <c r="AK1484" s="8" t="n">
        <v>1076</v>
      </c>
      <c r="AL1484" s="8" t="n">
        <v>1523</v>
      </c>
      <c r="AM1484" s="11" t="inlineStr"/>
      <c r="AN1484" s="12" t="inlineStr"/>
      <c r="AO1484" s="12" t="inlineStr"/>
      <c r="AP1484" s="13" t="inlineStr"/>
      <c r="AQ1484" s="13" t="inlineStr"/>
      <c r="AR1484" s="13" t="inlineStr"/>
      <c r="AS1484" s="13" t="inlineStr"/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7" t="n">
        <v>129538</v>
      </c>
      <c r="AK1485" s="8" t="n">
        <v>21469</v>
      </c>
      <c r="AL1485" s="8" t="n">
        <v>41079</v>
      </c>
      <c r="AM1485" s="11" t="inlineStr"/>
      <c r="AN1485" s="12" t="inlineStr"/>
      <c r="AO1485" s="12" t="inlineStr"/>
      <c r="AP1485" s="13" t="inlineStr"/>
      <c r="AQ1485" s="13" t="inlineStr"/>
      <c r="AR1485" s="13" t="inlineStr"/>
      <c r="AS1485" s="13" t="inlineStr"/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7" t="n">
        <v>25795</v>
      </c>
      <c r="AK1486" s="8" t="n">
        <v>1455</v>
      </c>
      <c r="AL1486" s="8" t="n">
        <v>1136</v>
      </c>
      <c r="AM1486" s="11" t="inlineStr"/>
      <c r="AN1486" s="12" t="inlineStr"/>
      <c r="AO1486" s="12" t="inlineStr"/>
      <c r="AP1486" s="13" t="inlineStr"/>
      <c r="AQ1486" s="13" t="inlineStr"/>
      <c r="AR1486" s="13" t="inlineStr"/>
      <c r="AS1486" s="13" t="inlineStr"/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7" t="n">
        <v>19299</v>
      </c>
      <c r="AK1487" s="8" t="n">
        <v>773</v>
      </c>
      <c r="AL1487" s="8" t="n">
        <v>230</v>
      </c>
      <c r="AM1487" s="11" t="inlineStr"/>
      <c r="AN1487" s="12" t="inlineStr"/>
      <c r="AO1487" s="12" t="inlineStr"/>
      <c r="AP1487" s="13" t="inlineStr"/>
      <c r="AQ1487" s="13" t="inlineStr"/>
      <c r="AR1487" s="13" t="inlineStr"/>
      <c r="AS1487" s="13" t="inlineStr"/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7" t="n">
        <v>173810</v>
      </c>
      <c r="AK1488" s="8" t="n">
        <v>-6284</v>
      </c>
      <c r="AL1488" s="8" t="n">
        <v>-1795</v>
      </c>
      <c r="AM1488" s="11" t="inlineStr"/>
      <c r="AN1488" s="12" t="inlineStr"/>
      <c r="AO1488" s="12" t="inlineStr"/>
      <c r="AP1488" s="13" t="inlineStr"/>
      <c r="AQ1488" s="13" t="inlineStr"/>
      <c r="AR1488" s="13" t="inlineStr"/>
      <c r="AS1488" s="13" t="inlineStr"/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7" t="n">
        <v>92297</v>
      </c>
      <c r="AK1489" s="8" t="n">
        <v>14583</v>
      </c>
      <c r="AL1489" s="8" t="n">
        <v>13190</v>
      </c>
      <c r="AM1489" s="11" t="inlineStr"/>
      <c r="AN1489" s="12" t="inlineStr"/>
      <c r="AO1489" s="12" t="inlineStr"/>
      <c r="AP1489" s="13" t="inlineStr"/>
      <c r="AQ1489" s="13" t="inlineStr"/>
      <c r="AR1489" s="13" t="inlineStr"/>
      <c r="AS1489" s="13" t="inlineStr"/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7" t="n">
        <v>18413</v>
      </c>
      <c r="AK1490" s="8" t="n">
        <v>-1837</v>
      </c>
      <c r="AL1490" s="8" t="n">
        <v>-7587</v>
      </c>
      <c r="AM1490" s="11" t="inlineStr"/>
      <c r="AN1490" s="12" t="inlineStr"/>
      <c r="AO1490" s="12" t="inlineStr"/>
      <c r="AP1490" s="13" t="inlineStr"/>
      <c r="AQ1490" s="13" t="inlineStr"/>
      <c r="AR1490" s="13" t="inlineStr"/>
      <c r="AS1490" s="13" t="inlineStr"/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7" t="n">
        <v>8827</v>
      </c>
      <c r="AK1491" s="8" t="n">
        <v>-6063</v>
      </c>
      <c r="AL1491" s="8" t="n">
        <v>-17235</v>
      </c>
      <c r="AM1491" s="11" t="inlineStr"/>
      <c r="AN1491" s="12" t="inlineStr"/>
      <c r="AO1491" s="12" t="inlineStr"/>
      <c r="AP1491" s="13" t="inlineStr"/>
      <c r="AQ1491" s="13" t="inlineStr"/>
      <c r="AR1491" s="13" t="inlineStr"/>
      <c r="AS1491" s="13" t="inlineStr"/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8" t="n">
        <v>2712548</v>
      </c>
      <c r="AL1492" s="8" t="n">
        <v>2010508</v>
      </c>
      <c r="AM1492" s="11" t="inlineStr"/>
      <c r="AN1492" s="12" t="inlineStr"/>
      <c r="AO1492" s="12" t="inlineStr"/>
      <c r="AP1492" s="13" t="inlineStr"/>
      <c r="AQ1492" s="13" t="inlineStr"/>
      <c r="AR1492" s="13" t="inlineStr"/>
      <c r="AS1492" s="13" t="inlineStr"/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7" t="n">
        <v>561596</v>
      </c>
      <c r="AK1493" s="8" t="n">
        <v>36094</v>
      </c>
      <c r="AL1493" s="8" t="n">
        <v>13141</v>
      </c>
      <c r="AM1493" s="11" t="inlineStr"/>
      <c r="AN1493" s="12" t="inlineStr"/>
      <c r="AO1493" s="12" t="inlineStr"/>
      <c r="AP1493" s="13" t="inlineStr"/>
      <c r="AQ1493" s="13" t="inlineStr"/>
      <c r="AR1493" s="13" t="inlineStr"/>
      <c r="AS1493" s="13" t="inlineStr"/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7" t="n">
        <v>39520</v>
      </c>
      <c r="AK1494" s="8" t="n">
        <v>3807</v>
      </c>
      <c r="AL1494" s="8" t="n">
        <v>3488</v>
      </c>
      <c r="AM1494" s="11" t="inlineStr"/>
      <c r="AN1494" s="12" t="inlineStr"/>
      <c r="AO1494" s="12" t="inlineStr"/>
      <c r="AP1494" s="13" t="inlineStr"/>
      <c r="AQ1494" s="13" t="inlineStr"/>
      <c r="AR1494" s="13" t="inlineStr"/>
      <c r="AS1494" s="13" t="inlineStr"/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7" t="n">
        <v>36611</v>
      </c>
      <c r="AK1495" s="8" t="n">
        <v>6320</v>
      </c>
      <c r="AL1495" s="8" t="n">
        <v>6660</v>
      </c>
      <c r="AM1495" s="11" t="inlineStr"/>
      <c r="AN1495" s="12" t="inlineStr"/>
      <c r="AO1495" s="12" t="inlineStr"/>
      <c r="AP1495" s="13" t="inlineStr"/>
      <c r="AQ1495" s="13" t="inlineStr"/>
      <c r="AR1495" s="13" t="inlineStr"/>
      <c r="AS1495" s="13" t="inlineStr"/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7" t="n">
        <v>30893</v>
      </c>
      <c r="AK1496" s="8" t="n">
        <v>814</v>
      </c>
      <c r="AL1496" s="8" t="n">
        <v>328</v>
      </c>
      <c r="AM1496" s="11" t="inlineStr"/>
      <c r="AN1496" s="12" t="inlineStr"/>
      <c r="AO1496" s="12" t="inlineStr"/>
      <c r="AP1496" s="13" t="inlineStr"/>
      <c r="AQ1496" s="13" t="inlineStr"/>
      <c r="AR1496" s="13" t="inlineStr"/>
      <c r="AS1496" s="13" t="inlineStr"/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7" t="n">
        <v>306</v>
      </c>
      <c r="AK1497" s="8" t="n">
        <v>-2620</v>
      </c>
      <c r="AL1497" s="8" t="n">
        <v>-2417</v>
      </c>
      <c r="AM1497" s="11" t="inlineStr"/>
      <c r="AN1497" s="12" t="inlineStr"/>
      <c r="AO1497" s="12" t="inlineStr"/>
      <c r="AP1497" s="13" t="inlineStr"/>
      <c r="AQ1497" s="13" t="inlineStr"/>
      <c r="AR1497" s="13" t="inlineStr"/>
      <c r="AS1497" s="13" t="inlineStr"/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7" t="n">
        <v>23379</v>
      </c>
      <c r="AK1498" s="8" t="n">
        <v>6293</v>
      </c>
      <c r="AL1498" s="8" t="n">
        <v>5245</v>
      </c>
      <c r="AM1498" s="11" t="inlineStr"/>
      <c r="AN1498" s="12" t="inlineStr"/>
      <c r="AO1498" s="12" t="inlineStr"/>
      <c r="AP1498" s="13" t="inlineStr"/>
      <c r="AQ1498" s="13" t="inlineStr"/>
      <c r="AR1498" s="13" t="inlineStr"/>
      <c r="AS1498" s="13" t="inlineStr"/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7" t="n">
        <v>12126</v>
      </c>
      <c r="AK1499" s="8" t="n">
        <v>-2341</v>
      </c>
      <c r="AL1499" s="8" t="n">
        <v>-3414</v>
      </c>
      <c r="AM1499" s="11" t="inlineStr"/>
      <c r="AN1499" s="12" t="inlineStr"/>
      <c r="AO1499" s="12" t="inlineStr"/>
      <c r="AP1499" s="13" t="inlineStr"/>
      <c r="AQ1499" s="13" t="inlineStr"/>
      <c r="AR1499" s="13" t="inlineStr"/>
      <c r="AS1499" s="13" t="inlineStr"/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7" t="inlineStr"/>
      <c r="AK1500" s="8" t="inlineStr"/>
      <c r="AL1500" s="8" t="inlineStr"/>
      <c r="AM1500" s="11" t="inlineStr"/>
      <c r="AN1500" s="12" t="inlineStr"/>
      <c r="AO1500" s="12" t="inlineStr"/>
      <c r="AP1500" s="13" t="inlineStr"/>
      <c r="AQ1500" s="13" t="inlineStr"/>
      <c r="AR1500" s="13" t="inlineStr"/>
      <c r="AS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7" t="n">
        <v>160480</v>
      </c>
      <c r="AK1501" s="8" t="n">
        <v>17487</v>
      </c>
      <c r="AL1501" s="8" t="n">
        <v>10867</v>
      </c>
      <c r="AM1501" s="11" t="inlineStr"/>
      <c r="AN1501" s="12" t="inlineStr"/>
      <c r="AO1501" s="12" t="inlineStr"/>
      <c r="AP1501" s="13" t="inlineStr"/>
      <c r="AQ1501" s="13" t="inlineStr"/>
      <c r="AR1501" s="13" t="inlineStr"/>
      <c r="AS1501" s="13" t="inlineStr"/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7" t="n">
        <v>17379</v>
      </c>
      <c r="AK1502" s="8" t="n">
        <v>867</v>
      </c>
      <c r="AL1502" s="8" t="n">
        <v>828</v>
      </c>
      <c r="AM1502" s="11" t="inlineStr"/>
      <c r="AN1502" s="12" t="inlineStr"/>
      <c r="AO1502" s="12" t="inlineStr"/>
      <c r="AP1502" s="13" t="inlineStr"/>
      <c r="AQ1502" s="13" t="inlineStr"/>
      <c r="AR1502" s="13" t="inlineStr"/>
      <c r="AS1502" s="13" t="inlineStr"/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7" t="n">
        <v>42578</v>
      </c>
      <c r="AK1503" s="8" t="n">
        <v>-6946</v>
      </c>
      <c r="AL1503" s="8" t="n">
        <v>-2200</v>
      </c>
      <c r="AM1503" s="11" t="inlineStr"/>
      <c r="AN1503" s="12" t="inlineStr"/>
      <c r="AO1503" s="12" t="inlineStr"/>
      <c r="AP1503" s="13" t="inlineStr"/>
      <c r="AQ1503" s="13" t="inlineStr"/>
      <c r="AR1503" s="13" t="inlineStr"/>
      <c r="AS1503" s="13" t="inlineStr"/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7" t="n">
        <v>40843</v>
      </c>
      <c r="AK1504" s="8" t="n">
        <v>-6507</v>
      </c>
      <c r="AL1504" s="8" t="n">
        <v>-2880</v>
      </c>
      <c r="AM1504" s="11" t="inlineStr"/>
      <c r="AN1504" s="12" t="inlineStr"/>
      <c r="AO1504" s="12" t="inlineStr"/>
      <c r="AP1504" s="13" t="inlineStr"/>
      <c r="AQ1504" s="13" t="inlineStr"/>
      <c r="AR1504" s="13" t="inlineStr"/>
      <c r="AS1504" s="13" t="inlineStr"/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7" t="n">
        <v>401153</v>
      </c>
      <c r="AK1505" s="8" t="n">
        <v>22006</v>
      </c>
      <c r="AL1505" s="8" t="n">
        <v>17887</v>
      </c>
      <c r="AM1505" s="11" t="inlineStr"/>
      <c r="AN1505" s="12" t="inlineStr"/>
      <c r="AO1505" s="12" t="inlineStr"/>
      <c r="AP1505" s="13" t="inlineStr"/>
      <c r="AQ1505" s="13" t="inlineStr"/>
      <c r="AR1505" s="13" t="inlineStr"/>
      <c r="AS1505" s="13" t="inlineStr"/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7" t="n">
        <v>70834</v>
      </c>
      <c r="AK1506" s="8" t="n">
        <v>7559</v>
      </c>
      <c r="AL1506" s="8" t="n">
        <v>7664</v>
      </c>
      <c r="AM1506" s="11" t="inlineStr"/>
      <c r="AN1506" s="12" t="inlineStr"/>
      <c r="AO1506" s="12" t="inlineStr"/>
      <c r="AP1506" s="13" t="inlineStr"/>
      <c r="AQ1506" s="13" t="inlineStr"/>
      <c r="AR1506" s="13" t="inlineStr"/>
      <c r="AS1506" s="13" t="inlineStr"/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7" t="n">
        <v>15372</v>
      </c>
      <c r="AK1507" s="8" t="n">
        <v>1981</v>
      </c>
      <c r="AL1507" s="8" t="n">
        <v>2626</v>
      </c>
      <c r="AM1507" s="11" t="inlineStr"/>
      <c r="AN1507" s="12" t="inlineStr"/>
      <c r="AO1507" s="12" t="inlineStr"/>
      <c r="AP1507" s="13" t="inlineStr"/>
      <c r="AQ1507" s="13" t="inlineStr"/>
      <c r="AR1507" s="13" t="inlineStr"/>
      <c r="AS1507" s="13" t="inlineStr"/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7" t="n">
        <v>939692</v>
      </c>
      <c r="AK1508" s="8" t="n">
        <v>54903</v>
      </c>
      <c r="AL1508" s="8" t="n">
        <v>47092</v>
      </c>
      <c r="AM1508" s="11" t="inlineStr"/>
      <c r="AN1508" s="12" t="inlineStr"/>
      <c r="AO1508" s="12" t="inlineStr"/>
      <c r="AP1508" s="13" t="inlineStr"/>
      <c r="AQ1508" s="13" t="inlineStr"/>
      <c r="AR1508" s="13" t="inlineStr"/>
      <c r="AS1508" s="13" t="inlineStr"/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7" t="n">
        <v>33344</v>
      </c>
      <c r="AK1509" s="8" t="n">
        <v>1780</v>
      </c>
      <c r="AL1509" s="8" t="n">
        <v>-298</v>
      </c>
      <c r="AM1509" s="11" t="inlineStr"/>
      <c r="AN1509" s="12" t="inlineStr"/>
      <c r="AO1509" s="12" t="inlineStr"/>
      <c r="AP1509" s="13" t="inlineStr"/>
      <c r="AQ1509" s="13" t="inlineStr"/>
      <c r="AR1509" s="13" t="inlineStr"/>
      <c r="AS1509" s="13" t="inlineStr"/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7" t="n">
        <v>24251</v>
      </c>
      <c r="AK1510" s="8" t="n">
        <v>-267</v>
      </c>
      <c r="AL1510" s="8" t="n">
        <v>524</v>
      </c>
      <c r="AM1510" s="11" t="inlineStr"/>
      <c r="AN1510" s="12" t="inlineStr"/>
      <c r="AO1510" s="12" t="inlineStr"/>
      <c r="AP1510" s="13" t="inlineStr"/>
      <c r="AQ1510" s="13" t="inlineStr"/>
      <c r="AR1510" s="13" t="inlineStr"/>
      <c r="AS1510" s="13" t="inlineStr"/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7" t="n">
        <v>6579</v>
      </c>
      <c r="AK1511" s="8" t="n">
        <v>1259</v>
      </c>
      <c r="AL1511" s="8" t="n">
        <v>1883</v>
      </c>
      <c r="AM1511" s="11" t="inlineStr"/>
      <c r="AN1511" s="12" t="inlineStr"/>
      <c r="AO1511" s="12" t="inlineStr"/>
      <c r="AP1511" s="13" t="inlineStr"/>
      <c r="AQ1511" s="13" t="inlineStr"/>
      <c r="AR1511" s="13" t="inlineStr"/>
      <c r="AS1511" s="13" t="inlineStr"/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7" t="n">
        <v>152404</v>
      </c>
      <c r="AK1512" s="8" t="n">
        <v>-1013</v>
      </c>
      <c r="AL1512" s="8" t="n">
        <v>-5365</v>
      </c>
      <c r="AM1512" s="11" t="inlineStr"/>
      <c r="AN1512" s="12" t="inlineStr"/>
      <c r="AO1512" s="12" t="inlineStr"/>
      <c r="AP1512" s="13" t="inlineStr"/>
      <c r="AQ1512" s="13" t="inlineStr"/>
      <c r="AR1512" s="13" t="inlineStr"/>
      <c r="AS1512" s="13" t="inlineStr"/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7" t="n">
        <v>40407</v>
      </c>
      <c r="AK1513" s="8" t="n">
        <v>1613</v>
      </c>
      <c r="AL1513" s="8" t="n">
        <v>1754</v>
      </c>
      <c r="AM1513" s="11" t="inlineStr"/>
      <c r="AN1513" s="12" t="inlineStr"/>
      <c r="AO1513" s="12" t="inlineStr"/>
      <c r="AP1513" s="13" t="inlineStr"/>
      <c r="AQ1513" s="13" t="inlineStr"/>
      <c r="AR1513" s="13" t="inlineStr"/>
      <c r="AS1513" s="13" t="inlineStr"/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7" t="n">
        <v>6431</v>
      </c>
      <c r="AK1514" s="8" t="n">
        <v>-3064</v>
      </c>
      <c r="AL1514" s="8" t="n">
        <v>-2089</v>
      </c>
      <c r="AM1514" s="11" t="inlineStr"/>
      <c r="AN1514" s="12" t="inlineStr"/>
      <c r="AO1514" s="12" t="inlineStr"/>
      <c r="AP1514" s="13" t="inlineStr"/>
      <c r="AQ1514" s="13" t="inlineStr"/>
      <c r="AR1514" s="13" t="inlineStr"/>
      <c r="AS1514" s="13" t="inlineStr"/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7" t="n">
        <v>2911</v>
      </c>
      <c r="AK1515" s="8" t="n">
        <v>393</v>
      </c>
      <c r="AL1515" s="8" t="n">
        <v>689</v>
      </c>
      <c r="AM1515" s="11" t="inlineStr"/>
      <c r="AN1515" s="12" t="inlineStr"/>
      <c r="AO1515" s="12" t="inlineStr"/>
      <c r="AP1515" s="13" t="inlineStr"/>
      <c r="AQ1515" s="13" t="inlineStr"/>
      <c r="AR1515" s="13" t="inlineStr"/>
      <c r="AS1515" s="13" t="inlineStr"/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7" t="n">
        <v>30302</v>
      </c>
      <c r="AK1516" s="8" t="n">
        <v>2362</v>
      </c>
      <c r="AL1516" s="8" t="n">
        <v>2404</v>
      </c>
      <c r="AM1516" s="11" t="inlineStr"/>
      <c r="AN1516" s="12" t="inlineStr"/>
      <c r="AO1516" s="12" t="inlineStr"/>
      <c r="AP1516" s="13" t="inlineStr"/>
      <c r="AQ1516" s="13" t="inlineStr"/>
      <c r="AR1516" s="13" t="inlineStr"/>
      <c r="AS1516" s="13" t="inlineStr"/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7" t="n">
        <v>3403</v>
      </c>
      <c r="AK1517" s="8" t="n">
        <v>81</v>
      </c>
      <c r="AL1517" s="8" t="n">
        <v>46086</v>
      </c>
      <c r="AM1517" s="11" t="inlineStr"/>
      <c r="AN1517" s="12" t="inlineStr"/>
      <c r="AO1517" s="12" t="inlineStr"/>
      <c r="AP1517" s="13" t="inlineStr"/>
      <c r="AQ1517" s="13" t="inlineStr"/>
      <c r="AR1517" s="13" t="inlineStr"/>
      <c r="AS1517" s="13" t="inlineStr"/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7" t="n">
        <v>2937</v>
      </c>
      <c r="AK1518" s="8" t="n">
        <v>-261</v>
      </c>
      <c r="AL1518" s="8" t="n">
        <v>-219</v>
      </c>
      <c r="AM1518" s="11" t="inlineStr"/>
      <c r="AN1518" s="12" t="inlineStr"/>
      <c r="AO1518" s="12" t="inlineStr"/>
      <c r="AP1518" s="13" t="inlineStr"/>
      <c r="AQ1518" s="13" t="inlineStr"/>
      <c r="AR1518" s="13" t="inlineStr"/>
      <c r="AS1518" s="13" t="inlineStr"/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7" t="n">
        <v>89809</v>
      </c>
      <c r="AK1519" s="8" t="n">
        <v>10880</v>
      </c>
      <c r="AL1519" s="8" t="n">
        <v>7041</v>
      </c>
      <c r="AM1519" s="11" t="inlineStr"/>
      <c r="AN1519" s="12" t="inlineStr"/>
      <c r="AO1519" s="12" t="inlineStr"/>
      <c r="AP1519" s="13" t="inlineStr"/>
      <c r="AQ1519" s="13" t="inlineStr"/>
      <c r="AR1519" s="13" t="inlineStr"/>
      <c r="AS1519" s="13" t="inlineStr"/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7" t="n">
        <v>41601</v>
      </c>
      <c r="AK1520" s="8" t="n">
        <v>14097</v>
      </c>
      <c r="AL1520" s="8" t="n">
        <v>13678</v>
      </c>
      <c r="AM1520" s="11" t="inlineStr"/>
      <c r="AN1520" s="12" t="inlineStr"/>
      <c r="AO1520" s="12" t="inlineStr"/>
      <c r="AP1520" s="13" t="inlineStr"/>
      <c r="AQ1520" s="13" t="inlineStr"/>
      <c r="AR1520" s="13" t="inlineStr"/>
      <c r="AS1520" s="13" t="inlineStr"/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7" t="n">
        <v>110982</v>
      </c>
      <c r="AK1521" s="8" t="n">
        <v>4354</v>
      </c>
      <c r="AL1521" s="8" t="n">
        <v>303</v>
      </c>
      <c r="AM1521" s="11" t="inlineStr"/>
      <c r="AN1521" s="12" t="inlineStr"/>
      <c r="AO1521" s="12" t="inlineStr"/>
      <c r="AP1521" s="13" t="inlineStr"/>
      <c r="AQ1521" s="13" t="inlineStr"/>
      <c r="AR1521" s="13" t="inlineStr"/>
      <c r="AS1521" s="13" t="inlineStr"/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7" t="n">
        <v>71295</v>
      </c>
      <c r="AK1522" s="8" t="n">
        <v>9028</v>
      </c>
      <c r="AL1522" s="8" t="n">
        <v>8447</v>
      </c>
      <c r="AM1522" s="11" t="inlineStr"/>
      <c r="AN1522" s="12" t="inlineStr"/>
      <c r="AO1522" s="12" t="inlineStr"/>
      <c r="AP1522" s="13" t="inlineStr"/>
      <c r="AQ1522" s="13" t="inlineStr"/>
      <c r="AR1522" s="13" t="inlineStr"/>
      <c r="AS1522" s="13" t="inlineStr"/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7" t="n">
        <v>5493</v>
      </c>
      <c r="AK1523" s="8" t="n">
        <v>1093</v>
      </c>
      <c r="AL1523" s="8" t="n">
        <v>2938</v>
      </c>
      <c r="AM1523" s="11" t="inlineStr"/>
      <c r="AN1523" s="12" t="inlineStr"/>
      <c r="AO1523" s="12" t="inlineStr"/>
      <c r="AP1523" s="13" t="inlineStr"/>
      <c r="AQ1523" s="13" t="inlineStr"/>
      <c r="AR1523" s="13" t="inlineStr"/>
      <c r="AS1523" s="13" t="inlineStr"/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7" t="n">
        <v>1231732</v>
      </c>
      <c r="AK1524" s="8" t="n">
        <v>175571</v>
      </c>
      <c r="AL1524" s="8" t="n">
        <v>155284</v>
      </c>
      <c r="AM1524" s="11" t="inlineStr"/>
      <c r="AN1524" s="12" t="inlineStr"/>
      <c r="AO1524" s="12" t="inlineStr"/>
      <c r="AP1524" s="13" t="inlineStr"/>
      <c r="AQ1524" s="13" t="inlineStr"/>
      <c r="AR1524" s="13" t="inlineStr"/>
      <c r="AS1524" s="13" t="inlineStr"/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7" t="n">
        <v>108274</v>
      </c>
      <c r="AK1525" s="8" t="n">
        <v>-20962</v>
      </c>
      <c r="AL1525" s="8" t="n">
        <v>3457</v>
      </c>
      <c r="AM1525" s="11" t="inlineStr"/>
      <c r="AN1525" s="12" t="inlineStr"/>
      <c r="AO1525" s="12" t="inlineStr"/>
      <c r="AP1525" s="13" t="inlineStr"/>
      <c r="AQ1525" s="13" t="inlineStr"/>
      <c r="AR1525" s="13" t="inlineStr"/>
      <c r="AS1525" s="13" t="inlineStr"/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7" t="n">
        <v>27065</v>
      </c>
      <c r="AK1526" s="8" t="n">
        <v>2121</v>
      </c>
      <c r="AL1526" s="8" t="n">
        <v>-466</v>
      </c>
      <c r="AM1526" s="11" t="inlineStr"/>
      <c r="AN1526" s="12" t="inlineStr"/>
      <c r="AO1526" s="12" t="inlineStr"/>
      <c r="AP1526" s="13" t="inlineStr"/>
      <c r="AQ1526" s="13" t="inlineStr"/>
      <c r="AR1526" s="13" t="inlineStr"/>
      <c r="AS1526" s="13" t="inlineStr"/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7" t="n">
        <v>686396</v>
      </c>
      <c r="AK1527" s="8" t="n">
        <v>86031</v>
      </c>
      <c r="AL1527" s="8" t="n">
        <v>61062</v>
      </c>
      <c r="AM1527" s="11" t="inlineStr"/>
      <c r="AN1527" s="12" t="inlineStr"/>
      <c r="AO1527" s="12" t="inlineStr"/>
      <c r="AP1527" s="13" t="inlineStr"/>
      <c r="AQ1527" s="13" t="inlineStr"/>
      <c r="AR1527" s="13" t="inlineStr"/>
      <c r="AS1527" s="13" t="inlineStr"/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7" t="n">
        <v>23499</v>
      </c>
      <c r="AK1528" s="8" t="n">
        <v>2220</v>
      </c>
      <c r="AL1528" s="8" t="n">
        <v>2122</v>
      </c>
      <c r="AM1528" s="11" t="inlineStr"/>
      <c r="AN1528" s="12" t="inlineStr"/>
      <c r="AO1528" s="12" t="inlineStr"/>
      <c r="AP1528" s="13" t="inlineStr"/>
      <c r="AQ1528" s="13" t="inlineStr"/>
      <c r="AR1528" s="13" t="inlineStr"/>
      <c r="AS1528" s="13" t="inlineStr"/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7" t="n">
        <v>120451</v>
      </c>
      <c r="AK1529" s="8" t="n">
        <v>20835</v>
      </c>
      <c r="AL1529" s="8" t="n">
        <v>18015</v>
      </c>
      <c r="AM1529" s="11" t="inlineStr"/>
      <c r="AN1529" s="12" t="inlineStr"/>
      <c r="AO1529" s="12" t="inlineStr"/>
      <c r="AP1529" s="13" t="inlineStr"/>
      <c r="AQ1529" s="13" t="inlineStr"/>
      <c r="AR1529" s="13" t="inlineStr"/>
      <c r="AS1529" s="13" t="inlineStr"/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7" t="n">
        <v>47481</v>
      </c>
      <c r="AK1530" s="8" t="n">
        <v>-95</v>
      </c>
      <c r="AL1530" s="8" t="n">
        <v>-762</v>
      </c>
      <c r="AM1530" s="11" t="inlineStr"/>
      <c r="AN1530" s="12" t="inlineStr"/>
      <c r="AO1530" s="12" t="inlineStr"/>
      <c r="AP1530" s="13" t="inlineStr"/>
      <c r="AQ1530" s="13" t="inlineStr"/>
      <c r="AR1530" s="13" t="inlineStr"/>
      <c r="AS1530" s="13" t="inlineStr"/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7" t="n">
        <v>19037</v>
      </c>
      <c r="AK1531" s="8" t="n">
        <v>1804</v>
      </c>
      <c r="AL1531" s="8" t="n">
        <v>4381</v>
      </c>
      <c r="AM1531" s="11" t="inlineStr"/>
      <c r="AN1531" s="12" t="inlineStr"/>
      <c r="AO1531" s="12" t="inlineStr"/>
      <c r="AP1531" s="13" t="inlineStr"/>
      <c r="AQ1531" s="13" t="inlineStr"/>
      <c r="AR1531" s="13" t="inlineStr"/>
      <c r="AS1531" s="13" t="inlineStr"/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7" t="n">
        <v>22508</v>
      </c>
      <c r="AK1532" s="8" t="n">
        <v>1464</v>
      </c>
      <c r="AL1532" s="8" t="n">
        <v>1387</v>
      </c>
      <c r="AM1532" s="11" t="inlineStr"/>
      <c r="AN1532" s="12" t="inlineStr"/>
      <c r="AO1532" s="12" t="inlineStr"/>
      <c r="AP1532" s="13" t="inlineStr"/>
      <c r="AQ1532" s="13" t="inlineStr"/>
      <c r="AR1532" s="13" t="inlineStr"/>
      <c r="AS1532" s="13" t="inlineStr"/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2026Q3</t>
        </is>
      </c>
      <c r="E1533" s="6" t="inlineStr">
        <is>
          <t>2026Q3</t>
        </is>
      </c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7" t="n">
        <v>53738</v>
      </c>
      <c r="AK1533" s="8" t="n">
        <v>6561</v>
      </c>
      <c r="AL1533" s="8" t="n">
        <v>5165</v>
      </c>
      <c r="AM1533" s="14" t="n">
        <v>64981</v>
      </c>
      <c r="AN1533" s="15" t="n">
        <v>12378</v>
      </c>
      <c r="AO1533" s="15" t="n">
        <v>9700</v>
      </c>
      <c r="AP1533" s="13" t="n">
        <v>20.9</v>
      </c>
      <c r="AQ1533" s="13" t="n">
        <v>26.9</v>
      </c>
      <c r="AR1533" s="13" t="n">
        <v>88.7</v>
      </c>
      <c r="AS1533" s="13" t="n">
        <v>32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7" t="n">
        <v>58660</v>
      </c>
      <c r="AK1534" s="8" t="n">
        <v>6815</v>
      </c>
      <c r="AL1534" s="8" t="n">
        <v>6181</v>
      </c>
      <c r="AM1534" s="11" t="inlineStr"/>
      <c r="AN1534" s="12" t="inlineStr"/>
      <c r="AO1534" s="12" t="inlineStr"/>
      <c r="AP1534" s="13" t="inlineStr"/>
      <c r="AQ1534" s="13" t="inlineStr"/>
      <c r="AR1534" s="13" t="inlineStr"/>
      <c r="AS1534" s="13" t="inlineStr"/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7" t="n">
        <v>109593</v>
      </c>
      <c r="AK1535" s="8" t="n">
        <v>-1498</v>
      </c>
      <c r="AL1535" s="8" t="n">
        <v>1089</v>
      </c>
      <c r="AM1535" s="11" t="inlineStr"/>
      <c r="AN1535" s="12" t="inlineStr"/>
      <c r="AO1535" s="12" t="inlineStr"/>
      <c r="AP1535" s="13" t="inlineStr"/>
      <c r="AQ1535" s="13" t="inlineStr"/>
      <c r="AR1535" s="13" t="inlineStr"/>
      <c r="AS1535" s="13" t="inlineStr"/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7" t="n">
        <v>1909</v>
      </c>
      <c r="AK1536" s="8" t="n">
        <v>-12845</v>
      </c>
      <c r="AL1536" s="8" t="n">
        <v>-13237</v>
      </c>
      <c r="AM1536" s="11" t="inlineStr"/>
      <c r="AN1536" s="12" t="inlineStr"/>
      <c r="AO1536" s="12" t="inlineStr"/>
      <c r="AP1536" s="13" t="inlineStr"/>
      <c r="AQ1536" s="13" t="inlineStr"/>
      <c r="AR1536" s="13" t="inlineStr"/>
      <c r="AS1536" s="13" t="inlineStr"/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7" t="n">
        <v>6660</v>
      </c>
      <c r="AK1537" s="8" t="n">
        <v>2161</v>
      </c>
      <c r="AL1537" s="8" t="n">
        <v>2020</v>
      </c>
      <c r="AM1537" s="11" t="inlineStr"/>
      <c r="AN1537" s="12" t="inlineStr"/>
      <c r="AO1537" s="12" t="inlineStr"/>
      <c r="AP1537" s="13" t="inlineStr"/>
      <c r="AQ1537" s="13" t="inlineStr"/>
      <c r="AR1537" s="13" t="inlineStr"/>
      <c r="AS1537" s="13" t="inlineStr"/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7" t="n">
        <v>22420</v>
      </c>
      <c r="AK1538" s="8" t="n">
        <v>505</v>
      </c>
      <c r="AL1538" s="8" t="n">
        <v>712</v>
      </c>
      <c r="AM1538" s="11" t="inlineStr"/>
      <c r="AN1538" s="12" t="inlineStr"/>
      <c r="AO1538" s="12" t="inlineStr"/>
      <c r="AP1538" s="13" t="inlineStr"/>
      <c r="AQ1538" s="13" t="inlineStr"/>
      <c r="AR1538" s="13" t="inlineStr"/>
      <c r="AS1538" s="13" t="inlineStr"/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7" t="n">
        <v>12558</v>
      </c>
      <c r="AK1539" s="8" t="n">
        <v>-4732</v>
      </c>
      <c r="AL1539" s="8" t="n">
        <v>-9042</v>
      </c>
      <c r="AM1539" s="11" t="inlineStr"/>
      <c r="AN1539" s="12" t="inlineStr"/>
      <c r="AO1539" s="12" t="inlineStr"/>
      <c r="AP1539" s="13" t="inlineStr"/>
      <c r="AQ1539" s="13" t="inlineStr"/>
      <c r="AR1539" s="13" t="inlineStr"/>
      <c r="AS1539" s="13" t="inlineStr"/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7" t="n">
        <v>21181</v>
      </c>
      <c r="AK1540" s="8" t="n">
        <v>5875</v>
      </c>
      <c r="AL1540" s="8" t="n">
        <v>6747</v>
      </c>
      <c r="AM1540" s="11" t="inlineStr"/>
      <c r="AN1540" s="12" t="inlineStr"/>
      <c r="AO1540" s="12" t="inlineStr"/>
      <c r="AP1540" s="13" t="inlineStr"/>
      <c r="AQ1540" s="13" t="inlineStr"/>
      <c r="AR1540" s="13" t="inlineStr"/>
      <c r="AS1540" s="13" t="inlineStr"/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7" t="n">
        <v>5984</v>
      </c>
      <c r="AK1541" s="8" t="n">
        <v>263</v>
      </c>
      <c r="AL1541" s="8" t="n">
        <v>441</v>
      </c>
      <c r="AM1541" s="11" t="inlineStr"/>
      <c r="AN1541" s="12" t="inlineStr"/>
      <c r="AO1541" s="12" t="inlineStr"/>
      <c r="AP1541" s="13" t="inlineStr"/>
      <c r="AQ1541" s="13" t="inlineStr"/>
      <c r="AR1541" s="13" t="inlineStr"/>
      <c r="AS1541" s="13" t="inlineStr"/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7" t="n">
        <v>21479</v>
      </c>
      <c r="AK1542" s="8" t="n">
        <v>866</v>
      </c>
      <c r="AL1542" s="8" t="n">
        <v>360</v>
      </c>
      <c r="AM1542" s="11" t="inlineStr"/>
      <c r="AN1542" s="12" t="inlineStr"/>
      <c r="AO1542" s="12" t="inlineStr"/>
      <c r="AP1542" s="13" t="inlineStr"/>
      <c r="AQ1542" s="13" t="inlineStr"/>
      <c r="AR1542" s="13" t="inlineStr"/>
      <c r="AS1542" s="13" t="inlineStr"/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7" t="n">
        <v>25039</v>
      </c>
      <c r="AK1543" s="8" t="n">
        <v>2955</v>
      </c>
      <c r="AL1543" s="8" t="n">
        <v>3453</v>
      </c>
      <c r="AM1543" s="11" t="inlineStr"/>
      <c r="AN1543" s="12" t="inlineStr"/>
      <c r="AO1543" s="12" t="inlineStr"/>
      <c r="AP1543" s="13" t="inlineStr"/>
      <c r="AQ1543" s="13" t="inlineStr"/>
      <c r="AR1543" s="13" t="inlineStr"/>
      <c r="AS1543" s="13" t="inlineStr"/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7" t="n">
        <v>5071</v>
      </c>
      <c r="AK1544" s="8" t="n">
        <v>-464</v>
      </c>
      <c r="AL1544" s="8" t="n">
        <v>-344</v>
      </c>
      <c r="AM1544" s="11" t="inlineStr"/>
      <c r="AN1544" s="12" t="inlineStr"/>
      <c r="AO1544" s="12" t="inlineStr"/>
      <c r="AP1544" s="13" t="inlineStr"/>
      <c r="AQ1544" s="13" t="inlineStr"/>
      <c r="AR1544" s="13" t="inlineStr"/>
      <c r="AS1544" s="13" t="inlineStr"/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7" t="n">
        <v>161047</v>
      </c>
      <c r="AK1545" s="8" t="n">
        <v>2734</v>
      </c>
      <c r="AL1545" s="8" t="n">
        <v>3076</v>
      </c>
      <c r="AM1545" s="11" t="inlineStr"/>
      <c r="AN1545" s="12" t="inlineStr"/>
      <c r="AO1545" s="12" t="inlineStr"/>
      <c r="AP1545" s="13" t="inlineStr"/>
      <c r="AQ1545" s="13" t="inlineStr"/>
      <c r="AR1545" s="13" t="inlineStr"/>
      <c r="AS1545" s="13" t="inlineStr"/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7" t="n">
        <v>20999</v>
      </c>
      <c r="AK1546" s="8" t="n">
        <v>-1158</v>
      </c>
      <c r="AL1546" s="8" t="n">
        <v>-860</v>
      </c>
      <c r="AM1546" s="11" t="inlineStr"/>
      <c r="AN1546" s="12" t="inlineStr"/>
      <c r="AO1546" s="12" t="inlineStr"/>
      <c r="AP1546" s="13" t="inlineStr"/>
      <c r="AQ1546" s="13" t="inlineStr"/>
      <c r="AR1546" s="13" t="inlineStr"/>
      <c r="AS1546" s="13" t="inlineStr"/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7" t="n">
        <v>10838</v>
      </c>
      <c r="AK1547" s="8" t="n">
        <v>-1412</v>
      </c>
      <c r="AL1547" s="8" t="n">
        <v>-966</v>
      </c>
      <c r="AM1547" s="11" t="inlineStr"/>
      <c r="AN1547" s="12" t="inlineStr"/>
      <c r="AO1547" s="12" t="inlineStr"/>
      <c r="AP1547" s="13" t="inlineStr"/>
      <c r="AQ1547" s="13" t="inlineStr"/>
      <c r="AR1547" s="13" t="inlineStr"/>
      <c r="AS1547" s="13" t="inlineStr"/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7" t="n">
        <v>8761</v>
      </c>
      <c r="AK1548" s="8" t="n">
        <v>796</v>
      </c>
      <c r="AL1548" s="8" t="n">
        <v>635</v>
      </c>
      <c r="AM1548" s="11" t="inlineStr"/>
      <c r="AN1548" s="12" t="inlineStr"/>
      <c r="AO1548" s="12" t="inlineStr"/>
      <c r="AP1548" s="13" t="inlineStr"/>
      <c r="AQ1548" s="13" t="inlineStr"/>
      <c r="AR1548" s="13" t="inlineStr"/>
      <c r="AS1548" s="13" t="inlineStr"/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7" t="n">
        <v>186411</v>
      </c>
      <c r="AK1549" s="8" t="n">
        <v>18313</v>
      </c>
      <c r="AL1549" s="8" t="n">
        <v>18662</v>
      </c>
      <c r="AM1549" s="11" t="inlineStr"/>
      <c r="AN1549" s="12" t="inlineStr"/>
      <c r="AO1549" s="12" t="inlineStr"/>
      <c r="AP1549" s="13" t="inlineStr"/>
      <c r="AQ1549" s="13" t="inlineStr"/>
      <c r="AR1549" s="13" t="inlineStr"/>
      <c r="AS1549" s="13" t="inlineStr"/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7" t="n">
        <v>17522</v>
      </c>
      <c r="AK1550" s="8" t="n">
        <v>698</v>
      </c>
      <c r="AL1550" s="8" t="n">
        <v>596</v>
      </c>
      <c r="AM1550" s="11" t="inlineStr"/>
      <c r="AN1550" s="12" t="inlineStr"/>
      <c r="AO1550" s="12" t="inlineStr"/>
      <c r="AP1550" s="13" t="inlineStr"/>
      <c r="AQ1550" s="13" t="inlineStr"/>
      <c r="AR1550" s="13" t="inlineStr"/>
      <c r="AS1550" s="13" t="inlineStr"/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7" t="n">
        <v>29448</v>
      </c>
      <c r="AK1551" s="8" t="n">
        <v>5984</v>
      </c>
      <c r="AL1551" s="8" t="n">
        <v>4777</v>
      </c>
      <c r="AM1551" s="11" t="inlineStr"/>
      <c r="AN1551" s="12" t="inlineStr"/>
      <c r="AO1551" s="12" t="inlineStr"/>
      <c r="AP1551" s="13" t="inlineStr"/>
      <c r="AQ1551" s="13" t="inlineStr"/>
      <c r="AR1551" s="13" t="inlineStr"/>
      <c r="AS1551" s="13" t="inlineStr"/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7" t="n">
        <v>15547</v>
      </c>
      <c r="AK1552" s="8" t="n">
        <v>-3009</v>
      </c>
      <c r="AL1552" s="8" t="n">
        <v>-103</v>
      </c>
      <c r="AM1552" s="11" t="inlineStr"/>
      <c r="AN1552" s="12" t="inlineStr"/>
      <c r="AO1552" s="12" t="inlineStr"/>
      <c r="AP1552" s="13" t="inlineStr"/>
      <c r="AQ1552" s="13" t="inlineStr"/>
      <c r="AR1552" s="13" t="inlineStr"/>
      <c r="AS1552" s="13" t="inlineStr"/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7" t="n">
        <v>14245</v>
      </c>
      <c r="AK1553" s="8" t="n">
        <v>1083</v>
      </c>
      <c r="AL1553" s="8" t="n">
        <v>2768</v>
      </c>
      <c r="AM1553" s="11" t="inlineStr"/>
      <c r="AN1553" s="12" t="inlineStr"/>
      <c r="AO1553" s="12" t="inlineStr"/>
      <c r="AP1553" s="13" t="inlineStr"/>
      <c r="AQ1553" s="13" t="inlineStr"/>
      <c r="AR1553" s="13" t="inlineStr"/>
      <c r="AS1553" s="13" t="inlineStr"/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7" t="n">
        <v>66496</v>
      </c>
      <c r="AK1554" s="8" t="n">
        <v>10160</v>
      </c>
      <c r="AL1554" s="8" t="n">
        <v>14090</v>
      </c>
      <c r="AM1554" s="11" t="inlineStr"/>
      <c r="AN1554" s="12" t="inlineStr"/>
      <c r="AO1554" s="12" t="inlineStr"/>
      <c r="AP1554" s="13" t="inlineStr"/>
      <c r="AQ1554" s="13" t="inlineStr"/>
      <c r="AR1554" s="13" t="inlineStr"/>
      <c r="AS1554" s="13" t="inlineStr"/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7" t="n">
        <v>16445</v>
      </c>
      <c r="AK1555" s="8" t="n">
        <v>3955</v>
      </c>
      <c r="AL1555" s="8" t="n">
        <v>2852</v>
      </c>
      <c r="AM1555" s="11" t="inlineStr"/>
      <c r="AN1555" s="12" t="inlineStr"/>
      <c r="AO1555" s="12" t="inlineStr"/>
      <c r="AP1555" s="13" t="inlineStr"/>
      <c r="AQ1555" s="13" t="inlineStr"/>
      <c r="AR1555" s="13" t="inlineStr"/>
      <c r="AS1555" s="13" t="inlineStr"/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7" t="n">
        <v>1356513</v>
      </c>
      <c r="AK1556" s="8" t="n">
        <v>98748</v>
      </c>
      <c r="AL1556" s="8" t="n">
        <v>65998</v>
      </c>
      <c r="AM1556" s="11" t="inlineStr"/>
      <c r="AN1556" s="12" t="inlineStr"/>
      <c r="AO1556" s="12" t="inlineStr"/>
      <c r="AP1556" s="13" t="inlineStr"/>
      <c r="AQ1556" s="13" t="inlineStr"/>
      <c r="AR1556" s="13" t="inlineStr"/>
      <c r="AS1556" s="13" t="inlineStr"/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7" t="n">
        <v>32309</v>
      </c>
      <c r="AK1557" s="8" t="n">
        <v>5262</v>
      </c>
      <c r="AL1557" s="8" t="n">
        <v>4820</v>
      </c>
      <c r="AM1557" s="11" t="inlineStr"/>
      <c r="AN1557" s="12" t="inlineStr"/>
      <c r="AO1557" s="12" t="inlineStr"/>
      <c r="AP1557" s="13" t="inlineStr"/>
      <c r="AQ1557" s="13" t="inlineStr"/>
      <c r="AR1557" s="13" t="inlineStr"/>
      <c r="AS1557" s="13" t="inlineStr"/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7" t="n">
        <v>105794</v>
      </c>
      <c r="AK1558" s="8" t="n">
        <v>14375</v>
      </c>
      <c r="AL1558" s="8" t="n">
        <v>9214</v>
      </c>
      <c r="AM1558" s="11" t="inlineStr"/>
      <c r="AN1558" s="12" t="inlineStr"/>
      <c r="AO1558" s="12" t="inlineStr"/>
      <c r="AP1558" s="13" t="inlineStr"/>
      <c r="AQ1558" s="13" t="inlineStr"/>
      <c r="AR1558" s="13" t="inlineStr"/>
      <c r="AS1558" s="13" t="inlineStr"/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7" t="n">
        <v>36548</v>
      </c>
      <c r="AK1559" s="8" t="n">
        <v>5340</v>
      </c>
      <c r="AL1559" s="8" t="n">
        <v>6049</v>
      </c>
      <c r="AM1559" s="11" t="inlineStr"/>
      <c r="AN1559" s="12" t="inlineStr"/>
      <c r="AO1559" s="12" t="inlineStr"/>
      <c r="AP1559" s="13" t="inlineStr"/>
      <c r="AQ1559" s="13" t="inlineStr"/>
      <c r="AR1559" s="13" t="inlineStr"/>
      <c r="AS1559" s="13" t="inlineStr"/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7" t="n">
        <v>3113</v>
      </c>
      <c r="AK1560" s="8" t="n">
        <v>-2121</v>
      </c>
      <c r="AL1560" s="8" t="n">
        <v>-2222</v>
      </c>
      <c r="AM1560" s="11" t="inlineStr"/>
      <c r="AN1560" s="12" t="inlineStr"/>
      <c r="AO1560" s="12" t="inlineStr"/>
      <c r="AP1560" s="13" t="inlineStr"/>
      <c r="AQ1560" s="13" t="inlineStr"/>
      <c r="AR1560" s="13" t="inlineStr"/>
      <c r="AS1560" s="13" t="inlineStr"/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7" t="n">
        <v>2661</v>
      </c>
      <c r="AK1561" s="8" t="n">
        <v>-1096</v>
      </c>
      <c r="AL1561" s="8" t="n">
        <v>-852</v>
      </c>
      <c r="AM1561" s="11" t="inlineStr"/>
      <c r="AN1561" s="12" t="inlineStr"/>
      <c r="AO1561" s="12" t="inlineStr"/>
      <c r="AP1561" s="13" t="inlineStr"/>
      <c r="AQ1561" s="13" t="inlineStr"/>
      <c r="AR1561" s="13" t="inlineStr"/>
      <c r="AS1561" s="13" t="inlineStr"/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7" t="n">
        <v>2223</v>
      </c>
      <c r="AK1562" s="8" t="n">
        <v>-879</v>
      </c>
      <c r="AL1562" s="8" t="n">
        <v>-821</v>
      </c>
      <c r="AM1562" s="11" t="inlineStr"/>
      <c r="AN1562" s="12" t="inlineStr"/>
      <c r="AO1562" s="12" t="inlineStr"/>
      <c r="AP1562" s="13" t="inlineStr"/>
      <c r="AQ1562" s="13" t="inlineStr"/>
      <c r="AR1562" s="13" t="inlineStr"/>
      <c r="AS1562" s="13" t="inlineStr"/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7" t="n">
        <v>26616</v>
      </c>
      <c r="AK1563" s="8" t="n">
        <v>249</v>
      </c>
      <c r="AL1563" s="8" t="n">
        <v>608</v>
      </c>
      <c r="AM1563" s="11" t="inlineStr"/>
      <c r="AN1563" s="12" t="inlineStr"/>
      <c r="AO1563" s="12" t="inlineStr"/>
      <c r="AP1563" s="13" t="inlineStr"/>
      <c r="AQ1563" s="13" t="inlineStr"/>
      <c r="AR1563" s="13" t="inlineStr"/>
      <c r="AS1563" s="13" t="inlineStr"/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7" t="n">
        <v>175954</v>
      </c>
      <c r="AK1564" s="8" t="n">
        <v>1157</v>
      </c>
      <c r="AL1564" s="8" t="n">
        <v>1720</v>
      </c>
      <c r="AM1564" s="11" t="inlineStr"/>
      <c r="AN1564" s="12" t="inlineStr"/>
      <c r="AO1564" s="12" t="inlineStr"/>
      <c r="AP1564" s="13" t="inlineStr"/>
      <c r="AQ1564" s="13" t="inlineStr"/>
      <c r="AR1564" s="13" t="inlineStr"/>
      <c r="AS1564" s="13" t="inlineStr"/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7" t="n">
        <v>112037</v>
      </c>
      <c r="AK1565" s="8" t="n">
        <v>25156</v>
      </c>
      <c r="AL1565" s="8" t="n">
        <v>17400</v>
      </c>
      <c r="AM1565" s="11" t="inlineStr"/>
      <c r="AN1565" s="12" t="inlineStr"/>
      <c r="AO1565" s="12" t="inlineStr"/>
      <c r="AP1565" s="13" t="inlineStr"/>
      <c r="AQ1565" s="13" t="inlineStr"/>
      <c r="AR1565" s="13" t="inlineStr"/>
      <c r="AS1565" s="13" t="inlineStr"/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7" t="n">
        <v>41946</v>
      </c>
      <c r="AK1566" s="8" t="n">
        <v>4566</v>
      </c>
      <c r="AL1566" s="8" t="n">
        <v>1932</v>
      </c>
      <c r="AM1566" s="11" t="inlineStr"/>
      <c r="AN1566" s="12" t="inlineStr"/>
      <c r="AO1566" s="12" t="inlineStr"/>
      <c r="AP1566" s="13" t="inlineStr"/>
      <c r="AQ1566" s="13" t="inlineStr"/>
      <c r="AR1566" s="13" t="inlineStr"/>
      <c r="AS1566" s="13" t="inlineStr"/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7" t="n">
        <v>746127</v>
      </c>
      <c r="AK1567" s="8" t="n">
        <v>22995</v>
      </c>
      <c r="AL1567" s="8" t="n">
        <v>11226</v>
      </c>
      <c r="AM1567" s="11" t="inlineStr"/>
      <c r="AN1567" s="12" t="inlineStr"/>
      <c r="AO1567" s="12" t="inlineStr"/>
      <c r="AP1567" s="13" t="inlineStr"/>
      <c r="AQ1567" s="13" t="inlineStr"/>
      <c r="AR1567" s="13" t="inlineStr"/>
      <c r="AS1567" s="13" t="inlineStr"/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7" t="n">
        <v>127760</v>
      </c>
      <c r="AK1568" s="8" t="n">
        <v>10968</v>
      </c>
      <c r="AL1568" s="8" t="n">
        <v>7545</v>
      </c>
      <c r="AM1568" s="11" t="inlineStr"/>
      <c r="AN1568" s="12" t="inlineStr"/>
      <c r="AO1568" s="12" t="inlineStr"/>
      <c r="AP1568" s="13" t="inlineStr"/>
      <c r="AQ1568" s="13" t="inlineStr"/>
      <c r="AR1568" s="13" t="inlineStr"/>
      <c r="AS1568" s="13" t="inlineStr"/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7" t="n">
        <v>1007698</v>
      </c>
      <c r="AK1569" s="8" t="n">
        <v>17725</v>
      </c>
      <c r="AL1569" s="8" t="n">
        <v>19078</v>
      </c>
      <c r="AM1569" s="11" t="inlineStr"/>
      <c r="AN1569" s="12" t="inlineStr"/>
      <c r="AO1569" s="12" t="inlineStr"/>
      <c r="AP1569" s="13" t="inlineStr"/>
      <c r="AQ1569" s="13" t="inlineStr"/>
      <c r="AR1569" s="13" t="inlineStr"/>
      <c r="AS1569" s="13" t="inlineStr"/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7" t="n">
        <v>81310</v>
      </c>
      <c r="AK1570" s="8" t="n">
        <v>-1844</v>
      </c>
      <c r="AL1570" s="8" t="n">
        <v>1574</v>
      </c>
      <c r="AM1570" s="11" t="inlineStr"/>
      <c r="AN1570" s="12" t="inlineStr"/>
      <c r="AO1570" s="12" t="inlineStr"/>
      <c r="AP1570" s="13" t="inlineStr"/>
      <c r="AQ1570" s="13" t="inlineStr"/>
      <c r="AR1570" s="13" t="inlineStr"/>
      <c r="AS1570" s="13" t="inlineStr"/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7" t="n">
        <v>8494</v>
      </c>
      <c r="AK1571" s="8" t="n">
        <v>512</v>
      </c>
      <c r="AL1571" s="8" t="n">
        <v>-204</v>
      </c>
      <c r="AM1571" s="11" t="inlineStr"/>
      <c r="AN1571" s="12" t="inlineStr"/>
      <c r="AO1571" s="12" t="inlineStr"/>
      <c r="AP1571" s="13" t="inlineStr"/>
      <c r="AQ1571" s="13" t="inlineStr"/>
      <c r="AR1571" s="13" t="inlineStr"/>
      <c r="AS1571" s="13" t="inlineStr"/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7" t="n">
        <v>504850</v>
      </c>
      <c r="AK1572" s="8" t="n">
        <v>35479</v>
      </c>
      <c r="AL1572" s="8" t="n">
        <v>5060</v>
      </c>
      <c r="AM1572" s="11" t="inlineStr"/>
      <c r="AN1572" s="12" t="inlineStr"/>
      <c r="AO1572" s="12" t="inlineStr"/>
      <c r="AP1572" s="13" t="inlineStr"/>
      <c r="AQ1572" s="13" t="inlineStr"/>
      <c r="AR1572" s="13" t="inlineStr"/>
      <c r="AS1572" s="13" t="inlineStr"/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7" t="n">
        <v>49210</v>
      </c>
      <c r="AK1573" s="8" t="n">
        <v>9987</v>
      </c>
      <c r="AL1573" s="8" t="n">
        <v>11214</v>
      </c>
      <c r="AM1573" s="11" t="inlineStr"/>
      <c r="AN1573" s="12" t="inlineStr"/>
      <c r="AO1573" s="12" t="inlineStr"/>
      <c r="AP1573" s="13" t="inlineStr"/>
      <c r="AQ1573" s="13" t="inlineStr"/>
      <c r="AR1573" s="13" t="inlineStr"/>
      <c r="AS1573" s="13" t="inlineStr"/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7" t="n">
        <v>216993</v>
      </c>
      <c r="AK1574" s="8" t="n">
        <v>14405</v>
      </c>
      <c r="AL1574" s="8" t="n">
        <v>11423</v>
      </c>
      <c r="AM1574" s="11" t="inlineStr"/>
      <c r="AN1574" s="12" t="inlineStr"/>
      <c r="AO1574" s="12" t="inlineStr"/>
      <c r="AP1574" s="13" t="inlineStr"/>
      <c r="AQ1574" s="13" t="inlineStr"/>
      <c r="AR1574" s="13" t="inlineStr"/>
      <c r="AS1574" s="13" t="inlineStr"/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7" t="n">
        <v>32192</v>
      </c>
      <c r="AK1575" s="8" t="n">
        <v>2595</v>
      </c>
      <c r="AL1575" s="8" t="n">
        <v>3628</v>
      </c>
      <c r="AM1575" s="11" t="inlineStr"/>
      <c r="AN1575" s="12" t="inlineStr"/>
      <c r="AO1575" s="12" t="inlineStr"/>
      <c r="AP1575" s="13" t="inlineStr"/>
      <c r="AQ1575" s="13" t="inlineStr"/>
      <c r="AR1575" s="13" t="inlineStr"/>
      <c r="AS1575" s="13" t="inlineStr"/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7" t="n">
        <v>8185</v>
      </c>
      <c r="AK1576" s="8" t="n">
        <v>197</v>
      </c>
      <c r="AL1576" s="8" t="n">
        <v>760</v>
      </c>
      <c r="AM1576" s="11" t="inlineStr"/>
      <c r="AN1576" s="12" t="inlineStr"/>
      <c r="AO1576" s="12" t="inlineStr"/>
      <c r="AP1576" s="13" t="inlineStr"/>
      <c r="AQ1576" s="13" t="inlineStr"/>
      <c r="AR1576" s="13" t="inlineStr"/>
      <c r="AS1576" s="13" t="inlineStr"/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7" t="n">
        <v>21048</v>
      </c>
      <c r="AK1577" s="8" t="n">
        <v>-316</v>
      </c>
      <c r="AL1577" s="8" t="n">
        <v>-542</v>
      </c>
      <c r="AM1577" s="11" t="inlineStr"/>
      <c r="AN1577" s="12" t="inlineStr"/>
      <c r="AO1577" s="12" t="inlineStr"/>
      <c r="AP1577" s="13" t="inlineStr"/>
      <c r="AQ1577" s="13" t="inlineStr"/>
      <c r="AR1577" s="13" t="inlineStr"/>
      <c r="AS1577" s="13" t="inlineStr"/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7" t="n">
        <v>52531</v>
      </c>
      <c r="AK1578" s="8" t="n">
        <v>4690</v>
      </c>
      <c r="AL1578" s="8" t="n">
        <v>6468</v>
      </c>
      <c r="AM1578" s="11" t="inlineStr"/>
      <c r="AN1578" s="12" t="inlineStr"/>
      <c r="AO1578" s="12" t="inlineStr"/>
      <c r="AP1578" s="13" t="inlineStr"/>
      <c r="AQ1578" s="13" t="inlineStr"/>
      <c r="AR1578" s="13" t="inlineStr"/>
      <c r="AS1578" s="13" t="inlineStr"/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7" t="n">
        <v>17968</v>
      </c>
      <c r="AK1579" s="8" t="n">
        <v>1664</v>
      </c>
      <c r="AL1579" s="8" t="n">
        <v>1244</v>
      </c>
      <c r="AM1579" s="11" t="inlineStr"/>
      <c r="AN1579" s="12" t="inlineStr"/>
      <c r="AO1579" s="12" t="inlineStr"/>
      <c r="AP1579" s="13" t="inlineStr"/>
      <c r="AQ1579" s="13" t="inlineStr"/>
      <c r="AR1579" s="13" t="inlineStr"/>
      <c r="AS1579" s="13" t="inlineStr"/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7" t="n">
        <v>13831</v>
      </c>
      <c r="AK1580" s="8" t="n">
        <v>182</v>
      </c>
      <c r="AL1580" s="8" t="n">
        <v>-13117</v>
      </c>
      <c r="AM1580" s="11" t="inlineStr"/>
      <c r="AN1580" s="12" t="inlineStr"/>
      <c r="AO1580" s="12" t="inlineStr"/>
      <c r="AP1580" s="13" t="inlineStr"/>
      <c r="AQ1580" s="13" t="inlineStr"/>
      <c r="AR1580" s="13" t="inlineStr"/>
      <c r="AS1580" s="13" t="inlineStr"/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7" t="n">
        <v>18149</v>
      </c>
      <c r="AK1581" s="8" t="n">
        <v>-4190</v>
      </c>
      <c r="AL1581" s="8" t="n">
        <v>-2869</v>
      </c>
      <c r="AM1581" s="11" t="inlineStr"/>
      <c r="AN1581" s="12" t="inlineStr"/>
      <c r="AO1581" s="12" t="inlineStr"/>
      <c r="AP1581" s="13" t="inlineStr"/>
      <c r="AQ1581" s="13" t="inlineStr"/>
      <c r="AR1581" s="13" t="inlineStr"/>
      <c r="AS1581" s="13" t="inlineStr"/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7" t="n">
        <v>78794</v>
      </c>
      <c r="AK1582" s="8" t="n">
        <v>31034</v>
      </c>
      <c r="AL1582" s="8" t="n">
        <v>23353</v>
      </c>
      <c r="AM1582" s="11" t="inlineStr"/>
      <c r="AN1582" s="12" t="inlineStr"/>
      <c r="AO1582" s="12" t="inlineStr"/>
      <c r="AP1582" s="13" t="inlineStr"/>
      <c r="AQ1582" s="13" t="inlineStr"/>
      <c r="AR1582" s="13" t="inlineStr"/>
      <c r="AS1582" s="13" t="inlineStr"/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7" t="n">
        <v>2292427</v>
      </c>
      <c r="AK1583" s="8" t="n">
        <v>8294</v>
      </c>
      <c r="AL1583" s="8" t="n">
        <v>37059</v>
      </c>
      <c r="AM1583" s="11" t="inlineStr"/>
      <c r="AN1583" s="12" t="inlineStr"/>
      <c r="AO1583" s="12" t="inlineStr"/>
      <c r="AP1583" s="13" t="inlineStr"/>
      <c r="AQ1583" s="13" t="inlineStr"/>
      <c r="AR1583" s="13" t="inlineStr"/>
      <c r="AS1583" s="13" t="inlineStr"/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7" t="n">
        <v>355644</v>
      </c>
      <c r="AK1584" s="8" t="n">
        <v>5903</v>
      </c>
      <c r="AL1584" s="8" t="n">
        <v>2300</v>
      </c>
      <c r="AM1584" s="11" t="inlineStr"/>
      <c r="AN1584" s="12" t="inlineStr"/>
      <c r="AO1584" s="12" t="inlineStr"/>
      <c r="AP1584" s="13" t="inlineStr"/>
      <c r="AQ1584" s="13" t="inlineStr"/>
      <c r="AR1584" s="13" t="inlineStr"/>
      <c r="AS1584" s="13" t="inlineStr"/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7" t="n">
        <v>123831</v>
      </c>
      <c r="AK1585" s="8" t="n">
        <v>3811</v>
      </c>
      <c r="AL1585" s="8" t="n">
        <v>2641</v>
      </c>
      <c r="AM1585" s="11" t="inlineStr"/>
      <c r="AN1585" s="12" t="inlineStr"/>
      <c r="AO1585" s="12" t="inlineStr"/>
      <c r="AP1585" s="13" t="inlineStr"/>
      <c r="AQ1585" s="13" t="inlineStr"/>
      <c r="AR1585" s="13" t="inlineStr"/>
      <c r="AS1585" s="13" t="inlineStr"/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7" t="n">
        <v>35784</v>
      </c>
      <c r="AK1586" s="8" t="n">
        <v>1814</v>
      </c>
      <c r="AL1586" s="8" t="n">
        <v>526</v>
      </c>
      <c r="AM1586" s="11" t="inlineStr"/>
      <c r="AN1586" s="12" t="inlineStr"/>
      <c r="AO1586" s="12" t="inlineStr"/>
      <c r="AP1586" s="13" t="inlineStr"/>
      <c r="AQ1586" s="13" t="inlineStr"/>
      <c r="AR1586" s="13" t="inlineStr"/>
      <c r="AS1586" s="13" t="inlineStr"/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7" t="n">
        <v>49037</v>
      </c>
      <c r="AK1587" s="8" t="n">
        <v>3256</v>
      </c>
      <c r="AL1587" s="8" t="n">
        <v>1972</v>
      </c>
      <c r="AM1587" s="11" t="inlineStr"/>
      <c r="AN1587" s="12" t="inlineStr"/>
      <c r="AO1587" s="12" t="inlineStr"/>
      <c r="AP1587" s="13" t="inlineStr"/>
      <c r="AQ1587" s="13" t="inlineStr"/>
      <c r="AR1587" s="13" t="inlineStr"/>
      <c r="AS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7" t="n">
        <v>35384</v>
      </c>
      <c r="AK1588" s="8" t="n">
        <v>498</v>
      </c>
      <c r="AL1588" s="8" t="n">
        <v>-38637</v>
      </c>
      <c r="AM1588" s="11" t="inlineStr"/>
      <c r="AN1588" s="12" t="inlineStr"/>
      <c r="AO1588" s="12" t="inlineStr"/>
      <c r="AP1588" s="13" t="inlineStr"/>
      <c r="AQ1588" s="13" t="inlineStr"/>
      <c r="AR1588" s="13" t="inlineStr"/>
      <c r="AS1588" s="13" t="inlineStr"/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7" t="n">
        <v>71567</v>
      </c>
      <c r="AK1589" s="8" t="n">
        <v>6601</v>
      </c>
      <c r="AL1589" s="8" t="n">
        <v>8919</v>
      </c>
      <c r="AM1589" s="11" t="inlineStr"/>
      <c r="AN1589" s="12" t="inlineStr"/>
      <c r="AO1589" s="12" t="inlineStr"/>
      <c r="AP1589" s="13" t="inlineStr"/>
      <c r="AQ1589" s="13" t="inlineStr"/>
      <c r="AR1589" s="13" t="inlineStr"/>
      <c r="AS1589" s="13" t="inlineStr"/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7" t="n">
        <v>102653</v>
      </c>
      <c r="AK1590" s="8" t="n">
        <v>1202</v>
      </c>
      <c r="AL1590" s="8" t="n">
        <v>928</v>
      </c>
      <c r="AM1590" s="11" t="inlineStr"/>
      <c r="AN1590" s="12" t="inlineStr"/>
      <c r="AO1590" s="12" t="inlineStr"/>
      <c r="AP1590" s="13" t="inlineStr"/>
      <c r="AQ1590" s="13" t="inlineStr"/>
      <c r="AR1590" s="13" t="inlineStr"/>
      <c r="AS1590" s="13" t="inlineStr"/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7" t="n">
        <v>101535</v>
      </c>
      <c r="AK1591" s="8" t="n">
        <v>10273</v>
      </c>
      <c r="AL1591" s="8" t="n">
        <v>8106</v>
      </c>
      <c r="AM1591" s="11" t="inlineStr"/>
      <c r="AN1591" s="12" t="inlineStr"/>
      <c r="AO1591" s="12" t="inlineStr"/>
      <c r="AP1591" s="13" t="inlineStr"/>
      <c r="AQ1591" s="13" t="inlineStr"/>
      <c r="AR1591" s="13" t="inlineStr"/>
      <c r="AS1591" s="13" t="inlineStr"/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7" t="n">
        <v>50339</v>
      </c>
      <c r="AK1592" s="8" t="n">
        <v>-5722</v>
      </c>
      <c r="AL1592" s="8" t="n">
        <v>769</v>
      </c>
      <c r="AM1592" s="11" t="inlineStr"/>
      <c r="AN1592" s="12" t="inlineStr"/>
      <c r="AO1592" s="12" t="inlineStr"/>
      <c r="AP1592" s="13" t="inlineStr"/>
      <c r="AQ1592" s="13" t="inlineStr"/>
      <c r="AR1592" s="13" t="inlineStr"/>
      <c r="AS1592" s="13" t="inlineStr"/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7" t="n">
        <v>92617</v>
      </c>
      <c r="AK1593" s="8" t="n">
        <v>5863</v>
      </c>
      <c r="AL1593" s="8" t="n">
        <v>18373</v>
      </c>
      <c r="AM1593" s="11" t="inlineStr"/>
      <c r="AN1593" s="12" t="inlineStr"/>
      <c r="AO1593" s="12" t="inlineStr"/>
      <c r="AP1593" s="13" t="inlineStr"/>
      <c r="AQ1593" s="13" t="inlineStr"/>
      <c r="AR1593" s="13" t="inlineStr"/>
      <c r="AS1593" s="13" t="inlineStr"/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7" t="n">
        <v>17996</v>
      </c>
      <c r="AK1594" s="8" t="n">
        <v>4410</v>
      </c>
      <c r="AL1594" s="8" t="n">
        <v>3491</v>
      </c>
      <c r="AM1594" s="11" t="inlineStr"/>
      <c r="AN1594" s="12" t="inlineStr"/>
      <c r="AO1594" s="12" t="inlineStr"/>
      <c r="AP1594" s="13" t="inlineStr"/>
      <c r="AQ1594" s="13" t="inlineStr"/>
      <c r="AR1594" s="13" t="inlineStr"/>
      <c r="AS1594" s="13" t="inlineStr"/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7" t="n">
        <v>71445</v>
      </c>
      <c r="AK1595" s="8" t="n">
        <v>-223</v>
      </c>
      <c r="AL1595" s="8" t="n">
        <v>-677</v>
      </c>
      <c r="AM1595" s="11" t="inlineStr"/>
      <c r="AN1595" s="12" t="inlineStr"/>
      <c r="AO1595" s="12" t="inlineStr"/>
      <c r="AP1595" s="13" t="inlineStr"/>
      <c r="AQ1595" s="13" t="inlineStr"/>
      <c r="AR1595" s="13" t="inlineStr"/>
      <c r="AS1595" s="13" t="inlineStr"/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7" t="n">
        <v>6311</v>
      </c>
      <c r="AK1596" s="8" t="n">
        <v>-4164</v>
      </c>
      <c r="AL1596" s="8" t="n">
        <v>8013</v>
      </c>
      <c r="AM1596" s="11" t="inlineStr"/>
      <c r="AN1596" s="12" t="inlineStr"/>
      <c r="AO1596" s="12" t="inlineStr"/>
      <c r="AP1596" s="13" t="inlineStr"/>
      <c r="AQ1596" s="13" t="inlineStr"/>
      <c r="AR1596" s="13" t="inlineStr"/>
      <c r="AS1596" s="13" t="inlineStr"/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7" t="n">
        <v>21183</v>
      </c>
      <c r="AK1597" s="8" t="n">
        <v>4960</v>
      </c>
      <c r="AL1597" s="8" t="n">
        <v>1413</v>
      </c>
      <c r="AM1597" s="11" t="inlineStr"/>
      <c r="AN1597" s="12" t="inlineStr"/>
      <c r="AO1597" s="12" t="inlineStr"/>
      <c r="AP1597" s="13" t="inlineStr"/>
      <c r="AQ1597" s="13" t="inlineStr"/>
      <c r="AR1597" s="13" t="inlineStr"/>
      <c r="AS1597" s="13" t="inlineStr"/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7" t="n">
        <v>20375</v>
      </c>
      <c r="AK1598" s="8" t="n">
        <v>1415</v>
      </c>
      <c r="AL1598" s="8" t="n">
        <v>1178</v>
      </c>
      <c r="AM1598" s="11" t="inlineStr"/>
      <c r="AN1598" s="12" t="inlineStr"/>
      <c r="AO1598" s="12" t="inlineStr"/>
      <c r="AP1598" s="13" t="inlineStr"/>
      <c r="AQ1598" s="13" t="inlineStr"/>
      <c r="AR1598" s="13" t="inlineStr"/>
      <c r="AS1598" s="13" t="inlineStr"/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7" t="n">
        <v>37037</v>
      </c>
      <c r="AK1599" s="8" t="n">
        <v>5719</v>
      </c>
      <c r="AL1599" s="8" t="n">
        <v>5959</v>
      </c>
      <c r="AM1599" s="11" t="inlineStr"/>
      <c r="AN1599" s="12" t="inlineStr"/>
      <c r="AO1599" s="12" t="inlineStr"/>
      <c r="AP1599" s="13" t="inlineStr"/>
      <c r="AQ1599" s="13" t="inlineStr"/>
      <c r="AR1599" s="13" t="inlineStr"/>
      <c r="AS1599" s="13" t="inlineStr"/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7" t="n">
        <v>122815</v>
      </c>
      <c r="AK1600" s="8" t="n">
        <v>11786</v>
      </c>
      <c r="AL1600" s="8" t="n">
        <v>9299</v>
      </c>
      <c r="AM1600" s="11" t="inlineStr"/>
      <c r="AN1600" s="12" t="inlineStr"/>
      <c r="AO1600" s="12" t="inlineStr"/>
      <c r="AP1600" s="13" t="inlineStr"/>
      <c r="AQ1600" s="13" t="inlineStr"/>
      <c r="AR1600" s="13" t="inlineStr"/>
      <c r="AS1600" s="13" t="inlineStr"/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7" t="n">
        <v>365856</v>
      </c>
      <c r="AK1601" s="8" t="n">
        <v>3013</v>
      </c>
      <c r="AL1601" s="8" t="n">
        <v>-2584</v>
      </c>
      <c r="AM1601" s="11" t="inlineStr"/>
      <c r="AN1601" s="12" t="inlineStr"/>
      <c r="AO1601" s="12" t="inlineStr"/>
      <c r="AP1601" s="13" t="inlineStr"/>
      <c r="AQ1601" s="13" t="inlineStr"/>
      <c r="AR1601" s="13" t="inlineStr"/>
      <c r="AS1601" s="13" t="inlineStr"/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7" t="n">
        <v>467247</v>
      </c>
      <c r="AK1602" s="8" t="n">
        <v>131093</v>
      </c>
      <c r="AL1602" s="8" t="n">
        <v>84082</v>
      </c>
      <c r="AM1602" s="11" t="inlineStr"/>
      <c r="AN1602" s="12" t="inlineStr"/>
      <c r="AO1602" s="12" t="inlineStr"/>
      <c r="AP1602" s="13" t="inlineStr"/>
      <c r="AQ1602" s="13" t="inlineStr"/>
      <c r="AR1602" s="13" t="inlineStr"/>
      <c r="AS1602" s="13" t="inlineStr"/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7" t="n">
        <v>224366</v>
      </c>
      <c r="AK1603" s="8" t="n">
        <v>7945</v>
      </c>
      <c r="AL1603" s="8" t="n">
        <v>5475</v>
      </c>
      <c r="AM1603" s="11" t="inlineStr"/>
      <c r="AN1603" s="12" t="inlineStr"/>
      <c r="AO1603" s="12" t="inlineStr"/>
      <c r="AP1603" s="13" t="inlineStr"/>
      <c r="AQ1603" s="13" t="inlineStr"/>
      <c r="AR1603" s="13" t="inlineStr"/>
      <c r="AS1603" s="13" t="inlineStr"/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7" t="n">
        <v>20828</v>
      </c>
      <c r="AK1604" s="8" t="n">
        <v>-308</v>
      </c>
      <c r="AL1604" s="8" t="n">
        <v>-782</v>
      </c>
      <c r="AM1604" s="11" t="inlineStr"/>
      <c r="AN1604" s="12" t="inlineStr"/>
      <c r="AO1604" s="12" t="inlineStr"/>
      <c r="AP1604" s="13" t="inlineStr"/>
      <c r="AQ1604" s="13" t="inlineStr"/>
      <c r="AR1604" s="13" t="inlineStr"/>
      <c r="AS1604" s="13" t="inlineStr"/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7" t="n">
        <v>23117</v>
      </c>
      <c r="AK1605" s="8" t="n">
        <v>-2189</v>
      </c>
      <c r="AL1605" s="8" t="n">
        <v>1932</v>
      </c>
      <c r="AM1605" s="11" t="inlineStr"/>
      <c r="AN1605" s="12" t="inlineStr"/>
      <c r="AO1605" s="12" t="inlineStr"/>
      <c r="AP1605" s="13" t="inlineStr"/>
      <c r="AQ1605" s="13" t="inlineStr"/>
      <c r="AR1605" s="13" t="inlineStr"/>
      <c r="AS1605" s="13" t="inlineStr"/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7" t="n">
        <v>22679</v>
      </c>
      <c r="AK1606" s="8" t="n">
        <v>2598</v>
      </c>
      <c r="AL1606" s="8" t="n">
        <v>2212</v>
      </c>
      <c r="AM1606" s="11" t="inlineStr"/>
      <c r="AN1606" s="12" t="inlineStr"/>
      <c r="AO1606" s="12" t="inlineStr"/>
      <c r="AP1606" s="13" t="inlineStr"/>
      <c r="AQ1606" s="13" t="inlineStr"/>
      <c r="AR1606" s="13" t="inlineStr"/>
      <c r="AS1606" s="13" t="inlineStr"/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7" t="n">
        <v>31988</v>
      </c>
      <c r="AK1607" s="8" t="n">
        <v>11078</v>
      </c>
      <c r="AL1607" s="8" t="n">
        <v>8895</v>
      </c>
      <c r="AM1607" s="11" t="inlineStr"/>
      <c r="AN1607" s="12" t="inlineStr"/>
      <c r="AO1607" s="12" t="inlineStr"/>
      <c r="AP1607" s="13" t="inlineStr"/>
      <c r="AQ1607" s="13" t="inlineStr"/>
      <c r="AR1607" s="13" t="inlineStr"/>
      <c r="AS1607" s="13" t="inlineStr"/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7" t="n">
        <v>124664</v>
      </c>
      <c r="AK1608" s="8" t="n">
        <v>15924</v>
      </c>
      <c r="AL1608" s="8" t="n">
        <v>11784</v>
      </c>
      <c r="AM1608" s="11" t="inlineStr"/>
      <c r="AN1608" s="12" t="inlineStr"/>
      <c r="AO1608" s="12" t="inlineStr"/>
      <c r="AP1608" s="13" t="inlineStr"/>
      <c r="AQ1608" s="13" t="inlineStr"/>
      <c r="AR1608" s="13" t="inlineStr"/>
      <c r="AS1608" s="13" t="inlineStr"/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7" t="n">
        <v>19169</v>
      </c>
      <c r="AK1609" s="8" t="n">
        <v>558</v>
      </c>
      <c r="AL1609" s="8" t="n">
        <v>-1331</v>
      </c>
      <c r="AM1609" s="11" t="inlineStr"/>
      <c r="AN1609" s="12" t="inlineStr"/>
      <c r="AO1609" s="12" t="inlineStr"/>
      <c r="AP1609" s="13" t="inlineStr"/>
      <c r="AQ1609" s="13" t="inlineStr"/>
      <c r="AR1609" s="13" t="inlineStr"/>
      <c r="AS1609" s="13" t="inlineStr"/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7" t="n">
        <v>24640</v>
      </c>
      <c r="AK1610" s="8" t="n">
        <v>2320</v>
      </c>
      <c r="AL1610" s="8" t="n">
        <v>3904</v>
      </c>
      <c r="AM1610" s="11" t="inlineStr"/>
      <c r="AN1610" s="12" t="inlineStr"/>
      <c r="AO1610" s="12" t="inlineStr"/>
      <c r="AP1610" s="13" t="inlineStr"/>
      <c r="AQ1610" s="13" t="inlineStr"/>
      <c r="AR1610" s="13" t="inlineStr"/>
      <c r="AS1610" s="13" t="inlineStr"/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7" t="n">
        <v>2717</v>
      </c>
      <c r="AK1611" s="8" t="n">
        <v>396</v>
      </c>
      <c r="AL1611" s="8" t="n">
        <v>568</v>
      </c>
      <c r="AM1611" s="11" t="inlineStr"/>
      <c r="AN1611" s="12" t="inlineStr"/>
      <c r="AO1611" s="12" t="inlineStr"/>
      <c r="AP1611" s="13" t="inlineStr"/>
      <c r="AQ1611" s="13" t="inlineStr"/>
      <c r="AR1611" s="13" t="inlineStr"/>
      <c r="AS1611" s="13" t="inlineStr"/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7" t="n">
        <v>20044</v>
      </c>
      <c r="AK1612" s="8" t="n">
        <v>-526</v>
      </c>
      <c r="AL1612" s="8" t="n">
        <v>-10109</v>
      </c>
      <c r="AM1612" s="11" t="inlineStr"/>
      <c r="AN1612" s="12" t="inlineStr"/>
      <c r="AO1612" s="12" t="inlineStr"/>
      <c r="AP1612" s="13" t="inlineStr"/>
      <c r="AQ1612" s="13" t="inlineStr"/>
      <c r="AR1612" s="13" t="inlineStr"/>
      <c r="AS1612" s="13" t="inlineStr"/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7" t="n">
        <v>11064</v>
      </c>
      <c r="AK1613" s="8" t="n">
        <v>1196</v>
      </c>
      <c r="AL1613" s="8" t="n">
        <v>1352</v>
      </c>
      <c r="AM1613" s="11" t="inlineStr"/>
      <c r="AN1613" s="12" t="inlineStr"/>
      <c r="AO1613" s="12" t="inlineStr"/>
      <c r="AP1613" s="13" t="inlineStr"/>
      <c r="AQ1613" s="13" t="inlineStr"/>
      <c r="AR1613" s="13" t="inlineStr"/>
      <c r="AS1613" s="13" t="inlineStr"/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7" t="n">
        <v>21622</v>
      </c>
      <c r="AK1614" s="8" t="n">
        <v>2066</v>
      </c>
      <c r="AL1614" s="8" t="n">
        <v>1861</v>
      </c>
      <c r="AM1614" s="11" t="inlineStr"/>
      <c r="AN1614" s="12" t="inlineStr"/>
      <c r="AO1614" s="12" t="inlineStr"/>
      <c r="AP1614" s="13" t="inlineStr"/>
      <c r="AQ1614" s="13" t="inlineStr"/>
      <c r="AR1614" s="13" t="inlineStr"/>
      <c r="AS1614" s="13" t="inlineStr"/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7" t="n">
        <v>188777</v>
      </c>
      <c r="AK1615" s="8" t="n">
        <v>52503</v>
      </c>
      <c r="AL1615" s="8" t="n">
        <v>42365</v>
      </c>
      <c r="AM1615" s="11" t="inlineStr"/>
      <c r="AN1615" s="12" t="inlineStr"/>
      <c r="AO1615" s="12" t="inlineStr"/>
      <c r="AP1615" s="13" t="inlineStr"/>
      <c r="AQ1615" s="13" t="inlineStr"/>
      <c r="AR1615" s="13" t="inlineStr"/>
      <c r="AS1615" s="13" t="inlineStr"/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7" t="n">
        <v>14166</v>
      </c>
      <c r="AK1616" s="8" t="n">
        <v>2580</v>
      </c>
      <c r="AL1616" s="8" t="n">
        <v>2117</v>
      </c>
      <c r="AM1616" s="11" t="inlineStr"/>
      <c r="AN1616" s="12" t="inlineStr"/>
      <c r="AO1616" s="12" t="inlineStr"/>
      <c r="AP1616" s="13" t="inlineStr"/>
      <c r="AQ1616" s="13" t="inlineStr"/>
      <c r="AR1616" s="13" t="inlineStr"/>
      <c r="AS1616" s="13" t="inlineStr"/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7" t="n">
        <v>20340</v>
      </c>
      <c r="AK1617" s="8" t="n">
        <v>1510</v>
      </c>
      <c r="AL1617" s="8" t="n">
        <v>1455</v>
      </c>
      <c r="AM1617" s="11" t="inlineStr"/>
      <c r="AN1617" s="12" t="inlineStr"/>
      <c r="AO1617" s="12" t="inlineStr"/>
      <c r="AP1617" s="13" t="inlineStr"/>
      <c r="AQ1617" s="13" t="inlineStr"/>
      <c r="AR1617" s="13" t="inlineStr"/>
      <c r="AS1617" s="13" t="inlineStr"/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7" t="n">
        <v>6886</v>
      </c>
      <c r="AK1618" s="8" t="n">
        <v>-2345</v>
      </c>
      <c r="AL1618" s="8" t="n">
        <v>-1779</v>
      </c>
      <c r="AM1618" s="11" t="inlineStr"/>
      <c r="AN1618" s="12" t="inlineStr"/>
      <c r="AO1618" s="12" t="inlineStr"/>
      <c r="AP1618" s="13" t="inlineStr"/>
      <c r="AQ1618" s="13" t="inlineStr"/>
      <c r="AR1618" s="13" t="inlineStr"/>
      <c r="AS1618" s="13" t="inlineStr"/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7" t="n">
        <v>80926</v>
      </c>
      <c r="AK1619" s="8" t="n">
        <v>9851</v>
      </c>
      <c r="AL1619" s="8" t="n">
        <v>7038</v>
      </c>
      <c r="AM1619" s="11" t="inlineStr"/>
      <c r="AN1619" s="12" t="inlineStr"/>
      <c r="AO1619" s="12" t="inlineStr"/>
      <c r="AP1619" s="13" t="inlineStr"/>
      <c r="AQ1619" s="13" t="inlineStr"/>
      <c r="AR1619" s="13" t="inlineStr"/>
      <c r="AS1619" s="13" t="inlineStr"/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7" t="inlineStr"/>
      <c r="AK1620" s="8" t="n">
        <v>995</v>
      </c>
      <c r="AL1620" s="8" t="n">
        <v>1594</v>
      </c>
      <c r="AM1620" s="11" t="inlineStr"/>
      <c r="AN1620" s="12" t="inlineStr"/>
      <c r="AO1620" s="12" t="inlineStr"/>
      <c r="AP1620" s="13" t="inlineStr"/>
      <c r="AQ1620" s="13" t="inlineStr"/>
      <c r="AR1620" s="13" t="inlineStr"/>
      <c r="AS1620" s="13" t="inlineStr"/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7" t="n">
        <v>49136</v>
      </c>
      <c r="AK1621" s="8" t="n">
        <v>1278</v>
      </c>
      <c r="AL1621" s="8" t="n">
        <v>-41</v>
      </c>
      <c r="AM1621" s="11" t="inlineStr"/>
      <c r="AN1621" s="12" t="inlineStr"/>
      <c r="AO1621" s="12" t="inlineStr"/>
      <c r="AP1621" s="13" t="inlineStr"/>
      <c r="AQ1621" s="13" t="inlineStr"/>
      <c r="AR1621" s="13" t="inlineStr"/>
      <c r="AS1621" s="13" t="inlineStr"/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7" t="n">
        <v>2618</v>
      </c>
      <c r="AK1622" s="8" t="n">
        <v>-179</v>
      </c>
      <c r="AL1622" s="8" t="n">
        <v>401</v>
      </c>
      <c r="AM1622" s="11" t="inlineStr"/>
      <c r="AN1622" s="12" t="inlineStr"/>
      <c r="AO1622" s="12" t="inlineStr"/>
      <c r="AP1622" s="13" t="inlineStr"/>
      <c r="AQ1622" s="13" t="inlineStr"/>
      <c r="AR1622" s="13" t="inlineStr"/>
      <c r="AS1622" s="13" t="inlineStr"/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7" t="n">
        <v>105425</v>
      </c>
      <c r="AK1623" s="8" t="n">
        <v>24349</v>
      </c>
      <c r="AL1623" s="8" t="n">
        <v>19659</v>
      </c>
      <c r="AM1623" s="11" t="inlineStr"/>
      <c r="AN1623" s="12" t="inlineStr"/>
      <c r="AO1623" s="12" t="inlineStr"/>
      <c r="AP1623" s="13" t="inlineStr"/>
      <c r="AQ1623" s="13" t="inlineStr"/>
      <c r="AR1623" s="13" t="inlineStr"/>
      <c r="AS1623" s="13" t="inlineStr"/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7" t="n">
        <v>15488</v>
      </c>
      <c r="AK1624" s="8" t="n">
        <v>3667</v>
      </c>
      <c r="AL1624" s="8" t="n">
        <v>3175</v>
      </c>
      <c r="AM1624" s="11" t="inlineStr"/>
      <c r="AN1624" s="12" t="inlineStr"/>
      <c r="AO1624" s="12" t="inlineStr"/>
      <c r="AP1624" s="13" t="inlineStr"/>
      <c r="AQ1624" s="13" t="inlineStr"/>
      <c r="AR1624" s="13" t="inlineStr"/>
      <c r="AS1624" s="13" t="inlineStr"/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7" t="n">
        <v>48223</v>
      </c>
      <c r="AK1625" s="8" t="n">
        <v>-33</v>
      </c>
      <c r="AL1625" s="8" t="n">
        <v>621</v>
      </c>
      <c r="AM1625" s="11" t="inlineStr"/>
      <c r="AN1625" s="12" t="inlineStr"/>
      <c r="AO1625" s="12" t="inlineStr"/>
      <c r="AP1625" s="13" t="inlineStr"/>
      <c r="AQ1625" s="13" t="inlineStr"/>
      <c r="AR1625" s="13" t="inlineStr"/>
      <c r="AS1625" s="13" t="inlineStr"/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7" t="n">
        <v>9952</v>
      </c>
      <c r="AK1626" s="8" t="n">
        <v>543</v>
      </c>
      <c r="AL1626" s="8" t="n">
        <v>1010</v>
      </c>
      <c r="AM1626" s="11" t="inlineStr"/>
      <c r="AN1626" s="12" t="inlineStr"/>
      <c r="AO1626" s="12" t="inlineStr"/>
      <c r="AP1626" s="13" t="inlineStr"/>
      <c r="AQ1626" s="13" t="inlineStr"/>
      <c r="AR1626" s="13" t="inlineStr"/>
      <c r="AS1626" s="13" t="inlineStr"/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7" t="n">
        <v>12205</v>
      </c>
      <c r="AK1627" s="8" t="n">
        <v>2217</v>
      </c>
      <c r="AL1627" s="8" t="n">
        <v>798</v>
      </c>
      <c r="AM1627" s="11" t="inlineStr"/>
      <c r="AN1627" s="12" t="inlineStr"/>
      <c r="AO1627" s="12" t="inlineStr"/>
      <c r="AP1627" s="13" t="inlineStr"/>
      <c r="AQ1627" s="13" t="inlineStr"/>
      <c r="AR1627" s="13" t="inlineStr"/>
      <c r="AS1627" s="13" t="inlineStr"/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7" t="n">
        <v>425794</v>
      </c>
      <c r="AK1628" s="8" t="n">
        <v>17305</v>
      </c>
      <c r="AL1628" s="8" t="n">
        <v>8921</v>
      </c>
      <c r="AM1628" s="11" t="inlineStr"/>
      <c r="AN1628" s="12" t="inlineStr"/>
      <c r="AO1628" s="12" t="inlineStr"/>
      <c r="AP1628" s="13" t="inlineStr"/>
      <c r="AQ1628" s="13" t="inlineStr"/>
      <c r="AR1628" s="13" t="inlineStr"/>
      <c r="AS1628" s="13" t="inlineStr"/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7" t="n">
        <v>541130</v>
      </c>
      <c r="AK1629" s="8" t="n">
        <v>43399</v>
      </c>
      <c r="AL1629" s="8" t="n">
        <v>23759</v>
      </c>
      <c r="AM1629" s="11" t="inlineStr"/>
      <c r="AN1629" s="12" t="inlineStr"/>
      <c r="AO1629" s="12" t="inlineStr"/>
      <c r="AP1629" s="13" t="inlineStr"/>
      <c r="AQ1629" s="13" t="inlineStr"/>
      <c r="AR1629" s="13" t="inlineStr"/>
      <c r="AS1629" s="13" t="inlineStr"/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7" t="n">
        <v>20569</v>
      </c>
      <c r="AK1630" s="8" t="n">
        <v>3165</v>
      </c>
      <c r="AL1630" s="8" t="n">
        <v>4463</v>
      </c>
      <c r="AM1630" s="11" t="inlineStr"/>
      <c r="AN1630" s="12" t="inlineStr"/>
      <c r="AO1630" s="12" t="inlineStr"/>
      <c r="AP1630" s="13" t="inlineStr"/>
      <c r="AQ1630" s="13" t="inlineStr"/>
      <c r="AR1630" s="13" t="inlineStr"/>
      <c r="AS1630" s="13" t="inlineStr"/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7" t="n">
        <v>20684</v>
      </c>
      <c r="AK1631" s="8" t="n">
        <v>3002</v>
      </c>
      <c r="AL1631" s="8" t="n">
        <v>2760</v>
      </c>
      <c r="AM1631" s="11" t="inlineStr"/>
      <c r="AN1631" s="12" t="inlineStr"/>
      <c r="AO1631" s="12" t="inlineStr"/>
      <c r="AP1631" s="13" t="inlineStr"/>
      <c r="AQ1631" s="13" t="inlineStr"/>
      <c r="AR1631" s="13" t="inlineStr"/>
      <c r="AS1631" s="13" t="inlineStr"/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7" t="n">
        <v>186477</v>
      </c>
      <c r="AK1632" s="8" t="n">
        <v>-7300</v>
      </c>
      <c r="AL1632" s="8" t="n">
        <v>16310</v>
      </c>
      <c r="AM1632" s="11" t="inlineStr"/>
      <c r="AN1632" s="12" t="inlineStr"/>
      <c r="AO1632" s="12" t="inlineStr"/>
      <c r="AP1632" s="13" t="inlineStr"/>
      <c r="AQ1632" s="13" t="inlineStr"/>
      <c r="AR1632" s="13" t="inlineStr"/>
      <c r="AS1632" s="13" t="inlineStr"/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7" t="n">
        <v>117574</v>
      </c>
      <c r="AK1633" s="8" t="n">
        <v>3697</v>
      </c>
      <c r="AL1633" s="8" t="n">
        <v>6979</v>
      </c>
      <c r="AM1633" s="11" t="inlineStr"/>
      <c r="AN1633" s="12" t="inlineStr"/>
      <c r="AO1633" s="12" t="inlineStr"/>
      <c r="AP1633" s="13" t="inlineStr"/>
      <c r="AQ1633" s="13" t="inlineStr"/>
      <c r="AR1633" s="13" t="inlineStr"/>
      <c r="AS1633" s="13" t="inlineStr"/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7" t="n">
        <v>65246</v>
      </c>
      <c r="AK1634" s="8" t="n">
        <v>-362</v>
      </c>
      <c r="AL1634" s="8" t="n">
        <v>783</v>
      </c>
      <c r="AM1634" s="11" t="inlineStr"/>
      <c r="AN1634" s="12" t="inlineStr"/>
      <c r="AO1634" s="12" t="inlineStr"/>
      <c r="AP1634" s="13" t="inlineStr"/>
      <c r="AQ1634" s="13" t="inlineStr"/>
      <c r="AR1634" s="13" t="inlineStr"/>
      <c r="AS1634" s="13" t="inlineStr"/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7" t="n">
        <v>142806</v>
      </c>
      <c r="AK1635" s="8" t="n">
        <v>11455</v>
      </c>
      <c r="AL1635" s="8" t="n">
        <v>8755</v>
      </c>
      <c r="AM1635" s="11" t="inlineStr"/>
      <c r="AN1635" s="12" t="inlineStr"/>
      <c r="AO1635" s="12" t="inlineStr"/>
      <c r="AP1635" s="13" t="inlineStr"/>
      <c r="AQ1635" s="13" t="inlineStr"/>
      <c r="AR1635" s="13" t="inlineStr"/>
      <c r="AS1635" s="13" t="inlineStr"/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8" t="n">
        <v>967554</v>
      </c>
      <c r="AL1636" s="8" t="n">
        <v>791372</v>
      </c>
      <c r="AM1636" s="11" t="inlineStr"/>
      <c r="AN1636" s="12" t="inlineStr"/>
      <c r="AO1636" s="12" t="inlineStr"/>
      <c r="AP1636" s="13" t="inlineStr"/>
      <c r="AQ1636" s="13" t="inlineStr"/>
      <c r="AR1636" s="13" t="inlineStr"/>
      <c r="AS1636" s="13" t="inlineStr"/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7" t="n">
        <v>16992</v>
      </c>
      <c r="AK1637" s="8" t="n">
        <v>1203</v>
      </c>
      <c r="AL1637" s="8" t="n">
        <v>1142</v>
      </c>
      <c r="AM1637" s="11" t="inlineStr"/>
      <c r="AN1637" s="12" t="inlineStr"/>
      <c r="AO1637" s="12" t="inlineStr"/>
      <c r="AP1637" s="13" t="inlineStr"/>
      <c r="AQ1637" s="13" t="inlineStr"/>
      <c r="AR1637" s="13" t="inlineStr"/>
      <c r="AS1637" s="13" t="inlineStr"/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7" t="n">
        <v>19652</v>
      </c>
      <c r="AK1638" s="8" t="n">
        <v>-870</v>
      </c>
      <c r="AL1638" s="8" t="n">
        <v>-2423</v>
      </c>
      <c r="AM1638" s="11" t="inlineStr"/>
      <c r="AN1638" s="12" t="inlineStr"/>
      <c r="AO1638" s="12" t="inlineStr"/>
      <c r="AP1638" s="13" t="inlineStr"/>
      <c r="AQ1638" s="13" t="inlineStr"/>
      <c r="AR1638" s="13" t="inlineStr"/>
      <c r="AS1638" s="13" t="inlineStr"/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7" t="n">
        <v>7712</v>
      </c>
      <c r="AK1639" s="8" t="n">
        <v>-8</v>
      </c>
      <c r="AL1639" s="8" t="n">
        <v>-202</v>
      </c>
      <c r="AM1639" s="11" t="inlineStr"/>
      <c r="AN1639" s="12" t="inlineStr"/>
      <c r="AO1639" s="12" t="inlineStr"/>
      <c r="AP1639" s="13" t="inlineStr"/>
      <c r="AQ1639" s="13" t="inlineStr"/>
      <c r="AR1639" s="13" t="inlineStr"/>
      <c r="AS1639" s="13" t="inlineStr"/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7" t="n">
        <v>6061</v>
      </c>
      <c r="AK1640" s="8" t="n">
        <v>103</v>
      </c>
      <c r="AL1640" s="8" t="n">
        <v>381</v>
      </c>
      <c r="AM1640" s="11" t="inlineStr"/>
      <c r="AN1640" s="12" t="inlineStr"/>
      <c r="AO1640" s="12" t="inlineStr"/>
      <c r="AP1640" s="13" t="inlineStr"/>
      <c r="AQ1640" s="13" t="inlineStr"/>
      <c r="AR1640" s="13" t="inlineStr"/>
      <c r="AS1640" s="13" t="inlineStr"/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14" t="n">
        <v>1120606</v>
      </c>
      <c r="AH1641" s="10" t="n">
        <v>283116</v>
      </c>
      <c r="AI1641" s="10" t="n">
        <v>216693</v>
      </c>
      <c r="AJ1641" s="14" t="n">
        <v>1331996</v>
      </c>
      <c r="AK1641" s="8" t="n">
        <v>235654</v>
      </c>
      <c r="AL1641" s="8" t="n">
        <v>205691</v>
      </c>
      <c r="AM1641" s="11" t="inlineStr"/>
      <c r="AN1641" s="12" t="inlineStr"/>
      <c r="AO1641" s="12" t="inlineStr"/>
      <c r="AP1641" s="13" t="inlineStr"/>
      <c r="AQ1641" s="13" t="inlineStr"/>
      <c r="AR1641" s="13" t="inlineStr"/>
      <c r="AS1641" s="13" t="inlineStr"/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8" t="n">
        <v>182738</v>
      </c>
      <c r="AL1642" s="8" t="n">
        <v>144782</v>
      </c>
      <c r="AM1642" s="11" t="inlineStr"/>
      <c r="AN1642" s="12" t="inlineStr"/>
      <c r="AO1642" s="12" t="inlineStr"/>
      <c r="AP1642" s="13" t="inlineStr"/>
      <c r="AQ1642" s="13" t="inlineStr"/>
      <c r="AR1642" s="13" t="inlineStr"/>
      <c r="AS1642" s="13" t="inlineStr"/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2026Q3</t>
        </is>
      </c>
      <c r="E1643" s="6" t="inlineStr">
        <is>
          <t>2023Q4, 2026Q3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7" t="n">
        <v>6915030</v>
      </c>
      <c r="AK1643" s="8" t="n">
        <v>-43038</v>
      </c>
      <c r="AL1643" s="8" t="n">
        <v>-136782</v>
      </c>
      <c r="AM1643" s="14" t="n">
        <v>1647600</v>
      </c>
      <c r="AN1643" s="12" t="inlineStr"/>
      <c r="AO1643" s="12" t="inlineStr"/>
      <c r="AP1643" s="13" t="n">
        <v>-76.2</v>
      </c>
      <c r="AQ1643" s="13" t="n">
        <v>-77.7</v>
      </c>
      <c r="AR1643" s="13" t="inlineStr"/>
      <c r="AS1643" s="13" t="inlineStr"/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7" t="n">
        <v>2719</v>
      </c>
      <c r="AK1644" s="8" t="n">
        <v>506</v>
      </c>
      <c r="AL1644" s="8" t="n">
        <v>2522</v>
      </c>
      <c r="AM1644" s="11" t="inlineStr"/>
      <c r="AN1644" s="12" t="inlineStr"/>
      <c r="AO1644" s="12" t="inlineStr"/>
      <c r="AP1644" s="13" t="inlineStr"/>
      <c r="AQ1644" s="13" t="inlineStr"/>
      <c r="AR1644" s="13" t="inlineStr"/>
      <c r="AS1644" s="13" t="inlineStr"/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7" t="n">
        <v>294488</v>
      </c>
      <c r="AK1645" s="8" t="n">
        <v>1057</v>
      </c>
      <c r="AL1645" s="8" t="n">
        <v>-8769</v>
      </c>
      <c r="AM1645" s="11" t="inlineStr"/>
      <c r="AN1645" s="12" t="inlineStr"/>
      <c r="AO1645" s="12" t="inlineStr"/>
      <c r="AP1645" s="13" t="inlineStr"/>
      <c r="AQ1645" s="13" t="inlineStr"/>
      <c r="AR1645" s="13" t="inlineStr"/>
      <c r="AS1645" s="13" t="inlineStr"/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7" t="n">
        <v>38776</v>
      </c>
      <c r="AK1646" s="8" t="n">
        <v>-359</v>
      </c>
      <c r="AL1646" s="8" t="n">
        <v>-1703</v>
      </c>
      <c r="AM1646" s="11" t="inlineStr"/>
      <c r="AN1646" s="12" t="inlineStr"/>
      <c r="AO1646" s="12" t="inlineStr"/>
      <c r="AP1646" s="13" t="inlineStr"/>
      <c r="AQ1646" s="13" t="inlineStr"/>
      <c r="AR1646" s="13" t="inlineStr"/>
      <c r="AS1646" s="13" t="inlineStr"/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7" t="n">
        <v>2201</v>
      </c>
      <c r="AK1647" s="8" t="n">
        <v>-4541</v>
      </c>
      <c r="AL1647" s="8" t="n">
        <v>7685</v>
      </c>
      <c r="AM1647" s="11" t="inlineStr"/>
      <c r="AN1647" s="12" t="inlineStr"/>
      <c r="AO1647" s="12" t="inlineStr"/>
      <c r="AP1647" s="13" t="inlineStr"/>
      <c r="AQ1647" s="13" t="inlineStr"/>
      <c r="AR1647" s="13" t="inlineStr"/>
      <c r="AS1647" s="13" t="inlineStr"/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7" t="n">
        <v>6924</v>
      </c>
      <c r="AK1648" s="8" t="n">
        <v>-61</v>
      </c>
      <c r="AL1648" s="8" t="n">
        <v>689</v>
      </c>
      <c r="AM1648" s="11" t="inlineStr"/>
      <c r="AN1648" s="12" t="inlineStr"/>
      <c r="AO1648" s="12" t="inlineStr"/>
      <c r="AP1648" s="13" t="inlineStr"/>
      <c r="AQ1648" s="13" t="inlineStr"/>
      <c r="AR1648" s="13" t="inlineStr"/>
      <c r="AS1648" s="13" t="inlineStr"/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7" t="n">
        <v>125313</v>
      </c>
      <c r="AK1649" s="8" t="n">
        <v>3231</v>
      </c>
      <c r="AL1649" s="8" t="n">
        <v>1988</v>
      </c>
      <c r="AM1649" s="11" t="inlineStr"/>
      <c r="AN1649" s="12" t="inlineStr"/>
      <c r="AO1649" s="12" t="inlineStr"/>
      <c r="AP1649" s="13" t="inlineStr"/>
      <c r="AQ1649" s="13" t="inlineStr"/>
      <c r="AR1649" s="13" t="inlineStr"/>
      <c r="AS1649" s="13" t="inlineStr"/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7" t="n">
        <v>18316</v>
      </c>
      <c r="AK1650" s="8" t="n">
        <v>-1449</v>
      </c>
      <c r="AL1650" s="8" t="n">
        <v>-889</v>
      </c>
      <c r="AM1650" s="11" t="inlineStr"/>
      <c r="AN1650" s="12" t="inlineStr"/>
      <c r="AO1650" s="12" t="inlineStr"/>
      <c r="AP1650" s="13" t="inlineStr"/>
      <c r="AQ1650" s="13" t="inlineStr"/>
      <c r="AR1650" s="13" t="inlineStr"/>
      <c r="AS1650" s="13" t="inlineStr"/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7" t="n">
        <v>53039</v>
      </c>
      <c r="AK1651" s="8" t="n">
        <v>4217</v>
      </c>
      <c r="AL1651" s="8" t="n">
        <v>2593</v>
      </c>
      <c r="AM1651" s="11" t="inlineStr"/>
      <c r="AN1651" s="12" t="inlineStr"/>
      <c r="AO1651" s="12" t="inlineStr"/>
      <c r="AP1651" s="13" t="inlineStr"/>
      <c r="AQ1651" s="13" t="inlineStr"/>
      <c r="AR1651" s="13" t="inlineStr"/>
      <c r="AS1651" s="13" t="inlineStr"/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7" t="n">
        <v>25666</v>
      </c>
      <c r="AK1652" s="8" t="n">
        <v>3490</v>
      </c>
      <c r="AL1652" s="8" t="n">
        <v>4875</v>
      </c>
      <c r="AM1652" s="11" t="inlineStr"/>
      <c r="AN1652" s="12" t="inlineStr"/>
      <c r="AO1652" s="12" t="inlineStr"/>
      <c r="AP1652" s="13" t="inlineStr"/>
      <c r="AQ1652" s="13" t="inlineStr"/>
      <c r="AR1652" s="13" t="inlineStr"/>
      <c r="AS1652" s="13" t="inlineStr"/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7" t="n">
        <v>5533</v>
      </c>
      <c r="AK1653" s="8" t="n">
        <v>-71977</v>
      </c>
      <c r="AL1653" s="8" t="n">
        <v>-68118</v>
      </c>
      <c r="AM1653" s="11" t="inlineStr"/>
      <c r="AN1653" s="12" t="inlineStr"/>
      <c r="AO1653" s="12" t="inlineStr"/>
      <c r="AP1653" s="13" t="inlineStr"/>
      <c r="AQ1653" s="13" t="inlineStr"/>
      <c r="AR1653" s="13" t="inlineStr"/>
      <c r="AS1653" s="13" t="inlineStr"/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7" t="n">
        <v>340100</v>
      </c>
      <c r="AK1654" s="8" t="n">
        <v>38540</v>
      </c>
      <c r="AL1654" s="8" t="n">
        <v>17783</v>
      </c>
      <c r="AM1654" s="11" t="inlineStr"/>
      <c r="AN1654" s="12" t="inlineStr"/>
      <c r="AO1654" s="12" t="inlineStr"/>
      <c r="AP1654" s="13" t="inlineStr"/>
      <c r="AQ1654" s="13" t="inlineStr"/>
      <c r="AR1654" s="13" t="inlineStr"/>
      <c r="AS1654" s="13" t="inlineStr"/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7" t="n">
        <v>27113</v>
      </c>
      <c r="AK1655" s="8" t="n">
        <v>743</v>
      </c>
      <c r="AL1655" s="8" t="n">
        <v>-4028</v>
      </c>
      <c r="AM1655" s="11" t="inlineStr"/>
      <c r="AN1655" s="12" t="inlineStr"/>
      <c r="AO1655" s="12" t="inlineStr"/>
      <c r="AP1655" s="13" t="inlineStr"/>
      <c r="AQ1655" s="13" t="inlineStr"/>
      <c r="AR1655" s="13" t="inlineStr"/>
      <c r="AS1655" s="13" t="inlineStr"/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7" t="n">
        <v>2336</v>
      </c>
      <c r="AK1656" s="8" t="n">
        <v>-1234</v>
      </c>
      <c r="AL1656" s="8" t="n">
        <v>-7907</v>
      </c>
      <c r="AM1656" s="11" t="inlineStr"/>
      <c r="AN1656" s="12" t="inlineStr"/>
      <c r="AO1656" s="12" t="inlineStr"/>
      <c r="AP1656" s="13" t="inlineStr"/>
      <c r="AQ1656" s="13" t="inlineStr"/>
      <c r="AR1656" s="13" t="inlineStr"/>
      <c r="AS1656" s="13" t="inlineStr"/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7" t="n">
        <v>83751</v>
      </c>
      <c r="AK1657" s="8" t="n">
        <v>8555</v>
      </c>
      <c r="AL1657" s="8" t="n">
        <v>6077</v>
      </c>
      <c r="AM1657" s="11" t="inlineStr"/>
      <c r="AN1657" s="12" t="inlineStr"/>
      <c r="AO1657" s="12" t="inlineStr"/>
      <c r="AP1657" s="13" t="inlineStr"/>
      <c r="AQ1657" s="13" t="inlineStr"/>
      <c r="AR1657" s="13" t="inlineStr"/>
      <c r="AS1657" s="13" t="inlineStr"/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7" t="n">
        <v>156779</v>
      </c>
      <c r="AK1658" s="8" t="n">
        <v>9519</v>
      </c>
      <c r="AL1658" s="8" t="n">
        <v>23</v>
      </c>
      <c r="AM1658" s="11" t="inlineStr"/>
      <c r="AN1658" s="12" t="inlineStr"/>
      <c r="AO1658" s="12" t="inlineStr"/>
      <c r="AP1658" s="13" t="inlineStr"/>
      <c r="AQ1658" s="13" t="inlineStr"/>
      <c r="AR1658" s="13" t="inlineStr"/>
      <c r="AS1658" s="13" t="inlineStr"/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7" t="n">
        <v>35192</v>
      </c>
      <c r="AK1659" s="8" t="n">
        <v>6443</v>
      </c>
      <c r="AL1659" s="8" t="n">
        <v>6749</v>
      </c>
      <c r="AM1659" s="11" t="inlineStr"/>
      <c r="AN1659" s="12" t="inlineStr"/>
      <c r="AO1659" s="12" t="inlineStr"/>
      <c r="AP1659" s="13" t="inlineStr"/>
      <c r="AQ1659" s="13" t="inlineStr"/>
      <c r="AR1659" s="13" t="inlineStr"/>
      <c r="AS1659" s="13" t="inlineStr"/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7" t="n">
        <v>16558</v>
      </c>
      <c r="AK1660" s="8" t="n">
        <v>130</v>
      </c>
      <c r="AL1660" s="8" t="n">
        <v>626</v>
      </c>
      <c r="AM1660" s="11" t="inlineStr"/>
      <c r="AN1660" s="12" t="inlineStr"/>
      <c r="AO1660" s="12" t="inlineStr"/>
      <c r="AP1660" s="13" t="inlineStr"/>
      <c r="AQ1660" s="13" t="inlineStr"/>
      <c r="AR1660" s="13" t="inlineStr"/>
      <c r="AS1660" s="13" t="inlineStr"/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7" t="n">
        <v>41604</v>
      </c>
      <c r="AK1661" s="8" t="n">
        <v>-1009</v>
      </c>
      <c r="AL1661" s="8" t="n">
        <v>2175</v>
      </c>
      <c r="AM1661" s="11" t="inlineStr"/>
      <c r="AN1661" s="12" t="inlineStr"/>
      <c r="AO1661" s="12" t="inlineStr"/>
      <c r="AP1661" s="13" t="inlineStr"/>
      <c r="AQ1661" s="13" t="inlineStr"/>
      <c r="AR1661" s="13" t="inlineStr"/>
      <c r="AS1661" s="13" t="inlineStr"/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7" t="n">
        <v>208753</v>
      </c>
      <c r="AK1662" s="8" t="n">
        <v>27290</v>
      </c>
      <c r="AL1662" s="8" t="n">
        <v>28742</v>
      </c>
      <c r="AM1662" s="11" t="inlineStr"/>
      <c r="AN1662" s="12" t="inlineStr"/>
      <c r="AO1662" s="12" t="inlineStr"/>
      <c r="AP1662" s="13" t="inlineStr"/>
      <c r="AQ1662" s="13" t="inlineStr"/>
      <c r="AR1662" s="13" t="inlineStr"/>
      <c r="AS1662" s="13" t="inlineStr"/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7" t="n">
        <v>137903</v>
      </c>
      <c r="AK1663" s="8" t="n">
        <v>56030</v>
      </c>
      <c r="AL1663" s="8" t="n">
        <v>44739</v>
      </c>
      <c r="AM1663" s="11" t="inlineStr"/>
      <c r="AN1663" s="12" t="inlineStr"/>
      <c r="AO1663" s="12" t="inlineStr"/>
      <c r="AP1663" s="13" t="inlineStr"/>
      <c r="AQ1663" s="13" t="inlineStr"/>
      <c r="AR1663" s="13" t="inlineStr"/>
      <c r="AS1663" s="13" t="inlineStr"/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7" t="n">
        <v>173383</v>
      </c>
      <c r="AK1664" s="8" t="n">
        <v>3370</v>
      </c>
      <c r="AL1664" s="8" t="n">
        <v>-117</v>
      </c>
      <c r="AM1664" s="11" t="inlineStr"/>
      <c r="AN1664" s="12" t="inlineStr"/>
      <c r="AO1664" s="12" t="inlineStr"/>
      <c r="AP1664" s="13" t="inlineStr"/>
      <c r="AQ1664" s="13" t="inlineStr"/>
      <c r="AR1664" s="13" t="inlineStr"/>
      <c r="AS1664" s="13" t="inlineStr"/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7" t="n">
        <v>21687</v>
      </c>
      <c r="AK1665" s="8" t="n">
        <v>-455</v>
      </c>
      <c r="AL1665" s="8" t="n">
        <v>-2287</v>
      </c>
      <c r="AM1665" s="11" t="inlineStr"/>
      <c r="AN1665" s="12" t="inlineStr"/>
      <c r="AO1665" s="12" t="inlineStr"/>
      <c r="AP1665" s="13" t="inlineStr"/>
      <c r="AQ1665" s="13" t="inlineStr"/>
      <c r="AR1665" s="13" t="inlineStr"/>
      <c r="AS1665" s="13" t="inlineStr"/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7" t="n">
        <v>2362</v>
      </c>
      <c r="AK1666" s="8" t="n">
        <v>1059</v>
      </c>
      <c r="AL1666" s="8" t="n">
        <v>2558</v>
      </c>
      <c r="AM1666" s="11" t="inlineStr"/>
      <c r="AN1666" s="12" t="inlineStr"/>
      <c r="AO1666" s="12" t="inlineStr"/>
      <c r="AP1666" s="13" t="inlineStr"/>
      <c r="AQ1666" s="13" t="inlineStr"/>
      <c r="AR1666" s="13" t="inlineStr"/>
      <c r="AS1666" s="13" t="inlineStr"/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7" t="n">
        <v>89346</v>
      </c>
      <c r="AK1667" s="8" t="n">
        <v>14688</v>
      </c>
      <c r="AL1667" s="8" t="n">
        <v>13890</v>
      </c>
      <c r="AM1667" s="11" t="inlineStr"/>
      <c r="AN1667" s="12" t="inlineStr"/>
      <c r="AO1667" s="12" t="inlineStr"/>
      <c r="AP1667" s="13" t="inlineStr"/>
      <c r="AQ1667" s="13" t="inlineStr"/>
      <c r="AR1667" s="13" t="inlineStr"/>
      <c r="AS1667" s="13" t="inlineStr"/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7" t="n">
        <v>705532</v>
      </c>
      <c r="AK1668" s="8" t="n">
        <v>43081</v>
      </c>
      <c r="AL1668" s="8" t="n">
        <v>36713</v>
      </c>
      <c r="AM1668" s="11" t="inlineStr"/>
      <c r="AN1668" s="12" t="inlineStr"/>
      <c r="AO1668" s="12" t="inlineStr"/>
      <c r="AP1668" s="13" t="inlineStr"/>
      <c r="AQ1668" s="13" t="inlineStr"/>
      <c r="AR1668" s="13" t="inlineStr"/>
      <c r="AS1668" s="13" t="inlineStr"/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7" t="n">
        <v>23047</v>
      </c>
      <c r="AK1669" s="8" t="n">
        <v>2325</v>
      </c>
      <c r="AL1669" s="8" t="n">
        <v>1757</v>
      </c>
      <c r="AM1669" s="11" t="inlineStr"/>
      <c r="AN1669" s="12" t="inlineStr"/>
      <c r="AO1669" s="12" t="inlineStr"/>
      <c r="AP1669" s="13" t="inlineStr"/>
      <c r="AQ1669" s="13" t="inlineStr"/>
      <c r="AR1669" s="13" t="inlineStr"/>
      <c r="AS1669" s="13" t="inlineStr"/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7" t="n">
        <v>26766</v>
      </c>
      <c r="AK1670" s="8" t="n">
        <v>1838</v>
      </c>
      <c r="AL1670" s="8" t="n">
        <v>461</v>
      </c>
      <c r="AM1670" s="11" t="inlineStr"/>
      <c r="AN1670" s="12" t="inlineStr"/>
      <c r="AO1670" s="12" t="inlineStr"/>
      <c r="AP1670" s="13" t="inlineStr"/>
      <c r="AQ1670" s="13" t="inlineStr"/>
      <c r="AR1670" s="13" t="inlineStr"/>
      <c r="AS1670" s="13" t="inlineStr"/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7" t="n">
        <v>18475</v>
      </c>
      <c r="AK1671" s="8" t="n">
        <v>1256</v>
      </c>
      <c r="AL1671" s="8" t="n">
        <v>-350</v>
      </c>
      <c r="AM1671" s="11" t="inlineStr"/>
      <c r="AN1671" s="12" t="inlineStr"/>
      <c r="AO1671" s="12" t="inlineStr"/>
      <c r="AP1671" s="13" t="inlineStr"/>
      <c r="AQ1671" s="13" t="inlineStr"/>
      <c r="AR1671" s="13" t="inlineStr"/>
      <c r="AS1671" s="13" t="inlineStr"/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7" t="n">
        <v>16282</v>
      </c>
      <c r="AK1672" s="8" t="n">
        <v>5835</v>
      </c>
      <c r="AL1672" s="8" t="n">
        <v>9443</v>
      </c>
      <c r="AM1672" s="11" t="inlineStr"/>
      <c r="AN1672" s="12" t="inlineStr"/>
      <c r="AO1672" s="12" t="inlineStr"/>
      <c r="AP1672" s="13" t="inlineStr"/>
      <c r="AQ1672" s="13" t="inlineStr"/>
      <c r="AR1672" s="13" t="inlineStr"/>
      <c r="AS1672" s="13" t="inlineStr"/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7" t="n">
        <v>86291</v>
      </c>
      <c r="AK1673" s="8" t="n">
        <v>3325</v>
      </c>
      <c r="AL1673" s="8" t="n">
        <v>20792</v>
      </c>
      <c r="AM1673" s="11" t="inlineStr"/>
      <c r="AN1673" s="12" t="inlineStr"/>
      <c r="AO1673" s="12" t="inlineStr"/>
      <c r="AP1673" s="13" t="inlineStr"/>
      <c r="AQ1673" s="13" t="inlineStr"/>
      <c r="AR1673" s="13" t="inlineStr"/>
      <c r="AS1673" s="13" t="inlineStr"/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7" t="n">
        <v>4738</v>
      </c>
      <c r="AK1674" s="8" t="n">
        <v>-921</v>
      </c>
      <c r="AL1674" s="8" t="n">
        <v>-3186</v>
      </c>
      <c r="AM1674" s="11" t="inlineStr"/>
      <c r="AN1674" s="12" t="inlineStr"/>
      <c r="AO1674" s="12" t="inlineStr"/>
      <c r="AP1674" s="13" t="inlineStr"/>
      <c r="AQ1674" s="13" t="inlineStr"/>
      <c r="AR1674" s="13" t="inlineStr"/>
      <c r="AS1674" s="13" t="inlineStr"/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7" t="n">
        <v>4277</v>
      </c>
      <c r="AK1675" s="8" t="n">
        <v>-27</v>
      </c>
      <c r="AL1675" s="8" t="n">
        <v>24</v>
      </c>
      <c r="AM1675" s="11" t="inlineStr"/>
      <c r="AN1675" s="12" t="inlineStr"/>
      <c r="AO1675" s="12" t="inlineStr"/>
      <c r="AP1675" s="13" t="inlineStr"/>
      <c r="AQ1675" s="13" t="inlineStr"/>
      <c r="AR1675" s="13" t="inlineStr"/>
      <c r="AS1675" s="13" t="inlineStr"/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7" t="n">
        <v>10333</v>
      </c>
      <c r="AK1676" s="8" t="n">
        <v>-54</v>
      </c>
      <c r="AL1676" s="8" t="n">
        <v>17174</v>
      </c>
      <c r="AM1676" s="11" t="inlineStr"/>
      <c r="AN1676" s="12" t="inlineStr"/>
      <c r="AO1676" s="12" t="inlineStr"/>
      <c r="AP1676" s="13" t="inlineStr"/>
      <c r="AQ1676" s="13" t="inlineStr"/>
      <c r="AR1676" s="13" t="inlineStr"/>
      <c r="AS1676" s="13" t="inlineStr"/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7" t="n">
        <v>16907</v>
      </c>
      <c r="AK1677" s="8" t="n">
        <v>336</v>
      </c>
      <c r="AL1677" s="8" t="n">
        <v>1310</v>
      </c>
      <c r="AM1677" s="11" t="inlineStr"/>
      <c r="AN1677" s="12" t="inlineStr"/>
      <c r="AO1677" s="12" t="inlineStr"/>
      <c r="AP1677" s="13" t="inlineStr"/>
      <c r="AQ1677" s="13" t="inlineStr"/>
      <c r="AR1677" s="13" t="inlineStr"/>
      <c r="AS1677" s="13" t="inlineStr"/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7" t="n">
        <v>10798</v>
      </c>
      <c r="AK1678" s="8" t="n">
        <v>1099</v>
      </c>
      <c r="AL1678" s="8" t="n">
        <v>772</v>
      </c>
      <c r="AM1678" s="11" t="inlineStr"/>
      <c r="AN1678" s="12" t="inlineStr"/>
      <c r="AO1678" s="12" t="inlineStr"/>
      <c r="AP1678" s="13" t="inlineStr"/>
      <c r="AQ1678" s="13" t="inlineStr"/>
      <c r="AR1678" s="13" t="inlineStr"/>
      <c r="AS1678" s="13" t="inlineStr"/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7" t="n">
        <v>13128</v>
      </c>
      <c r="AK1679" s="8" t="n">
        <v>1006</v>
      </c>
      <c r="AL1679" s="8" t="n">
        <v>1050</v>
      </c>
      <c r="AM1679" s="11" t="inlineStr"/>
      <c r="AN1679" s="12" t="inlineStr"/>
      <c r="AO1679" s="12" t="inlineStr"/>
      <c r="AP1679" s="13" t="inlineStr"/>
      <c r="AQ1679" s="13" t="inlineStr"/>
      <c r="AR1679" s="13" t="inlineStr"/>
      <c r="AS1679" s="13" t="inlineStr"/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7" t="n">
        <v>2150309</v>
      </c>
      <c r="AK1680" s="8" t="n">
        <v>51655</v>
      </c>
      <c r="AL1680" s="8" t="n">
        <v>112761</v>
      </c>
      <c r="AM1680" s="11" t="inlineStr"/>
      <c r="AN1680" s="12" t="inlineStr"/>
      <c r="AO1680" s="12" t="inlineStr"/>
      <c r="AP1680" s="13" t="inlineStr"/>
      <c r="AQ1680" s="13" t="inlineStr"/>
      <c r="AR1680" s="13" t="inlineStr"/>
      <c r="AS1680" s="13" t="inlineStr"/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7" t="n">
        <v>3454</v>
      </c>
      <c r="AK1681" s="8" t="n">
        <v>-555</v>
      </c>
      <c r="AL1681" s="8" t="n">
        <v>-341</v>
      </c>
      <c r="AM1681" s="11" t="inlineStr"/>
      <c r="AN1681" s="12" t="inlineStr"/>
      <c r="AO1681" s="12" t="inlineStr"/>
      <c r="AP1681" s="13" t="inlineStr"/>
      <c r="AQ1681" s="13" t="inlineStr"/>
      <c r="AR1681" s="13" t="inlineStr"/>
      <c r="AS1681" s="13" t="inlineStr"/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7" t="n">
        <v>36151</v>
      </c>
      <c r="AK1682" s="8" t="n">
        <v>-4557</v>
      </c>
      <c r="AL1682" s="8" t="n">
        <v>-4206</v>
      </c>
      <c r="AM1682" s="11" t="inlineStr"/>
      <c r="AN1682" s="12" t="inlineStr"/>
      <c r="AO1682" s="12" t="inlineStr"/>
      <c r="AP1682" s="13" t="inlineStr"/>
      <c r="AQ1682" s="13" t="inlineStr"/>
      <c r="AR1682" s="13" t="inlineStr"/>
      <c r="AS1682" s="13" t="inlineStr"/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7" t="n">
        <v>6588</v>
      </c>
      <c r="AK1683" s="8" t="n">
        <v>-206</v>
      </c>
      <c r="AL1683" s="8" t="n">
        <v>-217</v>
      </c>
      <c r="AM1683" s="11" t="inlineStr"/>
      <c r="AN1683" s="12" t="inlineStr"/>
      <c r="AO1683" s="12" t="inlineStr"/>
      <c r="AP1683" s="13" t="inlineStr"/>
      <c r="AQ1683" s="13" t="inlineStr"/>
      <c r="AR1683" s="13" t="inlineStr"/>
      <c r="AS1683" s="13" t="inlineStr"/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7" t="n">
        <v>5037</v>
      </c>
      <c r="AK1684" s="8" t="n">
        <v>1099</v>
      </c>
      <c r="AL1684" s="8" t="n">
        <v>1162</v>
      </c>
      <c r="AM1684" s="11" t="inlineStr"/>
      <c r="AN1684" s="12" t="inlineStr"/>
      <c r="AO1684" s="12" t="inlineStr"/>
      <c r="AP1684" s="13" t="inlineStr"/>
      <c r="AQ1684" s="13" t="inlineStr"/>
      <c r="AR1684" s="13" t="inlineStr"/>
      <c r="AS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7" t="n">
        <v>6751</v>
      </c>
      <c r="AK1685" s="8" t="n">
        <v>-263</v>
      </c>
      <c r="AL1685" s="8" t="n">
        <v>-293</v>
      </c>
      <c r="AM1685" s="11" t="inlineStr"/>
      <c r="AN1685" s="12" t="inlineStr"/>
      <c r="AO1685" s="12" t="inlineStr"/>
      <c r="AP1685" s="13" t="inlineStr"/>
      <c r="AQ1685" s="13" t="inlineStr"/>
      <c r="AR1685" s="13" t="inlineStr"/>
      <c r="AS1685" s="13" t="inlineStr"/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7" t="n">
        <v>6977</v>
      </c>
      <c r="AK1686" s="8" t="n">
        <v>232</v>
      </c>
      <c r="AL1686" s="8" t="n">
        <v>878</v>
      </c>
      <c r="AM1686" s="11" t="inlineStr"/>
      <c r="AN1686" s="12" t="inlineStr"/>
      <c r="AO1686" s="12" t="inlineStr"/>
      <c r="AP1686" s="13" t="inlineStr"/>
      <c r="AQ1686" s="13" t="inlineStr"/>
      <c r="AR1686" s="13" t="inlineStr"/>
      <c r="AS1686" s="13" t="inlineStr"/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7" t="n">
        <v>53408</v>
      </c>
      <c r="AK1687" s="8" t="n">
        <v>2788</v>
      </c>
      <c r="AL1687" s="8" t="n">
        <v>2325</v>
      </c>
      <c r="AM1687" s="11" t="inlineStr"/>
      <c r="AN1687" s="12" t="inlineStr"/>
      <c r="AO1687" s="12" t="inlineStr"/>
      <c r="AP1687" s="13" t="inlineStr"/>
      <c r="AQ1687" s="13" t="inlineStr"/>
      <c r="AR1687" s="13" t="inlineStr"/>
      <c r="AS1687" s="13" t="inlineStr"/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7" t="n">
        <v>88214</v>
      </c>
      <c r="AK1688" s="8" t="n">
        <v>4075</v>
      </c>
      <c r="AL1688" s="8" t="n">
        <v>11034</v>
      </c>
      <c r="AM1688" s="11" t="inlineStr"/>
      <c r="AN1688" s="12" t="inlineStr"/>
      <c r="AO1688" s="12" t="inlineStr"/>
      <c r="AP1688" s="13" t="inlineStr"/>
      <c r="AQ1688" s="13" t="inlineStr"/>
      <c r="AR1688" s="13" t="inlineStr"/>
      <c r="AS1688" s="13" t="inlineStr"/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7" t="n">
        <v>11735</v>
      </c>
      <c r="AK1689" s="8" t="n">
        <v>1275</v>
      </c>
      <c r="AL1689" s="8" t="n">
        <v>7979</v>
      </c>
      <c r="AM1689" s="11" t="inlineStr"/>
      <c r="AN1689" s="12" t="inlineStr"/>
      <c r="AO1689" s="12" t="inlineStr"/>
      <c r="AP1689" s="13" t="inlineStr"/>
      <c r="AQ1689" s="13" t="inlineStr"/>
      <c r="AR1689" s="13" t="inlineStr"/>
      <c r="AS1689" s="13" t="inlineStr"/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7" t="n">
        <v>17438</v>
      </c>
      <c r="AK1690" s="8" t="n">
        <v>3151</v>
      </c>
      <c r="AL1690" s="8" t="n">
        <v>3684</v>
      </c>
      <c r="AM1690" s="11" t="inlineStr"/>
      <c r="AN1690" s="12" t="inlineStr"/>
      <c r="AO1690" s="12" t="inlineStr"/>
      <c r="AP1690" s="13" t="inlineStr"/>
      <c r="AQ1690" s="13" t="inlineStr"/>
      <c r="AR1690" s="13" t="inlineStr"/>
      <c r="AS1690" s="13" t="inlineStr"/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7" t="n">
        <v>31714</v>
      </c>
      <c r="AK1691" s="8" t="n">
        <v>4420</v>
      </c>
      <c r="AL1691" s="8" t="n">
        <v>8819</v>
      </c>
      <c r="AM1691" s="11" t="inlineStr"/>
      <c r="AN1691" s="12" t="inlineStr"/>
      <c r="AO1691" s="12" t="inlineStr"/>
      <c r="AP1691" s="13" t="inlineStr"/>
      <c r="AQ1691" s="13" t="inlineStr"/>
      <c r="AR1691" s="13" t="inlineStr"/>
      <c r="AS1691" s="13" t="inlineStr"/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7" t="n">
        <v>20745</v>
      </c>
      <c r="AK1692" s="8" t="n">
        <v>1769</v>
      </c>
      <c r="AL1692" s="8" t="n">
        <v>1999</v>
      </c>
      <c r="AM1692" s="11" t="inlineStr"/>
      <c r="AN1692" s="12" t="inlineStr"/>
      <c r="AO1692" s="12" t="inlineStr"/>
      <c r="AP1692" s="13" t="inlineStr"/>
      <c r="AQ1692" s="13" t="inlineStr"/>
      <c r="AR1692" s="13" t="inlineStr"/>
      <c r="AS1692" s="13" t="inlineStr"/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7" t="n">
        <v>447</v>
      </c>
      <c r="AK1693" s="8" t="n">
        <v>-1925</v>
      </c>
      <c r="AL1693" s="8" t="n">
        <v>-495</v>
      </c>
      <c r="AM1693" s="11" t="inlineStr"/>
      <c r="AN1693" s="12" t="inlineStr"/>
      <c r="AO1693" s="12" t="inlineStr"/>
      <c r="AP1693" s="13" t="inlineStr"/>
      <c r="AQ1693" s="13" t="inlineStr"/>
      <c r="AR1693" s="13" t="inlineStr"/>
      <c r="AS1693" s="13" t="inlineStr"/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7" t="n">
        <v>20800</v>
      </c>
      <c r="AK1694" s="8" t="n">
        <v>-1464</v>
      </c>
      <c r="AL1694" s="8" t="n">
        <v>-889</v>
      </c>
      <c r="AM1694" s="11" t="inlineStr"/>
      <c r="AN1694" s="12" t="inlineStr"/>
      <c r="AO1694" s="12" t="inlineStr"/>
      <c r="AP1694" s="13" t="inlineStr"/>
      <c r="AQ1694" s="13" t="inlineStr"/>
      <c r="AR1694" s="13" t="inlineStr"/>
      <c r="AS1694" s="13" t="inlineStr"/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7" t="n">
        <v>27046</v>
      </c>
      <c r="AK1695" s="8" t="n">
        <v>-2226</v>
      </c>
      <c r="AL1695" s="8" t="n">
        <v>-4289</v>
      </c>
      <c r="AM1695" s="11" t="inlineStr"/>
      <c r="AN1695" s="12" t="inlineStr"/>
      <c r="AO1695" s="12" t="inlineStr"/>
      <c r="AP1695" s="13" t="inlineStr"/>
      <c r="AQ1695" s="13" t="inlineStr"/>
      <c r="AR1695" s="13" t="inlineStr"/>
      <c r="AS1695" s="13" t="inlineStr"/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7" t="n">
        <v>62516</v>
      </c>
      <c r="AK1696" s="8" t="n">
        <v>11290</v>
      </c>
      <c r="AL1696" s="8" t="n">
        <v>9006</v>
      </c>
      <c r="AM1696" s="11" t="inlineStr"/>
      <c r="AN1696" s="12" t="inlineStr"/>
      <c r="AO1696" s="12" t="inlineStr"/>
      <c r="AP1696" s="13" t="inlineStr"/>
      <c r="AQ1696" s="13" t="inlineStr"/>
      <c r="AR1696" s="13" t="inlineStr"/>
      <c r="AS1696" s="13" t="inlineStr"/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7" t="n">
        <v>503303</v>
      </c>
      <c r="AK1697" s="8" t="n">
        <v>42845</v>
      </c>
      <c r="AL1697" s="8" t="n">
        <v>16156</v>
      </c>
      <c r="AM1697" s="11" t="inlineStr"/>
      <c r="AN1697" s="12" t="inlineStr"/>
      <c r="AO1697" s="12" t="inlineStr"/>
      <c r="AP1697" s="13" t="inlineStr"/>
      <c r="AQ1697" s="13" t="inlineStr"/>
      <c r="AR1697" s="13" t="inlineStr"/>
      <c r="AS1697" s="13" t="inlineStr"/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7" t="n">
        <v>5682494</v>
      </c>
      <c r="AK1698" s="8" t="n">
        <v>559087</v>
      </c>
      <c r="AL1698" s="8" t="n">
        <v>317249</v>
      </c>
      <c r="AM1698" s="11" t="inlineStr"/>
      <c r="AN1698" s="12" t="inlineStr"/>
      <c r="AO1698" s="12" t="inlineStr"/>
      <c r="AP1698" s="13" t="inlineStr"/>
      <c r="AQ1698" s="13" t="inlineStr"/>
      <c r="AR1698" s="13" t="inlineStr"/>
      <c r="AS1698" s="13" t="inlineStr"/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7" t="n">
        <v>8197</v>
      </c>
      <c r="AK1699" s="8" t="n">
        <v>-15177</v>
      </c>
      <c r="AL1699" s="8" t="n">
        <v>-3368</v>
      </c>
      <c r="AM1699" s="11" t="inlineStr"/>
      <c r="AN1699" s="12" t="inlineStr"/>
      <c r="AO1699" s="12" t="inlineStr"/>
      <c r="AP1699" s="13" t="inlineStr"/>
      <c r="AQ1699" s="13" t="inlineStr"/>
      <c r="AR1699" s="13" t="inlineStr"/>
      <c r="AS1699" s="13" t="inlineStr"/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7" t="n">
        <v>861277</v>
      </c>
      <c r="AK1700" s="8" t="n">
        <v>110341</v>
      </c>
      <c r="AL1700" s="8" t="n">
        <v>70615</v>
      </c>
      <c r="AM1700" s="11" t="inlineStr"/>
      <c r="AN1700" s="12" t="inlineStr"/>
      <c r="AO1700" s="12" t="inlineStr"/>
      <c r="AP1700" s="13" t="inlineStr"/>
      <c r="AQ1700" s="13" t="inlineStr"/>
      <c r="AR1700" s="13" t="inlineStr"/>
      <c r="AS1700" s="13" t="inlineStr"/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7" t="n">
        <v>100941</v>
      </c>
      <c r="AK1701" s="8" t="n">
        <v>739</v>
      </c>
      <c r="AL1701" s="8" t="n">
        <v>-421</v>
      </c>
      <c r="AM1701" s="11" t="inlineStr"/>
      <c r="AN1701" s="12" t="inlineStr"/>
      <c r="AO1701" s="12" t="inlineStr"/>
      <c r="AP1701" s="13" t="inlineStr"/>
      <c r="AQ1701" s="13" t="inlineStr"/>
      <c r="AR1701" s="13" t="inlineStr"/>
      <c r="AS1701" s="13" t="inlineStr"/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7" t="n">
        <v>7631</v>
      </c>
      <c r="AK1702" s="8" t="n">
        <v>825</v>
      </c>
      <c r="AL1702" s="8" t="n">
        <v>4094</v>
      </c>
      <c r="AM1702" s="11" t="inlineStr"/>
      <c r="AN1702" s="12" t="inlineStr"/>
      <c r="AO1702" s="12" t="inlineStr"/>
      <c r="AP1702" s="13" t="inlineStr"/>
      <c r="AQ1702" s="13" t="inlineStr"/>
      <c r="AR1702" s="13" t="inlineStr"/>
      <c r="AS1702" s="13" t="inlineStr"/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7" t="n">
        <v>103548</v>
      </c>
      <c r="AK1703" s="8" t="n">
        <v>7509</v>
      </c>
      <c r="AL1703" s="8" t="n">
        <v>7167</v>
      </c>
      <c r="AM1703" s="11" t="inlineStr"/>
      <c r="AN1703" s="12" t="inlineStr"/>
      <c r="AO1703" s="12" t="inlineStr"/>
      <c r="AP1703" s="13" t="inlineStr"/>
      <c r="AQ1703" s="13" t="inlineStr"/>
      <c r="AR1703" s="13" t="inlineStr"/>
      <c r="AS1703" s="13" t="inlineStr"/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7" t="n">
        <v>22552</v>
      </c>
      <c r="AK1704" s="8" t="n">
        <v>370</v>
      </c>
      <c r="AL1704" s="8" t="n">
        <v>6733</v>
      </c>
      <c r="AM1704" s="11" t="inlineStr"/>
      <c r="AN1704" s="12" t="inlineStr"/>
      <c r="AO1704" s="12" t="inlineStr"/>
      <c r="AP1704" s="13" t="inlineStr"/>
      <c r="AQ1704" s="13" t="inlineStr"/>
      <c r="AR1704" s="13" t="inlineStr"/>
      <c r="AS1704" s="13" t="inlineStr"/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7" t="n">
        <v>90087</v>
      </c>
      <c r="AK1705" s="8" t="n">
        <v>26016</v>
      </c>
      <c r="AL1705" s="8" t="n">
        <v>19754</v>
      </c>
      <c r="AM1705" s="11" t="inlineStr"/>
      <c r="AN1705" s="12" t="inlineStr"/>
      <c r="AO1705" s="12" t="inlineStr"/>
      <c r="AP1705" s="13" t="inlineStr"/>
      <c r="AQ1705" s="13" t="inlineStr"/>
      <c r="AR1705" s="13" t="inlineStr"/>
      <c r="AS1705" s="13" t="inlineStr"/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7" t="n">
        <v>5398</v>
      </c>
      <c r="AK1706" s="8" t="n">
        <v>-4282</v>
      </c>
      <c r="AL1706" s="8" t="n">
        <v>-3678</v>
      </c>
      <c r="AM1706" s="11" t="inlineStr"/>
      <c r="AN1706" s="12" t="inlineStr"/>
      <c r="AO1706" s="12" t="inlineStr"/>
      <c r="AP1706" s="13" t="inlineStr"/>
      <c r="AQ1706" s="13" t="inlineStr"/>
      <c r="AR1706" s="13" t="inlineStr"/>
      <c r="AS1706" s="13" t="inlineStr"/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7" t="n">
        <v>6154</v>
      </c>
      <c r="AK1707" s="8" t="n">
        <v>-194</v>
      </c>
      <c r="AL1707" s="8" t="n">
        <v>-254</v>
      </c>
      <c r="AM1707" s="11" t="inlineStr"/>
      <c r="AN1707" s="12" t="inlineStr"/>
      <c r="AO1707" s="12" t="inlineStr"/>
      <c r="AP1707" s="13" t="inlineStr"/>
      <c r="AQ1707" s="13" t="inlineStr"/>
      <c r="AR1707" s="13" t="inlineStr"/>
      <c r="AS1707" s="13" t="inlineStr"/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7" t="n">
        <v>24004</v>
      </c>
      <c r="AK1708" s="8" t="n">
        <v>1393</v>
      </c>
      <c r="AL1708" s="8" t="n">
        <v>-2224</v>
      </c>
      <c r="AM1708" s="11" t="inlineStr"/>
      <c r="AN1708" s="12" t="inlineStr"/>
      <c r="AO1708" s="12" t="inlineStr"/>
      <c r="AP1708" s="13" t="inlineStr"/>
      <c r="AQ1708" s="13" t="inlineStr"/>
      <c r="AR1708" s="13" t="inlineStr"/>
      <c r="AS1708" s="13" t="inlineStr"/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2026Q3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7" t="inlineStr"/>
      <c r="AK1709" s="8" t="inlineStr"/>
      <c r="AL1709" s="8" t="inlineStr"/>
      <c r="AM1709" s="11" t="n">
        <v>9884</v>
      </c>
      <c r="AN1709" s="12" t="n">
        <v>-957</v>
      </c>
      <c r="AO1709" s="12" t="n">
        <v>-760</v>
      </c>
      <c r="AP1709" s="13" t="inlineStr"/>
      <c r="AQ1709" s="13" t="n">
        <v>-11.4</v>
      </c>
      <c r="AR1709" s="13" t="inlineStr"/>
      <c r="AS1709" s="13" t="n">
        <v>5</v>
      </c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7" t="n">
        <v>85516</v>
      </c>
      <c r="AK1710" s="8" t="n">
        <v>6264</v>
      </c>
      <c r="AL1710" s="8" t="n">
        <v>10599</v>
      </c>
      <c r="AM1710" s="11" t="inlineStr"/>
      <c r="AN1710" s="12" t="inlineStr"/>
      <c r="AO1710" s="12" t="inlineStr"/>
      <c r="AP1710" s="13" t="inlineStr"/>
      <c r="AQ1710" s="13" t="inlineStr"/>
      <c r="AR1710" s="13" t="inlineStr"/>
      <c r="AS1710" s="13" t="inlineStr"/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7" t="n">
        <v>15847</v>
      </c>
      <c r="AK1711" s="8" t="n">
        <v>-132</v>
      </c>
      <c r="AL1711" s="8" t="n">
        <v>1187</v>
      </c>
      <c r="AM1711" s="11" t="inlineStr"/>
      <c r="AN1711" s="12" t="inlineStr"/>
      <c r="AO1711" s="12" t="inlineStr"/>
      <c r="AP1711" s="13" t="inlineStr"/>
      <c r="AQ1711" s="13" t="inlineStr"/>
      <c r="AR1711" s="13" t="inlineStr"/>
      <c r="AS1711" s="13" t="inlineStr"/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7" t="n">
        <v>224659</v>
      </c>
      <c r="AK1712" s="8" t="n">
        <v>6294</v>
      </c>
      <c r="AL1712" s="8" t="n">
        <v>1447</v>
      </c>
      <c r="AM1712" s="11" t="inlineStr"/>
      <c r="AN1712" s="12" t="inlineStr"/>
      <c r="AO1712" s="12" t="inlineStr"/>
      <c r="AP1712" s="13" t="inlineStr"/>
      <c r="AQ1712" s="13" t="inlineStr"/>
      <c r="AR1712" s="13" t="inlineStr"/>
      <c r="AS1712" s="13" t="inlineStr"/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7" t="n">
        <v>140878</v>
      </c>
      <c r="AK1713" s="8" t="n">
        <v>23201</v>
      </c>
      <c r="AL1713" s="8" t="n">
        <v>21567</v>
      </c>
      <c r="AM1713" s="11" t="inlineStr"/>
      <c r="AN1713" s="12" t="inlineStr"/>
      <c r="AO1713" s="12" t="inlineStr"/>
      <c r="AP1713" s="13" t="inlineStr"/>
      <c r="AQ1713" s="13" t="inlineStr"/>
      <c r="AR1713" s="13" t="inlineStr"/>
      <c r="AS1713" s="13" t="inlineStr"/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7" t="n">
        <v>12161</v>
      </c>
      <c r="AK1714" s="8" t="n">
        <v>299</v>
      </c>
      <c r="AL1714" s="8" t="n">
        <v>-57</v>
      </c>
      <c r="AM1714" s="11" t="inlineStr"/>
      <c r="AN1714" s="12" t="inlineStr"/>
      <c r="AO1714" s="12" t="inlineStr"/>
      <c r="AP1714" s="13" t="inlineStr"/>
      <c r="AQ1714" s="13" t="inlineStr"/>
      <c r="AR1714" s="13" t="inlineStr"/>
      <c r="AS1714" s="13" t="inlineStr"/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7" t="n">
        <v>20242</v>
      </c>
      <c r="AK1715" s="8" t="n">
        <v>-10143</v>
      </c>
      <c r="AL1715" s="8" t="n">
        <v>-7954</v>
      </c>
      <c r="AM1715" s="11" t="inlineStr"/>
      <c r="AN1715" s="12" t="inlineStr"/>
      <c r="AO1715" s="12" t="inlineStr"/>
      <c r="AP1715" s="13" t="inlineStr"/>
      <c r="AQ1715" s="13" t="inlineStr"/>
      <c r="AR1715" s="13" t="inlineStr"/>
      <c r="AS1715" s="13" t="inlineStr"/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7" t="n">
        <v>42022</v>
      </c>
      <c r="AK1716" s="8" t="n">
        <v>5190</v>
      </c>
      <c r="AL1716" s="8" t="n">
        <v>3074</v>
      </c>
      <c r="AM1716" s="11" t="inlineStr"/>
      <c r="AN1716" s="12" t="inlineStr"/>
      <c r="AO1716" s="12" t="inlineStr"/>
      <c r="AP1716" s="13" t="inlineStr"/>
      <c r="AQ1716" s="13" t="inlineStr"/>
      <c r="AR1716" s="13" t="inlineStr"/>
      <c r="AS1716" s="13" t="inlineStr"/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7" t="n">
        <v>16435</v>
      </c>
      <c r="AK1717" s="8" t="n">
        <v>2132</v>
      </c>
      <c r="AL1717" s="8" t="n">
        <v>1479</v>
      </c>
      <c r="AM1717" s="11" t="inlineStr"/>
      <c r="AN1717" s="12" t="inlineStr"/>
      <c r="AO1717" s="12" t="inlineStr"/>
      <c r="AP1717" s="13" t="inlineStr"/>
      <c r="AQ1717" s="13" t="inlineStr"/>
      <c r="AR1717" s="13" t="inlineStr"/>
      <c r="AS1717" s="13" t="inlineStr"/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7" t="n">
        <v>47341</v>
      </c>
      <c r="AK1718" s="8" t="n">
        <v>1937</v>
      </c>
      <c r="AL1718" s="8" t="n">
        <v>3631</v>
      </c>
      <c r="AM1718" s="11" t="inlineStr"/>
      <c r="AN1718" s="12" t="inlineStr"/>
      <c r="AO1718" s="12" t="inlineStr"/>
      <c r="AP1718" s="13" t="inlineStr"/>
      <c r="AQ1718" s="13" t="inlineStr"/>
      <c r="AR1718" s="13" t="inlineStr"/>
      <c r="AS1718" s="13" t="inlineStr"/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7" t="n">
        <v>22069</v>
      </c>
      <c r="AK1719" s="8" t="n">
        <v>-3387</v>
      </c>
      <c r="AL1719" s="8" t="n">
        <v>-4398</v>
      </c>
      <c r="AM1719" s="11" t="inlineStr"/>
      <c r="AN1719" s="12" t="inlineStr"/>
      <c r="AO1719" s="12" t="inlineStr"/>
      <c r="AP1719" s="13" t="inlineStr"/>
      <c r="AQ1719" s="13" t="inlineStr"/>
      <c r="AR1719" s="13" t="inlineStr"/>
      <c r="AS1719" s="13" t="inlineStr"/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7" t="n">
        <v>1684</v>
      </c>
      <c r="AK1720" s="8" t="n">
        <v>-6255</v>
      </c>
      <c r="AL1720" s="8" t="n">
        <v>-6059</v>
      </c>
      <c r="AM1720" s="11" t="inlineStr"/>
      <c r="AN1720" s="12" t="inlineStr"/>
      <c r="AO1720" s="12" t="inlineStr"/>
      <c r="AP1720" s="13" t="inlineStr"/>
      <c r="AQ1720" s="13" t="inlineStr"/>
      <c r="AR1720" s="13" t="inlineStr"/>
      <c r="AS1720" s="13" t="inlineStr"/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7" t="n">
        <v>9617</v>
      </c>
      <c r="AK1721" s="8" t="n">
        <v>-2544</v>
      </c>
      <c r="AL1721" s="8" t="n">
        <v>-2541</v>
      </c>
      <c r="AM1721" s="11" t="inlineStr"/>
      <c r="AN1721" s="12" t="inlineStr"/>
      <c r="AO1721" s="12" t="inlineStr"/>
      <c r="AP1721" s="13" t="inlineStr"/>
      <c r="AQ1721" s="13" t="inlineStr"/>
      <c r="AR1721" s="13" t="inlineStr"/>
      <c r="AS1721" s="13" t="inlineStr"/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7" t="n">
        <v>37654</v>
      </c>
      <c r="AK1722" s="8" t="n">
        <v>2396</v>
      </c>
      <c r="AL1722" s="8" t="n">
        <v>2263</v>
      </c>
      <c r="AM1722" s="11" t="inlineStr"/>
      <c r="AN1722" s="12" t="inlineStr"/>
      <c r="AO1722" s="12" t="inlineStr"/>
      <c r="AP1722" s="13" t="inlineStr"/>
      <c r="AQ1722" s="13" t="inlineStr"/>
      <c r="AR1722" s="13" t="inlineStr"/>
      <c r="AS1722" s="13" t="inlineStr"/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14" t="n">
        <v>1215063</v>
      </c>
      <c r="AH1723" s="10" t="n">
        <v>221310</v>
      </c>
      <c r="AI1723" s="10" t="n">
        <v>172283</v>
      </c>
      <c r="AJ1723" s="14" t="n">
        <v>1264480</v>
      </c>
      <c r="AK1723" s="8" t="n">
        <v>305602</v>
      </c>
      <c r="AL1723" s="8" t="n">
        <v>226452</v>
      </c>
      <c r="AM1723" s="11" t="inlineStr"/>
      <c r="AN1723" s="12" t="inlineStr"/>
      <c r="AO1723" s="12" t="inlineStr"/>
      <c r="AP1723" s="13" t="inlineStr"/>
      <c r="AQ1723" s="13" t="inlineStr"/>
      <c r="AR1723" s="13" t="inlineStr"/>
      <c r="AS1723" s="13" t="inlineStr"/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7" t="n">
        <v>11196</v>
      </c>
      <c r="AK1724" s="8" t="n">
        <v>1931</v>
      </c>
      <c r="AL1724" s="8" t="n">
        <v>1205</v>
      </c>
      <c r="AM1724" s="11" t="inlineStr"/>
      <c r="AN1724" s="12" t="inlineStr"/>
      <c r="AO1724" s="12" t="inlineStr"/>
      <c r="AP1724" s="13" t="inlineStr"/>
      <c r="AQ1724" s="13" t="inlineStr"/>
      <c r="AR1724" s="13" t="inlineStr"/>
      <c r="AS1724" s="13" t="inlineStr"/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7" t="n">
        <v>5014</v>
      </c>
      <c r="AK1725" s="8" t="n">
        <v>-617</v>
      </c>
      <c r="AL1725" s="8" t="n">
        <v>-1834</v>
      </c>
      <c r="AM1725" s="11" t="inlineStr"/>
      <c r="AN1725" s="12" t="inlineStr"/>
      <c r="AO1725" s="12" t="inlineStr"/>
      <c r="AP1725" s="13" t="inlineStr"/>
      <c r="AQ1725" s="13" t="inlineStr"/>
      <c r="AR1725" s="13" t="inlineStr"/>
      <c r="AS1725" s="13" t="inlineStr"/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7" t="n">
        <v>37853</v>
      </c>
      <c r="AK1726" s="8" t="n">
        <v>31</v>
      </c>
      <c r="AL1726" s="8" t="n">
        <v>-253</v>
      </c>
      <c r="AM1726" s="11" t="inlineStr"/>
      <c r="AN1726" s="12" t="inlineStr"/>
      <c r="AO1726" s="12" t="inlineStr"/>
      <c r="AP1726" s="13" t="inlineStr"/>
      <c r="AQ1726" s="13" t="inlineStr"/>
      <c r="AR1726" s="13" t="inlineStr"/>
      <c r="AS1726" s="13" t="inlineStr"/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7" t="n">
        <v>5352</v>
      </c>
      <c r="AK1727" s="8" t="n">
        <v>-70</v>
      </c>
      <c r="AL1727" s="8" t="n">
        <v>-385</v>
      </c>
      <c r="AM1727" s="11" t="inlineStr"/>
      <c r="AN1727" s="12" t="inlineStr"/>
      <c r="AO1727" s="12" t="inlineStr"/>
      <c r="AP1727" s="13" t="inlineStr"/>
      <c r="AQ1727" s="13" t="inlineStr"/>
      <c r="AR1727" s="13" t="inlineStr"/>
      <c r="AS1727" s="13" t="inlineStr"/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7" t="n">
        <v>410184</v>
      </c>
      <c r="AK1728" s="8" t="n">
        <v>-19357</v>
      </c>
      <c r="AL1728" s="8" t="n">
        <v>-40186</v>
      </c>
      <c r="AM1728" s="11" t="inlineStr"/>
      <c r="AN1728" s="12" t="inlineStr"/>
      <c r="AO1728" s="12" t="inlineStr"/>
      <c r="AP1728" s="13" t="inlineStr"/>
      <c r="AQ1728" s="13" t="inlineStr"/>
      <c r="AR1728" s="13" t="inlineStr"/>
      <c r="AS1728" s="13" t="inlineStr"/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7" t="n">
        <v>483</v>
      </c>
      <c r="AK1729" s="8" t="n">
        <v>-1164</v>
      </c>
      <c r="AL1729" s="8" t="n">
        <v>-903</v>
      </c>
      <c r="AM1729" s="11" t="inlineStr"/>
      <c r="AN1729" s="12" t="inlineStr"/>
      <c r="AO1729" s="12" t="inlineStr"/>
      <c r="AP1729" s="13" t="inlineStr"/>
      <c r="AQ1729" s="13" t="inlineStr"/>
      <c r="AR1729" s="13" t="inlineStr"/>
      <c r="AS1729" s="13" t="inlineStr"/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7" t="n">
        <v>77501</v>
      </c>
      <c r="AK1730" s="8" t="n">
        <v>22983</v>
      </c>
      <c r="AL1730" s="8" t="n">
        <v>17471</v>
      </c>
      <c r="AM1730" s="11" t="inlineStr"/>
      <c r="AN1730" s="12" t="inlineStr"/>
      <c r="AO1730" s="12" t="inlineStr"/>
      <c r="AP1730" s="13" t="inlineStr"/>
      <c r="AQ1730" s="13" t="inlineStr"/>
      <c r="AR1730" s="13" t="inlineStr"/>
      <c r="AS1730" s="13" t="inlineStr"/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7" t="n">
        <v>19752</v>
      </c>
      <c r="AK1731" s="8" t="n">
        <v>5802</v>
      </c>
      <c r="AL1731" s="8" t="n">
        <v>5828</v>
      </c>
      <c r="AM1731" s="11" t="inlineStr"/>
      <c r="AN1731" s="12" t="inlineStr"/>
      <c r="AO1731" s="12" t="inlineStr"/>
      <c r="AP1731" s="13" t="inlineStr"/>
      <c r="AQ1731" s="13" t="inlineStr"/>
      <c r="AR1731" s="13" t="inlineStr"/>
      <c r="AS1731" s="13" t="inlineStr"/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7" t="n">
        <v>2905</v>
      </c>
      <c r="AK1732" s="8" t="n">
        <v>-1936</v>
      </c>
      <c r="AL1732" s="8" t="n">
        <v>-284</v>
      </c>
      <c r="AM1732" s="11" t="inlineStr"/>
      <c r="AN1732" s="12" t="inlineStr"/>
      <c r="AO1732" s="12" t="inlineStr"/>
      <c r="AP1732" s="13" t="inlineStr"/>
      <c r="AQ1732" s="13" t="inlineStr"/>
      <c r="AR1732" s="13" t="inlineStr"/>
      <c r="AS1732" s="13" t="inlineStr"/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7" t="n">
        <v>5494</v>
      </c>
      <c r="AK1733" s="8" t="n">
        <v>-15889</v>
      </c>
      <c r="AL1733" s="8" t="n">
        <v>13892</v>
      </c>
      <c r="AM1733" s="11" t="inlineStr"/>
      <c r="AN1733" s="12" t="inlineStr"/>
      <c r="AO1733" s="12" t="inlineStr"/>
      <c r="AP1733" s="13" t="inlineStr"/>
      <c r="AQ1733" s="13" t="inlineStr"/>
      <c r="AR1733" s="13" t="inlineStr"/>
      <c r="AS1733" s="13" t="inlineStr"/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7" t="n">
        <v>6404</v>
      </c>
      <c r="AK1734" s="8" t="n">
        <v>-6036</v>
      </c>
      <c r="AL1734" s="8" t="n">
        <v>-5917</v>
      </c>
      <c r="AM1734" s="11" t="inlineStr"/>
      <c r="AN1734" s="12" t="inlineStr"/>
      <c r="AO1734" s="12" t="inlineStr"/>
      <c r="AP1734" s="13" t="inlineStr"/>
      <c r="AQ1734" s="13" t="inlineStr"/>
      <c r="AR1734" s="13" t="inlineStr"/>
      <c r="AS1734" s="13" t="inlineStr"/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7" t="n">
        <v>71462</v>
      </c>
      <c r="AK1735" s="8" t="n">
        <v>16777</v>
      </c>
      <c r="AL1735" s="8" t="n">
        <v>-85698</v>
      </c>
      <c r="AM1735" s="11" t="inlineStr"/>
      <c r="AN1735" s="12" t="inlineStr"/>
      <c r="AO1735" s="12" t="inlineStr"/>
      <c r="AP1735" s="13" t="inlineStr"/>
      <c r="AQ1735" s="13" t="inlineStr"/>
      <c r="AR1735" s="13" t="inlineStr"/>
      <c r="AS1735" s="13" t="inlineStr"/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7" t="n">
        <v>757918</v>
      </c>
      <c r="AK1736" s="8" t="n">
        <v>57905</v>
      </c>
      <c r="AL1736" s="8" t="n">
        <v>29075</v>
      </c>
      <c r="AM1736" s="11" t="inlineStr"/>
      <c r="AN1736" s="12" t="inlineStr"/>
      <c r="AO1736" s="12" t="inlineStr"/>
      <c r="AP1736" s="13" t="inlineStr"/>
      <c r="AQ1736" s="13" t="inlineStr"/>
      <c r="AR1736" s="13" t="inlineStr"/>
      <c r="AS1736" s="13" t="inlineStr"/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7" t="n">
        <v>21549</v>
      </c>
      <c r="AK1737" s="8" t="n">
        <v>-2039</v>
      </c>
      <c r="AL1737" s="8" t="n">
        <v>-2667</v>
      </c>
      <c r="AM1737" s="11" t="inlineStr"/>
      <c r="AN1737" s="12" t="inlineStr"/>
      <c r="AO1737" s="12" t="inlineStr"/>
      <c r="AP1737" s="13" t="inlineStr"/>
      <c r="AQ1737" s="13" t="inlineStr"/>
      <c r="AR1737" s="13" t="inlineStr"/>
      <c r="AS1737" s="13" t="inlineStr"/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7" t="n">
        <v>2138</v>
      </c>
      <c r="AK1738" s="8" t="n">
        <v>-130</v>
      </c>
      <c r="AL1738" s="8" t="n">
        <v>-191</v>
      </c>
      <c r="AM1738" s="11" t="inlineStr"/>
      <c r="AN1738" s="12" t="inlineStr"/>
      <c r="AO1738" s="12" t="inlineStr"/>
      <c r="AP1738" s="13" t="inlineStr"/>
      <c r="AQ1738" s="13" t="inlineStr"/>
      <c r="AR1738" s="13" t="inlineStr"/>
      <c r="AS1738" s="13" t="inlineStr"/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7" t="n">
        <v>277711</v>
      </c>
      <c r="AK1739" s="8" t="n">
        <v>23561</v>
      </c>
      <c r="AL1739" s="8" t="n">
        <v>12754</v>
      </c>
      <c r="AM1739" s="11" t="inlineStr"/>
      <c r="AN1739" s="12" t="inlineStr"/>
      <c r="AO1739" s="12" t="inlineStr"/>
      <c r="AP1739" s="13" t="inlineStr"/>
      <c r="AQ1739" s="13" t="inlineStr"/>
      <c r="AR1739" s="13" t="inlineStr"/>
      <c r="AS1739" s="13" t="inlineStr"/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7" t="n">
        <v>175962</v>
      </c>
      <c r="AK1740" s="8" t="n">
        <v>27050</v>
      </c>
      <c r="AL1740" s="8" t="n">
        <v>8968</v>
      </c>
      <c r="AM1740" s="11" t="inlineStr"/>
      <c r="AN1740" s="12" t="inlineStr"/>
      <c r="AO1740" s="12" t="inlineStr"/>
      <c r="AP1740" s="13" t="inlineStr"/>
      <c r="AQ1740" s="13" t="inlineStr"/>
      <c r="AR1740" s="13" t="inlineStr"/>
      <c r="AS1740" s="13" t="inlineStr"/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7" t="n">
        <v>23543</v>
      </c>
      <c r="AK1741" s="8" t="n">
        <v>-4068</v>
      </c>
      <c r="AL1741" s="8" t="n">
        <v>-2763</v>
      </c>
      <c r="AM1741" s="11" t="inlineStr"/>
      <c r="AN1741" s="12" t="inlineStr"/>
      <c r="AO1741" s="12" t="inlineStr"/>
      <c r="AP1741" s="13" t="inlineStr"/>
      <c r="AQ1741" s="13" t="inlineStr"/>
      <c r="AR1741" s="13" t="inlineStr"/>
      <c r="AS1741" s="13" t="inlineStr"/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7" t="n">
        <v>49142</v>
      </c>
      <c r="AK1742" s="8" t="n">
        <v>1364</v>
      </c>
      <c r="AL1742" s="8" t="n">
        <v>-243</v>
      </c>
      <c r="AM1742" s="11" t="inlineStr"/>
      <c r="AN1742" s="12" t="inlineStr"/>
      <c r="AO1742" s="12" t="inlineStr"/>
      <c r="AP1742" s="13" t="inlineStr"/>
      <c r="AQ1742" s="13" t="inlineStr"/>
      <c r="AR1742" s="13" t="inlineStr"/>
      <c r="AS1742" s="13" t="inlineStr"/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7" t="n">
        <v>1339</v>
      </c>
      <c r="AK1743" s="8" t="n">
        <v>-3948</v>
      </c>
      <c r="AL1743" s="8" t="n">
        <v>-3841</v>
      </c>
      <c r="AM1743" s="11" t="inlineStr"/>
      <c r="AN1743" s="12" t="inlineStr"/>
      <c r="AO1743" s="12" t="inlineStr"/>
      <c r="AP1743" s="13" t="inlineStr"/>
      <c r="AQ1743" s="13" t="inlineStr"/>
      <c r="AR1743" s="13" t="inlineStr"/>
      <c r="AS1743" s="13" t="inlineStr"/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7" t="n">
        <v>478465</v>
      </c>
      <c r="AK1744" s="8" t="n">
        <v>18612</v>
      </c>
      <c r="AL1744" s="8" t="n">
        <v>20424</v>
      </c>
      <c r="AM1744" s="11" t="inlineStr"/>
      <c r="AN1744" s="12" t="inlineStr"/>
      <c r="AO1744" s="12" t="inlineStr"/>
      <c r="AP1744" s="13" t="inlineStr"/>
      <c r="AQ1744" s="13" t="inlineStr"/>
      <c r="AR1744" s="13" t="inlineStr"/>
      <c r="AS1744" s="13" t="inlineStr"/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7" t="n">
        <v>38037</v>
      </c>
      <c r="AK1745" s="8" t="n">
        <v>949</v>
      </c>
      <c r="AL1745" s="8" t="n">
        <v>582</v>
      </c>
      <c r="AM1745" s="11" t="inlineStr"/>
      <c r="AN1745" s="12" t="inlineStr"/>
      <c r="AO1745" s="12" t="inlineStr"/>
      <c r="AP1745" s="13" t="inlineStr"/>
      <c r="AQ1745" s="13" t="inlineStr"/>
      <c r="AR1745" s="13" t="inlineStr"/>
      <c r="AS1745" s="13" t="inlineStr"/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7" t="n">
        <v>28042</v>
      </c>
      <c r="AK1746" s="8" t="n">
        <v>-6810</v>
      </c>
      <c r="AL1746" s="8" t="n">
        <v>-4939</v>
      </c>
      <c r="AM1746" s="11" t="inlineStr"/>
      <c r="AN1746" s="12" t="inlineStr"/>
      <c r="AO1746" s="12" t="inlineStr"/>
      <c r="AP1746" s="13" t="inlineStr"/>
      <c r="AQ1746" s="13" t="inlineStr"/>
      <c r="AR1746" s="13" t="inlineStr"/>
      <c r="AS1746" s="13" t="inlineStr"/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7" t="n">
        <v>16365</v>
      </c>
      <c r="AK1747" s="8" t="n">
        <v>684</v>
      </c>
      <c r="AL1747" s="8" t="n">
        <v>709</v>
      </c>
      <c r="AM1747" s="11" t="inlineStr"/>
      <c r="AN1747" s="12" t="inlineStr"/>
      <c r="AO1747" s="12" t="inlineStr"/>
      <c r="AP1747" s="13" t="inlineStr"/>
      <c r="AQ1747" s="13" t="inlineStr"/>
      <c r="AR1747" s="13" t="inlineStr"/>
      <c r="AS1747" s="13" t="inlineStr"/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7" t="n">
        <v>11333</v>
      </c>
      <c r="AK1748" s="8" t="n">
        <v>959</v>
      </c>
      <c r="AL1748" s="8" t="n">
        <v>7046</v>
      </c>
      <c r="AM1748" s="11" t="inlineStr"/>
      <c r="AN1748" s="12" t="inlineStr"/>
      <c r="AO1748" s="12" t="inlineStr"/>
      <c r="AP1748" s="13" t="inlineStr"/>
      <c r="AQ1748" s="13" t="inlineStr"/>
      <c r="AR1748" s="13" t="inlineStr"/>
      <c r="AS1748" s="13" t="inlineStr"/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7" t="n">
        <v>2116</v>
      </c>
      <c r="AK1749" s="8" t="n">
        <v>-1859</v>
      </c>
      <c r="AL1749" s="8" t="n">
        <v>-1510</v>
      </c>
      <c r="AM1749" s="11" t="inlineStr"/>
      <c r="AN1749" s="12" t="inlineStr"/>
      <c r="AO1749" s="12" t="inlineStr"/>
      <c r="AP1749" s="13" t="inlineStr"/>
      <c r="AQ1749" s="13" t="inlineStr"/>
      <c r="AR1749" s="13" t="inlineStr"/>
      <c r="AS1749" s="13" t="inlineStr"/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7" t="n">
        <v>25950</v>
      </c>
      <c r="AK1750" s="8" t="n">
        <v>583</v>
      </c>
      <c r="AL1750" s="8" t="n">
        <v>383</v>
      </c>
      <c r="AM1750" s="11" t="inlineStr"/>
      <c r="AN1750" s="12" t="inlineStr"/>
      <c r="AO1750" s="12" t="inlineStr"/>
      <c r="AP1750" s="13" t="inlineStr"/>
      <c r="AQ1750" s="13" t="inlineStr"/>
      <c r="AR1750" s="13" t="inlineStr"/>
      <c r="AS1750" s="13" t="inlineStr"/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7" t="n">
        <v>23336</v>
      </c>
      <c r="AK1751" s="8" t="n">
        <v>7747</v>
      </c>
      <c r="AL1751" s="8" t="n">
        <v>8048</v>
      </c>
      <c r="AM1751" s="11" t="inlineStr"/>
      <c r="AN1751" s="12" t="inlineStr"/>
      <c r="AO1751" s="12" t="inlineStr"/>
      <c r="AP1751" s="13" t="inlineStr"/>
      <c r="AQ1751" s="13" t="inlineStr"/>
      <c r="AR1751" s="13" t="inlineStr"/>
      <c r="AS1751" s="13" t="inlineStr"/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7" t="n">
        <v>21804</v>
      </c>
      <c r="AK1752" s="8" t="n">
        <v>1526</v>
      </c>
      <c r="AL1752" s="8" t="n">
        <v>1683</v>
      </c>
      <c r="AM1752" s="11" t="inlineStr"/>
      <c r="AN1752" s="12" t="inlineStr"/>
      <c r="AO1752" s="12" t="inlineStr"/>
      <c r="AP1752" s="13" t="inlineStr"/>
      <c r="AQ1752" s="13" t="inlineStr"/>
      <c r="AR1752" s="13" t="inlineStr"/>
      <c r="AS1752" s="13" t="inlineStr"/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7" t="n">
        <v>3813</v>
      </c>
      <c r="AK1753" s="8" t="n">
        <v>-405</v>
      </c>
      <c r="AL1753" s="8" t="n">
        <v>-145</v>
      </c>
      <c r="AM1753" s="11" t="inlineStr"/>
      <c r="AN1753" s="12" t="inlineStr"/>
      <c r="AO1753" s="12" t="inlineStr"/>
      <c r="AP1753" s="13" t="inlineStr"/>
      <c r="AQ1753" s="13" t="inlineStr"/>
      <c r="AR1753" s="13" t="inlineStr"/>
      <c r="AS1753" s="13" t="inlineStr"/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7" t="n">
        <v>97246</v>
      </c>
      <c r="AK1754" s="8" t="n">
        <v>7136</v>
      </c>
      <c r="AL1754" s="8" t="n">
        <v>4745</v>
      </c>
      <c r="AM1754" s="11" t="inlineStr"/>
      <c r="AN1754" s="12" t="inlineStr"/>
      <c r="AO1754" s="12" t="inlineStr"/>
      <c r="AP1754" s="13" t="inlineStr"/>
      <c r="AQ1754" s="13" t="inlineStr"/>
      <c r="AR1754" s="13" t="inlineStr"/>
      <c r="AS1754" s="13" t="inlineStr"/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7" t="n">
        <v>2014</v>
      </c>
      <c r="AK1755" s="8" t="n">
        <v>-2720</v>
      </c>
      <c r="AL1755" s="8" t="n">
        <v>-2571</v>
      </c>
      <c r="AM1755" s="11" t="inlineStr"/>
      <c r="AN1755" s="12" t="inlineStr"/>
      <c r="AO1755" s="12" t="inlineStr"/>
      <c r="AP1755" s="13" t="inlineStr"/>
      <c r="AQ1755" s="13" t="inlineStr"/>
      <c r="AR1755" s="13" t="inlineStr"/>
      <c r="AS1755" s="13" t="inlineStr"/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2026Q3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7" t="inlineStr"/>
      <c r="AK1756" s="8" t="inlineStr"/>
      <c r="AL1756" s="8" t="inlineStr"/>
      <c r="AM1756" s="11" t="n">
        <v>6036</v>
      </c>
      <c r="AN1756" s="12" t="n">
        <v>-50</v>
      </c>
      <c r="AO1756" s="12" t="n">
        <v>1478</v>
      </c>
      <c r="AP1756" s="13" t="inlineStr"/>
      <c r="AQ1756" s="13" t="n">
        <v>5</v>
      </c>
      <c r="AR1756" s="13" t="inlineStr"/>
      <c r="AS1756" s="13" t="n">
        <v>89.5</v>
      </c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7" t="n">
        <v>12043</v>
      </c>
      <c r="AK1757" s="8" t="n">
        <v>-948</v>
      </c>
      <c r="AL1757" s="8" t="n">
        <v>-915</v>
      </c>
      <c r="AM1757" s="11" t="inlineStr"/>
      <c r="AN1757" s="12" t="inlineStr"/>
      <c r="AO1757" s="12" t="inlineStr"/>
      <c r="AP1757" s="13" t="inlineStr"/>
      <c r="AQ1757" s="13" t="inlineStr"/>
      <c r="AR1757" s="13" t="inlineStr"/>
      <c r="AS1757" s="13" t="inlineStr"/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7" t="n">
        <v>26092</v>
      </c>
      <c r="AK1758" s="8" t="n">
        <v>1428</v>
      </c>
      <c r="AL1758" s="8" t="n">
        <v>492</v>
      </c>
      <c r="AM1758" s="11" t="inlineStr"/>
      <c r="AN1758" s="12" t="inlineStr"/>
      <c r="AO1758" s="12" t="inlineStr"/>
      <c r="AP1758" s="13" t="inlineStr"/>
      <c r="AQ1758" s="13" t="inlineStr"/>
      <c r="AR1758" s="13" t="inlineStr"/>
      <c r="AS1758" s="13" t="inlineStr"/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7" t="n">
        <v>93207</v>
      </c>
      <c r="AK1759" s="8" t="n">
        <v>2152</v>
      </c>
      <c r="AL1759" s="8" t="n">
        <v>2283</v>
      </c>
      <c r="AM1759" s="11" t="inlineStr"/>
      <c r="AN1759" s="12" t="inlineStr"/>
      <c r="AO1759" s="12" t="inlineStr"/>
      <c r="AP1759" s="13" t="inlineStr"/>
      <c r="AQ1759" s="13" t="inlineStr"/>
      <c r="AR1759" s="13" t="inlineStr"/>
      <c r="AS1759" s="13" t="inlineStr"/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7" t="inlineStr"/>
      <c r="AK1760" s="8" t="inlineStr"/>
      <c r="AL1760" s="8" t="inlineStr"/>
      <c r="AM1760" s="11" t="inlineStr"/>
      <c r="AN1760" s="12" t="inlineStr"/>
      <c r="AO1760" s="12" t="inlineStr"/>
      <c r="AP1760" s="13" t="inlineStr"/>
      <c r="AQ1760" s="13" t="inlineStr"/>
      <c r="AR1760" s="13" t="inlineStr"/>
      <c r="AS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7" t="n">
        <v>7794</v>
      </c>
      <c r="AK1761" s="8" t="n">
        <v>-482</v>
      </c>
      <c r="AL1761" s="8" t="n">
        <v>-796</v>
      </c>
      <c r="AM1761" s="11" t="inlineStr"/>
      <c r="AN1761" s="12" t="inlineStr"/>
      <c r="AO1761" s="12" t="inlineStr"/>
      <c r="AP1761" s="13" t="inlineStr"/>
      <c r="AQ1761" s="13" t="inlineStr"/>
      <c r="AR1761" s="13" t="inlineStr"/>
      <c r="AS1761" s="13" t="inlineStr"/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7" t="n">
        <v>1970</v>
      </c>
      <c r="AK1762" s="8" t="n">
        <v>-1153</v>
      </c>
      <c r="AL1762" s="8" t="n">
        <v>-4885</v>
      </c>
      <c r="AM1762" s="11" t="inlineStr"/>
      <c r="AN1762" s="12" t="inlineStr"/>
      <c r="AO1762" s="12" t="inlineStr"/>
      <c r="AP1762" s="13" t="inlineStr"/>
      <c r="AQ1762" s="13" t="inlineStr"/>
      <c r="AR1762" s="13" t="inlineStr"/>
      <c r="AS1762" s="13" t="inlineStr"/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7" t="n">
        <v>210629</v>
      </c>
      <c r="AK1763" s="8" t="n">
        <v>70072</v>
      </c>
      <c r="AL1763" s="8" t="n">
        <v>65033</v>
      </c>
      <c r="AM1763" s="11" t="inlineStr"/>
      <c r="AN1763" s="12" t="inlineStr"/>
      <c r="AO1763" s="12" t="inlineStr"/>
      <c r="AP1763" s="13" t="inlineStr"/>
      <c r="AQ1763" s="13" t="inlineStr"/>
      <c r="AR1763" s="13" t="inlineStr"/>
      <c r="AS1763" s="13" t="inlineStr"/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7" t="inlineStr"/>
      <c r="AK1764" s="8" t="n">
        <v>936</v>
      </c>
      <c r="AL1764" s="8" t="n">
        <v>120</v>
      </c>
      <c r="AM1764" s="11" t="inlineStr"/>
      <c r="AN1764" s="12" t="inlineStr"/>
      <c r="AO1764" s="12" t="inlineStr"/>
      <c r="AP1764" s="13" t="inlineStr"/>
      <c r="AQ1764" s="13" t="inlineStr"/>
      <c r="AR1764" s="13" t="inlineStr"/>
      <c r="AS1764" s="13" t="inlineStr"/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7" t="n">
        <v>17435</v>
      </c>
      <c r="AK1765" s="8" t="n">
        <v>-2471</v>
      </c>
      <c r="AL1765" s="8" t="n">
        <v>-2150</v>
      </c>
      <c r="AM1765" s="11" t="inlineStr"/>
      <c r="AN1765" s="12" t="inlineStr"/>
      <c r="AO1765" s="12" t="inlineStr"/>
      <c r="AP1765" s="13" t="inlineStr"/>
      <c r="AQ1765" s="13" t="inlineStr"/>
      <c r="AR1765" s="13" t="inlineStr"/>
      <c r="AS1765" s="13" t="inlineStr"/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7" t="n">
        <v>239965</v>
      </c>
      <c r="AK1766" s="8" t="n">
        <v>31124</v>
      </c>
      <c r="AL1766" s="8" t="n">
        <v>43271</v>
      </c>
      <c r="AM1766" s="11" t="inlineStr"/>
      <c r="AN1766" s="12" t="inlineStr"/>
      <c r="AO1766" s="12" t="inlineStr"/>
      <c r="AP1766" s="13" t="inlineStr"/>
      <c r="AQ1766" s="13" t="inlineStr"/>
      <c r="AR1766" s="13" t="inlineStr"/>
      <c r="AS1766" s="13" t="inlineStr"/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7" t="n">
        <v>4531</v>
      </c>
      <c r="AK1767" s="8" t="n">
        <v>-1564</v>
      </c>
      <c r="AL1767" s="8" t="n">
        <v>-8110</v>
      </c>
      <c r="AM1767" s="11" t="inlineStr"/>
      <c r="AN1767" s="12" t="inlineStr"/>
      <c r="AO1767" s="12" t="inlineStr"/>
      <c r="AP1767" s="13" t="inlineStr"/>
      <c r="AQ1767" s="13" t="inlineStr"/>
      <c r="AR1767" s="13" t="inlineStr"/>
      <c r="AS1767" s="13" t="inlineStr"/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7" t="n">
        <v>110317</v>
      </c>
      <c r="AK1768" s="8" t="n">
        <v>12575</v>
      </c>
      <c r="AL1768" s="8" t="n">
        <v>15232</v>
      </c>
      <c r="AM1768" s="11" t="inlineStr"/>
      <c r="AN1768" s="12" t="inlineStr"/>
      <c r="AO1768" s="12" t="inlineStr"/>
      <c r="AP1768" s="13" t="inlineStr"/>
      <c r="AQ1768" s="13" t="inlineStr"/>
      <c r="AR1768" s="13" t="inlineStr"/>
      <c r="AS1768" s="13" t="inlineStr"/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7" t="n">
        <v>257336</v>
      </c>
      <c r="AK1769" s="8" t="n">
        <v>105</v>
      </c>
      <c r="AL1769" s="8" t="n">
        <v>-4987</v>
      </c>
      <c r="AM1769" s="11" t="inlineStr"/>
      <c r="AN1769" s="12" t="inlineStr"/>
      <c r="AO1769" s="12" t="inlineStr"/>
      <c r="AP1769" s="13" t="inlineStr"/>
      <c r="AQ1769" s="13" t="inlineStr"/>
      <c r="AR1769" s="13" t="inlineStr"/>
      <c r="AS1769" s="13" t="inlineStr"/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7" t="n">
        <v>794891</v>
      </c>
      <c r="AK1770" s="8" t="n">
        <v>73735</v>
      </c>
      <c r="AL1770" s="8" t="n">
        <v>50009</v>
      </c>
      <c r="AM1770" s="11" t="inlineStr"/>
      <c r="AN1770" s="12" t="inlineStr"/>
      <c r="AO1770" s="12" t="inlineStr"/>
      <c r="AP1770" s="13" t="inlineStr"/>
      <c r="AQ1770" s="13" t="inlineStr"/>
      <c r="AR1770" s="13" t="inlineStr"/>
      <c r="AS1770" s="13" t="inlineStr"/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7" t="n">
        <v>4074</v>
      </c>
      <c r="AK1771" s="8" t="n">
        <v>-2442</v>
      </c>
      <c r="AL1771" s="8" t="n">
        <v>3017</v>
      </c>
      <c r="AM1771" s="11" t="inlineStr"/>
      <c r="AN1771" s="12" t="inlineStr"/>
      <c r="AO1771" s="12" t="inlineStr"/>
      <c r="AP1771" s="13" t="inlineStr"/>
      <c r="AQ1771" s="13" t="inlineStr"/>
      <c r="AR1771" s="13" t="inlineStr"/>
      <c r="AS1771" s="13" t="inlineStr"/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7" t="n">
        <v>453516</v>
      </c>
      <c r="AK1772" s="8" t="n">
        <v>56476</v>
      </c>
      <c r="AL1772" s="8" t="n">
        <v>28353</v>
      </c>
      <c r="AM1772" s="11" t="inlineStr"/>
      <c r="AN1772" s="12" t="inlineStr"/>
      <c r="AO1772" s="12" t="inlineStr"/>
      <c r="AP1772" s="13" t="inlineStr"/>
      <c r="AQ1772" s="13" t="inlineStr"/>
      <c r="AR1772" s="13" t="inlineStr"/>
      <c r="AS1772" s="13" t="inlineStr"/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7" t="n">
        <v>52668</v>
      </c>
      <c r="AK1773" s="8" t="n">
        <v>-15975</v>
      </c>
      <c r="AL1773" s="8" t="n">
        <v>-14973</v>
      </c>
      <c r="AM1773" s="11" t="inlineStr"/>
      <c r="AN1773" s="12" t="inlineStr"/>
      <c r="AO1773" s="12" t="inlineStr"/>
      <c r="AP1773" s="13" t="inlineStr"/>
      <c r="AQ1773" s="13" t="inlineStr"/>
      <c r="AR1773" s="13" t="inlineStr"/>
      <c r="AS1773" s="13" t="inlineStr"/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7" t="n">
        <v>101785</v>
      </c>
      <c r="AK1774" s="8" t="n">
        <v>10967</v>
      </c>
      <c r="AL1774" s="8" t="n">
        <v>7671</v>
      </c>
      <c r="AM1774" s="11" t="inlineStr"/>
      <c r="AN1774" s="12" t="inlineStr"/>
      <c r="AO1774" s="12" t="inlineStr"/>
      <c r="AP1774" s="13" t="inlineStr"/>
      <c r="AQ1774" s="13" t="inlineStr"/>
      <c r="AR1774" s="13" t="inlineStr"/>
      <c r="AS1774" s="13" t="inlineStr"/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7" t="n">
        <v>30789</v>
      </c>
      <c r="AK1775" s="8" t="n">
        <v>1005</v>
      </c>
      <c r="AL1775" s="8" t="n">
        <v>893</v>
      </c>
      <c r="AM1775" s="11" t="inlineStr"/>
      <c r="AN1775" s="12" t="inlineStr"/>
      <c r="AO1775" s="12" t="inlineStr"/>
      <c r="AP1775" s="13" t="inlineStr"/>
      <c r="AQ1775" s="13" t="inlineStr"/>
      <c r="AR1775" s="13" t="inlineStr"/>
      <c r="AS1775" s="13" t="inlineStr"/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7" t="n">
        <v>211086</v>
      </c>
      <c r="AK1776" s="8" t="n">
        <v>24867</v>
      </c>
      <c r="AL1776" s="8" t="n">
        <v>19080</v>
      </c>
      <c r="AM1776" s="11" t="inlineStr"/>
      <c r="AN1776" s="12" t="inlineStr"/>
      <c r="AO1776" s="12" t="inlineStr"/>
      <c r="AP1776" s="13" t="inlineStr"/>
      <c r="AQ1776" s="13" t="inlineStr"/>
      <c r="AR1776" s="13" t="inlineStr"/>
      <c r="AS1776" s="13" t="inlineStr"/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7" t="n">
        <v>267225</v>
      </c>
      <c r="AK1777" s="8" t="n">
        <v>30009</v>
      </c>
      <c r="AL1777" s="8" t="n">
        <v>13674</v>
      </c>
      <c r="AM1777" s="11" t="inlineStr"/>
      <c r="AN1777" s="12" t="inlineStr"/>
      <c r="AO1777" s="12" t="inlineStr"/>
      <c r="AP1777" s="13" t="inlineStr"/>
      <c r="AQ1777" s="13" t="inlineStr"/>
      <c r="AR1777" s="13" t="inlineStr"/>
      <c r="AS1777" s="13" t="inlineStr"/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7" t="n">
        <v>9019</v>
      </c>
      <c r="AK1778" s="8" t="n">
        <v>-4112</v>
      </c>
      <c r="AL1778" s="8" t="n">
        <v>-5846</v>
      </c>
      <c r="AM1778" s="11" t="inlineStr"/>
      <c r="AN1778" s="12" t="inlineStr"/>
      <c r="AO1778" s="12" t="inlineStr"/>
      <c r="AP1778" s="13" t="inlineStr"/>
      <c r="AQ1778" s="13" t="inlineStr"/>
      <c r="AR1778" s="13" t="inlineStr"/>
      <c r="AS1778" s="13" t="inlineStr"/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7" t="n">
        <v>68894</v>
      </c>
      <c r="AK1779" s="8" t="n">
        <v>34180</v>
      </c>
      <c r="AL1779" s="8" t="n">
        <v>29989</v>
      </c>
      <c r="AM1779" s="11" t="inlineStr"/>
      <c r="AN1779" s="12" t="inlineStr"/>
      <c r="AO1779" s="12" t="inlineStr"/>
      <c r="AP1779" s="13" t="inlineStr"/>
      <c r="AQ1779" s="13" t="inlineStr"/>
      <c r="AR1779" s="13" t="inlineStr"/>
      <c r="AS1779" s="13" t="inlineStr"/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7" t="n">
        <v>1259</v>
      </c>
      <c r="AK1780" s="8" t="n">
        <v>-1382</v>
      </c>
      <c r="AL1780" s="8" t="n">
        <v>-735</v>
      </c>
      <c r="AM1780" s="11" t="inlineStr"/>
      <c r="AN1780" s="12" t="inlineStr"/>
      <c r="AO1780" s="12" t="inlineStr"/>
      <c r="AP1780" s="13" t="inlineStr"/>
      <c r="AQ1780" s="13" t="inlineStr"/>
      <c r="AR1780" s="13" t="inlineStr"/>
      <c r="AS1780" s="13" t="inlineStr"/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7" t="n">
        <v>63405</v>
      </c>
      <c r="AK1781" s="8" t="n">
        <v>99</v>
      </c>
      <c r="AL1781" s="8" t="n">
        <v>-588</v>
      </c>
      <c r="AM1781" s="11" t="inlineStr"/>
      <c r="AN1781" s="12" t="inlineStr"/>
      <c r="AO1781" s="12" t="inlineStr"/>
      <c r="AP1781" s="13" t="inlineStr"/>
      <c r="AQ1781" s="13" t="inlineStr"/>
      <c r="AR1781" s="13" t="inlineStr"/>
      <c r="AS1781" s="13" t="inlineStr"/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7" t="n">
        <v>2087</v>
      </c>
      <c r="AK1782" s="8" t="n">
        <v>-143</v>
      </c>
      <c r="AL1782" s="8" t="n">
        <v>4880</v>
      </c>
      <c r="AM1782" s="11" t="inlineStr"/>
      <c r="AN1782" s="12" t="inlineStr"/>
      <c r="AO1782" s="12" t="inlineStr"/>
      <c r="AP1782" s="13" t="inlineStr"/>
      <c r="AQ1782" s="13" t="inlineStr"/>
      <c r="AR1782" s="13" t="inlineStr"/>
      <c r="AS1782" s="13" t="inlineStr"/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7" t="n">
        <v>10899</v>
      </c>
      <c r="AK1783" s="8" t="n">
        <v>1448</v>
      </c>
      <c r="AL1783" s="8" t="n">
        <v>1302</v>
      </c>
      <c r="AM1783" s="11" t="inlineStr"/>
      <c r="AN1783" s="12" t="inlineStr"/>
      <c r="AO1783" s="12" t="inlineStr"/>
      <c r="AP1783" s="13" t="inlineStr"/>
      <c r="AQ1783" s="13" t="inlineStr"/>
      <c r="AR1783" s="13" t="inlineStr"/>
      <c r="AS1783" s="13" t="inlineStr"/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7" t="n">
        <v>17581</v>
      </c>
      <c r="AK1784" s="8" t="n">
        <v>-1232</v>
      </c>
      <c r="AL1784" s="8" t="n">
        <v>-864</v>
      </c>
      <c r="AM1784" s="11" t="inlineStr"/>
      <c r="AN1784" s="12" t="inlineStr"/>
      <c r="AO1784" s="12" t="inlineStr"/>
      <c r="AP1784" s="13" t="inlineStr"/>
      <c r="AQ1784" s="13" t="inlineStr"/>
      <c r="AR1784" s="13" t="inlineStr"/>
      <c r="AS1784" s="13" t="inlineStr"/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7" t="n">
        <v>65267</v>
      </c>
      <c r="AK1785" s="8" t="n">
        <v>4847</v>
      </c>
      <c r="AL1785" s="8" t="n">
        <v>3386</v>
      </c>
      <c r="AM1785" s="11" t="inlineStr"/>
      <c r="AN1785" s="12" t="inlineStr"/>
      <c r="AO1785" s="12" t="inlineStr"/>
      <c r="AP1785" s="13" t="inlineStr"/>
      <c r="AQ1785" s="13" t="inlineStr"/>
      <c r="AR1785" s="13" t="inlineStr"/>
      <c r="AS1785" s="13" t="inlineStr"/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7" t="n">
        <v>19655</v>
      </c>
      <c r="AK1786" s="8" t="n">
        <v>2457</v>
      </c>
      <c r="AL1786" s="8" t="n">
        <v>1625</v>
      </c>
      <c r="AM1786" s="11" t="inlineStr"/>
      <c r="AN1786" s="12" t="inlineStr"/>
      <c r="AO1786" s="12" t="inlineStr"/>
      <c r="AP1786" s="13" t="inlineStr"/>
      <c r="AQ1786" s="13" t="inlineStr"/>
      <c r="AR1786" s="13" t="inlineStr"/>
      <c r="AS1786" s="13" t="inlineStr"/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7" t="n">
        <v>72554</v>
      </c>
      <c r="AK1787" s="8" t="n">
        <v>2604</v>
      </c>
      <c r="AL1787" s="8" t="n">
        <v>938</v>
      </c>
      <c r="AM1787" s="11" t="inlineStr"/>
      <c r="AN1787" s="12" t="inlineStr"/>
      <c r="AO1787" s="12" t="inlineStr"/>
      <c r="AP1787" s="13" t="inlineStr"/>
      <c r="AQ1787" s="13" t="inlineStr"/>
      <c r="AR1787" s="13" t="inlineStr"/>
      <c r="AS1787" s="13" t="inlineStr"/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7" t="n">
        <v>4507</v>
      </c>
      <c r="AK1788" s="8" t="n">
        <v>-1933</v>
      </c>
      <c r="AL1788" s="8" t="n">
        <v>-2091</v>
      </c>
      <c r="AM1788" s="11" t="inlineStr"/>
      <c r="AN1788" s="12" t="inlineStr"/>
      <c r="AO1788" s="12" t="inlineStr"/>
      <c r="AP1788" s="13" t="inlineStr"/>
      <c r="AQ1788" s="13" t="inlineStr"/>
      <c r="AR1788" s="13" t="inlineStr"/>
      <c r="AS1788" s="13" t="inlineStr"/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7" t="n">
        <v>17213</v>
      </c>
      <c r="AK1789" s="8" t="n">
        <v>-81</v>
      </c>
      <c r="AL1789" s="8" t="n">
        <v>99</v>
      </c>
      <c r="AM1789" s="11" t="inlineStr"/>
      <c r="AN1789" s="12" t="inlineStr"/>
      <c r="AO1789" s="12" t="inlineStr"/>
      <c r="AP1789" s="13" t="inlineStr"/>
      <c r="AQ1789" s="13" t="inlineStr"/>
      <c r="AR1789" s="13" t="inlineStr"/>
      <c r="AS1789" s="13" t="inlineStr"/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7" t="n">
        <v>8788</v>
      </c>
      <c r="AK1790" s="8" t="n">
        <v>-991</v>
      </c>
      <c r="AL1790" s="8" t="n">
        <v>-772</v>
      </c>
      <c r="AM1790" s="11" t="inlineStr"/>
      <c r="AN1790" s="12" t="inlineStr"/>
      <c r="AO1790" s="12" t="inlineStr"/>
      <c r="AP1790" s="13" t="inlineStr"/>
      <c r="AQ1790" s="13" t="inlineStr"/>
      <c r="AR1790" s="13" t="inlineStr"/>
      <c r="AS1790" s="13" t="inlineStr"/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7" t="n">
        <v>8495</v>
      </c>
      <c r="AK1791" s="8" t="n">
        <v>76</v>
      </c>
      <c r="AL1791" s="8" t="n">
        <v>2</v>
      </c>
      <c r="AM1791" s="11" t="inlineStr"/>
      <c r="AN1791" s="12" t="inlineStr"/>
      <c r="AO1791" s="12" t="inlineStr"/>
      <c r="AP1791" s="13" t="inlineStr"/>
      <c r="AQ1791" s="13" t="inlineStr"/>
      <c r="AR1791" s="13" t="inlineStr"/>
      <c r="AS1791" s="13" t="inlineStr"/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7" t="n">
        <v>487</v>
      </c>
      <c r="AK1792" s="8" t="n">
        <v>-6891</v>
      </c>
      <c r="AL1792" s="8" t="n">
        <v>-6782</v>
      </c>
      <c r="AM1792" s="11" t="inlineStr"/>
      <c r="AN1792" s="12" t="inlineStr"/>
      <c r="AO1792" s="12" t="inlineStr"/>
      <c r="AP1792" s="13" t="inlineStr"/>
      <c r="AQ1792" s="13" t="inlineStr"/>
      <c r="AR1792" s="13" t="inlineStr"/>
      <c r="AS1792" s="13" t="inlineStr"/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7" t="n">
        <v>49897</v>
      </c>
      <c r="AK1793" s="8" t="n">
        <v>3010</v>
      </c>
      <c r="AL1793" s="8" t="n">
        <v>2694</v>
      </c>
      <c r="AM1793" s="11" t="inlineStr"/>
      <c r="AN1793" s="12" t="inlineStr"/>
      <c r="AO1793" s="12" t="inlineStr"/>
      <c r="AP1793" s="13" t="inlineStr"/>
      <c r="AQ1793" s="13" t="inlineStr"/>
      <c r="AR1793" s="13" t="inlineStr"/>
      <c r="AS1793" s="13" t="inlineStr"/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7" t="n">
        <v>127233</v>
      </c>
      <c r="AK1794" s="8" t="n">
        <v>10159</v>
      </c>
      <c r="AL1794" s="8" t="n">
        <v>6948</v>
      </c>
      <c r="AM1794" s="11" t="inlineStr"/>
      <c r="AN1794" s="12" t="inlineStr"/>
      <c r="AO1794" s="12" t="inlineStr"/>
      <c r="AP1794" s="13" t="inlineStr"/>
      <c r="AQ1794" s="13" t="inlineStr"/>
      <c r="AR1794" s="13" t="inlineStr"/>
      <c r="AS1794" s="13" t="inlineStr"/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7" t="n">
        <v>28937</v>
      </c>
      <c r="AK1795" s="8" t="n">
        <v>-806</v>
      </c>
      <c r="AL1795" s="8" t="n">
        <v>-22258</v>
      </c>
      <c r="AM1795" s="11" t="inlineStr"/>
      <c r="AN1795" s="12" t="inlineStr"/>
      <c r="AO1795" s="12" t="inlineStr"/>
      <c r="AP1795" s="13" t="inlineStr"/>
      <c r="AQ1795" s="13" t="inlineStr"/>
      <c r="AR1795" s="13" t="inlineStr"/>
      <c r="AS1795" s="13" t="inlineStr"/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7" t="n">
        <v>10040</v>
      </c>
      <c r="AK1796" s="8" t="n">
        <v>-376</v>
      </c>
      <c r="AL1796" s="8" t="n">
        <v>-682</v>
      </c>
      <c r="AM1796" s="11" t="inlineStr"/>
      <c r="AN1796" s="12" t="inlineStr"/>
      <c r="AO1796" s="12" t="inlineStr"/>
      <c r="AP1796" s="13" t="inlineStr"/>
      <c r="AQ1796" s="13" t="inlineStr"/>
      <c r="AR1796" s="13" t="inlineStr"/>
      <c r="AS1796" s="13" t="inlineStr"/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7" t="n">
        <v>45224</v>
      </c>
      <c r="AK1797" s="8" t="n">
        <v>1110</v>
      </c>
      <c r="AL1797" s="8" t="n">
        <v>4390</v>
      </c>
      <c r="AM1797" s="11" t="inlineStr"/>
      <c r="AN1797" s="12" t="inlineStr"/>
      <c r="AO1797" s="12" t="inlineStr"/>
      <c r="AP1797" s="13" t="inlineStr"/>
      <c r="AQ1797" s="13" t="inlineStr"/>
      <c r="AR1797" s="13" t="inlineStr"/>
      <c r="AS1797" s="13" t="inlineStr"/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7" t="n">
        <v>50421</v>
      </c>
      <c r="AK1798" s="8" t="n">
        <v>11685</v>
      </c>
      <c r="AL1798" s="8" t="n">
        <v>2447</v>
      </c>
      <c r="AM1798" s="11" t="inlineStr"/>
      <c r="AN1798" s="12" t="inlineStr"/>
      <c r="AO1798" s="12" t="inlineStr"/>
      <c r="AP1798" s="13" t="inlineStr"/>
      <c r="AQ1798" s="13" t="inlineStr"/>
      <c r="AR1798" s="13" t="inlineStr"/>
      <c r="AS1798" s="13" t="inlineStr"/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7" t="n">
        <v>45946</v>
      </c>
      <c r="AK1799" s="8" t="n">
        <v>-1174</v>
      </c>
      <c r="AL1799" s="8" t="n">
        <v>-6541</v>
      </c>
      <c r="AM1799" s="11" t="inlineStr"/>
      <c r="AN1799" s="12" t="inlineStr"/>
      <c r="AO1799" s="12" t="inlineStr"/>
      <c r="AP1799" s="13" t="inlineStr"/>
      <c r="AQ1799" s="13" t="inlineStr"/>
      <c r="AR1799" s="13" t="inlineStr"/>
      <c r="AS1799" s="13" t="inlineStr"/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7" t="n">
        <v>20958</v>
      </c>
      <c r="AK1800" s="8" t="n">
        <v>147</v>
      </c>
      <c r="AL1800" s="8" t="n">
        <v>-1000</v>
      </c>
      <c r="AM1800" s="11" t="inlineStr"/>
      <c r="AN1800" s="12" t="inlineStr"/>
      <c r="AO1800" s="12" t="inlineStr"/>
      <c r="AP1800" s="13" t="inlineStr"/>
      <c r="AQ1800" s="13" t="inlineStr"/>
      <c r="AR1800" s="13" t="inlineStr"/>
      <c r="AS1800" s="13" t="inlineStr"/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7" t="n">
        <v>1254455</v>
      </c>
      <c r="AK1801" s="8" t="n">
        <v>51062</v>
      </c>
      <c r="AL1801" s="8" t="n">
        <v>34111</v>
      </c>
      <c r="AM1801" s="11" t="inlineStr"/>
      <c r="AN1801" s="12" t="inlineStr"/>
      <c r="AO1801" s="12" t="inlineStr"/>
      <c r="AP1801" s="13" t="inlineStr"/>
      <c r="AQ1801" s="13" t="inlineStr"/>
      <c r="AR1801" s="13" t="inlineStr"/>
      <c r="AS1801" s="13" t="inlineStr"/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7" t="n">
        <v>24851</v>
      </c>
      <c r="AK1802" s="8" t="n">
        <v>4765</v>
      </c>
      <c r="AL1802" s="8" t="n">
        <v>4340</v>
      </c>
      <c r="AM1802" s="11" t="inlineStr"/>
      <c r="AN1802" s="12" t="inlineStr"/>
      <c r="AO1802" s="12" t="inlineStr"/>
      <c r="AP1802" s="13" t="inlineStr"/>
      <c r="AQ1802" s="13" t="inlineStr"/>
      <c r="AR1802" s="13" t="inlineStr"/>
      <c r="AS1802" s="13" t="inlineStr"/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7" t="n">
        <v>137</v>
      </c>
      <c r="AK1803" s="8" t="n">
        <v>-4322</v>
      </c>
      <c r="AL1803" s="8" t="n">
        <v>-9007</v>
      </c>
      <c r="AM1803" s="11" t="inlineStr"/>
      <c r="AN1803" s="12" t="inlineStr"/>
      <c r="AO1803" s="12" t="inlineStr"/>
      <c r="AP1803" s="13" t="inlineStr"/>
      <c r="AQ1803" s="13" t="inlineStr"/>
      <c r="AR1803" s="13" t="inlineStr"/>
      <c r="AS1803" s="13" t="inlineStr"/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7" t="n">
        <v>13790</v>
      </c>
      <c r="AK1804" s="8" t="n">
        <v>-354</v>
      </c>
      <c r="AL1804" s="8" t="n">
        <v>-368</v>
      </c>
      <c r="AM1804" s="11" t="inlineStr"/>
      <c r="AN1804" s="12" t="inlineStr"/>
      <c r="AO1804" s="12" t="inlineStr"/>
      <c r="AP1804" s="13" t="inlineStr"/>
      <c r="AQ1804" s="13" t="inlineStr"/>
      <c r="AR1804" s="13" t="inlineStr"/>
      <c r="AS1804" s="13" t="inlineStr"/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7" t="n">
        <v>108304</v>
      </c>
      <c r="AK1805" s="8" t="n">
        <v>8161</v>
      </c>
      <c r="AL1805" s="8" t="n">
        <v>4783</v>
      </c>
      <c r="AM1805" s="11" t="inlineStr"/>
      <c r="AN1805" s="12" t="inlineStr"/>
      <c r="AO1805" s="12" t="inlineStr"/>
      <c r="AP1805" s="13" t="inlineStr"/>
      <c r="AQ1805" s="13" t="inlineStr"/>
      <c r="AR1805" s="13" t="inlineStr"/>
      <c r="AS1805" s="13" t="inlineStr"/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7" t="n">
        <v>3289</v>
      </c>
      <c r="AK1806" s="8" t="n">
        <v>-1452</v>
      </c>
      <c r="AL1806" s="8" t="n">
        <v>-1571</v>
      </c>
      <c r="AM1806" s="11" t="inlineStr"/>
      <c r="AN1806" s="12" t="inlineStr"/>
      <c r="AO1806" s="12" t="inlineStr"/>
      <c r="AP1806" s="13" t="inlineStr"/>
      <c r="AQ1806" s="13" t="inlineStr"/>
      <c r="AR1806" s="13" t="inlineStr"/>
      <c r="AS1806" s="13" t="inlineStr"/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7" t="n">
        <v>59895</v>
      </c>
      <c r="AK1807" s="8" t="n">
        <v>3690</v>
      </c>
      <c r="AL1807" s="8" t="n">
        <v>2929</v>
      </c>
      <c r="AM1807" s="11" t="inlineStr"/>
      <c r="AN1807" s="12" t="inlineStr"/>
      <c r="AO1807" s="12" t="inlineStr"/>
      <c r="AP1807" s="13" t="inlineStr"/>
      <c r="AQ1807" s="13" t="inlineStr"/>
      <c r="AR1807" s="13" t="inlineStr"/>
      <c r="AS1807" s="13" t="inlineStr"/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7" t="n">
        <v>38832</v>
      </c>
      <c r="AK1808" s="8" t="n">
        <v>-25006</v>
      </c>
      <c r="AL1808" s="8" t="n">
        <v>-24672</v>
      </c>
      <c r="AM1808" s="11" t="inlineStr"/>
      <c r="AN1808" s="12" t="inlineStr"/>
      <c r="AO1808" s="12" t="inlineStr"/>
      <c r="AP1808" s="13" t="inlineStr"/>
      <c r="AQ1808" s="13" t="inlineStr"/>
      <c r="AR1808" s="13" t="inlineStr"/>
      <c r="AS1808" s="13" t="inlineStr"/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7" t="n">
        <v>2495285</v>
      </c>
      <c r="AK1809" s="8" t="n">
        <v>107018</v>
      </c>
      <c r="AL1809" s="8" t="n">
        <v>58783</v>
      </c>
      <c r="AM1809" s="11" t="inlineStr"/>
      <c r="AN1809" s="12" t="inlineStr"/>
      <c r="AO1809" s="12" t="inlineStr"/>
      <c r="AP1809" s="13" t="inlineStr"/>
      <c r="AQ1809" s="13" t="inlineStr"/>
      <c r="AR1809" s="13" t="inlineStr"/>
      <c r="AS1809" s="13" t="inlineStr"/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7" t="n">
        <v>25803</v>
      </c>
      <c r="AK1810" s="8" t="n">
        <v>5174</v>
      </c>
      <c r="AL1810" s="8" t="n">
        <v>5594</v>
      </c>
      <c r="AM1810" s="11" t="inlineStr"/>
      <c r="AN1810" s="12" t="inlineStr"/>
      <c r="AO1810" s="12" t="inlineStr"/>
      <c r="AP1810" s="13" t="inlineStr"/>
      <c r="AQ1810" s="13" t="inlineStr"/>
      <c r="AR1810" s="13" t="inlineStr"/>
      <c r="AS1810" s="13" t="inlineStr"/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7" t="n">
        <v>46904</v>
      </c>
      <c r="AK1811" s="8" t="n">
        <v>9039</v>
      </c>
      <c r="AL1811" s="8" t="n">
        <v>11935</v>
      </c>
      <c r="AM1811" s="11" t="inlineStr"/>
      <c r="AN1811" s="12" t="inlineStr"/>
      <c r="AO1811" s="12" t="inlineStr"/>
      <c r="AP1811" s="13" t="inlineStr"/>
      <c r="AQ1811" s="13" t="inlineStr"/>
      <c r="AR1811" s="13" t="inlineStr"/>
      <c r="AS1811" s="13" t="inlineStr"/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7" t="n">
        <v>9702</v>
      </c>
      <c r="AK1812" s="8" t="n">
        <v>231</v>
      </c>
      <c r="AL1812" s="8" t="n">
        <v>82</v>
      </c>
      <c r="AM1812" s="11" t="inlineStr"/>
      <c r="AN1812" s="12" t="inlineStr"/>
      <c r="AO1812" s="12" t="inlineStr"/>
      <c r="AP1812" s="13" t="inlineStr"/>
      <c r="AQ1812" s="13" t="inlineStr"/>
      <c r="AR1812" s="13" t="inlineStr"/>
      <c r="AS1812" s="13" t="inlineStr"/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7" t="n">
        <v>12644</v>
      </c>
      <c r="AK1813" s="8" t="n">
        <v>2588</v>
      </c>
      <c r="AL1813" s="8" t="n">
        <v>15045</v>
      </c>
      <c r="AM1813" s="11" t="inlineStr"/>
      <c r="AN1813" s="12" t="inlineStr"/>
      <c r="AO1813" s="12" t="inlineStr"/>
      <c r="AP1813" s="13" t="inlineStr"/>
      <c r="AQ1813" s="13" t="inlineStr"/>
      <c r="AR1813" s="13" t="inlineStr"/>
      <c r="AS1813" s="13" t="inlineStr"/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7" t="n">
        <v>7738</v>
      </c>
      <c r="AK1814" s="8" t="n">
        <v>-3311</v>
      </c>
      <c r="AL1814" s="8" t="n">
        <v>-17103</v>
      </c>
      <c r="AM1814" s="11" t="inlineStr"/>
      <c r="AN1814" s="12" t="inlineStr"/>
      <c r="AO1814" s="12" t="inlineStr"/>
      <c r="AP1814" s="13" t="inlineStr"/>
      <c r="AQ1814" s="13" t="inlineStr"/>
      <c r="AR1814" s="13" t="inlineStr"/>
      <c r="AS1814" s="13" t="inlineStr"/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7" t="n">
        <v>5793</v>
      </c>
      <c r="AK1815" s="8" t="n">
        <v>-5152</v>
      </c>
      <c r="AL1815" s="8" t="n">
        <v>8591</v>
      </c>
      <c r="AM1815" s="11" t="inlineStr"/>
      <c r="AN1815" s="12" t="inlineStr"/>
      <c r="AO1815" s="12" t="inlineStr"/>
      <c r="AP1815" s="13" t="inlineStr"/>
      <c r="AQ1815" s="13" t="inlineStr"/>
      <c r="AR1815" s="13" t="inlineStr"/>
      <c r="AS1815" s="13" t="inlineStr"/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7" t="n">
        <v>921</v>
      </c>
      <c r="AK1816" s="8" t="n">
        <v>-1153</v>
      </c>
      <c r="AL1816" s="8" t="n">
        <v>-2450</v>
      </c>
      <c r="AM1816" s="11" t="inlineStr"/>
      <c r="AN1816" s="12" t="inlineStr"/>
      <c r="AO1816" s="12" t="inlineStr"/>
      <c r="AP1816" s="13" t="inlineStr"/>
      <c r="AQ1816" s="13" t="inlineStr"/>
      <c r="AR1816" s="13" t="inlineStr"/>
      <c r="AS1816" s="13" t="inlineStr"/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7" t="n">
        <v>9848</v>
      </c>
      <c r="AK1817" s="8" t="n">
        <v>-5073</v>
      </c>
      <c r="AL1817" s="8" t="n">
        <v>-4526</v>
      </c>
      <c r="AM1817" s="11" t="inlineStr"/>
      <c r="AN1817" s="12" t="inlineStr"/>
      <c r="AO1817" s="12" t="inlineStr"/>
      <c r="AP1817" s="13" t="inlineStr"/>
      <c r="AQ1817" s="13" t="inlineStr"/>
      <c r="AR1817" s="13" t="inlineStr"/>
      <c r="AS1817" s="13" t="inlineStr"/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7" t="n">
        <v>50417</v>
      </c>
      <c r="AK1818" s="8" t="n">
        <v>8239</v>
      </c>
      <c r="AL1818" s="8" t="n">
        <v>7650</v>
      </c>
      <c r="AM1818" s="11" t="inlineStr"/>
      <c r="AN1818" s="12" t="inlineStr"/>
      <c r="AO1818" s="12" t="inlineStr"/>
      <c r="AP1818" s="13" t="inlineStr"/>
      <c r="AQ1818" s="13" t="inlineStr"/>
      <c r="AR1818" s="13" t="inlineStr"/>
      <c r="AS1818" s="13" t="inlineStr"/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7" t="n">
        <v>33220</v>
      </c>
      <c r="AK1819" s="8" t="n">
        <v>8577</v>
      </c>
      <c r="AL1819" s="8" t="n">
        <v>7502</v>
      </c>
      <c r="AM1819" s="11" t="inlineStr"/>
      <c r="AN1819" s="12" t="inlineStr"/>
      <c r="AO1819" s="12" t="inlineStr"/>
      <c r="AP1819" s="13" t="inlineStr"/>
      <c r="AQ1819" s="13" t="inlineStr"/>
      <c r="AR1819" s="13" t="inlineStr"/>
      <c r="AS1819" s="13" t="inlineStr"/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7" t="n">
        <v>16298</v>
      </c>
      <c r="AK1820" s="8" t="n">
        <v>95</v>
      </c>
      <c r="AL1820" s="8" t="n">
        <v>2316</v>
      </c>
      <c r="AM1820" s="11" t="inlineStr"/>
      <c r="AN1820" s="12" t="inlineStr"/>
      <c r="AO1820" s="12" t="inlineStr"/>
      <c r="AP1820" s="13" t="inlineStr"/>
      <c r="AQ1820" s="13" t="inlineStr"/>
      <c r="AR1820" s="13" t="inlineStr"/>
      <c r="AS1820" s="13" t="inlineStr"/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2026Q3</t>
        </is>
      </c>
      <c r="E1821" s="6" t="inlineStr">
        <is>
          <t>2023Q4, 2026Q3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7" t="n">
        <v>1320911</v>
      </c>
      <c r="AK1821" s="8" t="n">
        <v>586444</v>
      </c>
      <c r="AL1821" s="8" t="n">
        <v>430654</v>
      </c>
      <c r="AM1821" s="14" t="n">
        <v>1490300</v>
      </c>
      <c r="AN1821" s="15" t="n">
        <v>640100</v>
      </c>
      <c r="AO1821" s="15" t="n">
        <v>391100</v>
      </c>
      <c r="AP1821" s="13" t="n">
        <v>12.8</v>
      </c>
      <c r="AQ1821" s="13" t="n">
        <v>-10.2</v>
      </c>
      <c r="AR1821" s="13" t="n">
        <v>9.1</v>
      </c>
      <c r="AS1821" s="13" t="n">
        <v>-12.2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7" t="n">
        <v>42055</v>
      </c>
      <c r="AK1822" s="8" t="n">
        <v>2880</v>
      </c>
      <c r="AL1822" s="8" t="n">
        <v>2854</v>
      </c>
      <c r="AM1822" s="11" t="inlineStr"/>
      <c r="AN1822" s="12" t="inlineStr"/>
      <c r="AO1822" s="12" t="inlineStr"/>
      <c r="AP1822" s="13" t="inlineStr"/>
      <c r="AQ1822" s="13" t="inlineStr"/>
      <c r="AR1822" s="13" t="inlineStr"/>
      <c r="AS1822" s="13" t="inlineStr"/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7" t="n">
        <v>10046</v>
      </c>
      <c r="AK1823" s="8" t="n">
        <v>978</v>
      </c>
      <c r="AL1823" s="8" t="n">
        <v>1205</v>
      </c>
      <c r="AM1823" s="11" t="inlineStr"/>
      <c r="AN1823" s="12" t="inlineStr"/>
      <c r="AO1823" s="12" t="inlineStr"/>
      <c r="AP1823" s="13" t="inlineStr"/>
      <c r="AQ1823" s="13" t="inlineStr"/>
      <c r="AR1823" s="13" t="inlineStr"/>
      <c r="AS1823" s="13" t="inlineStr"/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7" t="n">
        <v>8202</v>
      </c>
      <c r="AK1824" s="8" t="n">
        <v>372</v>
      </c>
      <c r="AL1824" s="8" t="n">
        <v>-8677</v>
      </c>
      <c r="AM1824" s="11" t="inlineStr"/>
      <c r="AN1824" s="12" t="inlineStr"/>
      <c r="AO1824" s="12" t="inlineStr"/>
      <c r="AP1824" s="13" t="inlineStr"/>
      <c r="AQ1824" s="13" t="inlineStr"/>
      <c r="AR1824" s="13" t="inlineStr"/>
      <c r="AS1824" s="13" t="inlineStr"/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7" t="n">
        <v>1013</v>
      </c>
      <c r="AK1825" s="8" t="n">
        <v>-1202</v>
      </c>
      <c r="AL1825" s="8" t="n">
        <v>-1358</v>
      </c>
      <c r="AM1825" s="11" t="inlineStr"/>
      <c r="AN1825" s="12" t="inlineStr"/>
      <c r="AO1825" s="12" t="inlineStr"/>
      <c r="AP1825" s="13" t="inlineStr"/>
      <c r="AQ1825" s="13" t="inlineStr"/>
      <c r="AR1825" s="13" t="inlineStr"/>
      <c r="AS1825" s="13" t="inlineStr"/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7" t="n">
        <v>37906</v>
      </c>
      <c r="AK1826" s="8" t="n">
        <v>739</v>
      </c>
      <c r="AL1826" s="8" t="n">
        <v>826</v>
      </c>
      <c r="AM1826" s="11" t="inlineStr"/>
      <c r="AN1826" s="12" t="inlineStr"/>
      <c r="AO1826" s="12" t="inlineStr"/>
      <c r="AP1826" s="13" t="inlineStr"/>
      <c r="AQ1826" s="13" t="inlineStr"/>
      <c r="AR1826" s="13" t="inlineStr"/>
      <c r="AS1826" s="13" t="inlineStr"/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7" t="n">
        <v>36549</v>
      </c>
      <c r="AK1827" s="8" t="n">
        <v>2803</v>
      </c>
      <c r="AL1827" s="8" t="n">
        <v>3927</v>
      </c>
      <c r="AM1827" s="11" t="inlineStr"/>
      <c r="AN1827" s="12" t="inlineStr"/>
      <c r="AO1827" s="12" t="inlineStr"/>
      <c r="AP1827" s="13" t="inlineStr"/>
      <c r="AQ1827" s="13" t="inlineStr"/>
      <c r="AR1827" s="13" t="inlineStr"/>
      <c r="AS1827" s="13" t="inlineStr"/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7" t="n">
        <v>18495</v>
      </c>
      <c r="AK1828" s="8" t="n">
        <v>2472</v>
      </c>
      <c r="AL1828" s="8" t="n">
        <v>3192</v>
      </c>
      <c r="AM1828" s="11" t="inlineStr"/>
      <c r="AN1828" s="12" t="inlineStr"/>
      <c r="AO1828" s="12" t="inlineStr"/>
      <c r="AP1828" s="13" t="inlineStr"/>
      <c r="AQ1828" s="13" t="inlineStr"/>
      <c r="AR1828" s="13" t="inlineStr"/>
      <c r="AS1828" s="13" t="inlineStr"/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7" t="n">
        <v>659</v>
      </c>
      <c r="AK1829" s="8" t="n">
        <v>-826</v>
      </c>
      <c r="AL1829" s="8" t="n">
        <v>-1305</v>
      </c>
      <c r="AM1829" s="11" t="inlineStr"/>
      <c r="AN1829" s="12" t="inlineStr"/>
      <c r="AO1829" s="12" t="inlineStr"/>
      <c r="AP1829" s="13" t="inlineStr"/>
      <c r="AQ1829" s="13" t="inlineStr"/>
      <c r="AR1829" s="13" t="inlineStr"/>
      <c r="AS1829" s="13" t="inlineStr"/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7" t="n">
        <v>115861</v>
      </c>
      <c r="AK1830" s="8" t="n">
        <v>10531</v>
      </c>
      <c r="AL1830" s="8" t="n">
        <v>10303</v>
      </c>
      <c r="AM1830" s="11" t="inlineStr"/>
      <c r="AN1830" s="12" t="inlineStr"/>
      <c r="AO1830" s="12" t="inlineStr"/>
      <c r="AP1830" s="13" t="inlineStr"/>
      <c r="AQ1830" s="13" t="inlineStr"/>
      <c r="AR1830" s="13" t="inlineStr"/>
      <c r="AS1830" s="13" t="inlineStr"/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7" t="n">
        <v>84026</v>
      </c>
      <c r="AK1831" s="8" t="n">
        <v>-42817</v>
      </c>
      <c r="AL1831" s="8" t="n">
        <v>-44863</v>
      </c>
      <c r="AM1831" s="11" t="inlineStr"/>
      <c r="AN1831" s="12" t="inlineStr"/>
      <c r="AO1831" s="12" t="inlineStr"/>
      <c r="AP1831" s="13" t="inlineStr"/>
      <c r="AQ1831" s="13" t="inlineStr"/>
      <c r="AR1831" s="13" t="inlineStr"/>
      <c r="AS1831" s="13" t="inlineStr"/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7" t="n">
        <v>338806</v>
      </c>
      <c r="AK1832" s="8" t="n">
        <v>32329</v>
      </c>
      <c r="AL1832" s="8" t="n">
        <v>21998</v>
      </c>
      <c r="AM1832" s="11" t="inlineStr"/>
      <c r="AN1832" s="12" t="inlineStr"/>
      <c r="AO1832" s="12" t="inlineStr"/>
      <c r="AP1832" s="13" t="inlineStr"/>
      <c r="AQ1832" s="13" t="inlineStr"/>
      <c r="AR1832" s="13" t="inlineStr"/>
      <c r="AS1832" s="13" t="inlineStr"/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7" t="n">
        <v>6760</v>
      </c>
      <c r="AK1833" s="8" t="n">
        <v>-2317</v>
      </c>
      <c r="AL1833" s="8" t="n">
        <v>-1501</v>
      </c>
      <c r="AM1833" s="11" t="inlineStr"/>
      <c r="AN1833" s="12" t="inlineStr"/>
      <c r="AO1833" s="12" t="inlineStr"/>
      <c r="AP1833" s="13" t="inlineStr"/>
      <c r="AQ1833" s="13" t="inlineStr"/>
      <c r="AR1833" s="13" t="inlineStr"/>
      <c r="AS1833" s="13" t="inlineStr"/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7" t="n">
        <v>63399</v>
      </c>
      <c r="AK1834" s="8" t="n">
        <v>4110</v>
      </c>
      <c r="AL1834" s="8" t="n">
        <v>2337</v>
      </c>
      <c r="AM1834" s="11" t="inlineStr"/>
      <c r="AN1834" s="12" t="inlineStr"/>
      <c r="AO1834" s="12" t="inlineStr"/>
      <c r="AP1834" s="13" t="inlineStr"/>
      <c r="AQ1834" s="13" t="inlineStr"/>
      <c r="AR1834" s="13" t="inlineStr"/>
      <c r="AS1834" s="13" t="inlineStr"/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7" t="n">
        <v>16850</v>
      </c>
      <c r="AK1835" s="8" t="n">
        <v>2073</v>
      </c>
      <c r="AL1835" s="8" t="n">
        <v>1771</v>
      </c>
      <c r="AM1835" s="11" t="inlineStr"/>
      <c r="AN1835" s="12" t="inlineStr"/>
      <c r="AO1835" s="12" t="inlineStr"/>
      <c r="AP1835" s="13" t="inlineStr"/>
      <c r="AQ1835" s="13" t="inlineStr"/>
      <c r="AR1835" s="13" t="inlineStr"/>
      <c r="AS1835" s="13" t="inlineStr"/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7" t="n">
        <v>94585</v>
      </c>
      <c r="AK1836" s="8" t="n">
        <v>18499</v>
      </c>
      <c r="AL1836" s="8" t="n">
        <v>19941</v>
      </c>
      <c r="AM1836" s="11" t="inlineStr"/>
      <c r="AN1836" s="12" t="inlineStr"/>
      <c r="AO1836" s="12" t="inlineStr"/>
      <c r="AP1836" s="13" t="inlineStr"/>
      <c r="AQ1836" s="13" t="inlineStr"/>
      <c r="AR1836" s="13" t="inlineStr"/>
      <c r="AS1836" s="13" t="inlineStr"/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7" t="n">
        <v>592743</v>
      </c>
      <c r="AK1837" s="8" t="n">
        <v>50804</v>
      </c>
      <c r="AL1837" s="8" t="n">
        <v>29964</v>
      </c>
      <c r="AM1837" s="11" t="inlineStr"/>
      <c r="AN1837" s="12" t="inlineStr"/>
      <c r="AO1837" s="12" t="inlineStr"/>
      <c r="AP1837" s="13" t="inlineStr"/>
      <c r="AQ1837" s="13" t="inlineStr"/>
      <c r="AR1837" s="13" t="inlineStr"/>
      <c r="AS1837" s="13" t="inlineStr"/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7" t="n">
        <v>105515</v>
      </c>
      <c r="AK1838" s="8" t="n">
        <v>43941</v>
      </c>
      <c r="AL1838" s="8" t="n">
        <v>25521</v>
      </c>
      <c r="AM1838" s="11" t="inlineStr"/>
      <c r="AN1838" s="12" t="inlineStr"/>
      <c r="AO1838" s="12" t="inlineStr"/>
      <c r="AP1838" s="13" t="inlineStr"/>
      <c r="AQ1838" s="13" t="inlineStr"/>
      <c r="AR1838" s="13" t="inlineStr"/>
      <c r="AS1838" s="13" t="inlineStr"/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7" t="n">
        <v>102829</v>
      </c>
      <c r="AK1839" s="8" t="n">
        <v>12880</v>
      </c>
      <c r="AL1839" s="8" t="n">
        <v>8922</v>
      </c>
      <c r="AM1839" s="11" t="inlineStr"/>
      <c r="AN1839" s="12" t="inlineStr"/>
      <c r="AO1839" s="12" t="inlineStr"/>
      <c r="AP1839" s="13" t="inlineStr"/>
      <c r="AQ1839" s="13" t="inlineStr"/>
      <c r="AR1839" s="13" t="inlineStr"/>
      <c r="AS1839" s="13" t="inlineStr"/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7" t="n">
        <v>7582</v>
      </c>
      <c r="AK1840" s="8" t="n">
        <v>-1770</v>
      </c>
      <c r="AL1840" s="8" t="n">
        <v>-2316</v>
      </c>
      <c r="AM1840" s="11" t="inlineStr"/>
      <c r="AN1840" s="12" t="inlineStr"/>
      <c r="AO1840" s="12" t="inlineStr"/>
      <c r="AP1840" s="13" t="inlineStr"/>
      <c r="AQ1840" s="13" t="inlineStr"/>
      <c r="AR1840" s="13" t="inlineStr"/>
      <c r="AS1840" s="13" t="inlineStr"/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7" t="n">
        <v>76708</v>
      </c>
      <c r="AK1841" s="8" t="n">
        <v>11974</v>
      </c>
      <c r="AL1841" s="8" t="n">
        <v>4976</v>
      </c>
      <c r="AM1841" s="11" t="inlineStr"/>
      <c r="AN1841" s="12" t="inlineStr"/>
      <c r="AO1841" s="12" t="inlineStr"/>
      <c r="AP1841" s="13" t="inlineStr"/>
      <c r="AQ1841" s="13" t="inlineStr"/>
      <c r="AR1841" s="13" t="inlineStr"/>
      <c r="AS1841" s="13" t="inlineStr"/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7" t="n">
        <v>499051</v>
      </c>
      <c r="AK1842" s="8" t="n">
        <v>44586</v>
      </c>
      <c r="AL1842" s="8" t="n">
        <v>36477</v>
      </c>
      <c r="AM1842" s="11" t="inlineStr"/>
      <c r="AN1842" s="12" t="inlineStr"/>
      <c r="AO1842" s="12" t="inlineStr"/>
      <c r="AP1842" s="13" t="inlineStr"/>
      <c r="AQ1842" s="13" t="inlineStr"/>
      <c r="AR1842" s="13" t="inlineStr"/>
      <c r="AS1842" s="13" t="inlineStr"/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7" t="n">
        <v>93992</v>
      </c>
      <c r="AK1843" s="8" t="n">
        <v>2539</v>
      </c>
      <c r="AL1843" s="8" t="n">
        <v>2625</v>
      </c>
      <c r="AM1843" s="11" t="inlineStr"/>
      <c r="AN1843" s="12" t="inlineStr"/>
      <c r="AO1843" s="12" t="inlineStr"/>
      <c r="AP1843" s="13" t="inlineStr"/>
      <c r="AQ1843" s="13" t="inlineStr"/>
      <c r="AR1843" s="13" t="inlineStr"/>
      <c r="AS1843" s="13" t="inlineStr"/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7" t="n">
        <v>18795</v>
      </c>
      <c r="AK1844" s="8" t="n">
        <v>5237</v>
      </c>
      <c r="AL1844" s="8" t="n">
        <v>4305</v>
      </c>
      <c r="AM1844" s="11" t="inlineStr"/>
      <c r="AN1844" s="12" t="inlineStr"/>
      <c r="AO1844" s="12" t="inlineStr"/>
      <c r="AP1844" s="13" t="inlineStr"/>
      <c r="AQ1844" s="13" t="inlineStr"/>
      <c r="AR1844" s="13" t="inlineStr"/>
      <c r="AS1844" s="13" t="inlineStr"/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7" t="n">
        <v>75222</v>
      </c>
      <c r="AK1845" s="8" t="n">
        <v>930</v>
      </c>
      <c r="AL1845" s="8" t="n">
        <v>2974</v>
      </c>
      <c r="AM1845" s="11" t="inlineStr"/>
      <c r="AN1845" s="12" t="inlineStr"/>
      <c r="AO1845" s="12" t="inlineStr"/>
      <c r="AP1845" s="13" t="inlineStr"/>
      <c r="AQ1845" s="13" t="inlineStr"/>
      <c r="AR1845" s="13" t="inlineStr"/>
      <c r="AS1845" s="13" t="inlineStr"/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7" t="n">
        <v>53962</v>
      </c>
      <c r="AK1846" s="8" t="n">
        <v>2261</v>
      </c>
      <c r="AL1846" s="8" t="n">
        <v>1931</v>
      </c>
      <c r="AM1846" s="11" t="inlineStr"/>
      <c r="AN1846" s="12" t="inlineStr"/>
      <c r="AO1846" s="12" t="inlineStr"/>
      <c r="AP1846" s="13" t="inlineStr"/>
      <c r="AQ1846" s="13" t="inlineStr"/>
      <c r="AR1846" s="13" t="inlineStr"/>
      <c r="AS1846" s="13" t="inlineStr"/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7" t="n">
        <v>39476</v>
      </c>
      <c r="AK1847" s="8" t="n">
        <v>4759</v>
      </c>
      <c r="AL1847" s="8" t="n">
        <v>3831</v>
      </c>
      <c r="AM1847" s="11" t="inlineStr"/>
      <c r="AN1847" s="12" t="inlineStr"/>
      <c r="AO1847" s="12" t="inlineStr"/>
      <c r="AP1847" s="13" t="inlineStr"/>
      <c r="AQ1847" s="13" t="inlineStr"/>
      <c r="AR1847" s="13" t="inlineStr"/>
      <c r="AS1847" s="13" t="inlineStr"/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7" t="n">
        <v>178705</v>
      </c>
      <c r="AK1848" s="8" t="n">
        <v>66470</v>
      </c>
      <c r="AL1848" s="8" t="n">
        <v>56229</v>
      </c>
      <c r="AM1848" s="11" t="inlineStr"/>
      <c r="AN1848" s="12" t="inlineStr"/>
      <c r="AO1848" s="12" t="inlineStr"/>
      <c r="AP1848" s="13" t="inlineStr"/>
      <c r="AQ1848" s="13" t="inlineStr"/>
      <c r="AR1848" s="13" t="inlineStr"/>
      <c r="AS1848" s="13" t="inlineStr"/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7" t="n">
        <v>33673</v>
      </c>
      <c r="AK1849" s="8" t="n">
        <v>-1679</v>
      </c>
      <c r="AL1849" s="8" t="n">
        <v>-1901</v>
      </c>
      <c r="AM1849" s="11" t="inlineStr"/>
      <c r="AN1849" s="12" t="inlineStr"/>
      <c r="AO1849" s="12" t="inlineStr"/>
      <c r="AP1849" s="13" t="inlineStr"/>
      <c r="AQ1849" s="13" t="inlineStr"/>
      <c r="AR1849" s="13" t="inlineStr"/>
      <c r="AS1849" s="13" t="inlineStr"/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7" t="n">
        <v>37004</v>
      </c>
      <c r="AK1850" s="8" t="n">
        <v>1866</v>
      </c>
      <c r="AL1850" s="8" t="n">
        <v>2066</v>
      </c>
      <c r="AM1850" s="11" t="inlineStr"/>
      <c r="AN1850" s="12" t="inlineStr"/>
      <c r="AO1850" s="12" t="inlineStr"/>
      <c r="AP1850" s="13" t="inlineStr"/>
      <c r="AQ1850" s="13" t="inlineStr"/>
      <c r="AR1850" s="13" t="inlineStr"/>
      <c r="AS1850" s="13" t="inlineStr"/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7" t="n">
        <v>101208</v>
      </c>
      <c r="AK1851" s="8" t="n">
        <v>6624</v>
      </c>
      <c r="AL1851" s="8" t="n">
        <v>8243</v>
      </c>
      <c r="AM1851" s="11" t="inlineStr"/>
      <c r="AN1851" s="12" t="inlineStr"/>
      <c r="AO1851" s="12" t="inlineStr"/>
      <c r="AP1851" s="13" t="inlineStr"/>
      <c r="AQ1851" s="13" t="inlineStr"/>
      <c r="AR1851" s="13" t="inlineStr"/>
      <c r="AS1851" s="13" t="inlineStr"/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7" t="n">
        <v>7498</v>
      </c>
      <c r="AK1852" s="8" t="n">
        <v>-446</v>
      </c>
      <c r="AL1852" s="8" t="n">
        <v>-1193</v>
      </c>
      <c r="AM1852" s="11" t="inlineStr"/>
      <c r="AN1852" s="12" t="inlineStr"/>
      <c r="AO1852" s="12" t="inlineStr"/>
      <c r="AP1852" s="13" t="inlineStr"/>
      <c r="AQ1852" s="13" t="inlineStr"/>
      <c r="AR1852" s="13" t="inlineStr"/>
      <c r="AS1852" s="13" t="inlineStr"/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7" t="n">
        <v>2218</v>
      </c>
      <c r="AK1853" s="8" t="n">
        <v>-1207</v>
      </c>
      <c r="AL1853" s="8" t="n">
        <v>-1319</v>
      </c>
      <c r="AM1853" s="11" t="inlineStr"/>
      <c r="AN1853" s="12" t="inlineStr"/>
      <c r="AO1853" s="12" t="inlineStr"/>
      <c r="AP1853" s="13" t="inlineStr"/>
      <c r="AQ1853" s="13" t="inlineStr"/>
      <c r="AR1853" s="13" t="inlineStr"/>
      <c r="AS1853" s="13" t="inlineStr"/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7" t="n">
        <v>204743</v>
      </c>
      <c r="AK1854" s="8" t="n">
        <v>28412</v>
      </c>
      <c r="AL1854" s="8" t="n">
        <v>21416</v>
      </c>
      <c r="AM1854" s="11" t="inlineStr"/>
      <c r="AN1854" s="12" t="inlineStr"/>
      <c r="AO1854" s="12" t="inlineStr"/>
      <c r="AP1854" s="13" t="inlineStr"/>
      <c r="AQ1854" s="13" t="inlineStr"/>
      <c r="AR1854" s="13" t="inlineStr"/>
      <c r="AS1854" s="13" t="inlineStr"/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7" t="n">
        <v>127149</v>
      </c>
      <c r="AK1855" s="8" t="n">
        <v>4747</v>
      </c>
      <c r="AL1855" s="8" t="n">
        <v>5579</v>
      </c>
      <c r="AM1855" s="11" t="inlineStr"/>
      <c r="AN1855" s="12" t="inlineStr"/>
      <c r="AO1855" s="12" t="inlineStr"/>
      <c r="AP1855" s="13" t="inlineStr"/>
      <c r="AQ1855" s="13" t="inlineStr"/>
      <c r="AR1855" s="13" t="inlineStr"/>
      <c r="AS1855" s="13" t="inlineStr"/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7" t="n">
        <v>10985</v>
      </c>
      <c r="AK1856" s="8" t="n">
        <v>-19</v>
      </c>
      <c r="AL1856" s="8" t="n">
        <v>3373</v>
      </c>
      <c r="AM1856" s="11" t="inlineStr"/>
      <c r="AN1856" s="12" t="inlineStr"/>
      <c r="AO1856" s="12" t="inlineStr"/>
      <c r="AP1856" s="13" t="inlineStr"/>
      <c r="AQ1856" s="13" t="inlineStr"/>
      <c r="AR1856" s="13" t="inlineStr"/>
      <c r="AS1856" s="13" t="inlineStr"/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7" t="n">
        <v>13220</v>
      </c>
      <c r="AK1857" s="8" t="n">
        <v>1169</v>
      </c>
      <c r="AL1857" s="8" t="n">
        <v>962</v>
      </c>
      <c r="AM1857" s="11" t="inlineStr"/>
      <c r="AN1857" s="12" t="inlineStr"/>
      <c r="AO1857" s="12" t="inlineStr"/>
      <c r="AP1857" s="13" t="inlineStr"/>
      <c r="AQ1857" s="13" t="inlineStr"/>
      <c r="AR1857" s="13" t="inlineStr"/>
      <c r="AS1857" s="13" t="inlineStr"/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7" t="n">
        <v>2244</v>
      </c>
      <c r="AK1858" s="8" t="n">
        <v>-6183</v>
      </c>
      <c r="AL1858" s="8" t="n">
        <v>-5487</v>
      </c>
      <c r="AM1858" s="11" t="inlineStr"/>
      <c r="AN1858" s="12" t="inlineStr"/>
      <c r="AO1858" s="12" t="inlineStr"/>
      <c r="AP1858" s="13" t="inlineStr"/>
      <c r="AQ1858" s="13" t="inlineStr"/>
      <c r="AR1858" s="13" t="inlineStr"/>
      <c r="AS1858" s="13" t="inlineStr"/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7" t="n">
        <v>9881</v>
      </c>
      <c r="AK1859" s="8" t="n">
        <v>3276</v>
      </c>
      <c r="AL1859" s="8" t="n">
        <v>3879</v>
      </c>
      <c r="AM1859" s="11" t="inlineStr"/>
      <c r="AN1859" s="12" t="inlineStr"/>
      <c r="AO1859" s="12" t="inlineStr"/>
      <c r="AP1859" s="13" t="inlineStr"/>
      <c r="AQ1859" s="13" t="inlineStr"/>
      <c r="AR1859" s="13" t="inlineStr"/>
      <c r="AS1859" s="13" t="inlineStr"/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7" t="n">
        <v>11712</v>
      </c>
      <c r="AK1860" s="8" t="n">
        <v>2825</v>
      </c>
      <c r="AL1860" s="8" t="n">
        <v>2648</v>
      </c>
      <c r="AM1860" s="11" t="inlineStr"/>
      <c r="AN1860" s="12" t="inlineStr"/>
      <c r="AO1860" s="12" t="inlineStr"/>
      <c r="AP1860" s="13" t="inlineStr"/>
      <c r="AQ1860" s="13" t="inlineStr"/>
      <c r="AR1860" s="13" t="inlineStr"/>
      <c r="AS1860" s="13" t="inlineStr"/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7" t="n">
        <v>20082</v>
      </c>
      <c r="AK1861" s="8" t="n">
        <v>2306</v>
      </c>
      <c r="AL1861" s="8" t="n">
        <v>1351</v>
      </c>
      <c r="AM1861" s="11" t="inlineStr"/>
      <c r="AN1861" s="12" t="inlineStr"/>
      <c r="AO1861" s="12" t="inlineStr"/>
      <c r="AP1861" s="13" t="inlineStr"/>
      <c r="AQ1861" s="13" t="inlineStr"/>
      <c r="AR1861" s="13" t="inlineStr"/>
      <c r="AS1861" s="13" t="inlineStr"/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7" t="n">
        <v>23289</v>
      </c>
      <c r="AK1862" s="8" t="n">
        <v>4174</v>
      </c>
      <c r="AL1862" s="8" t="n">
        <v>1102</v>
      </c>
      <c r="AM1862" s="11" t="inlineStr"/>
      <c r="AN1862" s="12" t="inlineStr"/>
      <c r="AO1862" s="12" t="inlineStr"/>
      <c r="AP1862" s="13" t="inlineStr"/>
      <c r="AQ1862" s="13" t="inlineStr"/>
      <c r="AR1862" s="13" t="inlineStr"/>
      <c r="AS1862" s="13" t="inlineStr"/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7" t="n">
        <v>26601</v>
      </c>
      <c r="AK1863" s="8" t="n">
        <v>-946</v>
      </c>
      <c r="AL1863" s="8" t="n">
        <v>-6281</v>
      </c>
      <c r="AM1863" s="11" t="inlineStr"/>
      <c r="AN1863" s="12" t="inlineStr"/>
      <c r="AO1863" s="12" t="inlineStr"/>
      <c r="AP1863" s="13" t="inlineStr"/>
      <c r="AQ1863" s="13" t="inlineStr"/>
      <c r="AR1863" s="13" t="inlineStr"/>
      <c r="AS1863" s="13" t="inlineStr"/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7" t="n">
        <v>6834</v>
      </c>
      <c r="AK1864" s="8" t="n">
        <v>-1216</v>
      </c>
      <c r="AL1864" s="8" t="n">
        <v>-2198</v>
      </c>
      <c r="AM1864" s="11" t="inlineStr"/>
      <c r="AN1864" s="12" t="inlineStr"/>
      <c r="AO1864" s="12" t="inlineStr"/>
      <c r="AP1864" s="13" t="inlineStr"/>
      <c r="AQ1864" s="13" t="inlineStr"/>
      <c r="AR1864" s="13" t="inlineStr"/>
      <c r="AS1864" s="13" t="inlineStr"/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7" t="n">
        <v>6296</v>
      </c>
      <c r="AK1865" s="8" t="n">
        <v>-1390</v>
      </c>
      <c r="AL1865" s="8" t="n">
        <v>-875</v>
      </c>
      <c r="AM1865" s="11" t="inlineStr"/>
      <c r="AN1865" s="12" t="inlineStr"/>
      <c r="AO1865" s="12" t="inlineStr"/>
      <c r="AP1865" s="13" t="inlineStr"/>
      <c r="AQ1865" s="13" t="inlineStr"/>
      <c r="AR1865" s="13" t="inlineStr"/>
      <c r="AS1865" s="13" t="inlineStr"/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7" t="n">
        <v>11212</v>
      </c>
      <c r="AK1866" s="8" t="n">
        <v>161</v>
      </c>
      <c r="AL1866" s="8" t="n">
        <v>197</v>
      </c>
      <c r="AM1866" s="11" t="inlineStr"/>
      <c r="AN1866" s="12" t="inlineStr"/>
      <c r="AO1866" s="12" t="inlineStr"/>
      <c r="AP1866" s="13" t="inlineStr"/>
      <c r="AQ1866" s="13" t="inlineStr"/>
      <c r="AR1866" s="13" t="inlineStr"/>
      <c r="AS1866" s="13" t="inlineStr"/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7" t="n">
        <v>106352</v>
      </c>
      <c r="AK1867" s="8" t="n">
        <v>1342</v>
      </c>
      <c r="AL1867" s="8" t="n">
        <v>1773</v>
      </c>
      <c r="AM1867" s="11" t="inlineStr"/>
      <c r="AN1867" s="12" t="inlineStr"/>
      <c r="AO1867" s="12" t="inlineStr"/>
      <c r="AP1867" s="13" t="inlineStr"/>
      <c r="AQ1867" s="13" t="inlineStr"/>
      <c r="AR1867" s="13" t="inlineStr"/>
      <c r="AS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7" t="n">
        <v>642</v>
      </c>
      <c r="AK1868" s="8" t="n">
        <v>-6062</v>
      </c>
      <c r="AL1868" s="8" t="n">
        <v>-6249</v>
      </c>
      <c r="AM1868" s="11" t="inlineStr"/>
      <c r="AN1868" s="12" t="inlineStr"/>
      <c r="AO1868" s="12" t="inlineStr"/>
      <c r="AP1868" s="13" t="inlineStr"/>
      <c r="AQ1868" s="13" t="inlineStr"/>
      <c r="AR1868" s="13" t="inlineStr"/>
      <c r="AS1868" s="13" t="inlineStr"/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7" t="n">
        <v>43186</v>
      </c>
      <c r="AK1869" s="8" t="n">
        <v>-938</v>
      </c>
      <c r="AL1869" s="8" t="n">
        <v>-1411</v>
      </c>
      <c r="AM1869" s="11" t="inlineStr"/>
      <c r="AN1869" s="12" t="inlineStr"/>
      <c r="AO1869" s="12" t="inlineStr"/>
      <c r="AP1869" s="13" t="inlineStr"/>
      <c r="AQ1869" s="13" t="inlineStr"/>
      <c r="AR1869" s="13" t="inlineStr"/>
      <c r="AS1869" s="13" t="inlineStr"/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7" t="n">
        <v>19340</v>
      </c>
      <c r="AK1870" s="8" t="n">
        <v>698</v>
      </c>
      <c r="AL1870" s="8" t="n">
        <v>27</v>
      </c>
      <c r="AM1870" s="11" t="inlineStr"/>
      <c r="AN1870" s="12" t="inlineStr"/>
      <c r="AO1870" s="12" t="inlineStr"/>
      <c r="AP1870" s="13" t="inlineStr"/>
      <c r="AQ1870" s="13" t="inlineStr"/>
      <c r="AR1870" s="13" t="inlineStr"/>
      <c r="AS1870" s="13" t="inlineStr"/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7" t="n">
        <v>51501</v>
      </c>
      <c r="AK1871" s="8" t="n">
        <v>11186</v>
      </c>
      <c r="AL1871" s="8" t="n">
        <v>12063</v>
      </c>
      <c r="AM1871" s="11" t="inlineStr"/>
      <c r="AN1871" s="12" t="inlineStr"/>
      <c r="AO1871" s="12" t="inlineStr"/>
      <c r="AP1871" s="13" t="inlineStr"/>
      <c r="AQ1871" s="13" t="inlineStr"/>
      <c r="AR1871" s="13" t="inlineStr"/>
      <c r="AS1871" s="13" t="inlineStr"/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7" t="n">
        <v>33503</v>
      </c>
      <c r="AK1872" s="8" t="n">
        <v>6885</v>
      </c>
      <c r="AL1872" s="8" t="n">
        <v>4642</v>
      </c>
      <c r="AM1872" s="11" t="inlineStr"/>
      <c r="AN1872" s="12" t="inlineStr"/>
      <c r="AO1872" s="12" t="inlineStr"/>
      <c r="AP1872" s="13" t="inlineStr"/>
      <c r="AQ1872" s="13" t="inlineStr"/>
      <c r="AR1872" s="13" t="inlineStr"/>
      <c r="AS1872" s="13" t="inlineStr"/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7" t="n">
        <v>5290</v>
      </c>
      <c r="AK1873" s="8" t="n">
        <v>1080</v>
      </c>
      <c r="AL1873" s="8" t="n">
        <v>706</v>
      </c>
      <c r="AM1873" s="11" t="inlineStr"/>
      <c r="AN1873" s="12" t="inlineStr"/>
      <c r="AO1873" s="12" t="inlineStr"/>
      <c r="AP1873" s="13" t="inlineStr"/>
      <c r="AQ1873" s="13" t="inlineStr"/>
      <c r="AR1873" s="13" t="inlineStr"/>
      <c r="AS1873" s="13" t="inlineStr"/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7" t="n">
        <v>13902</v>
      </c>
      <c r="AK1874" s="8" t="n">
        <v>215</v>
      </c>
      <c r="AL1874" s="8" t="n">
        <v>-170</v>
      </c>
      <c r="AM1874" s="11" t="inlineStr"/>
      <c r="AN1874" s="12" t="inlineStr"/>
      <c r="AO1874" s="12" t="inlineStr"/>
      <c r="AP1874" s="13" t="inlineStr"/>
      <c r="AQ1874" s="13" t="inlineStr"/>
      <c r="AR1874" s="13" t="inlineStr"/>
      <c r="AS1874" s="13" t="inlineStr"/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7" t="n">
        <v>6309</v>
      </c>
      <c r="AK1875" s="8" t="n">
        <v>-1522</v>
      </c>
      <c r="AL1875" s="8" t="n">
        <v>-2860</v>
      </c>
      <c r="AM1875" s="11" t="inlineStr"/>
      <c r="AN1875" s="12" t="inlineStr"/>
      <c r="AO1875" s="12" t="inlineStr"/>
      <c r="AP1875" s="13" t="inlineStr"/>
      <c r="AQ1875" s="13" t="inlineStr"/>
      <c r="AR1875" s="13" t="inlineStr"/>
      <c r="AS1875" s="13" t="inlineStr"/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7" t="n">
        <v>4272</v>
      </c>
      <c r="AK1876" s="8" t="n">
        <v>-3219</v>
      </c>
      <c r="AL1876" s="8" t="n">
        <v>1805</v>
      </c>
      <c r="AM1876" s="11" t="inlineStr"/>
      <c r="AN1876" s="12" t="inlineStr"/>
      <c r="AO1876" s="12" t="inlineStr"/>
      <c r="AP1876" s="13" t="inlineStr"/>
      <c r="AQ1876" s="13" t="inlineStr"/>
      <c r="AR1876" s="13" t="inlineStr"/>
      <c r="AS1876" s="13" t="inlineStr"/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7" t="n">
        <v>6589</v>
      </c>
      <c r="AK1877" s="8" t="n">
        <v>-779</v>
      </c>
      <c r="AL1877" s="8" t="n">
        <v>-434</v>
      </c>
      <c r="AM1877" s="11" t="inlineStr"/>
      <c r="AN1877" s="12" t="inlineStr"/>
      <c r="AO1877" s="12" t="inlineStr"/>
      <c r="AP1877" s="13" t="inlineStr"/>
      <c r="AQ1877" s="13" t="inlineStr"/>
      <c r="AR1877" s="13" t="inlineStr"/>
      <c r="AS1877" s="13" t="inlineStr"/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7" t="n">
        <v>23956</v>
      </c>
      <c r="AK1878" s="8" t="n">
        <v>3584</v>
      </c>
      <c r="AL1878" s="8" t="n">
        <v>3770</v>
      </c>
      <c r="AM1878" s="11" t="inlineStr"/>
      <c r="AN1878" s="12" t="inlineStr"/>
      <c r="AO1878" s="12" t="inlineStr"/>
      <c r="AP1878" s="13" t="inlineStr"/>
      <c r="AQ1878" s="13" t="inlineStr"/>
      <c r="AR1878" s="13" t="inlineStr"/>
      <c r="AS1878" s="13" t="inlineStr"/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7" t="n">
        <v>12015</v>
      </c>
      <c r="AK1879" s="8" t="n">
        <v>-549</v>
      </c>
      <c r="AL1879" s="8" t="n">
        <v>-3894</v>
      </c>
      <c r="AM1879" s="11" t="inlineStr"/>
      <c r="AN1879" s="12" t="inlineStr"/>
      <c r="AO1879" s="12" t="inlineStr"/>
      <c r="AP1879" s="13" t="inlineStr"/>
      <c r="AQ1879" s="13" t="inlineStr"/>
      <c r="AR1879" s="13" t="inlineStr"/>
      <c r="AS1879" s="13" t="inlineStr"/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7" t="n">
        <v>25166</v>
      </c>
      <c r="AK1880" s="8" t="n">
        <v>2293</v>
      </c>
      <c r="AL1880" s="8" t="n">
        <v>1925</v>
      </c>
      <c r="AM1880" s="11" t="inlineStr"/>
      <c r="AN1880" s="12" t="inlineStr"/>
      <c r="AO1880" s="12" t="inlineStr"/>
      <c r="AP1880" s="13" t="inlineStr"/>
      <c r="AQ1880" s="13" t="inlineStr"/>
      <c r="AR1880" s="13" t="inlineStr"/>
      <c r="AS1880" s="13" t="inlineStr"/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7" t="n">
        <v>16237</v>
      </c>
      <c r="AK1881" s="8" t="n">
        <v>1556</v>
      </c>
      <c r="AL1881" s="8" t="n">
        <v>4432</v>
      </c>
      <c r="AM1881" s="11" t="inlineStr"/>
      <c r="AN1881" s="12" t="inlineStr"/>
      <c r="AO1881" s="12" t="inlineStr"/>
      <c r="AP1881" s="13" t="inlineStr"/>
      <c r="AQ1881" s="13" t="inlineStr"/>
      <c r="AR1881" s="13" t="inlineStr"/>
      <c r="AS1881" s="13" t="inlineStr"/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7" t="n">
        <v>102264</v>
      </c>
      <c r="AK1882" s="8" t="n">
        <v>8473</v>
      </c>
      <c r="AL1882" s="8" t="n">
        <v>30311</v>
      </c>
      <c r="AM1882" s="11" t="inlineStr"/>
      <c r="AN1882" s="12" t="inlineStr"/>
      <c r="AO1882" s="12" t="inlineStr"/>
      <c r="AP1882" s="13" t="inlineStr"/>
      <c r="AQ1882" s="13" t="inlineStr"/>
      <c r="AR1882" s="13" t="inlineStr"/>
      <c r="AS1882" s="13" t="inlineStr"/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7" t="n">
        <v>69014</v>
      </c>
      <c r="AK1883" s="8" t="n">
        <v>13557</v>
      </c>
      <c r="AL1883" s="8" t="n">
        <v>13161</v>
      </c>
      <c r="AM1883" s="11" t="inlineStr"/>
      <c r="AN1883" s="12" t="inlineStr"/>
      <c r="AO1883" s="12" t="inlineStr"/>
      <c r="AP1883" s="13" t="inlineStr"/>
      <c r="AQ1883" s="13" t="inlineStr"/>
      <c r="AR1883" s="13" t="inlineStr"/>
      <c r="AS1883" s="13" t="inlineStr"/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7" t="n">
        <v>3956</v>
      </c>
      <c r="AK1884" s="8" t="n">
        <v>-220</v>
      </c>
      <c r="AL1884" s="8" t="n">
        <v>-48</v>
      </c>
      <c r="AM1884" s="11" t="inlineStr"/>
      <c r="AN1884" s="12" t="inlineStr"/>
      <c r="AO1884" s="12" t="inlineStr"/>
      <c r="AP1884" s="13" t="inlineStr"/>
      <c r="AQ1884" s="13" t="inlineStr"/>
      <c r="AR1884" s="13" t="inlineStr"/>
      <c r="AS1884" s="13" t="inlineStr"/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7" t="n">
        <v>1539</v>
      </c>
      <c r="AK1885" s="8" t="n">
        <v>769</v>
      </c>
      <c r="AL1885" s="8" t="inlineStr"/>
      <c r="AM1885" s="11" t="inlineStr"/>
      <c r="AN1885" s="12" t="inlineStr"/>
      <c r="AO1885" s="12" t="inlineStr"/>
      <c r="AP1885" s="13" t="inlineStr"/>
      <c r="AQ1885" s="13" t="inlineStr"/>
      <c r="AR1885" s="13" t="inlineStr"/>
      <c r="AS1885" s="13" t="inlineStr"/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7" t="n">
        <v>12830</v>
      </c>
      <c r="AK1886" s="8" t="n">
        <v>1568</v>
      </c>
      <c r="AL1886" s="8" t="n">
        <v>1162</v>
      </c>
      <c r="AM1886" s="11" t="inlineStr"/>
      <c r="AN1886" s="12" t="inlineStr"/>
      <c r="AO1886" s="12" t="inlineStr"/>
      <c r="AP1886" s="13" t="inlineStr"/>
      <c r="AQ1886" s="13" t="inlineStr"/>
      <c r="AR1886" s="13" t="inlineStr"/>
      <c r="AS1886" s="13" t="inlineStr"/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7" t="n">
        <v>514565</v>
      </c>
      <c r="AK1887" s="8" t="n">
        <v>62890</v>
      </c>
      <c r="AL1887" s="8" t="n">
        <v>44945</v>
      </c>
      <c r="AM1887" s="11" t="inlineStr"/>
      <c r="AN1887" s="12" t="inlineStr"/>
      <c r="AO1887" s="12" t="inlineStr"/>
      <c r="AP1887" s="13" t="inlineStr"/>
      <c r="AQ1887" s="13" t="inlineStr"/>
      <c r="AR1887" s="13" t="inlineStr"/>
      <c r="AS1887" s="13" t="inlineStr"/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7" t="n">
        <v>26944</v>
      </c>
      <c r="AK1888" s="8" t="n">
        <v>276</v>
      </c>
      <c r="AL1888" s="8" t="n">
        <v>-261</v>
      </c>
      <c r="AM1888" s="11" t="inlineStr"/>
      <c r="AN1888" s="12" t="inlineStr"/>
      <c r="AO1888" s="12" t="inlineStr"/>
      <c r="AP1888" s="13" t="inlineStr"/>
      <c r="AQ1888" s="13" t="inlineStr"/>
      <c r="AR1888" s="13" t="inlineStr"/>
      <c r="AS1888" s="13" t="inlineStr"/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7" t="n">
        <v>20011</v>
      </c>
      <c r="AK1889" s="8" t="n">
        <v>2267</v>
      </c>
      <c r="AL1889" s="8" t="n">
        <v>-4447</v>
      </c>
      <c r="AM1889" s="11" t="inlineStr"/>
      <c r="AN1889" s="12" t="inlineStr"/>
      <c r="AO1889" s="12" t="inlineStr"/>
      <c r="AP1889" s="13" t="inlineStr"/>
      <c r="AQ1889" s="13" t="inlineStr"/>
      <c r="AR1889" s="13" t="inlineStr"/>
      <c r="AS1889" s="13" t="inlineStr"/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7" t="n">
        <v>3435</v>
      </c>
      <c r="AK1890" s="8" t="n">
        <v>-1641</v>
      </c>
      <c r="AL1890" s="8" t="n">
        <v>988</v>
      </c>
      <c r="AM1890" s="11" t="inlineStr"/>
      <c r="AN1890" s="12" t="inlineStr"/>
      <c r="AO1890" s="12" t="inlineStr"/>
      <c r="AP1890" s="13" t="inlineStr"/>
      <c r="AQ1890" s="13" t="inlineStr"/>
      <c r="AR1890" s="13" t="inlineStr"/>
      <c r="AS1890" s="13" t="inlineStr"/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7" t="n">
        <v>5987</v>
      </c>
      <c r="AK1891" s="8" t="n">
        <v>-1065</v>
      </c>
      <c r="AL1891" s="8" t="n">
        <v>-1744</v>
      </c>
      <c r="AM1891" s="11" t="inlineStr"/>
      <c r="AN1891" s="12" t="inlineStr"/>
      <c r="AO1891" s="12" t="inlineStr"/>
      <c r="AP1891" s="13" t="inlineStr"/>
      <c r="AQ1891" s="13" t="inlineStr"/>
      <c r="AR1891" s="13" t="inlineStr"/>
      <c r="AS1891" s="13" t="inlineStr"/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7" t="n">
        <v>11407</v>
      </c>
      <c r="AK1892" s="8" t="n">
        <v>500</v>
      </c>
      <c r="AL1892" s="8" t="n">
        <v>153</v>
      </c>
      <c r="AM1892" s="11" t="inlineStr"/>
      <c r="AN1892" s="12" t="inlineStr"/>
      <c r="AO1892" s="12" t="inlineStr"/>
      <c r="AP1892" s="13" t="inlineStr"/>
      <c r="AQ1892" s="13" t="inlineStr"/>
      <c r="AR1892" s="13" t="inlineStr"/>
      <c r="AS1892" s="13" t="inlineStr"/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7" t="n">
        <v>5782</v>
      </c>
      <c r="AK1893" s="8" t="n">
        <v>-1944</v>
      </c>
      <c r="AL1893" s="8" t="n">
        <v>-2571</v>
      </c>
      <c r="AM1893" s="11" t="inlineStr"/>
      <c r="AN1893" s="12" t="inlineStr"/>
      <c r="AO1893" s="12" t="inlineStr"/>
      <c r="AP1893" s="13" t="inlineStr"/>
      <c r="AQ1893" s="13" t="inlineStr"/>
      <c r="AR1893" s="13" t="inlineStr"/>
      <c r="AS1893" s="13" t="inlineStr"/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7" t="n">
        <v>3092</v>
      </c>
      <c r="AK1894" s="8" t="n">
        <v>-1594</v>
      </c>
      <c r="AL1894" s="8" t="n">
        <v>503</v>
      </c>
      <c r="AM1894" s="11" t="inlineStr"/>
      <c r="AN1894" s="12" t="inlineStr"/>
      <c r="AO1894" s="12" t="inlineStr"/>
      <c r="AP1894" s="13" t="inlineStr"/>
      <c r="AQ1894" s="13" t="inlineStr"/>
      <c r="AR1894" s="13" t="inlineStr"/>
      <c r="AS1894" s="13" t="inlineStr"/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7" t="n">
        <v>3837</v>
      </c>
      <c r="AK1895" s="8" t="n">
        <v>-585</v>
      </c>
      <c r="AL1895" s="8" t="n">
        <v>-757</v>
      </c>
      <c r="AM1895" s="11" t="inlineStr"/>
      <c r="AN1895" s="12" t="inlineStr"/>
      <c r="AO1895" s="12" t="inlineStr"/>
      <c r="AP1895" s="13" t="inlineStr"/>
      <c r="AQ1895" s="13" t="inlineStr"/>
      <c r="AR1895" s="13" t="inlineStr"/>
      <c r="AS1895" s="13" t="inlineStr"/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7" t="n">
        <v>14969</v>
      </c>
      <c r="AK1896" s="8" t="n">
        <v>2393</v>
      </c>
      <c r="AL1896" s="8" t="n">
        <v>2790</v>
      </c>
      <c r="AM1896" s="11" t="inlineStr"/>
      <c r="AN1896" s="12" t="inlineStr"/>
      <c r="AO1896" s="12" t="inlineStr"/>
      <c r="AP1896" s="13" t="inlineStr"/>
      <c r="AQ1896" s="13" t="inlineStr"/>
      <c r="AR1896" s="13" t="inlineStr"/>
      <c r="AS1896" s="13" t="inlineStr"/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7" t="n">
        <v>41454</v>
      </c>
      <c r="AK1897" s="8" t="n">
        <v>10654</v>
      </c>
      <c r="AL1897" s="8" t="n">
        <v>8654</v>
      </c>
      <c r="AM1897" s="11" t="inlineStr"/>
      <c r="AN1897" s="12" t="inlineStr"/>
      <c r="AO1897" s="12" t="inlineStr"/>
      <c r="AP1897" s="13" t="inlineStr"/>
      <c r="AQ1897" s="13" t="inlineStr"/>
      <c r="AR1897" s="13" t="inlineStr"/>
      <c r="AS1897" s="13" t="inlineStr"/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7" t="n">
        <v>30216</v>
      </c>
      <c r="AK1898" s="8" t="n">
        <v>4167</v>
      </c>
      <c r="AL1898" s="8" t="n">
        <v>3574</v>
      </c>
      <c r="AM1898" s="11" t="inlineStr"/>
      <c r="AN1898" s="12" t="inlineStr"/>
      <c r="AO1898" s="12" t="inlineStr"/>
      <c r="AP1898" s="13" t="inlineStr"/>
      <c r="AQ1898" s="13" t="inlineStr"/>
      <c r="AR1898" s="13" t="inlineStr"/>
      <c r="AS1898" s="13" t="inlineStr"/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7" t="n">
        <v>49663</v>
      </c>
      <c r="AK1899" s="8" t="n">
        <v>7334</v>
      </c>
      <c r="AL1899" s="8" t="n">
        <v>14508</v>
      </c>
      <c r="AM1899" s="11" t="inlineStr"/>
      <c r="AN1899" s="12" t="inlineStr"/>
      <c r="AO1899" s="12" t="inlineStr"/>
      <c r="AP1899" s="13" t="inlineStr"/>
      <c r="AQ1899" s="13" t="inlineStr"/>
      <c r="AR1899" s="13" t="inlineStr"/>
      <c r="AS1899" s="13" t="inlineStr"/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7" t="n">
        <v>449</v>
      </c>
      <c r="AK1900" s="8" t="n">
        <v>-2172</v>
      </c>
      <c r="AL1900" s="8" t="n">
        <v>-2153</v>
      </c>
      <c r="AM1900" s="11" t="inlineStr"/>
      <c r="AN1900" s="12" t="inlineStr"/>
      <c r="AO1900" s="12" t="inlineStr"/>
      <c r="AP1900" s="13" t="inlineStr"/>
      <c r="AQ1900" s="13" t="inlineStr"/>
      <c r="AR1900" s="13" t="inlineStr"/>
      <c r="AS1900" s="13" t="inlineStr"/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7" t="n">
        <v>8543</v>
      </c>
      <c r="AK1901" s="8" t="n">
        <v>-2284</v>
      </c>
      <c r="AL1901" s="8" t="n">
        <v>-9427</v>
      </c>
      <c r="AM1901" s="11" t="inlineStr"/>
      <c r="AN1901" s="12" t="inlineStr"/>
      <c r="AO1901" s="12" t="inlineStr"/>
      <c r="AP1901" s="13" t="inlineStr"/>
      <c r="AQ1901" s="13" t="inlineStr"/>
      <c r="AR1901" s="13" t="inlineStr"/>
      <c r="AS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7" t="n">
        <v>13183</v>
      </c>
      <c r="AK1902" s="8" t="n">
        <v>2422</v>
      </c>
      <c r="AL1902" s="8" t="n">
        <v>1818</v>
      </c>
      <c r="AM1902" s="11" t="inlineStr"/>
      <c r="AN1902" s="12" t="inlineStr"/>
      <c r="AO1902" s="12" t="inlineStr"/>
      <c r="AP1902" s="13" t="inlineStr"/>
      <c r="AQ1902" s="13" t="inlineStr"/>
      <c r="AR1902" s="13" t="inlineStr"/>
      <c r="AS1902" s="13" t="inlineStr"/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7" t="n">
        <v>28106</v>
      </c>
      <c r="AK1903" s="8" t="n">
        <v>4835</v>
      </c>
      <c r="AL1903" s="8" t="n">
        <v>13498</v>
      </c>
      <c r="AM1903" s="11" t="inlineStr"/>
      <c r="AN1903" s="12" t="inlineStr"/>
      <c r="AO1903" s="12" t="inlineStr"/>
      <c r="AP1903" s="13" t="inlineStr"/>
      <c r="AQ1903" s="13" t="inlineStr"/>
      <c r="AR1903" s="13" t="inlineStr"/>
      <c r="AS1903" s="13" t="inlineStr"/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7" t="inlineStr"/>
      <c r="AK1904" s="8" t="n">
        <v>-13997</v>
      </c>
      <c r="AL1904" s="8" t="n">
        <v>-10988</v>
      </c>
      <c r="AM1904" s="11" t="inlineStr"/>
      <c r="AN1904" s="12" t="inlineStr"/>
      <c r="AO1904" s="12" t="inlineStr"/>
      <c r="AP1904" s="13" t="inlineStr"/>
      <c r="AQ1904" s="13" t="inlineStr"/>
      <c r="AR1904" s="13" t="inlineStr"/>
      <c r="AS1904" s="13" t="inlineStr"/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7" t="inlineStr"/>
      <c r="AK1905" s="8" t="inlineStr"/>
      <c r="AL1905" s="8" t="inlineStr"/>
      <c r="AM1905" s="11" t="inlineStr"/>
      <c r="AN1905" s="12" t="inlineStr"/>
      <c r="AO1905" s="12" t="inlineStr"/>
      <c r="AP1905" s="13" t="inlineStr"/>
      <c r="AQ1905" s="13" t="inlineStr"/>
      <c r="AR1905" s="13" t="inlineStr"/>
      <c r="AS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7" t="n">
        <v>12359</v>
      </c>
      <c r="AK1906" s="8" t="n">
        <v>1019</v>
      </c>
      <c r="AL1906" s="8" t="n">
        <v>483</v>
      </c>
      <c r="AM1906" s="11" t="inlineStr"/>
      <c r="AN1906" s="12" t="inlineStr"/>
      <c r="AO1906" s="12" t="inlineStr"/>
      <c r="AP1906" s="13" t="inlineStr"/>
      <c r="AQ1906" s="13" t="inlineStr"/>
      <c r="AR1906" s="13" t="inlineStr"/>
      <c r="AS1906" s="13" t="inlineStr"/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7" t="n">
        <v>74648</v>
      </c>
      <c r="AK1907" s="8" t="n">
        <v>7534</v>
      </c>
      <c r="AL1907" s="8" t="n">
        <v>24323</v>
      </c>
      <c r="AM1907" s="11" t="inlineStr"/>
      <c r="AN1907" s="12" t="inlineStr"/>
      <c r="AO1907" s="12" t="inlineStr"/>
      <c r="AP1907" s="13" t="inlineStr"/>
      <c r="AQ1907" s="13" t="inlineStr"/>
      <c r="AR1907" s="13" t="inlineStr"/>
      <c r="AS1907" s="13" t="inlineStr"/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7" t="n">
        <v>19632</v>
      </c>
      <c r="AK1908" s="8" t="n">
        <v>12909</v>
      </c>
      <c r="AL1908" s="8" t="n">
        <v>12371</v>
      </c>
      <c r="AM1908" s="11" t="inlineStr"/>
      <c r="AN1908" s="12" t="inlineStr"/>
      <c r="AO1908" s="12" t="inlineStr"/>
      <c r="AP1908" s="13" t="inlineStr"/>
      <c r="AQ1908" s="13" t="inlineStr"/>
      <c r="AR1908" s="13" t="inlineStr"/>
      <c r="AS1908" s="13" t="inlineStr"/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7" t="n">
        <v>20676</v>
      </c>
      <c r="AK1909" s="8" t="n">
        <v>2344</v>
      </c>
      <c r="AL1909" s="8" t="n">
        <v>2430</v>
      </c>
      <c r="AM1909" s="11" t="inlineStr"/>
      <c r="AN1909" s="12" t="inlineStr"/>
      <c r="AO1909" s="12" t="inlineStr"/>
      <c r="AP1909" s="13" t="inlineStr"/>
      <c r="AQ1909" s="13" t="inlineStr"/>
      <c r="AR1909" s="13" t="inlineStr"/>
      <c r="AS1909" s="13" t="inlineStr"/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7" t="n">
        <v>34147</v>
      </c>
      <c r="AK1910" s="8" t="n">
        <v>5654</v>
      </c>
      <c r="AL1910" s="8" t="n">
        <v>2544</v>
      </c>
      <c r="AM1910" s="11" t="inlineStr"/>
      <c r="AN1910" s="12" t="inlineStr"/>
      <c r="AO1910" s="12" t="inlineStr"/>
      <c r="AP1910" s="13" t="inlineStr"/>
      <c r="AQ1910" s="13" t="inlineStr"/>
      <c r="AR1910" s="13" t="inlineStr"/>
      <c r="AS1910" s="13" t="inlineStr"/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7" t="n">
        <v>842</v>
      </c>
      <c r="AK1911" s="8" t="n">
        <v>-2644</v>
      </c>
      <c r="AL1911" s="8" t="n">
        <v>-2476</v>
      </c>
      <c r="AM1911" s="11" t="inlineStr"/>
      <c r="AN1911" s="12" t="inlineStr"/>
      <c r="AO1911" s="12" t="inlineStr"/>
      <c r="AP1911" s="13" t="inlineStr"/>
      <c r="AQ1911" s="13" t="inlineStr"/>
      <c r="AR1911" s="13" t="inlineStr"/>
      <c r="AS1911" s="13" t="inlineStr"/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7" t="n">
        <v>36458</v>
      </c>
      <c r="AK1912" s="8" t="n">
        <v>2512</v>
      </c>
      <c r="AL1912" s="8" t="n">
        <v>2567</v>
      </c>
      <c r="AM1912" s="11" t="inlineStr"/>
      <c r="AN1912" s="12" t="inlineStr"/>
      <c r="AO1912" s="12" t="inlineStr"/>
      <c r="AP1912" s="13" t="inlineStr"/>
      <c r="AQ1912" s="13" t="inlineStr"/>
      <c r="AR1912" s="13" t="inlineStr"/>
      <c r="AS1912" s="13" t="inlineStr"/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7" t="n">
        <v>2989</v>
      </c>
      <c r="AK1913" s="8" t="n">
        <v>-702</v>
      </c>
      <c r="AL1913" s="8" t="n">
        <v>-1285</v>
      </c>
      <c r="AM1913" s="11" t="inlineStr"/>
      <c r="AN1913" s="12" t="inlineStr"/>
      <c r="AO1913" s="12" t="inlineStr"/>
      <c r="AP1913" s="13" t="inlineStr"/>
      <c r="AQ1913" s="13" t="inlineStr"/>
      <c r="AR1913" s="13" t="inlineStr"/>
      <c r="AS1913" s="13" t="inlineStr"/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2026Q3</t>
        </is>
      </c>
      <c r="E1914" s="6" t="inlineStr">
        <is>
          <t>2023Q4, 2026Q3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7" t="n">
        <v>350271</v>
      </c>
      <c r="AK1914" s="8" t="n">
        <v>25256</v>
      </c>
      <c r="AL1914" s="8" t="n">
        <v>19138</v>
      </c>
      <c r="AM1914" s="14" t="n">
        <v>351521</v>
      </c>
      <c r="AN1914" s="15" t="n">
        <v>22174</v>
      </c>
      <c r="AO1914" s="15" t="n">
        <v>14022</v>
      </c>
      <c r="AP1914" s="13" t="n">
        <v>0.4</v>
      </c>
      <c r="AQ1914" s="13" t="n">
        <v>51</v>
      </c>
      <c r="AR1914" s="13" t="n">
        <v>-12.2</v>
      </c>
      <c r="AS1914" s="13" t="n">
        <v>50.2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7" t="n">
        <v>24144</v>
      </c>
      <c r="AK1915" s="8" t="n">
        <v>-7673</v>
      </c>
      <c r="AL1915" s="8" t="n">
        <v>-4758</v>
      </c>
      <c r="AM1915" s="11" t="inlineStr"/>
      <c r="AN1915" s="12" t="inlineStr"/>
      <c r="AO1915" s="12" t="inlineStr"/>
      <c r="AP1915" s="13" t="inlineStr"/>
      <c r="AQ1915" s="13" t="inlineStr"/>
      <c r="AR1915" s="13" t="inlineStr"/>
      <c r="AS1915" s="13" t="inlineStr"/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7" t="n">
        <v>144131</v>
      </c>
      <c r="AK1916" s="8" t="n">
        <v>25008</v>
      </c>
      <c r="AL1916" s="8" t="n">
        <v>16919</v>
      </c>
      <c r="AM1916" s="11" t="inlineStr"/>
      <c r="AN1916" s="12" t="inlineStr"/>
      <c r="AO1916" s="12" t="inlineStr"/>
      <c r="AP1916" s="13" t="inlineStr"/>
      <c r="AQ1916" s="13" t="inlineStr"/>
      <c r="AR1916" s="13" t="inlineStr"/>
      <c r="AS1916" s="13" t="inlineStr"/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7" t="n">
        <v>104992</v>
      </c>
      <c r="AK1917" s="8" t="n">
        <v>15052</v>
      </c>
      <c r="AL1917" s="8" t="n">
        <v>17853</v>
      </c>
      <c r="AM1917" s="11" t="inlineStr"/>
      <c r="AN1917" s="12" t="inlineStr"/>
      <c r="AO1917" s="12" t="inlineStr"/>
      <c r="AP1917" s="13" t="inlineStr"/>
      <c r="AQ1917" s="13" t="inlineStr"/>
      <c r="AR1917" s="13" t="inlineStr"/>
      <c r="AS1917" s="13" t="inlineStr"/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7" t="n">
        <v>18216</v>
      </c>
      <c r="AK1918" s="8" t="n">
        <v>450</v>
      </c>
      <c r="AL1918" s="8" t="n">
        <v>318</v>
      </c>
      <c r="AM1918" s="11" t="inlineStr"/>
      <c r="AN1918" s="12" t="inlineStr"/>
      <c r="AO1918" s="12" t="inlineStr"/>
      <c r="AP1918" s="13" t="inlineStr"/>
      <c r="AQ1918" s="13" t="inlineStr"/>
      <c r="AR1918" s="13" t="inlineStr"/>
      <c r="AS1918" s="13" t="inlineStr"/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7" t="n">
        <v>64650</v>
      </c>
      <c r="AK1919" s="8" t="n">
        <v>-918</v>
      </c>
      <c r="AL1919" s="8" t="n">
        <v>1781</v>
      </c>
      <c r="AM1919" s="11" t="inlineStr"/>
      <c r="AN1919" s="12" t="inlineStr"/>
      <c r="AO1919" s="12" t="inlineStr"/>
      <c r="AP1919" s="13" t="inlineStr"/>
      <c r="AQ1919" s="13" t="inlineStr"/>
      <c r="AR1919" s="13" t="inlineStr"/>
      <c r="AS1919" s="13" t="inlineStr"/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7" t="n">
        <v>49996</v>
      </c>
      <c r="AK1920" s="8" t="n">
        <v>753</v>
      </c>
      <c r="AL1920" s="8" t="n">
        <v>1046</v>
      </c>
      <c r="AM1920" s="11" t="inlineStr"/>
      <c r="AN1920" s="12" t="inlineStr"/>
      <c r="AO1920" s="12" t="inlineStr"/>
      <c r="AP1920" s="13" t="inlineStr"/>
      <c r="AQ1920" s="13" t="inlineStr"/>
      <c r="AR1920" s="13" t="inlineStr"/>
      <c r="AS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7" t="n">
        <v>63246</v>
      </c>
      <c r="AK1921" s="8" t="n">
        <v>9346</v>
      </c>
      <c r="AL1921" s="8" t="n">
        <v>8014</v>
      </c>
      <c r="AM1921" s="11" t="inlineStr"/>
      <c r="AN1921" s="12" t="inlineStr"/>
      <c r="AO1921" s="12" t="inlineStr"/>
      <c r="AP1921" s="13" t="inlineStr"/>
      <c r="AQ1921" s="13" t="inlineStr"/>
      <c r="AR1921" s="13" t="inlineStr"/>
      <c r="AS1921" s="13" t="inlineStr"/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7" t="n">
        <v>62369</v>
      </c>
      <c r="AK1922" s="8" t="n">
        <v>1012</v>
      </c>
      <c r="AL1922" s="8" t="n">
        <v>1179</v>
      </c>
      <c r="AM1922" s="11" t="inlineStr"/>
      <c r="AN1922" s="12" t="inlineStr"/>
      <c r="AO1922" s="12" t="inlineStr"/>
      <c r="AP1922" s="13" t="inlineStr"/>
      <c r="AQ1922" s="13" t="inlineStr"/>
      <c r="AR1922" s="13" t="inlineStr"/>
      <c r="AS1922" s="13" t="inlineStr"/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7" t="n">
        <v>18800</v>
      </c>
      <c r="AK1923" s="8" t="n">
        <v>-2708</v>
      </c>
      <c r="AL1923" s="8" t="n">
        <v>-2522</v>
      </c>
      <c r="AM1923" s="11" t="inlineStr"/>
      <c r="AN1923" s="12" t="inlineStr"/>
      <c r="AO1923" s="12" t="inlineStr"/>
      <c r="AP1923" s="13" t="inlineStr"/>
      <c r="AQ1923" s="13" t="inlineStr"/>
      <c r="AR1923" s="13" t="inlineStr"/>
      <c r="AS1923" s="13" t="inlineStr"/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7" t="n">
        <v>50137</v>
      </c>
      <c r="AK1924" s="8" t="n">
        <v>4609</v>
      </c>
      <c r="AL1924" s="8" t="n">
        <v>4220</v>
      </c>
      <c r="AM1924" s="11" t="inlineStr"/>
      <c r="AN1924" s="12" t="inlineStr"/>
      <c r="AO1924" s="12" t="inlineStr"/>
      <c r="AP1924" s="13" t="inlineStr"/>
      <c r="AQ1924" s="13" t="inlineStr"/>
      <c r="AR1924" s="13" t="inlineStr"/>
      <c r="AS1924" s="13" t="inlineStr"/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7" t="n">
        <v>52082</v>
      </c>
      <c r="AK1925" s="8" t="n">
        <v>4629</v>
      </c>
      <c r="AL1925" s="8" t="n">
        <v>3965</v>
      </c>
      <c r="AM1925" s="11" t="inlineStr"/>
      <c r="AN1925" s="12" t="inlineStr"/>
      <c r="AO1925" s="12" t="inlineStr"/>
      <c r="AP1925" s="13" t="inlineStr"/>
      <c r="AQ1925" s="13" t="inlineStr"/>
      <c r="AR1925" s="13" t="inlineStr"/>
      <c r="AS1925" s="13" t="inlineStr"/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7" t="n">
        <v>2722</v>
      </c>
      <c r="AK1926" s="8" t="n">
        <v>721</v>
      </c>
      <c r="AL1926" s="8" t="n">
        <v>597</v>
      </c>
      <c r="AM1926" s="11" t="inlineStr"/>
      <c r="AN1926" s="12" t="inlineStr"/>
      <c r="AO1926" s="12" t="inlineStr"/>
      <c r="AP1926" s="13" t="inlineStr"/>
      <c r="AQ1926" s="13" t="inlineStr"/>
      <c r="AR1926" s="13" t="inlineStr"/>
      <c r="AS1926" s="13" t="inlineStr"/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7" t="n">
        <v>1049</v>
      </c>
      <c r="AK1927" s="8" t="n">
        <v>-3632</v>
      </c>
      <c r="AL1927" s="8" t="n">
        <v>-3194</v>
      </c>
      <c r="AM1927" s="11" t="inlineStr"/>
      <c r="AN1927" s="12" t="inlineStr"/>
      <c r="AO1927" s="12" t="inlineStr"/>
      <c r="AP1927" s="13" t="inlineStr"/>
      <c r="AQ1927" s="13" t="inlineStr"/>
      <c r="AR1927" s="13" t="inlineStr"/>
      <c r="AS1927" s="13" t="inlineStr"/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7" t="n">
        <v>40339</v>
      </c>
      <c r="AK1928" s="8" t="n">
        <v>10159</v>
      </c>
      <c r="AL1928" s="8" t="n">
        <v>18868</v>
      </c>
      <c r="AM1928" s="11" t="inlineStr"/>
      <c r="AN1928" s="12" t="inlineStr"/>
      <c r="AO1928" s="12" t="inlineStr"/>
      <c r="AP1928" s="13" t="inlineStr"/>
      <c r="AQ1928" s="13" t="inlineStr"/>
      <c r="AR1928" s="13" t="inlineStr"/>
      <c r="AS1928" s="13" t="inlineStr"/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8" t="n">
        <v>486</v>
      </c>
      <c r="AL1929" s="8" t="n">
        <v>479</v>
      </c>
      <c r="AM1929" s="11" t="inlineStr"/>
      <c r="AN1929" s="12" t="inlineStr"/>
      <c r="AO1929" s="12" t="inlineStr"/>
      <c r="AP1929" s="13" t="inlineStr"/>
      <c r="AQ1929" s="13" t="inlineStr"/>
      <c r="AR1929" s="13" t="inlineStr"/>
      <c r="AS1929" s="13" t="inlineStr"/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7" t="n">
        <v>108484</v>
      </c>
      <c r="AK1930" s="8" t="n">
        <v>18307</v>
      </c>
      <c r="AL1930" s="8" t="n">
        <v>13151</v>
      </c>
      <c r="AM1930" s="11" t="inlineStr"/>
      <c r="AN1930" s="12" t="inlineStr"/>
      <c r="AO1930" s="12" t="inlineStr"/>
      <c r="AP1930" s="13" t="inlineStr"/>
      <c r="AQ1930" s="13" t="inlineStr"/>
      <c r="AR1930" s="13" t="inlineStr"/>
      <c r="AS1930" s="13" t="inlineStr"/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7" t="n">
        <v>7618</v>
      </c>
      <c r="AK1931" s="8" t="n">
        <v>-300</v>
      </c>
      <c r="AL1931" s="8" t="n">
        <v>-11860</v>
      </c>
      <c r="AM1931" s="11" t="inlineStr"/>
      <c r="AN1931" s="12" t="inlineStr"/>
      <c r="AO1931" s="12" t="inlineStr"/>
      <c r="AP1931" s="13" t="inlineStr"/>
      <c r="AQ1931" s="13" t="inlineStr"/>
      <c r="AR1931" s="13" t="inlineStr"/>
      <c r="AS1931" s="13" t="inlineStr"/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7" t="n">
        <v>11120</v>
      </c>
      <c r="AK1932" s="8" t="n">
        <v>89</v>
      </c>
      <c r="AL1932" s="8" t="n">
        <v>161</v>
      </c>
      <c r="AM1932" s="11" t="inlineStr"/>
      <c r="AN1932" s="12" t="inlineStr"/>
      <c r="AO1932" s="12" t="inlineStr"/>
      <c r="AP1932" s="13" t="inlineStr"/>
      <c r="AQ1932" s="13" t="inlineStr"/>
      <c r="AR1932" s="13" t="inlineStr"/>
      <c r="AS1932" s="13" t="inlineStr"/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7" t="n">
        <v>86805</v>
      </c>
      <c r="AK1933" s="8" t="n">
        <v>11617</v>
      </c>
      <c r="AL1933" s="8" t="n">
        <v>13721</v>
      </c>
      <c r="AM1933" s="11" t="inlineStr"/>
      <c r="AN1933" s="12" t="inlineStr"/>
      <c r="AO1933" s="12" t="inlineStr"/>
      <c r="AP1933" s="13" t="inlineStr"/>
      <c r="AQ1933" s="13" t="inlineStr"/>
      <c r="AR1933" s="13" t="inlineStr"/>
      <c r="AS1933" s="13" t="inlineStr"/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7" t="n">
        <v>10691</v>
      </c>
      <c r="AK1934" s="8" t="n">
        <v>-1484</v>
      </c>
      <c r="AL1934" s="8" t="n">
        <v>-1383</v>
      </c>
      <c r="AM1934" s="11" t="inlineStr"/>
      <c r="AN1934" s="12" t="inlineStr"/>
      <c r="AO1934" s="12" t="inlineStr"/>
      <c r="AP1934" s="13" t="inlineStr"/>
      <c r="AQ1934" s="13" t="inlineStr"/>
      <c r="AR1934" s="13" t="inlineStr"/>
      <c r="AS1934" s="13" t="inlineStr"/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7" t="n">
        <v>4351</v>
      </c>
      <c r="AK1935" s="8" t="n">
        <v>644</v>
      </c>
      <c r="AL1935" s="8" t="n">
        <v>1750</v>
      </c>
      <c r="AM1935" s="11" t="inlineStr"/>
      <c r="AN1935" s="12" t="inlineStr"/>
      <c r="AO1935" s="12" t="inlineStr"/>
      <c r="AP1935" s="13" t="inlineStr"/>
      <c r="AQ1935" s="13" t="inlineStr"/>
      <c r="AR1935" s="13" t="inlineStr"/>
      <c r="AS1935" s="13" t="inlineStr"/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7" t="n">
        <v>3602</v>
      </c>
      <c r="AK1936" s="8" t="n">
        <v>-410</v>
      </c>
      <c r="AL1936" s="8" t="n">
        <v>318</v>
      </c>
      <c r="AM1936" s="11" t="inlineStr"/>
      <c r="AN1936" s="12" t="inlineStr"/>
      <c r="AO1936" s="12" t="inlineStr"/>
      <c r="AP1936" s="13" t="inlineStr"/>
      <c r="AQ1936" s="13" t="inlineStr"/>
      <c r="AR1936" s="13" t="inlineStr"/>
      <c r="AS1936" s="13" t="inlineStr"/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7" t="inlineStr"/>
      <c r="AK1937" s="8" t="n">
        <v>-3358</v>
      </c>
      <c r="AL1937" s="8" t="n">
        <v>-2575</v>
      </c>
      <c r="AM1937" s="11" t="inlineStr"/>
      <c r="AN1937" s="12" t="inlineStr"/>
      <c r="AO1937" s="12" t="inlineStr"/>
      <c r="AP1937" s="13" t="inlineStr"/>
      <c r="AQ1937" s="13" t="inlineStr"/>
      <c r="AR1937" s="13" t="inlineStr"/>
      <c r="AS1937" s="13" t="inlineStr"/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7" t="n">
        <v>4510</v>
      </c>
      <c r="AK1938" s="8" t="n">
        <v>-556</v>
      </c>
      <c r="AL1938" s="8" t="n">
        <v>-534</v>
      </c>
      <c r="AM1938" s="11" t="inlineStr"/>
      <c r="AN1938" s="12" t="inlineStr"/>
      <c r="AO1938" s="12" t="inlineStr"/>
      <c r="AP1938" s="13" t="inlineStr"/>
      <c r="AQ1938" s="13" t="inlineStr"/>
      <c r="AR1938" s="13" t="inlineStr"/>
      <c r="AS1938" s="13" t="inlineStr"/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7" t="n">
        <v>2500</v>
      </c>
      <c r="AK1939" s="8" t="n">
        <v>-2790</v>
      </c>
      <c r="AL1939" s="8" t="n">
        <v>-2508</v>
      </c>
      <c r="AM1939" s="11" t="inlineStr"/>
      <c r="AN1939" s="12" t="inlineStr"/>
      <c r="AO1939" s="12" t="inlineStr"/>
      <c r="AP1939" s="13" t="inlineStr"/>
      <c r="AQ1939" s="13" t="inlineStr"/>
      <c r="AR1939" s="13" t="inlineStr"/>
      <c r="AS1939" s="13" t="inlineStr"/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7" t="n">
        <v>6962</v>
      </c>
      <c r="AK1940" s="8" t="n">
        <v>157</v>
      </c>
      <c r="AL1940" s="8" t="n">
        <v>1266</v>
      </c>
      <c r="AM1940" s="11" t="inlineStr"/>
      <c r="AN1940" s="12" t="inlineStr"/>
      <c r="AO1940" s="12" t="inlineStr"/>
      <c r="AP1940" s="13" t="inlineStr"/>
      <c r="AQ1940" s="13" t="inlineStr"/>
      <c r="AR1940" s="13" t="inlineStr"/>
      <c r="AS1940" s="13" t="inlineStr"/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7" t="n">
        <v>33941</v>
      </c>
      <c r="AK1941" s="8" t="n">
        <v>6357</v>
      </c>
      <c r="AL1941" s="8" t="n">
        <v>3995</v>
      </c>
      <c r="AM1941" s="11" t="inlineStr"/>
      <c r="AN1941" s="12" t="inlineStr"/>
      <c r="AO1941" s="12" t="inlineStr"/>
      <c r="AP1941" s="13" t="inlineStr"/>
      <c r="AQ1941" s="13" t="inlineStr"/>
      <c r="AR1941" s="13" t="inlineStr"/>
      <c r="AS1941" s="13" t="inlineStr"/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7" t="n">
        <v>9595</v>
      </c>
      <c r="AK1942" s="8" t="n">
        <v>-793</v>
      </c>
      <c r="AL1942" s="8" t="n">
        <v>-554</v>
      </c>
      <c r="AM1942" s="11" t="inlineStr"/>
      <c r="AN1942" s="12" t="inlineStr"/>
      <c r="AO1942" s="12" t="inlineStr"/>
      <c r="AP1942" s="13" t="inlineStr"/>
      <c r="AQ1942" s="13" t="inlineStr"/>
      <c r="AR1942" s="13" t="inlineStr"/>
      <c r="AS1942" s="13" t="inlineStr"/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7" t="n">
        <v>216472</v>
      </c>
      <c r="AK1943" s="8" t="n">
        <v>18383</v>
      </c>
      <c r="AL1943" s="8" t="n">
        <v>89935</v>
      </c>
      <c r="AM1943" s="11" t="inlineStr"/>
      <c r="AN1943" s="12" t="inlineStr"/>
      <c r="AO1943" s="12" t="inlineStr"/>
      <c r="AP1943" s="13" t="inlineStr"/>
      <c r="AQ1943" s="13" t="inlineStr"/>
      <c r="AR1943" s="13" t="inlineStr"/>
      <c r="AS1943" s="13" t="inlineStr"/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7" t="n">
        <v>16988</v>
      </c>
      <c r="AK1944" s="8" t="n">
        <v>12166</v>
      </c>
      <c r="AL1944" s="8" t="n">
        <v>9496</v>
      </c>
      <c r="AM1944" s="11" t="inlineStr"/>
      <c r="AN1944" s="12" t="inlineStr"/>
      <c r="AO1944" s="12" t="inlineStr"/>
      <c r="AP1944" s="13" t="inlineStr"/>
      <c r="AQ1944" s="13" t="inlineStr"/>
      <c r="AR1944" s="13" t="inlineStr"/>
      <c r="AS1944" s="13" t="inlineStr"/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7" t="n">
        <v>1630</v>
      </c>
      <c r="AK1945" s="8" t="n">
        <v>195</v>
      </c>
      <c r="AL1945" s="8" t="n">
        <v>133</v>
      </c>
      <c r="AM1945" s="11" t="inlineStr"/>
      <c r="AN1945" s="12" t="inlineStr"/>
      <c r="AO1945" s="12" t="inlineStr"/>
      <c r="AP1945" s="13" t="inlineStr"/>
      <c r="AQ1945" s="13" t="inlineStr"/>
      <c r="AR1945" s="13" t="inlineStr"/>
      <c r="AS1945" s="13" t="inlineStr"/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7" t="n">
        <v>397514</v>
      </c>
      <c r="AK1946" s="8" t="n">
        <v>7290</v>
      </c>
      <c r="AL1946" s="8" t="n">
        <v>-1579</v>
      </c>
      <c r="AM1946" s="11" t="inlineStr"/>
      <c r="AN1946" s="12" t="inlineStr"/>
      <c r="AO1946" s="12" t="inlineStr"/>
      <c r="AP1946" s="13" t="inlineStr"/>
      <c r="AQ1946" s="13" t="inlineStr"/>
      <c r="AR1946" s="13" t="inlineStr"/>
      <c r="AS1946" s="13" t="inlineStr"/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7" t="n">
        <v>34213</v>
      </c>
      <c r="AK1947" s="8" t="n">
        <v>2818</v>
      </c>
      <c r="AL1947" s="8" t="n">
        <v>3184</v>
      </c>
      <c r="AM1947" s="11" t="inlineStr"/>
      <c r="AN1947" s="12" t="inlineStr"/>
      <c r="AO1947" s="12" t="inlineStr"/>
      <c r="AP1947" s="13" t="inlineStr"/>
      <c r="AQ1947" s="13" t="inlineStr"/>
      <c r="AR1947" s="13" t="inlineStr"/>
      <c r="AS1947" s="13" t="inlineStr"/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7" t="n">
        <v>226080</v>
      </c>
      <c r="AK1948" s="8" t="n">
        <v>32057</v>
      </c>
      <c r="AL1948" s="8" t="n">
        <v>20293</v>
      </c>
      <c r="AM1948" s="11" t="inlineStr"/>
      <c r="AN1948" s="12" t="inlineStr"/>
      <c r="AO1948" s="12" t="inlineStr"/>
      <c r="AP1948" s="13" t="inlineStr"/>
      <c r="AQ1948" s="13" t="inlineStr"/>
      <c r="AR1948" s="13" t="inlineStr"/>
      <c r="AS1948" s="13" t="inlineStr"/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2026Q3</t>
        </is>
      </c>
      <c r="E1949" s="6" t="inlineStr">
        <is>
          <t>2026Q3</t>
        </is>
      </c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7" t="n">
        <v>25346</v>
      </c>
      <c r="AK1949" s="8" t="n">
        <v>4485</v>
      </c>
      <c r="AL1949" s="8" t="n">
        <v>4691</v>
      </c>
      <c r="AM1949" s="14" t="n">
        <v>29320</v>
      </c>
      <c r="AN1949" s="12" t="inlineStr"/>
      <c r="AO1949" s="12" t="inlineStr"/>
      <c r="AP1949" s="13" t="n">
        <v>15.7</v>
      </c>
      <c r="AQ1949" s="13" t="n">
        <v>13.8</v>
      </c>
      <c r="AR1949" s="13" t="inlineStr"/>
      <c r="AS1949" s="13" t="inlineStr"/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7" t="n">
        <v>55926</v>
      </c>
      <c r="AK1950" s="8" t="n">
        <v>97</v>
      </c>
      <c r="AL1950" s="8" t="n">
        <v>393</v>
      </c>
      <c r="AM1950" s="11" t="inlineStr"/>
      <c r="AN1950" s="12" t="inlineStr"/>
      <c r="AO1950" s="12" t="inlineStr"/>
      <c r="AP1950" s="13" t="inlineStr"/>
      <c r="AQ1950" s="13" t="inlineStr"/>
      <c r="AR1950" s="13" t="inlineStr"/>
      <c r="AS1950" s="13" t="inlineStr"/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7" t="inlineStr"/>
      <c r="AK1951" s="8" t="inlineStr"/>
      <c r="AL1951" s="8" t="inlineStr"/>
      <c r="AM1951" s="11" t="inlineStr"/>
      <c r="AN1951" s="12" t="inlineStr"/>
      <c r="AO1951" s="12" t="inlineStr"/>
      <c r="AP1951" s="13" t="inlineStr"/>
      <c r="AQ1951" s="13" t="inlineStr"/>
      <c r="AR1951" s="13" t="inlineStr"/>
      <c r="AS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7" t="n">
        <v>3457</v>
      </c>
      <c r="AK1952" s="8" t="n">
        <v>-2519</v>
      </c>
      <c r="AL1952" s="8" t="n">
        <v>695</v>
      </c>
      <c r="AM1952" s="11" t="inlineStr"/>
      <c r="AN1952" s="12" t="inlineStr"/>
      <c r="AO1952" s="12" t="inlineStr"/>
      <c r="AP1952" s="13" t="inlineStr"/>
      <c r="AQ1952" s="13" t="inlineStr"/>
      <c r="AR1952" s="13" t="inlineStr"/>
      <c r="AS1952" s="13" t="inlineStr"/>
    </row>
    <row r="1953">
      <c r="A1953" s="5" t="inlineStr">
        <is>
          <t>나무AX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7" t="n">
        <v>35483</v>
      </c>
      <c r="AK1953" s="8" t="n">
        <v>343</v>
      </c>
      <c r="AL1953" s="8" t="n">
        <v>210</v>
      </c>
      <c r="AM1953" s="11" t="inlineStr"/>
      <c r="AN1953" s="12" t="inlineStr"/>
      <c r="AO1953" s="12" t="inlineStr"/>
      <c r="AP1953" s="13" t="inlineStr"/>
      <c r="AQ1953" s="13" t="inlineStr"/>
      <c r="AR1953" s="13" t="inlineStr"/>
      <c r="AS1953" s="13" t="inlineStr"/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7" t="n">
        <v>146981</v>
      </c>
      <c r="AK1954" s="8" t="n">
        <v>2927</v>
      </c>
      <c r="AL1954" s="8" t="n">
        <v>-1077</v>
      </c>
      <c r="AM1954" s="11" t="inlineStr"/>
      <c r="AN1954" s="12" t="inlineStr"/>
      <c r="AO1954" s="12" t="inlineStr"/>
      <c r="AP1954" s="13" t="inlineStr"/>
      <c r="AQ1954" s="13" t="inlineStr"/>
      <c r="AR1954" s="13" t="inlineStr"/>
      <c r="AS1954" s="13" t="inlineStr"/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7" t="n">
        <v>131556</v>
      </c>
      <c r="AK1955" s="8" t="n">
        <v>5196</v>
      </c>
      <c r="AL1955" s="8" t="n">
        <v>-195</v>
      </c>
      <c r="AM1955" s="11" t="inlineStr"/>
      <c r="AN1955" s="12" t="inlineStr"/>
      <c r="AO1955" s="12" t="inlineStr"/>
      <c r="AP1955" s="13" t="inlineStr"/>
      <c r="AQ1955" s="13" t="inlineStr"/>
      <c r="AR1955" s="13" t="inlineStr"/>
      <c r="AS1955" s="13" t="inlineStr"/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7" t="n">
        <v>1168</v>
      </c>
      <c r="AK1956" s="8" t="n">
        <v>-117</v>
      </c>
      <c r="AL1956" s="8" t="n">
        <v>-570</v>
      </c>
      <c r="AM1956" s="11" t="inlineStr"/>
      <c r="AN1956" s="12" t="inlineStr"/>
      <c r="AO1956" s="12" t="inlineStr"/>
      <c r="AP1956" s="13" t="inlineStr"/>
      <c r="AQ1956" s="13" t="inlineStr"/>
      <c r="AR1956" s="13" t="inlineStr"/>
      <c r="AS1956" s="13" t="inlineStr"/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7" t="n">
        <v>198959</v>
      </c>
      <c r="AK1957" s="8" t="n">
        <v>10118</v>
      </c>
      <c r="AL1957" s="8" t="n">
        <v>9060</v>
      </c>
      <c r="AM1957" s="11" t="inlineStr"/>
      <c r="AN1957" s="12" t="inlineStr"/>
      <c r="AO1957" s="12" t="inlineStr"/>
      <c r="AP1957" s="13" t="inlineStr"/>
      <c r="AQ1957" s="13" t="inlineStr"/>
      <c r="AR1957" s="13" t="inlineStr"/>
      <c r="AS1957" s="13" t="inlineStr"/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7" t="n">
        <v>1224</v>
      </c>
      <c r="AK1958" s="8" t="n">
        <v>-716</v>
      </c>
      <c r="AL1958" s="8" t="n">
        <v>-730</v>
      </c>
      <c r="AM1958" s="11" t="inlineStr"/>
      <c r="AN1958" s="12" t="inlineStr"/>
      <c r="AO1958" s="12" t="inlineStr"/>
      <c r="AP1958" s="13" t="inlineStr"/>
      <c r="AQ1958" s="13" t="inlineStr"/>
      <c r="AR1958" s="13" t="inlineStr"/>
      <c r="AS1958" s="13" t="inlineStr"/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7" t="n">
        <v>1295</v>
      </c>
      <c r="AK1959" s="8" t="n">
        <v>-898</v>
      </c>
      <c r="AL1959" s="8" t="n">
        <v>-973</v>
      </c>
      <c r="AM1959" s="11" t="inlineStr"/>
      <c r="AN1959" s="12" t="inlineStr"/>
      <c r="AO1959" s="12" t="inlineStr"/>
      <c r="AP1959" s="13" t="inlineStr"/>
      <c r="AQ1959" s="13" t="inlineStr"/>
      <c r="AR1959" s="13" t="inlineStr"/>
      <c r="AS1959" s="13" t="inlineStr"/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7" t="n">
        <v>7094</v>
      </c>
      <c r="AK1960" s="8" t="n">
        <v>5416</v>
      </c>
      <c r="AL1960" s="8" t="n">
        <v>4356</v>
      </c>
      <c r="AM1960" s="11" t="inlineStr"/>
      <c r="AN1960" s="12" t="inlineStr"/>
      <c r="AO1960" s="12" t="inlineStr"/>
      <c r="AP1960" s="13" t="inlineStr"/>
      <c r="AQ1960" s="13" t="inlineStr"/>
      <c r="AR1960" s="13" t="inlineStr"/>
      <c r="AS1960" s="13" t="inlineStr"/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2026Q3</t>
        </is>
      </c>
      <c r="E1961" s="6" t="inlineStr">
        <is>
          <t>2026Q3</t>
        </is>
      </c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7" t="n">
        <v>9535</v>
      </c>
      <c r="AK1961" s="8" t="n">
        <v>-928</v>
      </c>
      <c r="AL1961" s="8" t="n">
        <v>-3783</v>
      </c>
      <c r="AM1961" s="14" t="n">
        <v>8910</v>
      </c>
      <c r="AN1961" s="12" t="inlineStr"/>
      <c r="AO1961" s="12" t="inlineStr"/>
      <c r="AP1961" s="13" t="n">
        <v>-6.6</v>
      </c>
      <c r="AQ1961" s="13" t="n">
        <v>28.1</v>
      </c>
      <c r="AR1961" s="13" t="inlineStr"/>
      <c r="AS1961" s="13" t="inlineStr"/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7" t="n">
        <v>1169</v>
      </c>
      <c r="AK1962" s="8" t="n">
        <v>-839</v>
      </c>
      <c r="AL1962" s="8" t="n">
        <v>-811</v>
      </c>
      <c r="AM1962" s="11" t="inlineStr"/>
      <c r="AN1962" s="12" t="inlineStr"/>
      <c r="AO1962" s="12" t="inlineStr"/>
      <c r="AP1962" s="13" t="inlineStr"/>
      <c r="AQ1962" s="13" t="inlineStr"/>
      <c r="AR1962" s="13" t="inlineStr"/>
      <c r="AS1962" s="13" t="inlineStr"/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7" t="n">
        <v>7590</v>
      </c>
      <c r="AK1963" s="8" t="n">
        <v>406</v>
      </c>
      <c r="AL1963" s="8" t="n">
        <v>-130</v>
      </c>
      <c r="AM1963" s="11" t="inlineStr"/>
      <c r="AN1963" s="12" t="inlineStr"/>
      <c r="AO1963" s="12" t="inlineStr"/>
      <c r="AP1963" s="13" t="inlineStr"/>
      <c r="AQ1963" s="13" t="inlineStr"/>
      <c r="AR1963" s="13" t="inlineStr"/>
      <c r="AS1963" s="13" t="inlineStr"/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7" t="n">
        <v>576712</v>
      </c>
      <c r="AK1964" s="8" t="n">
        <v>18011</v>
      </c>
      <c r="AL1964" s="8" t="n">
        <v>-455</v>
      </c>
      <c r="AM1964" s="11" t="inlineStr"/>
      <c r="AN1964" s="12" t="inlineStr"/>
      <c r="AO1964" s="12" t="inlineStr"/>
      <c r="AP1964" s="13" t="inlineStr"/>
      <c r="AQ1964" s="13" t="inlineStr"/>
      <c r="AR1964" s="13" t="inlineStr"/>
      <c r="AS1964" s="13" t="inlineStr"/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7" t="n">
        <v>2781</v>
      </c>
      <c r="AK1965" s="8" t="n">
        <v>869</v>
      </c>
      <c r="AL1965" s="8" t="n">
        <v>965</v>
      </c>
      <c r="AM1965" s="11" t="inlineStr"/>
      <c r="AN1965" s="12" t="inlineStr"/>
      <c r="AO1965" s="12" t="inlineStr"/>
      <c r="AP1965" s="13" t="inlineStr"/>
      <c r="AQ1965" s="13" t="inlineStr"/>
      <c r="AR1965" s="13" t="inlineStr"/>
      <c r="AS1965" s="13" t="inlineStr"/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7" t="n">
        <v>491847</v>
      </c>
      <c r="AK1966" s="8" t="n">
        <v>21826</v>
      </c>
      <c r="AL1966" s="8" t="n">
        <v>5393</v>
      </c>
      <c r="AM1966" s="11" t="inlineStr"/>
      <c r="AN1966" s="12" t="inlineStr"/>
      <c r="AO1966" s="12" t="inlineStr"/>
      <c r="AP1966" s="13" t="inlineStr"/>
      <c r="AQ1966" s="13" t="inlineStr"/>
      <c r="AR1966" s="13" t="inlineStr"/>
      <c r="AS1966" s="13" t="inlineStr"/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7" t="n">
        <v>100574</v>
      </c>
      <c r="AK1967" s="8" t="n">
        <v>4662</v>
      </c>
      <c r="AL1967" s="8" t="n">
        <v>1781</v>
      </c>
      <c r="AM1967" s="11" t="inlineStr"/>
      <c r="AN1967" s="12" t="inlineStr"/>
      <c r="AO1967" s="12" t="inlineStr"/>
      <c r="AP1967" s="13" t="inlineStr"/>
      <c r="AQ1967" s="13" t="inlineStr"/>
      <c r="AR1967" s="13" t="inlineStr"/>
      <c r="AS1967" s="13" t="inlineStr"/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7" t="n">
        <v>147861</v>
      </c>
      <c r="AK1968" s="8" t="n">
        <v>1980</v>
      </c>
      <c r="AL1968" s="8" t="n">
        <v>5102</v>
      </c>
      <c r="AM1968" s="11" t="inlineStr"/>
      <c r="AN1968" s="12" t="inlineStr"/>
      <c r="AO1968" s="12" t="inlineStr"/>
      <c r="AP1968" s="13" t="inlineStr"/>
      <c r="AQ1968" s="13" t="inlineStr"/>
      <c r="AR1968" s="13" t="inlineStr"/>
      <c r="AS1968" s="13" t="inlineStr"/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7" t="n">
        <v>26660</v>
      </c>
      <c r="AK1969" s="8" t="n">
        <v>1908</v>
      </c>
      <c r="AL1969" s="8" t="n">
        <v>-107</v>
      </c>
      <c r="AM1969" s="11" t="inlineStr"/>
      <c r="AN1969" s="12" t="inlineStr"/>
      <c r="AO1969" s="12" t="inlineStr"/>
      <c r="AP1969" s="13" t="inlineStr"/>
      <c r="AQ1969" s="13" t="inlineStr"/>
      <c r="AR1969" s="13" t="inlineStr"/>
      <c r="AS1969" s="13" t="inlineStr"/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7" t="n">
        <v>17476099</v>
      </c>
      <c r="AK1970" s="8" t="n">
        <v>2268242</v>
      </c>
      <c r="AL1970" s="8" t="n">
        <v>1918475</v>
      </c>
      <c r="AM1970" s="11" t="inlineStr"/>
      <c r="AN1970" s="12" t="inlineStr"/>
      <c r="AO1970" s="12" t="inlineStr"/>
      <c r="AP1970" s="13" t="inlineStr"/>
      <c r="AQ1970" s="13" t="inlineStr"/>
      <c r="AR1970" s="13" t="inlineStr"/>
      <c r="AS1970" s="13" t="inlineStr"/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7" t="n">
        <v>401</v>
      </c>
      <c r="AK1971" s="8" t="n">
        <v>-694</v>
      </c>
      <c r="AL1971" s="8" t="n">
        <v>-489</v>
      </c>
      <c r="AM1971" s="11" t="inlineStr"/>
      <c r="AN1971" s="12" t="inlineStr"/>
      <c r="AO1971" s="12" t="inlineStr"/>
      <c r="AP1971" s="13" t="inlineStr"/>
      <c r="AQ1971" s="13" t="inlineStr"/>
      <c r="AR1971" s="13" t="inlineStr"/>
      <c r="AS1971" s="13" t="inlineStr"/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7" t="n">
        <v>11011</v>
      </c>
      <c r="AK1972" s="8" t="n">
        <v>10</v>
      </c>
      <c r="AL1972" s="8" t="n">
        <v>25</v>
      </c>
      <c r="AM1972" s="11" t="inlineStr"/>
      <c r="AN1972" s="12" t="inlineStr"/>
      <c r="AO1972" s="12" t="inlineStr"/>
      <c r="AP1972" s="13" t="inlineStr"/>
      <c r="AQ1972" s="13" t="inlineStr"/>
      <c r="AR1972" s="13" t="inlineStr"/>
      <c r="AS1972" s="13" t="inlineStr"/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7" t="n">
        <v>5362</v>
      </c>
      <c r="AK1973" s="8" t="n">
        <v>2103</v>
      </c>
      <c r="AL1973" s="8" t="n">
        <v>1970</v>
      </c>
      <c r="AM1973" s="11" t="inlineStr"/>
      <c r="AN1973" s="12" t="inlineStr"/>
      <c r="AO1973" s="12" t="inlineStr"/>
      <c r="AP1973" s="13" t="inlineStr"/>
      <c r="AQ1973" s="13" t="inlineStr"/>
      <c r="AR1973" s="13" t="inlineStr"/>
      <c r="AS1973" s="13" t="inlineStr"/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7" t="n">
        <v>749215</v>
      </c>
      <c r="AK1974" s="8" t="n">
        <v>80155</v>
      </c>
      <c r="AL1974" s="8" t="n">
        <v>203859</v>
      </c>
      <c r="AM1974" s="11" t="inlineStr"/>
      <c r="AN1974" s="12" t="inlineStr"/>
      <c r="AO1974" s="12" t="inlineStr"/>
      <c r="AP1974" s="13" t="inlineStr"/>
      <c r="AQ1974" s="13" t="inlineStr"/>
      <c r="AR1974" s="13" t="inlineStr"/>
      <c r="AS1974" s="13" t="inlineStr"/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7" t="n">
        <v>41213</v>
      </c>
      <c r="AK1975" s="8" t="n">
        <v>1578</v>
      </c>
      <c r="AL1975" s="8" t="n">
        <v>-2116</v>
      </c>
      <c r="AM1975" s="11" t="inlineStr"/>
      <c r="AN1975" s="12" t="inlineStr"/>
      <c r="AO1975" s="12" t="inlineStr"/>
      <c r="AP1975" s="13" t="inlineStr"/>
      <c r="AQ1975" s="13" t="inlineStr"/>
      <c r="AR1975" s="13" t="inlineStr"/>
      <c r="AS1975" s="13" t="inlineStr"/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7" t="n">
        <v>13037</v>
      </c>
      <c r="AK1976" s="8" t="n">
        <v>-2389</v>
      </c>
      <c r="AL1976" s="8" t="n">
        <v>-2410</v>
      </c>
      <c r="AM1976" s="11" t="inlineStr"/>
      <c r="AN1976" s="12" t="inlineStr"/>
      <c r="AO1976" s="12" t="inlineStr"/>
      <c r="AP1976" s="13" t="inlineStr"/>
      <c r="AQ1976" s="13" t="inlineStr"/>
      <c r="AR1976" s="13" t="inlineStr"/>
      <c r="AS1976" s="13" t="inlineStr"/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7" t="n">
        <v>116844</v>
      </c>
      <c r="AK1977" s="8" t="n">
        <v>21651</v>
      </c>
      <c r="AL1977" s="8" t="n">
        <v>14542</v>
      </c>
      <c r="AM1977" s="11" t="inlineStr"/>
      <c r="AN1977" s="12" t="inlineStr"/>
      <c r="AO1977" s="12" t="inlineStr"/>
      <c r="AP1977" s="13" t="inlineStr"/>
      <c r="AQ1977" s="13" t="inlineStr"/>
      <c r="AR1977" s="13" t="inlineStr"/>
      <c r="AS1977" s="13" t="inlineStr"/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7" t="n">
        <v>10389</v>
      </c>
      <c r="AK1978" s="8" t="n">
        <v>-1228</v>
      </c>
      <c r="AL1978" s="8" t="n">
        <v>-1458</v>
      </c>
      <c r="AM1978" s="11" t="inlineStr"/>
      <c r="AN1978" s="12" t="inlineStr"/>
      <c r="AO1978" s="12" t="inlineStr"/>
      <c r="AP1978" s="13" t="inlineStr"/>
      <c r="AQ1978" s="13" t="inlineStr"/>
      <c r="AR1978" s="13" t="inlineStr"/>
      <c r="AS1978" s="13" t="inlineStr"/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7" t="n">
        <v>31265</v>
      </c>
      <c r="AK1979" s="8" t="n">
        <v>9529</v>
      </c>
      <c r="AL1979" s="8" t="n">
        <v>11265</v>
      </c>
      <c r="AM1979" s="11" t="inlineStr"/>
      <c r="AN1979" s="12" t="inlineStr"/>
      <c r="AO1979" s="12" t="inlineStr"/>
      <c r="AP1979" s="13" t="inlineStr"/>
      <c r="AQ1979" s="13" t="inlineStr"/>
      <c r="AR1979" s="13" t="inlineStr"/>
      <c r="AS1979" s="13" t="inlineStr"/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7" t="n">
        <v>145292</v>
      </c>
      <c r="AK1980" s="8" t="n">
        <v>15446</v>
      </c>
      <c r="AL1980" s="8" t="n">
        <v>13017</v>
      </c>
      <c r="AM1980" s="11" t="inlineStr"/>
      <c r="AN1980" s="12" t="inlineStr"/>
      <c r="AO1980" s="12" t="inlineStr"/>
      <c r="AP1980" s="13" t="inlineStr"/>
      <c r="AQ1980" s="13" t="inlineStr"/>
      <c r="AR1980" s="13" t="inlineStr"/>
      <c r="AS1980" s="13" t="inlineStr"/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7" t="n">
        <v>36000</v>
      </c>
      <c r="AK1981" s="8" t="n">
        <v>11417</v>
      </c>
      <c r="AL1981" s="8" t="n">
        <v>8800</v>
      </c>
      <c r="AM1981" s="11" t="inlineStr"/>
      <c r="AN1981" s="12" t="inlineStr"/>
      <c r="AO1981" s="12" t="inlineStr"/>
      <c r="AP1981" s="13" t="inlineStr"/>
      <c r="AQ1981" s="13" t="inlineStr"/>
      <c r="AR1981" s="13" t="inlineStr"/>
      <c r="AS1981" s="13" t="inlineStr"/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7" t="n">
        <v>3084</v>
      </c>
      <c r="AK1982" s="8" t="n">
        <v>-4225</v>
      </c>
      <c r="AL1982" s="8" t="n">
        <v>-3772</v>
      </c>
      <c r="AM1982" s="11" t="inlineStr"/>
      <c r="AN1982" s="12" t="inlineStr"/>
      <c r="AO1982" s="12" t="inlineStr"/>
      <c r="AP1982" s="13" t="inlineStr"/>
      <c r="AQ1982" s="13" t="inlineStr"/>
      <c r="AR1982" s="13" t="inlineStr"/>
      <c r="AS1982" s="13" t="inlineStr"/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7" t="n">
        <v>8076</v>
      </c>
      <c r="AK1983" s="8" t="n">
        <v>-675</v>
      </c>
      <c r="AL1983" s="8" t="n">
        <v>-527</v>
      </c>
      <c r="AM1983" s="11" t="inlineStr"/>
      <c r="AN1983" s="12" t="inlineStr"/>
      <c r="AO1983" s="12" t="inlineStr"/>
      <c r="AP1983" s="13" t="inlineStr"/>
      <c r="AQ1983" s="13" t="inlineStr"/>
      <c r="AR1983" s="13" t="inlineStr"/>
      <c r="AS1983" s="13" t="inlineStr"/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7" t="n">
        <v>340148</v>
      </c>
      <c r="AK1984" s="8" t="n">
        <v>28153</v>
      </c>
      <c r="AL1984" s="8" t="n">
        <v>18997</v>
      </c>
      <c r="AM1984" s="11" t="inlineStr"/>
      <c r="AN1984" s="12" t="inlineStr"/>
      <c r="AO1984" s="12" t="inlineStr"/>
      <c r="AP1984" s="13" t="inlineStr"/>
      <c r="AQ1984" s="13" t="inlineStr"/>
      <c r="AR1984" s="13" t="inlineStr"/>
      <c r="AS1984" s="13" t="inlineStr"/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7" t="n">
        <v>23027</v>
      </c>
      <c r="AK1985" s="8" t="n">
        <v>687</v>
      </c>
      <c r="AL1985" s="8" t="n">
        <v>1245</v>
      </c>
      <c r="AM1985" s="11" t="inlineStr"/>
      <c r="AN1985" s="12" t="inlineStr"/>
      <c r="AO1985" s="12" t="inlineStr"/>
      <c r="AP1985" s="13" t="inlineStr"/>
      <c r="AQ1985" s="13" t="inlineStr"/>
      <c r="AR1985" s="13" t="inlineStr"/>
      <c r="AS1985" s="13" t="inlineStr"/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7" t="n">
        <v>87220</v>
      </c>
      <c r="AK1986" s="8" t="n">
        <v>28016</v>
      </c>
      <c r="AL1986" s="8" t="n">
        <v>28398</v>
      </c>
      <c r="AM1986" s="11" t="inlineStr"/>
      <c r="AN1986" s="12" t="inlineStr"/>
      <c r="AO1986" s="12" t="inlineStr"/>
      <c r="AP1986" s="13" t="inlineStr"/>
      <c r="AQ1986" s="13" t="inlineStr"/>
      <c r="AR1986" s="13" t="inlineStr"/>
      <c r="AS1986" s="13" t="inlineStr"/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7" t="n">
        <v>21104</v>
      </c>
      <c r="AK1987" s="8" t="n">
        <v>2429</v>
      </c>
      <c r="AL1987" s="8" t="n">
        <v>2521</v>
      </c>
      <c r="AM1987" s="11" t="inlineStr"/>
      <c r="AN1987" s="12" t="inlineStr"/>
      <c r="AO1987" s="12" t="inlineStr"/>
      <c r="AP1987" s="13" t="inlineStr"/>
      <c r="AQ1987" s="13" t="inlineStr"/>
      <c r="AR1987" s="13" t="inlineStr"/>
      <c r="AS1987" s="13" t="inlineStr"/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7" t="n">
        <v>10383</v>
      </c>
      <c r="AK1988" s="8" t="n">
        <v>1250</v>
      </c>
      <c r="AL1988" s="8" t="n">
        <v>1626</v>
      </c>
      <c r="AM1988" s="11" t="inlineStr"/>
      <c r="AN1988" s="12" t="inlineStr"/>
      <c r="AO1988" s="12" t="inlineStr"/>
      <c r="AP1988" s="13" t="inlineStr"/>
      <c r="AQ1988" s="13" t="inlineStr"/>
      <c r="AR1988" s="13" t="inlineStr"/>
      <c r="AS1988" s="13" t="inlineStr"/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7" t="n">
        <v>24607</v>
      </c>
      <c r="AK1989" s="8" t="n">
        <v>-366</v>
      </c>
      <c r="AL1989" s="8" t="n">
        <v>-1738</v>
      </c>
      <c r="AM1989" s="11" t="inlineStr"/>
      <c r="AN1989" s="12" t="inlineStr"/>
      <c r="AO1989" s="12" t="inlineStr"/>
      <c r="AP1989" s="13" t="inlineStr"/>
      <c r="AQ1989" s="13" t="inlineStr"/>
      <c r="AR1989" s="13" t="inlineStr"/>
      <c r="AS1989" s="13" t="inlineStr"/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7" t="n">
        <v>74884</v>
      </c>
      <c r="AK1990" s="8" t="n">
        <v>-2397</v>
      </c>
      <c r="AL1990" s="8" t="n">
        <v>-9047</v>
      </c>
      <c r="AM1990" s="11" t="inlineStr"/>
      <c r="AN1990" s="12" t="inlineStr"/>
      <c r="AO1990" s="12" t="inlineStr"/>
      <c r="AP1990" s="13" t="inlineStr"/>
      <c r="AQ1990" s="13" t="inlineStr"/>
      <c r="AR1990" s="13" t="inlineStr"/>
      <c r="AS1990" s="13" t="inlineStr"/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7" t="n">
        <v>7195</v>
      </c>
      <c r="AK1991" s="8" t="n">
        <v>707</v>
      </c>
      <c r="AL1991" s="8" t="n">
        <v>917</v>
      </c>
      <c r="AM1991" s="11" t="inlineStr"/>
      <c r="AN1991" s="12" t="inlineStr"/>
      <c r="AO1991" s="12" t="inlineStr"/>
      <c r="AP1991" s="13" t="inlineStr"/>
      <c r="AQ1991" s="13" t="inlineStr"/>
      <c r="AR1991" s="13" t="inlineStr"/>
      <c r="AS1991" s="13" t="inlineStr"/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7" t="n">
        <v>402597</v>
      </c>
      <c r="AK1992" s="8" t="n">
        <v>82970</v>
      </c>
      <c r="AL1992" s="8" t="n">
        <v>72331</v>
      </c>
      <c r="AM1992" s="11" t="inlineStr"/>
      <c r="AN1992" s="12" t="inlineStr"/>
      <c r="AO1992" s="12" t="inlineStr"/>
      <c r="AP1992" s="13" t="inlineStr"/>
      <c r="AQ1992" s="13" t="inlineStr"/>
      <c r="AR1992" s="13" t="inlineStr"/>
      <c r="AS1992" s="13" t="inlineStr"/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7" t="n">
        <v>13658</v>
      </c>
      <c r="AK1993" s="8" t="n">
        <v>1869</v>
      </c>
      <c r="AL1993" s="8" t="n">
        <v>1924</v>
      </c>
      <c r="AM1993" s="11" t="inlineStr"/>
      <c r="AN1993" s="12" t="inlineStr"/>
      <c r="AO1993" s="12" t="inlineStr"/>
      <c r="AP1993" s="13" t="inlineStr"/>
      <c r="AQ1993" s="13" t="inlineStr"/>
      <c r="AR1993" s="13" t="inlineStr"/>
      <c r="AS1993" s="13" t="inlineStr"/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7" t="n">
        <v>6999</v>
      </c>
      <c r="AK1994" s="8" t="n">
        <v>502</v>
      </c>
      <c r="AL1994" s="8" t="n">
        <v>3096</v>
      </c>
      <c r="AM1994" s="11" t="inlineStr"/>
      <c r="AN1994" s="12" t="inlineStr"/>
      <c r="AO1994" s="12" t="inlineStr"/>
      <c r="AP1994" s="13" t="inlineStr"/>
      <c r="AQ1994" s="13" t="inlineStr"/>
      <c r="AR1994" s="13" t="inlineStr"/>
      <c r="AS1994" s="13" t="inlineStr"/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7" t="n">
        <v>4950</v>
      </c>
      <c r="AK1995" s="8" t="n">
        <v>1423</v>
      </c>
      <c r="AL1995" s="8" t="n">
        <v>1851</v>
      </c>
      <c r="AM1995" s="11" t="inlineStr"/>
      <c r="AN1995" s="12" t="inlineStr"/>
      <c r="AO1995" s="12" t="inlineStr"/>
      <c r="AP1995" s="13" t="inlineStr"/>
      <c r="AQ1995" s="13" t="inlineStr"/>
      <c r="AR1995" s="13" t="inlineStr"/>
      <c r="AS1995" s="13" t="inlineStr"/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7" t="n">
        <v>32030</v>
      </c>
      <c r="AK1996" s="8" t="n">
        <v>4037</v>
      </c>
      <c r="AL1996" s="8" t="n">
        <v>3634</v>
      </c>
      <c r="AM1996" s="11" t="inlineStr"/>
      <c r="AN1996" s="12" t="inlineStr"/>
      <c r="AO1996" s="12" t="inlineStr"/>
      <c r="AP1996" s="13" t="inlineStr"/>
      <c r="AQ1996" s="13" t="inlineStr"/>
      <c r="AR1996" s="13" t="inlineStr"/>
      <c r="AS1996" s="13" t="inlineStr"/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7" t="n">
        <v>1290231</v>
      </c>
      <c r="AK1997" s="8" t="n">
        <v>410922</v>
      </c>
      <c r="AL1997" s="8" t="n">
        <v>-29901</v>
      </c>
      <c r="AM1997" s="11" t="inlineStr"/>
      <c r="AN1997" s="12" t="inlineStr"/>
      <c r="AO1997" s="12" t="inlineStr"/>
      <c r="AP1997" s="13" t="inlineStr"/>
      <c r="AQ1997" s="13" t="inlineStr"/>
      <c r="AR1997" s="13" t="inlineStr"/>
      <c r="AS1997" s="13" t="inlineStr"/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7" t="n">
        <v>46855</v>
      </c>
      <c r="AK1998" s="8" t="n">
        <v>-4571</v>
      </c>
      <c r="AL1998" s="8" t="n">
        <v>-694</v>
      </c>
      <c r="AM1998" s="11" t="inlineStr"/>
      <c r="AN1998" s="12" t="inlineStr"/>
      <c r="AO1998" s="12" t="inlineStr"/>
      <c r="AP1998" s="13" t="inlineStr"/>
      <c r="AQ1998" s="13" t="inlineStr"/>
      <c r="AR1998" s="13" t="inlineStr"/>
      <c r="AS1998" s="13" t="inlineStr"/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7" t="n">
        <v>28963</v>
      </c>
      <c r="AK1999" s="8" t="n">
        <v>469</v>
      </c>
      <c r="AL1999" s="8" t="n">
        <v>-1927</v>
      </c>
      <c r="AM1999" s="11" t="inlineStr"/>
      <c r="AN1999" s="12" t="inlineStr"/>
      <c r="AO1999" s="12" t="inlineStr"/>
      <c r="AP1999" s="13" t="inlineStr"/>
      <c r="AQ1999" s="13" t="inlineStr"/>
      <c r="AR1999" s="13" t="inlineStr"/>
      <c r="AS1999" s="13" t="inlineStr"/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7" t="n">
        <v>49923</v>
      </c>
      <c r="AK2000" s="8" t="n">
        <v>8303</v>
      </c>
      <c r="AL2000" s="8" t="n">
        <v>6577</v>
      </c>
      <c r="AM2000" s="11" t="inlineStr"/>
      <c r="AN2000" s="12" t="inlineStr"/>
      <c r="AO2000" s="12" t="inlineStr"/>
      <c r="AP2000" s="13" t="inlineStr"/>
      <c r="AQ2000" s="13" t="inlineStr"/>
      <c r="AR2000" s="13" t="inlineStr"/>
      <c r="AS2000" s="13" t="inlineStr"/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7" t="n">
        <v>32136</v>
      </c>
      <c r="AK2001" s="8" t="n">
        <v>2649</v>
      </c>
      <c r="AL2001" s="8" t="n">
        <v>3819</v>
      </c>
      <c r="AM2001" s="11" t="inlineStr"/>
      <c r="AN2001" s="12" t="inlineStr"/>
      <c r="AO2001" s="12" t="inlineStr"/>
      <c r="AP2001" s="13" t="inlineStr"/>
      <c r="AQ2001" s="13" t="inlineStr"/>
      <c r="AR2001" s="13" t="inlineStr"/>
      <c r="AS2001" s="13" t="inlineStr"/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7" t="n">
        <v>5586</v>
      </c>
      <c r="AK2002" s="8" t="n">
        <v>-2423</v>
      </c>
      <c r="AL2002" s="8" t="n">
        <v>-2930</v>
      </c>
      <c r="AM2002" s="11" t="inlineStr"/>
      <c r="AN2002" s="12" t="inlineStr"/>
      <c r="AO2002" s="12" t="inlineStr"/>
      <c r="AP2002" s="13" t="inlineStr"/>
      <c r="AQ2002" s="13" t="inlineStr"/>
      <c r="AR2002" s="13" t="inlineStr"/>
      <c r="AS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7" t="n">
        <v>0</v>
      </c>
      <c r="AK2003" s="8" t="n">
        <v>-2459</v>
      </c>
      <c r="AL2003" s="8" t="n">
        <v>-2662</v>
      </c>
      <c r="AM2003" s="11" t="inlineStr"/>
      <c r="AN2003" s="12" t="inlineStr"/>
      <c r="AO2003" s="12" t="inlineStr"/>
      <c r="AP2003" s="13" t="inlineStr"/>
      <c r="AQ2003" s="13" t="inlineStr"/>
      <c r="AR2003" s="13" t="inlineStr"/>
      <c r="AS2003" s="13" t="inlineStr"/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7" t="n">
        <v>16051</v>
      </c>
      <c r="AK2004" s="8" t="n">
        <v>-5621</v>
      </c>
      <c r="AL2004" s="8" t="n">
        <v>-5250</v>
      </c>
      <c r="AM2004" s="11" t="inlineStr"/>
      <c r="AN2004" s="12" t="inlineStr"/>
      <c r="AO2004" s="12" t="inlineStr"/>
      <c r="AP2004" s="13" t="inlineStr"/>
      <c r="AQ2004" s="13" t="inlineStr"/>
      <c r="AR2004" s="13" t="inlineStr"/>
      <c r="AS2004" s="13" t="inlineStr"/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7" t="n">
        <v>10346</v>
      </c>
      <c r="AK2005" s="8" t="n">
        <v>870</v>
      </c>
      <c r="AL2005" s="8" t="n">
        <v>1072</v>
      </c>
      <c r="AM2005" s="11" t="inlineStr"/>
      <c r="AN2005" s="12" t="inlineStr"/>
      <c r="AO2005" s="12" t="inlineStr"/>
      <c r="AP2005" s="13" t="inlineStr"/>
      <c r="AQ2005" s="13" t="inlineStr"/>
      <c r="AR2005" s="13" t="inlineStr"/>
      <c r="AS2005" s="13" t="inlineStr"/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7" t="n">
        <v>48051</v>
      </c>
      <c r="AK2006" s="8" t="n">
        <v>5189</v>
      </c>
      <c r="AL2006" s="8" t="n">
        <v>4692</v>
      </c>
      <c r="AM2006" s="11" t="inlineStr"/>
      <c r="AN2006" s="12" t="inlineStr"/>
      <c r="AO2006" s="12" t="inlineStr"/>
      <c r="AP2006" s="13" t="inlineStr"/>
      <c r="AQ2006" s="13" t="inlineStr"/>
      <c r="AR2006" s="13" t="inlineStr"/>
      <c r="AS2006" s="13" t="inlineStr"/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7" t="n">
        <v>535</v>
      </c>
      <c r="AK2007" s="8" t="n">
        <v>-2152</v>
      </c>
      <c r="AL2007" s="8" t="n">
        <v>-2517</v>
      </c>
      <c r="AM2007" s="11" t="inlineStr"/>
      <c r="AN2007" s="12" t="inlineStr"/>
      <c r="AO2007" s="12" t="inlineStr"/>
      <c r="AP2007" s="13" t="inlineStr"/>
      <c r="AQ2007" s="13" t="inlineStr"/>
      <c r="AR2007" s="13" t="inlineStr"/>
      <c r="AS2007" s="13" t="inlineStr"/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7" t="n">
        <v>42813</v>
      </c>
      <c r="AK2008" s="8" t="n">
        <v>-555</v>
      </c>
      <c r="AL2008" s="8" t="n">
        <v>-1978</v>
      </c>
      <c r="AM2008" s="11" t="inlineStr"/>
      <c r="AN2008" s="12" t="inlineStr"/>
      <c r="AO2008" s="12" t="inlineStr"/>
      <c r="AP2008" s="13" t="inlineStr"/>
      <c r="AQ2008" s="13" t="inlineStr"/>
      <c r="AR2008" s="13" t="inlineStr"/>
      <c r="AS2008" s="13" t="inlineStr"/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7" t="n">
        <v>29887</v>
      </c>
      <c r="AK2009" s="8" t="n">
        <v>3496</v>
      </c>
      <c r="AL2009" s="8" t="n">
        <v>3576</v>
      </c>
      <c r="AM2009" s="11" t="inlineStr"/>
      <c r="AN2009" s="12" t="inlineStr"/>
      <c r="AO2009" s="12" t="inlineStr"/>
      <c r="AP2009" s="13" t="inlineStr"/>
      <c r="AQ2009" s="13" t="inlineStr"/>
      <c r="AR2009" s="13" t="inlineStr"/>
      <c r="AS2009" s="13" t="inlineStr"/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7" t="inlineStr"/>
      <c r="AK2010" s="8" t="n">
        <v>-723</v>
      </c>
      <c r="AL2010" s="8" t="n">
        <v>-1259</v>
      </c>
      <c r="AM2010" s="11" t="inlineStr"/>
      <c r="AN2010" s="12" t="inlineStr"/>
      <c r="AO2010" s="12" t="inlineStr"/>
      <c r="AP2010" s="13" t="inlineStr"/>
      <c r="AQ2010" s="13" t="inlineStr"/>
      <c r="AR2010" s="13" t="inlineStr"/>
      <c r="AS2010" s="13" t="inlineStr"/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7" t="n">
        <v>15935</v>
      </c>
      <c r="AK2011" s="8" t="n">
        <v>2250</v>
      </c>
      <c r="AL2011" s="8" t="n">
        <v>2165</v>
      </c>
      <c r="AM2011" s="11" t="inlineStr"/>
      <c r="AN2011" s="12" t="inlineStr"/>
      <c r="AO2011" s="12" t="inlineStr"/>
      <c r="AP2011" s="13" t="inlineStr"/>
      <c r="AQ2011" s="13" t="inlineStr"/>
      <c r="AR2011" s="13" t="inlineStr"/>
      <c r="AS2011" s="13" t="inlineStr"/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7" t="n">
        <v>192611</v>
      </c>
      <c r="AK2012" s="8" t="n">
        <v>67625</v>
      </c>
      <c r="AL2012" s="8" t="n">
        <v>99542</v>
      </c>
      <c r="AM2012" s="11" t="inlineStr"/>
      <c r="AN2012" s="12" t="inlineStr"/>
      <c r="AO2012" s="12" t="inlineStr"/>
      <c r="AP2012" s="13" t="inlineStr"/>
      <c r="AQ2012" s="13" t="inlineStr"/>
      <c r="AR2012" s="13" t="inlineStr"/>
      <c r="AS2012" s="13" t="inlineStr"/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7" t="n">
        <v>18303</v>
      </c>
      <c r="AK2013" s="8" t="n">
        <v>1766</v>
      </c>
      <c r="AL2013" s="8" t="n">
        <v>1662</v>
      </c>
      <c r="AM2013" s="11" t="inlineStr"/>
      <c r="AN2013" s="12" t="inlineStr"/>
      <c r="AO2013" s="12" t="inlineStr"/>
      <c r="AP2013" s="13" t="inlineStr"/>
      <c r="AQ2013" s="13" t="inlineStr"/>
      <c r="AR2013" s="13" t="inlineStr"/>
      <c r="AS2013" s="13" t="inlineStr"/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7" t="n">
        <v>30119</v>
      </c>
      <c r="AK2014" s="8" t="n">
        <v>1247</v>
      </c>
      <c r="AL2014" s="8" t="n">
        <v>1423</v>
      </c>
      <c r="AM2014" s="11" t="inlineStr"/>
      <c r="AN2014" s="12" t="inlineStr"/>
      <c r="AO2014" s="12" t="inlineStr"/>
      <c r="AP2014" s="13" t="inlineStr"/>
      <c r="AQ2014" s="13" t="inlineStr"/>
      <c r="AR2014" s="13" t="inlineStr"/>
      <c r="AS2014" s="13" t="inlineStr"/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7" t="n">
        <v>34861</v>
      </c>
      <c r="AK2015" s="8" t="n">
        <v>199</v>
      </c>
      <c r="AL2015" s="8" t="n">
        <v>304</v>
      </c>
      <c r="AM2015" s="11" t="inlineStr"/>
      <c r="AN2015" s="12" t="inlineStr"/>
      <c r="AO2015" s="12" t="inlineStr"/>
      <c r="AP2015" s="13" t="inlineStr"/>
      <c r="AQ2015" s="13" t="inlineStr"/>
      <c r="AR2015" s="13" t="inlineStr"/>
      <c r="AS2015" s="13" t="inlineStr"/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7" t="n">
        <v>13184</v>
      </c>
      <c r="AK2016" s="8" t="n">
        <v>2570</v>
      </c>
      <c r="AL2016" s="8" t="n">
        <v>2688</v>
      </c>
      <c r="AM2016" s="11" t="inlineStr"/>
      <c r="AN2016" s="12" t="inlineStr"/>
      <c r="AO2016" s="12" t="inlineStr"/>
      <c r="AP2016" s="13" t="inlineStr"/>
      <c r="AQ2016" s="13" t="inlineStr"/>
      <c r="AR2016" s="13" t="inlineStr"/>
      <c r="AS2016" s="13" t="inlineStr"/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7" t="n">
        <v>15661</v>
      </c>
      <c r="AK2017" s="8" t="n">
        <v>1244</v>
      </c>
      <c r="AL2017" s="8" t="n">
        <v>976</v>
      </c>
      <c r="AM2017" s="11" t="inlineStr"/>
      <c r="AN2017" s="12" t="inlineStr"/>
      <c r="AO2017" s="12" t="inlineStr"/>
      <c r="AP2017" s="13" t="inlineStr"/>
      <c r="AQ2017" s="13" t="inlineStr"/>
      <c r="AR2017" s="13" t="inlineStr"/>
      <c r="AS2017" s="13" t="inlineStr"/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7" t="n">
        <v>35698</v>
      </c>
      <c r="AK2018" s="8" t="n">
        <v>9006</v>
      </c>
      <c r="AL2018" s="8" t="n">
        <v>10013</v>
      </c>
      <c r="AM2018" s="11" t="inlineStr"/>
      <c r="AN2018" s="12" t="inlineStr"/>
      <c r="AO2018" s="12" t="inlineStr"/>
      <c r="AP2018" s="13" t="inlineStr"/>
      <c r="AQ2018" s="13" t="inlineStr"/>
      <c r="AR2018" s="13" t="inlineStr"/>
      <c r="AS2018" s="13" t="inlineStr"/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7" t="n">
        <v>72301</v>
      </c>
      <c r="AK2019" s="8" t="n">
        <v>9328</v>
      </c>
      <c r="AL2019" s="8" t="n">
        <v>5689</v>
      </c>
      <c r="AM2019" s="11" t="inlineStr"/>
      <c r="AN2019" s="12" t="inlineStr"/>
      <c r="AO2019" s="12" t="inlineStr"/>
      <c r="AP2019" s="13" t="inlineStr"/>
      <c r="AQ2019" s="13" t="inlineStr"/>
      <c r="AR2019" s="13" t="inlineStr"/>
      <c r="AS2019" s="13" t="inlineStr"/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7" t="n">
        <v>20734</v>
      </c>
      <c r="AK2020" s="8" t="n">
        <v>1368</v>
      </c>
      <c r="AL2020" s="8" t="n">
        <v>184</v>
      </c>
      <c r="AM2020" s="11" t="inlineStr"/>
      <c r="AN2020" s="12" t="inlineStr"/>
      <c r="AO2020" s="12" t="inlineStr"/>
      <c r="AP2020" s="13" t="inlineStr"/>
      <c r="AQ2020" s="13" t="inlineStr"/>
      <c r="AR2020" s="13" t="inlineStr"/>
      <c r="AS2020" s="13" t="inlineStr"/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7" t="n">
        <v>110669</v>
      </c>
      <c r="AK2021" s="8" t="n">
        <v>3527</v>
      </c>
      <c r="AL2021" s="8" t="n">
        <v>3028</v>
      </c>
      <c r="AM2021" s="11" t="inlineStr"/>
      <c r="AN2021" s="12" t="inlineStr"/>
      <c r="AO2021" s="12" t="inlineStr"/>
      <c r="AP2021" s="13" t="inlineStr"/>
      <c r="AQ2021" s="13" t="inlineStr"/>
      <c r="AR2021" s="13" t="inlineStr"/>
      <c r="AS2021" s="13" t="inlineStr"/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7" t="n">
        <v>162844</v>
      </c>
      <c r="AK2022" s="8" t="n">
        <v>9595</v>
      </c>
      <c r="AL2022" s="8" t="n">
        <v>9495</v>
      </c>
      <c r="AM2022" s="11" t="inlineStr"/>
      <c r="AN2022" s="12" t="inlineStr"/>
      <c r="AO2022" s="12" t="inlineStr"/>
      <c r="AP2022" s="13" t="inlineStr"/>
      <c r="AQ2022" s="13" t="inlineStr"/>
      <c r="AR2022" s="13" t="inlineStr"/>
      <c r="AS2022" s="13" t="inlineStr"/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7" t="n">
        <v>28072</v>
      </c>
      <c r="AK2023" s="8" t="n">
        <v>3989</v>
      </c>
      <c r="AL2023" s="8" t="n">
        <v>6404</v>
      </c>
      <c r="AM2023" s="11" t="inlineStr"/>
      <c r="AN2023" s="12" t="inlineStr"/>
      <c r="AO2023" s="12" t="inlineStr"/>
      <c r="AP2023" s="13" t="inlineStr"/>
      <c r="AQ2023" s="13" t="inlineStr"/>
      <c r="AR2023" s="13" t="inlineStr"/>
      <c r="AS2023" s="13" t="inlineStr"/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7" t="n">
        <v>26884</v>
      </c>
      <c r="AK2024" s="8" t="n">
        <v>4998</v>
      </c>
      <c r="AL2024" s="8" t="n">
        <v>3540</v>
      </c>
      <c r="AM2024" s="11" t="inlineStr"/>
      <c r="AN2024" s="12" t="inlineStr"/>
      <c r="AO2024" s="12" t="inlineStr"/>
      <c r="AP2024" s="13" t="inlineStr"/>
      <c r="AQ2024" s="13" t="inlineStr"/>
      <c r="AR2024" s="13" t="inlineStr"/>
      <c r="AS2024" s="13" t="inlineStr"/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7" t="inlineStr"/>
      <c r="AK2025" s="8" t="inlineStr"/>
      <c r="AL2025" s="8" t="inlineStr"/>
      <c r="AM2025" s="11" t="inlineStr"/>
      <c r="AN2025" s="12" t="inlineStr"/>
      <c r="AO2025" s="12" t="inlineStr"/>
      <c r="AP2025" s="13" t="inlineStr"/>
      <c r="AQ2025" s="13" t="inlineStr"/>
      <c r="AR2025" s="13" t="inlineStr"/>
      <c r="AS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7" t="n">
        <v>11796</v>
      </c>
      <c r="AK2026" s="8" t="n">
        <v>524</v>
      </c>
      <c r="AL2026" s="8" t="n">
        <v>483</v>
      </c>
      <c r="AM2026" s="11" t="inlineStr"/>
      <c r="AN2026" s="12" t="inlineStr"/>
      <c r="AO2026" s="12" t="inlineStr"/>
      <c r="AP2026" s="13" t="inlineStr"/>
      <c r="AQ2026" s="13" t="inlineStr"/>
      <c r="AR2026" s="13" t="inlineStr"/>
      <c r="AS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7" t="n">
        <v>22409333</v>
      </c>
      <c r="AK2027" s="8" t="n">
        <v>4124621</v>
      </c>
      <c r="AL2027" s="8" t="n">
        <v>3173128</v>
      </c>
      <c r="AM2027" s="11" t="inlineStr"/>
      <c r="AN2027" s="12" t="inlineStr"/>
      <c r="AO2027" s="12" t="inlineStr"/>
      <c r="AP2027" s="13" t="inlineStr"/>
      <c r="AQ2027" s="13" t="inlineStr"/>
      <c r="AR2027" s="13" t="inlineStr"/>
      <c r="AS2027" s="13" t="inlineStr"/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7" t="n">
        <v>1141813</v>
      </c>
      <c r="AK2028" s="8" t="n">
        <v>287035</v>
      </c>
      <c r="AL2028" s="8" t="n">
        <v>206139</v>
      </c>
      <c r="AM2028" s="11" t="inlineStr"/>
      <c r="AN2028" s="12" t="inlineStr"/>
      <c r="AO2028" s="12" t="inlineStr"/>
      <c r="AP2028" s="13" t="inlineStr"/>
      <c r="AQ2028" s="13" t="inlineStr"/>
      <c r="AR2028" s="13" t="inlineStr"/>
      <c r="AS2028" s="13" t="inlineStr"/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2026Q2</t>
        </is>
      </c>
      <c r="E2029" s="6" t="inlineStr">
        <is>
          <t>2023Q4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7" t="n">
        <v>2434171</v>
      </c>
      <c r="AK2029" s="8" t="n">
        <v>248884</v>
      </c>
      <c r="AL2029" s="8" t="n">
        <v>180695</v>
      </c>
      <c r="AM2029" s="11" t="inlineStr"/>
      <c r="AN2029" s="12" t="inlineStr"/>
      <c r="AO2029" s="12" t="inlineStr"/>
      <c r="AP2029" s="13" t="inlineStr"/>
      <c r="AQ2029" s="13" t="inlineStr"/>
      <c r="AR2029" s="13" t="inlineStr"/>
      <c r="AS2029" s="13" t="inlineStr"/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7" t="n">
        <v>447475</v>
      </c>
      <c r="AK2030" s="8" t="n">
        <v>7090</v>
      </c>
      <c r="AL2030" s="8" t="n">
        <v>7232</v>
      </c>
      <c r="AM2030" s="11" t="inlineStr"/>
      <c r="AN2030" s="12" t="inlineStr"/>
      <c r="AO2030" s="12" t="inlineStr"/>
      <c r="AP2030" s="13" t="inlineStr"/>
      <c r="AQ2030" s="13" t="inlineStr"/>
      <c r="AR2030" s="13" t="inlineStr"/>
      <c r="AS2030" s="13" t="inlineStr"/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7" t="n">
        <v>12723</v>
      </c>
      <c r="AK2031" s="8" t="n">
        <v>-470</v>
      </c>
      <c r="AL2031" s="8" t="n">
        <v>581</v>
      </c>
      <c r="AM2031" s="11" t="inlineStr"/>
      <c r="AN2031" s="12" t="inlineStr"/>
      <c r="AO2031" s="12" t="inlineStr"/>
      <c r="AP2031" s="13" t="inlineStr"/>
      <c r="AQ2031" s="13" t="inlineStr"/>
      <c r="AR2031" s="13" t="inlineStr"/>
      <c r="AS2031" s="13" t="inlineStr"/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7" t="n">
        <v>15120</v>
      </c>
      <c r="AK2032" s="8" t="n">
        <v>1495</v>
      </c>
      <c r="AL2032" s="8" t="n">
        <v>6313</v>
      </c>
      <c r="AM2032" s="11" t="inlineStr"/>
      <c r="AN2032" s="12" t="inlineStr"/>
      <c r="AO2032" s="12" t="inlineStr"/>
      <c r="AP2032" s="13" t="inlineStr"/>
      <c r="AQ2032" s="13" t="inlineStr"/>
      <c r="AR2032" s="13" t="inlineStr"/>
      <c r="AS2032" s="13" t="inlineStr"/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7" t="n">
        <v>45048</v>
      </c>
      <c r="AK2033" s="8" t="n">
        <v>2257</v>
      </c>
      <c r="AL2033" s="8" t="n">
        <v>4958</v>
      </c>
      <c r="AM2033" s="11" t="inlineStr"/>
      <c r="AN2033" s="12" t="inlineStr"/>
      <c r="AO2033" s="12" t="inlineStr"/>
      <c r="AP2033" s="13" t="inlineStr"/>
      <c r="AQ2033" s="13" t="inlineStr"/>
      <c r="AR2033" s="13" t="inlineStr"/>
      <c r="AS2033" s="13" t="inlineStr"/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7" t="n">
        <v>480005</v>
      </c>
      <c r="AK2034" s="8" t="n">
        <v>20405</v>
      </c>
      <c r="AL2034" s="8" t="n">
        <v>16279</v>
      </c>
      <c r="AM2034" s="11" t="inlineStr"/>
      <c r="AN2034" s="12" t="inlineStr"/>
      <c r="AO2034" s="12" t="inlineStr"/>
      <c r="AP2034" s="13" t="inlineStr"/>
      <c r="AQ2034" s="13" t="inlineStr"/>
      <c r="AR2034" s="13" t="inlineStr"/>
      <c r="AS2034" s="13" t="inlineStr"/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7" t="n">
        <v>162829</v>
      </c>
      <c r="AK2035" s="8" t="n">
        <v>37110</v>
      </c>
      <c r="AL2035" s="8" t="n">
        <v>32975</v>
      </c>
      <c r="AM2035" s="11" t="inlineStr"/>
      <c r="AN2035" s="12" t="inlineStr"/>
      <c r="AO2035" s="12" t="inlineStr"/>
      <c r="AP2035" s="13" t="inlineStr"/>
      <c r="AQ2035" s="13" t="inlineStr"/>
      <c r="AR2035" s="13" t="inlineStr"/>
      <c r="AS2035" s="13" t="inlineStr"/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7" t="n">
        <v>3731</v>
      </c>
      <c r="AK2036" s="8" t="n">
        <v>106</v>
      </c>
      <c r="AL2036" s="8" t="n">
        <v>695</v>
      </c>
      <c r="AM2036" s="11" t="inlineStr"/>
      <c r="AN2036" s="12" t="inlineStr"/>
      <c r="AO2036" s="12" t="inlineStr"/>
      <c r="AP2036" s="13" t="inlineStr"/>
      <c r="AQ2036" s="13" t="inlineStr"/>
      <c r="AR2036" s="13" t="inlineStr"/>
      <c r="AS2036" s="13" t="inlineStr"/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7" t="n">
        <v>3368</v>
      </c>
      <c r="AK2037" s="8" t="n">
        <v>-1325</v>
      </c>
      <c r="AL2037" s="8" t="n">
        <v>-3871</v>
      </c>
      <c r="AM2037" s="11" t="inlineStr"/>
      <c r="AN2037" s="12" t="inlineStr"/>
      <c r="AO2037" s="12" t="inlineStr"/>
      <c r="AP2037" s="13" t="inlineStr"/>
      <c r="AQ2037" s="13" t="inlineStr"/>
      <c r="AR2037" s="13" t="inlineStr"/>
      <c r="AS2037" s="13" t="inlineStr"/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7" t="n">
        <v>9838</v>
      </c>
      <c r="AK2038" s="8" t="n">
        <v>-1227</v>
      </c>
      <c r="AL2038" s="8" t="n">
        <v>7609</v>
      </c>
      <c r="AM2038" s="11" t="inlineStr"/>
      <c r="AN2038" s="12" t="inlineStr"/>
      <c r="AO2038" s="12" t="inlineStr"/>
      <c r="AP2038" s="13" t="inlineStr"/>
      <c r="AQ2038" s="13" t="inlineStr"/>
      <c r="AR2038" s="13" t="inlineStr"/>
      <c r="AS2038" s="13" t="inlineStr"/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7" t="n">
        <v>28362</v>
      </c>
      <c r="AK2039" s="8" t="n">
        <v>7</v>
      </c>
      <c r="AL2039" s="8" t="n">
        <v>7765</v>
      </c>
      <c r="AM2039" s="11" t="inlineStr"/>
      <c r="AN2039" s="12" t="inlineStr"/>
      <c r="AO2039" s="12" t="inlineStr"/>
      <c r="AP2039" s="13" t="inlineStr"/>
      <c r="AQ2039" s="13" t="inlineStr"/>
      <c r="AR2039" s="13" t="inlineStr"/>
      <c r="AS2039" s="13" t="inlineStr"/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7" t="n">
        <v>893586</v>
      </c>
      <c r="AK2040" s="8" t="n">
        <v>132572</v>
      </c>
      <c r="AL2040" s="8" t="n">
        <v>86595</v>
      </c>
      <c r="AM2040" s="11" t="inlineStr"/>
      <c r="AN2040" s="12" t="inlineStr"/>
      <c r="AO2040" s="12" t="inlineStr"/>
      <c r="AP2040" s="13" t="inlineStr"/>
      <c r="AQ2040" s="13" t="inlineStr"/>
      <c r="AR2040" s="13" t="inlineStr"/>
      <c r="AS2040" s="13" t="inlineStr"/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7" t="n">
        <v>9464</v>
      </c>
      <c r="AK2041" s="8" t="n">
        <v>-2680</v>
      </c>
      <c r="AL2041" s="8" t="n">
        <v>-2402</v>
      </c>
      <c r="AM2041" s="11" t="inlineStr"/>
      <c r="AN2041" s="12" t="inlineStr"/>
      <c r="AO2041" s="12" t="inlineStr"/>
      <c r="AP2041" s="13" t="inlineStr"/>
      <c r="AQ2041" s="13" t="inlineStr"/>
      <c r="AR2041" s="13" t="inlineStr"/>
      <c r="AS2041" s="13" t="inlineStr"/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7" t="n">
        <v>25882</v>
      </c>
      <c r="AK2042" s="8" t="n">
        <v>-646</v>
      </c>
      <c r="AL2042" s="8" t="n">
        <v>966</v>
      </c>
      <c r="AM2042" s="11" t="inlineStr"/>
      <c r="AN2042" s="12" t="inlineStr"/>
      <c r="AO2042" s="12" t="inlineStr"/>
      <c r="AP2042" s="13" t="inlineStr"/>
      <c r="AQ2042" s="13" t="inlineStr"/>
      <c r="AR2042" s="13" t="inlineStr"/>
      <c r="AS2042" s="13" t="inlineStr"/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7" t="n">
        <v>146604</v>
      </c>
      <c r="AK2043" s="8" t="n">
        <v>-7044</v>
      </c>
      <c r="AL2043" s="8" t="n">
        <v>-6675</v>
      </c>
      <c r="AM2043" s="11" t="inlineStr"/>
      <c r="AN2043" s="12" t="inlineStr"/>
      <c r="AO2043" s="12" t="inlineStr"/>
      <c r="AP2043" s="13" t="inlineStr"/>
      <c r="AQ2043" s="13" t="inlineStr"/>
      <c r="AR2043" s="13" t="inlineStr"/>
      <c r="AS2043" s="13" t="inlineStr"/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7" t="n">
        <v>34351</v>
      </c>
      <c r="AK2044" s="8" t="n">
        <v>6262</v>
      </c>
      <c r="AL2044" s="8" t="n">
        <v>360</v>
      </c>
      <c r="AM2044" s="11" t="inlineStr"/>
      <c r="AN2044" s="12" t="inlineStr"/>
      <c r="AO2044" s="12" t="inlineStr"/>
      <c r="AP2044" s="13" t="inlineStr"/>
      <c r="AQ2044" s="13" t="inlineStr"/>
      <c r="AR2044" s="13" t="inlineStr"/>
      <c r="AS2044" s="13" t="inlineStr"/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2026Q2</t>
        </is>
      </c>
      <c r="E2045" s="6" t="inlineStr">
        <is>
          <t>2023Q4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7" t="n">
        <v>1117552</v>
      </c>
      <c r="AK2045" s="8" t="n">
        <v>103652</v>
      </c>
      <c r="AL2045" s="8" t="n">
        <v>52743</v>
      </c>
      <c r="AM2045" s="11" t="inlineStr"/>
      <c r="AN2045" s="12" t="inlineStr"/>
      <c r="AO2045" s="12" t="inlineStr"/>
      <c r="AP2045" s="13" t="inlineStr"/>
      <c r="AQ2045" s="13" t="inlineStr"/>
      <c r="AR2045" s="13" t="inlineStr"/>
      <c r="AS2045" s="13" t="inlineStr"/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7" t="n">
        <v>108667</v>
      </c>
      <c r="AK2046" s="8" t="n">
        <v>10449</v>
      </c>
      <c r="AL2046" s="8" t="n">
        <v>18022</v>
      </c>
      <c r="AM2046" s="11" t="inlineStr"/>
      <c r="AN2046" s="12" t="inlineStr"/>
      <c r="AO2046" s="12" t="inlineStr"/>
      <c r="AP2046" s="13" t="inlineStr"/>
      <c r="AQ2046" s="13" t="inlineStr"/>
      <c r="AR2046" s="13" t="inlineStr"/>
      <c r="AS2046" s="13" t="inlineStr"/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7" t="n">
        <v>360298</v>
      </c>
      <c r="AK2047" s="8" t="n">
        <v>-73103</v>
      </c>
      <c r="AL2047" s="8" t="n">
        <v>-67544</v>
      </c>
      <c r="AM2047" s="11" t="inlineStr"/>
      <c r="AN2047" s="12" t="inlineStr"/>
      <c r="AO2047" s="12" t="inlineStr"/>
      <c r="AP2047" s="13" t="inlineStr"/>
      <c r="AQ2047" s="13" t="inlineStr"/>
      <c r="AR2047" s="13" t="inlineStr"/>
      <c r="AS2047" s="13" t="inlineStr"/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7" t="n">
        <v>131481</v>
      </c>
      <c r="AK2048" s="8" t="n">
        <v>17047</v>
      </c>
      <c r="AL2048" s="8" t="n">
        <v>13566</v>
      </c>
      <c r="AM2048" s="11" t="inlineStr"/>
      <c r="AN2048" s="12" t="inlineStr"/>
      <c r="AO2048" s="12" t="inlineStr"/>
      <c r="AP2048" s="13" t="inlineStr"/>
      <c r="AQ2048" s="13" t="inlineStr"/>
      <c r="AR2048" s="13" t="inlineStr"/>
      <c r="AS2048" s="13" t="inlineStr"/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7" t="n">
        <v>12716</v>
      </c>
      <c r="AK2049" s="8" t="n">
        <v>2861</v>
      </c>
      <c r="AL2049" s="8" t="n">
        <v>991</v>
      </c>
      <c r="AM2049" s="11" t="inlineStr"/>
      <c r="AN2049" s="12" t="inlineStr"/>
      <c r="AO2049" s="12" t="inlineStr"/>
      <c r="AP2049" s="13" t="inlineStr"/>
      <c r="AQ2049" s="13" t="inlineStr"/>
      <c r="AR2049" s="13" t="inlineStr"/>
      <c r="AS2049" s="13" t="inlineStr"/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7" t="n">
        <v>17652</v>
      </c>
      <c r="AK2050" s="8" t="n">
        <v>1844</v>
      </c>
      <c r="AL2050" s="8" t="n">
        <v>1340</v>
      </c>
      <c r="AM2050" s="11" t="inlineStr"/>
      <c r="AN2050" s="12" t="inlineStr"/>
      <c r="AO2050" s="12" t="inlineStr"/>
      <c r="AP2050" s="13" t="inlineStr"/>
      <c r="AQ2050" s="13" t="inlineStr"/>
      <c r="AR2050" s="13" t="inlineStr"/>
      <c r="AS2050" s="13" t="inlineStr"/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7" t="n">
        <v>28474</v>
      </c>
      <c r="AK2051" s="8" t="n">
        <v>1184</v>
      </c>
      <c r="AL2051" s="8" t="n">
        <v>334</v>
      </c>
      <c r="AM2051" s="11" t="inlineStr"/>
      <c r="AN2051" s="12" t="inlineStr"/>
      <c r="AO2051" s="12" t="inlineStr"/>
      <c r="AP2051" s="13" t="inlineStr"/>
      <c r="AQ2051" s="13" t="inlineStr"/>
      <c r="AR2051" s="13" t="inlineStr"/>
      <c r="AS2051" s="13" t="inlineStr"/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7" t="n">
        <v>2164</v>
      </c>
      <c r="AK2052" s="8" t="n">
        <v>-844</v>
      </c>
      <c r="AL2052" s="8" t="n">
        <v>-963</v>
      </c>
      <c r="AM2052" s="11" t="inlineStr"/>
      <c r="AN2052" s="12" t="inlineStr"/>
      <c r="AO2052" s="12" t="inlineStr"/>
      <c r="AP2052" s="13" t="inlineStr"/>
      <c r="AQ2052" s="13" t="inlineStr"/>
      <c r="AR2052" s="13" t="inlineStr"/>
      <c r="AS2052" s="13" t="inlineStr"/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7" t="n">
        <v>2315</v>
      </c>
      <c r="AK2053" s="8" t="n">
        <v>-606</v>
      </c>
      <c r="AL2053" s="8" t="n">
        <v>-779</v>
      </c>
      <c r="AM2053" s="11" t="inlineStr"/>
      <c r="AN2053" s="12" t="inlineStr"/>
      <c r="AO2053" s="12" t="inlineStr"/>
      <c r="AP2053" s="13" t="inlineStr"/>
      <c r="AQ2053" s="13" t="inlineStr"/>
      <c r="AR2053" s="13" t="inlineStr"/>
      <c r="AS2053" s="13" t="inlineStr"/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7" t="inlineStr"/>
      <c r="AK2054" s="8" t="n">
        <v>-868</v>
      </c>
      <c r="AL2054" s="8" t="n">
        <v>-2147</v>
      </c>
      <c r="AM2054" s="11" t="inlineStr"/>
      <c r="AN2054" s="12" t="inlineStr"/>
      <c r="AO2054" s="12" t="inlineStr"/>
      <c r="AP2054" s="13" t="inlineStr"/>
      <c r="AQ2054" s="13" t="inlineStr"/>
      <c r="AR2054" s="13" t="inlineStr"/>
      <c r="AS2054" s="13" t="inlineStr"/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7" t="n">
        <v>3798</v>
      </c>
      <c r="AK2055" s="8" t="n">
        <v>-1793</v>
      </c>
      <c r="AL2055" s="8" t="n">
        <v>-3179</v>
      </c>
      <c r="AM2055" s="11" t="inlineStr"/>
      <c r="AN2055" s="12" t="inlineStr"/>
      <c r="AO2055" s="12" t="inlineStr"/>
      <c r="AP2055" s="13" t="inlineStr"/>
      <c r="AQ2055" s="13" t="inlineStr"/>
      <c r="AR2055" s="13" t="inlineStr"/>
      <c r="AS2055" s="13" t="inlineStr"/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7" t="n">
        <v>1629</v>
      </c>
      <c r="AK2056" s="8" t="n">
        <v>-2060</v>
      </c>
      <c r="AL2056" s="8" t="n">
        <v>-1726</v>
      </c>
      <c r="AM2056" s="11" t="inlineStr"/>
      <c r="AN2056" s="12" t="inlineStr"/>
      <c r="AO2056" s="12" t="inlineStr"/>
      <c r="AP2056" s="13" t="inlineStr"/>
      <c r="AQ2056" s="13" t="inlineStr"/>
      <c r="AR2056" s="13" t="inlineStr"/>
      <c r="AS2056" s="13" t="inlineStr"/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7" t="n">
        <v>9918</v>
      </c>
      <c r="AK2057" s="8" t="n">
        <v>323</v>
      </c>
      <c r="AL2057" s="8" t="n">
        <v>863</v>
      </c>
      <c r="AM2057" s="11" t="inlineStr"/>
      <c r="AN2057" s="12" t="inlineStr"/>
      <c r="AO2057" s="12" t="inlineStr"/>
      <c r="AP2057" s="13" t="inlineStr"/>
      <c r="AQ2057" s="13" t="inlineStr"/>
      <c r="AR2057" s="13" t="inlineStr"/>
      <c r="AS2057" s="13" t="inlineStr"/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7" t="n">
        <v>12314</v>
      </c>
      <c r="AK2058" s="8" t="n">
        <v>-2028</v>
      </c>
      <c r="AL2058" s="8" t="n">
        <v>-597</v>
      </c>
      <c r="AM2058" s="11" t="inlineStr"/>
      <c r="AN2058" s="12" t="inlineStr"/>
      <c r="AO2058" s="12" t="inlineStr"/>
      <c r="AP2058" s="13" t="inlineStr"/>
      <c r="AQ2058" s="13" t="inlineStr"/>
      <c r="AR2058" s="13" t="inlineStr"/>
      <c r="AS2058" s="13" t="inlineStr"/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7" t="n">
        <v>116646</v>
      </c>
      <c r="AK2059" s="8" t="n">
        <v>7093</v>
      </c>
      <c r="AL2059" s="8" t="n">
        <v>5190</v>
      </c>
      <c r="AM2059" s="11" t="inlineStr"/>
      <c r="AN2059" s="12" t="inlineStr"/>
      <c r="AO2059" s="12" t="inlineStr"/>
      <c r="AP2059" s="13" t="inlineStr"/>
      <c r="AQ2059" s="13" t="inlineStr"/>
      <c r="AR2059" s="13" t="inlineStr"/>
      <c r="AS2059" s="13" t="inlineStr"/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7" t="n">
        <v>51003</v>
      </c>
      <c r="AK2060" s="8" t="n">
        <v>-3813</v>
      </c>
      <c r="AL2060" s="8" t="n">
        <v>-2808</v>
      </c>
      <c r="AM2060" s="11" t="inlineStr"/>
      <c r="AN2060" s="12" t="inlineStr"/>
      <c r="AO2060" s="12" t="inlineStr"/>
      <c r="AP2060" s="13" t="inlineStr"/>
      <c r="AQ2060" s="13" t="inlineStr"/>
      <c r="AR2060" s="13" t="inlineStr"/>
      <c r="AS2060" s="13" t="inlineStr"/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7" t="n">
        <v>767533</v>
      </c>
      <c r="AK2061" s="8" t="n">
        <v>190553</v>
      </c>
      <c r="AL2061" s="8" t="n">
        <v>141530</v>
      </c>
      <c r="AM2061" s="11" t="inlineStr"/>
      <c r="AN2061" s="12" t="inlineStr"/>
      <c r="AO2061" s="12" t="inlineStr"/>
      <c r="AP2061" s="13" t="inlineStr"/>
      <c r="AQ2061" s="13" t="inlineStr"/>
      <c r="AR2061" s="13" t="inlineStr"/>
      <c r="AS2061" s="13" t="inlineStr"/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7" t="n">
        <v>15966</v>
      </c>
      <c r="AK2062" s="8" t="n">
        <v>-1893</v>
      </c>
      <c r="AL2062" s="8" t="n">
        <v>-3516</v>
      </c>
      <c r="AM2062" s="11" t="inlineStr"/>
      <c r="AN2062" s="12" t="inlineStr"/>
      <c r="AO2062" s="12" t="inlineStr"/>
      <c r="AP2062" s="13" t="inlineStr"/>
      <c r="AQ2062" s="13" t="inlineStr"/>
      <c r="AR2062" s="13" t="inlineStr"/>
      <c r="AS2062" s="13" t="inlineStr"/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14" t="n">
        <v>323924</v>
      </c>
      <c r="AH2063" s="10" t="n">
        <v>32402</v>
      </c>
      <c r="AI2063" s="10" t="n">
        <v>33206</v>
      </c>
      <c r="AJ2063" s="14" t="n">
        <v>327014</v>
      </c>
      <c r="AK2063" s="8" t="n">
        <v>26970</v>
      </c>
      <c r="AL2063" s="8" t="n">
        <v>26870</v>
      </c>
      <c r="AM2063" s="11" t="inlineStr"/>
      <c r="AN2063" s="12" t="inlineStr"/>
      <c r="AO2063" s="12" t="inlineStr"/>
      <c r="AP2063" s="13" t="inlineStr"/>
      <c r="AQ2063" s="13" t="inlineStr"/>
      <c r="AR2063" s="13" t="inlineStr"/>
      <c r="AS2063" s="13" t="inlineStr"/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7" t="n">
        <v>2794</v>
      </c>
      <c r="AK2064" s="8" t="n">
        <v>-2061</v>
      </c>
      <c r="AL2064" s="8" t="n">
        <v>-2132</v>
      </c>
      <c r="AM2064" s="11" t="inlineStr"/>
      <c r="AN2064" s="12" t="inlineStr"/>
      <c r="AO2064" s="12" t="inlineStr"/>
      <c r="AP2064" s="13" t="inlineStr"/>
      <c r="AQ2064" s="13" t="inlineStr"/>
      <c r="AR2064" s="13" t="inlineStr"/>
      <c r="AS2064" s="13" t="inlineStr"/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7" t="n">
        <v>1155748</v>
      </c>
      <c r="AK2065" s="8" t="n">
        <v>64709</v>
      </c>
      <c r="AL2065" s="8" t="n">
        <v>36082</v>
      </c>
      <c r="AM2065" s="11" t="inlineStr"/>
      <c r="AN2065" s="12" t="inlineStr"/>
      <c r="AO2065" s="12" t="inlineStr"/>
      <c r="AP2065" s="13" t="inlineStr"/>
      <c r="AQ2065" s="13" t="inlineStr"/>
      <c r="AR2065" s="13" t="inlineStr"/>
      <c r="AS2065" s="13" t="inlineStr"/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7" t="n">
        <v>37206</v>
      </c>
      <c r="AK2066" s="8" t="n">
        <v>6080</v>
      </c>
      <c r="AL2066" s="8" t="n">
        <v>2630</v>
      </c>
      <c r="AM2066" s="11" t="inlineStr"/>
      <c r="AN2066" s="12" t="inlineStr"/>
      <c r="AO2066" s="12" t="inlineStr"/>
      <c r="AP2066" s="13" t="inlineStr"/>
      <c r="AQ2066" s="13" t="inlineStr"/>
      <c r="AR2066" s="13" t="inlineStr"/>
      <c r="AS2066" s="13" t="inlineStr"/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7" t="n">
        <v>112689</v>
      </c>
      <c r="AK2067" s="8" t="n">
        <v>23522</v>
      </c>
      <c r="AL2067" s="8" t="n">
        <v>21111</v>
      </c>
      <c r="AM2067" s="11" t="inlineStr"/>
      <c r="AN2067" s="12" t="inlineStr"/>
      <c r="AO2067" s="12" t="inlineStr"/>
      <c r="AP2067" s="13" t="inlineStr"/>
      <c r="AQ2067" s="13" t="inlineStr"/>
      <c r="AR2067" s="13" t="inlineStr"/>
      <c r="AS2067" s="13" t="inlineStr"/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7" t="n">
        <v>2426816</v>
      </c>
      <c r="AK2068" s="8" t="n">
        <v>84852</v>
      </c>
      <c r="AL2068" s="8" t="n">
        <v>56830</v>
      </c>
      <c r="AM2068" s="11" t="inlineStr"/>
      <c r="AN2068" s="12" t="inlineStr"/>
      <c r="AO2068" s="12" t="inlineStr"/>
      <c r="AP2068" s="13" t="inlineStr"/>
      <c r="AQ2068" s="13" t="inlineStr"/>
      <c r="AR2068" s="13" t="inlineStr"/>
      <c r="AS2068" s="13" t="inlineStr"/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7" t="n">
        <v>71102</v>
      </c>
      <c r="AK2069" s="8" t="n">
        <v>5908</v>
      </c>
      <c r="AL2069" s="8" t="n">
        <v>4185</v>
      </c>
      <c r="AM2069" s="11" t="inlineStr"/>
      <c r="AN2069" s="12" t="inlineStr"/>
      <c r="AO2069" s="12" t="inlineStr"/>
      <c r="AP2069" s="13" t="inlineStr"/>
      <c r="AQ2069" s="13" t="inlineStr"/>
      <c r="AR2069" s="13" t="inlineStr"/>
      <c r="AS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7" t="n">
        <v>84211</v>
      </c>
      <c r="AK2070" s="8" t="n">
        <v>1799</v>
      </c>
      <c r="AL2070" s="8" t="n">
        <v>1171</v>
      </c>
      <c r="AM2070" s="11" t="inlineStr"/>
      <c r="AN2070" s="12" t="inlineStr"/>
      <c r="AO2070" s="12" t="inlineStr"/>
      <c r="AP2070" s="13" t="inlineStr"/>
      <c r="AQ2070" s="13" t="inlineStr"/>
      <c r="AR2070" s="13" t="inlineStr"/>
      <c r="AS2070" s="13" t="inlineStr"/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7" t="n">
        <v>58382</v>
      </c>
      <c r="AK2071" s="8" t="n">
        <v>-7405</v>
      </c>
      <c r="AL2071" s="8" t="n">
        <v>-7745</v>
      </c>
      <c r="AM2071" s="11" t="inlineStr"/>
      <c r="AN2071" s="12" t="inlineStr"/>
      <c r="AO2071" s="12" t="inlineStr"/>
      <c r="AP2071" s="13" t="inlineStr"/>
      <c r="AQ2071" s="13" t="inlineStr"/>
      <c r="AR2071" s="13" t="inlineStr"/>
      <c r="AS2071" s="13" t="inlineStr"/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7" t="n">
        <v>408</v>
      </c>
      <c r="AK2072" s="8" t="n">
        <v>-1053</v>
      </c>
      <c r="AL2072" s="8" t="n">
        <v>-1324</v>
      </c>
      <c r="AM2072" s="11" t="inlineStr"/>
      <c r="AN2072" s="12" t="inlineStr"/>
      <c r="AO2072" s="12" t="inlineStr"/>
      <c r="AP2072" s="13" t="inlineStr"/>
      <c r="AQ2072" s="13" t="inlineStr"/>
      <c r="AR2072" s="13" t="inlineStr"/>
      <c r="AS2072" s="13" t="inlineStr"/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7" t="n">
        <v>318272</v>
      </c>
      <c r="AK2073" s="8" t="n">
        <v>54024</v>
      </c>
      <c r="AL2073" s="8" t="n">
        <v>42771</v>
      </c>
      <c r="AM2073" s="11" t="inlineStr"/>
      <c r="AN2073" s="12" t="inlineStr"/>
      <c r="AO2073" s="12" t="inlineStr"/>
      <c r="AP2073" s="13" t="inlineStr"/>
      <c r="AQ2073" s="13" t="inlineStr"/>
      <c r="AR2073" s="13" t="inlineStr"/>
      <c r="AS2073" s="13" t="inlineStr"/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7" t="n">
        <v>745120</v>
      </c>
      <c r="AK2074" s="8" t="n">
        <v>32349</v>
      </c>
      <c r="AL2074" s="8" t="n">
        <v>6806</v>
      </c>
      <c r="AM2074" s="11" t="inlineStr"/>
      <c r="AN2074" s="12" t="inlineStr"/>
      <c r="AO2074" s="12" t="inlineStr"/>
      <c r="AP2074" s="13" t="inlineStr"/>
      <c r="AQ2074" s="13" t="inlineStr"/>
      <c r="AR2074" s="13" t="inlineStr"/>
      <c r="AS2074" s="13" t="inlineStr"/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7" t="n">
        <v>9526</v>
      </c>
      <c r="AK2075" s="8" t="n">
        <v>-151</v>
      </c>
      <c r="AL2075" s="8" t="n">
        <v>23205</v>
      </c>
      <c r="AM2075" s="11" t="inlineStr"/>
      <c r="AN2075" s="12" t="inlineStr"/>
      <c r="AO2075" s="12" t="inlineStr"/>
      <c r="AP2075" s="13" t="inlineStr"/>
      <c r="AQ2075" s="13" t="inlineStr"/>
      <c r="AR2075" s="13" t="inlineStr"/>
      <c r="AS2075" s="13" t="inlineStr"/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7" t="n">
        <v>8593</v>
      </c>
      <c r="AK2076" s="8" t="n">
        <v>79</v>
      </c>
      <c r="AL2076" s="8" t="n">
        <v>2599</v>
      </c>
      <c r="AM2076" s="11" t="inlineStr"/>
      <c r="AN2076" s="12" t="inlineStr"/>
      <c r="AO2076" s="12" t="inlineStr"/>
      <c r="AP2076" s="13" t="inlineStr"/>
      <c r="AQ2076" s="13" t="inlineStr"/>
      <c r="AR2076" s="13" t="inlineStr"/>
      <c r="AS2076" s="13" t="inlineStr"/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7" t="n">
        <v>2305</v>
      </c>
      <c r="AK2077" s="8" t="n">
        <v>-1041</v>
      </c>
      <c r="AL2077" s="8" t="n">
        <v>-3501</v>
      </c>
      <c r="AM2077" s="11" t="inlineStr"/>
      <c r="AN2077" s="12" t="inlineStr"/>
      <c r="AO2077" s="12" t="inlineStr"/>
      <c r="AP2077" s="13" t="inlineStr"/>
      <c r="AQ2077" s="13" t="inlineStr"/>
      <c r="AR2077" s="13" t="inlineStr"/>
      <c r="AS2077" s="13" t="inlineStr"/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7" t="n">
        <v>274496</v>
      </c>
      <c r="AK2078" s="8" t="n">
        <v>12378</v>
      </c>
      <c r="AL2078" s="8" t="n">
        <v>8673</v>
      </c>
      <c r="AM2078" s="11" t="inlineStr"/>
      <c r="AN2078" s="12" t="inlineStr"/>
      <c r="AO2078" s="12" t="inlineStr"/>
      <c r="AP2078" s="13" t="inlineStr"/>
      <c r="AQ2078" s="13" t="inlineStr"/>
      <c r="AR2078" s="13" t="inlineStr"/>
      <c r="AS2078" s="13" t="inlineStr"/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7" t="n">
        <v>760</v>
      </c>
      <c r="AK2079" s="8" t="n">
        <v>-2207</v>
      </c>
      <c r="AL2079" s="8" t="n">
        <v>-2071</v>
      </c>
      <c r="AM2079" s="11" t="inlineStr"/>
      <c r="AN2079" s="12" t="inlineStr"/>
      <c r="AO2079" s="12" t="inlineStr"/>
      <c r="AP2079" s="13" t="inlineStr"/>
      <c r="AQ2079" s="13" t="inlineStr"/>
      <c r="AR2079" s="13" t="inlineStr"/>
      <c r="AS2079" s="13" t="inlineStr"/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7" t="n">
        <v>14325</v>
      </c>
      <c r="AK2080" s="8" t="n">
        <v>-584</v>
      </c>
      <c r="AL2080" s="8" t="n">
        <v>-13795</v>
      </c>
      <c r="AM2080" s="11" t="inlineStr"/>
      <c r="AN2080" s="12" t="inlineStr"/>
      <c r="AO2080" s="12" t="inlineStr"/>
      <c r="AP2080" s="13" t="inlineStr"/>
      <c r="AQ2080" s="13" t="inlineStr"/>
      <c r="AR2080" s="13" t="inlineStr"/>
      <c r="AS2080" s="13" t="inlineStr"/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7" t="inlineStr"/>
      <c r="AK2081" s="8" t="n">
        <v>-2200</v>
      </c>
      <c r="AL2081" s="8" t="n">
        <v>-5477</v>
      </c>
      <c r="AM2081" s="11" t="inlineStr"/>
      <c r="AN2081" s="12" t="inlineStr"/>
      <c r="AO2081" s="12" t="inlineStr"/>
      <c r="AP2081" s="13" t="inlineStr"/>
      <c r="AQ2081" s="13" t="inlineStr"/>
      <c r="AR2081" s="13" t="inlineStr"/>
      <c r="AS2081" s="13" t="inlineStr"/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7" t="n">
        <v>3941</v>
      </c>
      <c r="AK2082" s="8" t="n">
        <v>-733</v>
      </c>
      <c r="AL2082" s="8" t="n">
        <v>568</v>
      </c>
      <c r="AM2082" s="11" t="inlineStr"/>
      <c r="AN2082" s="12" t="inlineStr"/>
      <c r="AO2082" s="12" t="inlineStr"/>
      <c r="AP2082" s="13" t="inlineStr"/>
      <c r="AQ2082" s="13" t="inlineStr"/>
      <c r="AR2082" s="13" t="inlineStr"/>
      <c r="AS2082" s="13" t="inlineStr"/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7" t="n">
        <v>6534</v>
      </c>
      <c r="AK2083" s="8" t="n">
        <v>-1437</v>
      </c>
      <c r="AL2083" s="8" t="n">
        <v>-9486</v>
      </c>
      <c r="AM2083" s="11" t="inlineStr"/>
      <c r="AN2083" s="12" t="inlineStr"/>
      <c r="AO2083" s="12" t="inlineStr"/>
      <c r="AP2083" s="13" t="inlineStr"/>
      <c r="AQ2083" s="13" t="inlineStr"/>
      <c r="AR2083" s="13" t="inlineStr"/>
      <c r="AS2083" s="13" t="inlineStr"/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7" t="n">
        <v>19285</v>
      </c>
      <c r="AK2084" s="8" t="n">
        <v>1652</v>
      </c>
      <c r="AL2084" s="8" t="n">
        <v>1785</v>
      </c>
      <c r="AM2084" s="11" t="inlineStr"/>
      <c r="AN2084" s="12" t="inlineStr"/>
      <c r="AO2084" s="12" t="inlineStr"/>
      <c r="AP2084" s="13" t="inlineStr"/>
      <c r="AQ2084" s="13" t="inlineStr"/>
      <c r="AR2084" s="13" t="inlineStr"/>
      <c r="AS2084" s="13" t="inlineStr"/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7" t="inlineStr"/>
      <c r="AK2085" s="8" t="inlineStr"/>
      <c r="AL2085" s="8" t="inlineStr"/>
      <c r="AM2085" s="11" t="inlineStr"/>
      <c r="AN2085" s="12" t="inlineStr"/>
      <c r="AO2085" s="12" t="inlineStr"/>
      <c r="AP2085" s="13" t="inlineStr"/>
      <c r="AQ2085" s="13" t="inlineStr"/>
      <c r="AR2085" s="13" t="inlineStr"/>
      <c r="AS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7" t="n">
        <v>6555</v>
      </c>
      <c r="AK2086" s="8" t="n">
        <v>-2835</v>
      </c>
      <c r="AL2086" s="8" t="n">
        <v>-3023</v>
      </c>
      <c r="AM2086" s="11" t="inlineStr"/>
      <c r="AN2086" s="12" t="inlineStr"/>
      <c r="AO2086" s="12" t="inlineStr"/>
      <c r="AP2086" s="13" t="inlineStr"/>
      <c r="AQ2086" s="13" t="inlineStr"/>
      <c r="AR2086" s="13" t="inlineStr"/>
      <c r="AS2086" s="13" t="inlineStr"/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7" t="n">
        <v>7749</v>
      </c>
      <c r="AK2087" s="8" t="n">
        <v>-707</v>
      </c>
      <c r="AL2087" s="8" t="n">
        <v>43324</v>
      </c>
      <c r="AM2087" s="11" t="inlineStr"/>
      <c r="AN2087" s="12" t="inlineStr"/>
      <c r="AO2087" s="12" t="inlineStr"/>
      <c r="AP2087" s="13" t="inlineStr"/>
      <c r="AQ2087" s="13" t="inlineStr"/>
      <c r="AR2087" s="13" t="inlineStr"/>
      <c r="AS2087" s="13" t="inlineStr"/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7" t="n">
        <v>4666</v>
      </c>
      <c r="AK2088" s="8" t="n">
        <v>-1207</v>
      </c>
      <c r="AL2088" s="8" t="n">
        <v>1409</v>
      </c>
      <c r="AM2088" s="11" t="inlineStr"/>
      <c r="AN2088" s="12" t="inlineStr"/>
      <c r="AO2088" s="12" t="inlineStr"/>
      <c r="AP2088" s="13" t="inlineStr"/>
      <c r="AQ2088" s="13" t="inlineStr"/>
      <c r="AR2088" s="13" t="inlineStr"/>
      <c r="AS2088" s="13" t="inlineStr"/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7" t="n">
        <v>101924</v>
      </c>
      <c r="AK2089" s="8" t="n">
        <v>4063</v>
      </c>
      <c r="AL2089" s="8" t="n">
        <v>4800</v>
      </c>
      <c r="AM2089" s="11" t="inlineStr"/>
      <c r="AN2089" s="12" t="inlineStr"/>
      <c r="AO2089" s="12" t="inlineStr"/>
      <c r="AP2089" s="13" t="inlineStr"/>
      <c r="AQ2089" s="13" t="inlineStr"/>
      <c r="AR2089" s="13" t="inlineStr"/>
      <c r="AS2089" s="13" t="inlineStr"/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7" t="n">
        <v>8825</v>
      </c>
      <c r="AK2090" s="8" t="n">
        <v>881</v>
      </c>
      <c r="AL2090" s="8" t="n">
        <v>1035</v>
      </c>
      <c r="AM2090" s="11" t="inlineStr"/>
      <c r="AN2090" s="12" t="inlineStr"/>
      <c r="AO2090" s="12" t="inlineStr"/>
      <c r="AP2090" s="13" t="inlineStr"/>
      <c r="AQ2090" s="13" t="inlineStr"/>
      <c r="AR2090" s="13" t="inlineStr"/>
      <c r="AS2090" s="13" t="inlineStr"/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7" t="n">
        <v>7619</v>
      </c>
      <c r="AK2091" s="8" t="n">
        <v>-7876</v>
      </c>
      <c r="AL2091" s="8" t="n">
        <v>-7155</v>
      </c>
      <c r="AM2091" s="11" t="inlineStr"/>
      <c r="AN2091" s="12" t="inlineStr"/>
      <c r="AO2091" s="12" t="inlineStr"/>
      <c r="AP2091" s="13" t="inlineStr"/>
      <c r="AQ2091" s="13" t="inlineStr"/>
      <c r="AR2091" s="13" t="inlineStr"/>
      <c r="AS2091" s="13" t="inlineStr"/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7" t="n">
        <v>147976</v>
      </c>
      <c r="AK2092" s="8" t="n">
        <v>10049</v>
      </c>
      <c r="AL2092" s="8" t="n">
        <v>10492</v>
      </c>
      <c r="AM2092" s="11" t="inlineStr"/>
      <c r="AN2092" s="12" t="inlineStr"/>
      <c r="AO2092" s="12" t="inlineStr"/>
      <c r="AP2092" s="13" t="inlineStr"/>
      <c r="AQ2092" s="13" t="inlineStr"/>
      <c r="AR2092" s="13" t="inlineStr"/>
      <c r="AS2092" s="13" t="inlineStr"/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7" t="n">
        <v>4241</v>
      </c>
      <c r="AK2093" s="8" t="n">
        <v>1126</v>
      </c>
      <c r="AL2093" s="8" t="n">
        <v>-2694</v>
      </c>
      <c r="AM2093" s="11" t="inlineStr"/>
      <c r="AN2093" s="12" t="inlineStr"/>
      <c r="AO2093" s="12" t="inlineStr"/>
      <c r="AP2093" s="13" t="inlineStr"/>
      <c r="AQ2093" s="13" t="inlineStr"/>
      <c r="AR2093" s="13" t="inlineStr"/>
      <c r="AS2093" s="13" t="inlineStr"/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7" t="n">
        <v>38785</v>
      </c>
      <c r="AK2094" s="8" t="n">
        <v>8580</v>
      </c>
      <c r="AL2094" s="8" t="n">
        <v>-28123</v>
      </c>
      <c r="AM2094" s="11" t="inlineStr"/>
      <c r="AN2094" s="12" t="inlineStr"/>
      <c r="AO2094" s="12" t="inlineStr"/>
      <c r="AP2094" s="13" t="inlineStr"/>
      <c r="AQ2094" s="13" t="inlineStr"/>
      <c r="AR2094" s="13" t="inlineStr"/>
      <c r="AS2094" s="13" t="inlineStr"/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7" t="n">
        <v>4172</v>
      </c>
      <c r="AK2095" s="8" t="n">
        <v>-950</v>
      </c>
      <c r="AL2095" s="8" t="n">
        <v>-4835</v>
      </c>
      <c r="AM2095" s="11" t="inlineStr"/>
      <c r="AN2095" s="12" t="inlineStr"/>
      <c r="AO2095" s="12" t="inlineStr"/>
      <c r="AP2095" s="13" t="inlineStr"/>
      <c r="AQ2095" s="13" t="inlineStr"/>
      <c r="AR2095" s="13" t="inlineStr"/>
      <c r="AS2095" s="13" t="inlineStr"/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7" t="n">
        <v>2310</v>
      </c>
      <c r="AK2096" s="8" t="n">
        <v>-2077</v>
      </c>
      <c r="AL2096" s="8" t="n">
        <v>-2290</v>
      </c>
      <c r="AM2096" s="11" t="inlineStr"/>
      <c r="AN2096" s="12" t="inlineStr"/>
      <c r="AO2096" s="12" t="inlineStr"/>
      <c r="AP2096" s="13" t="inlineStr"/>
      <c r="AQ2096" s="13" t="inlineStr"/>
      <c r="AR2096" s="13" t="inlineStr"/>
      <c r="AS2096" s="13" t="inlineStr"/>
    </row>
    <row r="2097">
      <c r="A2097" s="5" t="inlineStr">
        <is>
          <t>아리바이오홀딩스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7" t="n">
        <v>10652</v>
      </c>
      <c r="AK2097" s="8" t="n">
        <v>-2754</v>
      </c>
      <c r="AL2097" s="8" t="n">
        <v>11161</v>
      </c>
      <c r="AM2097" s="11" t="inlineStr"/>
      <c r="AN2097" s="12" t="inlineStr"/>
      <c r="AO2097" s="12" t="inlineStr"/>
      <c r="AP2097" s="13" t="inlineStr"/>
      <c r="AQ2097" s="13" t="inlineStr"/>
      <c r="AR2097" s="13" t="inlineStr"/>
      <c r="AS2097" s="13" t="inlineStr"/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7" t="n">
        <v>12912</v>
      </c>
      <c r="AK2098" s="8" t="n">
        <v>-3636</v>
      </c>
      <c r="AL2098" s="8" t="n">
        <v>-5899</v>
      </c>
      <c r="AM2098" s="11" t="inlineStr"/>
      <c r="AN2098" s="12" t="inlineStr"/>
      <c r="AO2098" s="12" t="inlineStr"/>
      <c r="AP2098" s="13" t="inlineStr"/>
      <c r="AQ2098" s="13" t="inlineStr"/>
      <c r="AR2098" s="13" t="inlineStr"/>
      <c r="AS2098" s="13" t="inlineStr"/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7" t="n">
        <v>52553</v>
      </c>
      <c r="AK2099" s="8" t="n">
        <v>-404</v>
      </c>
      <c r="AL2099" s="8" t="n">
        <v>1667</v>
      </c>
      <c r="AM2099" s="11" t="inlineStr"/>
      <c r="AN2099" s="12" t="inlineStr"/>
      <c r="AO2099" s="12" t="inlineStr"/>
      <c r="AP2099" s="13" t="inlineStr"/>
      <c r="AQ2099" s="13" t="inlineStr"/>
      <c r="AR2099" s="13" t="inlineStr"/>
      <c r="AS2099" s="13" t="inlineStr"/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7" t="inlineStr"/>
      <c r="AK2100" s="8" t="n">
        <v>-1899</v>
      </c>
      <c r="AL2100" s="8" t="n">
        <v>-2295</v>
      </c>
      <c r="AM2100" s="11" t="inlineStr"/>
      <c r="AN2100" s="12" t="inlineStr"/>
      <c r="AO2100" s="12" t="inlineStr"/>
      <c r="AP2100" s="13" t="inlineStr"/>
      <c r="AQ2100" s="13" t="inlineStr"/>
      <c r="AR2100" s="13" t="inlineStr"/>
      <c r="AS2100" s="13" t="inlineStr"/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7" t="n">
        <v>2392</v>
      </c>
      <c r="AK2101" s="8" t="n">
        <v>-3083</v>
      </c>
      <c r="AL2101" s="8" t="n">
        <v>-4255</v>
      </c>
      <c r="AM2101" s="11" t="inlineStr"/>
      <c r="AN2101" s="12" t="inlineStr"/>
      <c r="AO2101" s="12" t="inlineStr"/>
      <c r="AP2101" s="13" t="inlineStr"/>
      <c r="AQ2101" s="13" t="inlineStr"/>
      <c r="AR2101" s="13" t="inlineStr"/>
      <c r="AS2101" s="13" t="inlineStr"/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7" t="n">
        <v>1559</v>
      </c>
      <c r="AK2102" s="8" t="n">
        <v>-477</v>
      </c>
      <c r="AL2102" s="8" t="n">
        <v>-739</v>
      </c>
      <c r="AM2102" s="11" t="inlineStr"/>
      <c r="AN2102" s="12" t="inlineStr"/>
      <c r="AO2102" s="12" t="inlineStr"/>
      <c r="AP2102" s="13" t="inlineStr"/>
      <c r="AQ2102" s="13" t="inlineStr"/>
      <c r="AR2102" s="13" t="inlineStr"/>
      <c r="AS2102" s="13" t="inlineStr"/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7" t="n">
        <v>60904</v>
      </c>
      <c r="AK2103" s="8" t="n">
        <v>7286</v>
      </c>
      <c r="AL2103" s="8" t="n">
        <v>8450</v>
      </c>
      <c r="AM2103" s="11" t="inlineStr"/>
      <c r="AN2103" s="12" t="inlineStr"/>
      <c r="AO2103" s="12" t="inlineStr"/>
      <c r="AP2103" s="13" t="inlineStr"/>
      <c r="AQ2103" s="13" t="inlineStr"/>
      <c r="AR2103" s="13" t="inlineStr"/>
      <c r="AS2103" s="13" t="inlineStr"/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7" t="n">
        <v>75021</v>
      </c>
      <c r="AK2104" s="8" t="n">
        <v>-23026</v>
      </c>
      <c r="AL2104" s="8" t="n">
        <v>-56956</v>
      </c>
      <c r="AM2104" s="11" t="inlineStr"/>
      <c r="AN2104" s="12" t="inlineStr"/>
      <c r="AO2104" s="12" t="inlineStr"/>
      <c r="AP2104" s="13" t="inlineStr"/>
      <c r="AQ2104" s="13" t="inlineStr"/>
      <c r="AR2104" s="13" t="inlineStr"/>
      <c r="AS2104" s="13" t="inlineStr"/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7" t="n">
        <v>8829</v>
      </c>
      <c r="AK2105" s="8" t="n">
        <v>5057</v>
      </c>
      <c r="AL2105" s="8" t="n">
        <v>3928</v>
      </c>
      <c r="AM2105" s="11" t="inlineStr"/>
      <c r="AN2105" s="12" t="inlineStr"/>
      <c r="AO2105" s="12" t="inlineStr"/>
      <c r="AP2105" s="13" t="inlineStr"/>
      <c r="AQ2105" s="13" t="inlineStr"/>
      <c r="AR2105" s="13" t="inlineStr"/>
      <c r="AS2105" s="13" t="inlineStr"/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7" t="n">
        <v>1603</v>
      </c>
      <c r="AK2106" s="8" t="n">
        <v>-3575</v>
      </c>
      <c r="AL2106" s="8" t="n">
        <v>1116</v>
      </c>
      <c r="AM2106" s="11" t="inlineStr"/>
      <c r="AN2106" s="12" t="inlineStr"/>
      <c r="AO2106" s="12" t="inlineStr"/>
      <c r="AP2106" s="13" t="inlineStr"/>
      <c r="AQ2106" s="13" t="inlineStr"/>
      <c r="AR2106" s="13" t="inlineStr"/>
      <c r="AS2106" s="13" t="inlineStr"/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7" t="n">
        <v>44890</v>
      </c>
      <c r="AK2107" s="8" t="n">
        <v>25268</v>
      </c>
      <c r="AL2107" s="8" t="n">
        <v>2739</v>
      </c>
      <c r="AM2107" s="11" t="inlineStr"/>
      <c r="AN2107" s="12" t="inlineStr"/>
      <c r="AO2107" s="12" t="inlineStr"/>
      <c r="AP2107" s="13" t="inlineStr"/>
      <c r="AQ2107" s="13" t="inlineStr"/>
      <c r="AR2107" s="13" t="inlineStr"/>
      <c r="AS2107" s="13" t="inlineStr"/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7" t="n">
        <v>124</v>
      </c>
      <c r="AK2108" s="8" t="n">
        <v>-2377</v>
      </c>
      <c r="AL2108" s="8" t="n">
        <v>-5516</v>
      </c>
      <c r="AM2108" s="11" t="inlineStr"/>
      <c r="AN2108" s="12" t="inlineStr"/>
      <c r="AO2108" s="12" t="inlineStr"/>
      <c r="AP2108" s="13" t="inlineStr"/>
      <c r="AQ2108" s="13" t="inlineStr"/>
      <c r="AR2108" s="13" t="inlineStr"/>
      <c r="AS2108" s="13" t="inlineStr"/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7" t="n">
        <v>6006</v>
      </c>
      <c r="AK2109" s="8" t="n">
        <v>-854</v>
      </c>
      <c r="AL2109" s="8" t="n">
        <v>-204</v>
      </c>
      <c r="AM2109" s="11" t="inlineStr"/>
      <c r="AN2109" s="12" t="inlineStr"/>
      <c r="AO2109" s="12" t="inlineStr"/>
      <c r="AP2109" s="13" t="inlineStr"/>
      <c r="AQ2109" s="13" t="inlineStr"/>
      <c r="AR2109" s="13" t="inlineStr"/>
      <c r="AS2109" s="13" t="inlineStr"/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7" t="n">
        <v>17959</v>
      </c>
      <c r="AK2110" s="8" t="n">
        <v>4958</v>
      </c>
      <c r="AL2110" s="8" t="n">
        <v>13198</v>
      </c>
      <c r="AM2110" s="11" t="inlineStr"/>
      <c r="AN2110" s="12" t="inlineStr"/>
      <c r="AO2110" s="12" t="inlineStr"/>
      <c r="AP2110" s="13" t="inlineStr"/>
      <c r="AQ2110" s="13" t="inlineStr"/>
      <c r="AR2110" s="13" t="inlineStr"/>
      <c r="AS2110" s="13" t="inlineStr"/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7" t="n">
        <v>1198</v>
      </c>
      <c r="AK2111" s="8" t="n">
        <v>-1606</v>
      </c>
      <c r="AL2111" s="8" t="n">
        <v>-1603</v>
      </c>
      <c r="AM2111" s="11" t="inlineStr"/>
      <c r="AN2111" s="12" t="inlineStr"/>
      <c r="AO2111" s="12" t="inlineStr"/>
      <c r="AP2111" s="13" t="inlineStr"/>
      <c r="AQ2111" s="13" t="inlineStr"/>
      <c r="AR2111" s="13" t="inlineStr"/>
      <c r="AS2111" s="13" t="inlineStr"/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2026Q3</t>
        </is>
      </c>
      <c r="E2112" s="6" t="inlineStr">
        <is>
          <t>2023Q4, 2026Q3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7" t="n">
        <v>914640</v>
      </c>
      <c r="AK2112" s="8" t="n">
        <v>122719</v>
      </c>
      <c r="AL2112" s="8" t="n">
        <v>83712</v>
      </c>
      <c r="AM2112" s="14" t="n">
        <v>1082080</v>
      </c>
      <c r="AN2112" s="15" t="n">
        <v>165762</v>
      </c>
      <c r="AO2112" s="15" t="n">
        <v>111267</v>
      </c>
      <c r="AP2112" s="13" t="n">
        <v>18.3</v>
      </c>
      <c r="AQ2112" s="13" t="n">
        <v>2.8</v>
      </c>
      <c r="AR2112" s="13" t="n">
        <v>35.1</v>
      </c>
      <c r="AS2112" s="13" t="n">
        <v>127.1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7" t="n">
        <v>29152</v>
      </c>
      <c r="AK2113" s="8" t="n">
        <v>2011</v>
      </c>
      <c r="AL2113" s="8" t="n">
        <v>-8999</v>
      </c>
      <c r="AM2113" s="11" t="inlineStr"/>
      <c r="AN2113" s="12" t="inlineStr"/>
      <c r="AO2113" s="12" t="inlineStr"/>
      <c r="AP2113" s="13" t="inlineStr"/>
      <c r="AQ2113" s="13" t="inlineStr"/>
      <c r="AR2113" s="13" t="inlineStr"/>
      <c r="AS2113" s="13" t="inlineStr"/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7" t="n">
        <v>7851</v>
      </c>
      <c r="AK2114" s="8" t="n">
        <v>288</v>
      </c>
      <c r="AL2114" s="8" t="n">
        <v>2897</v>
      </c>
      <c r="AM2114" s="11" t="inlineStr"/>
      <c r="AN2114" s="12" t="inlineStr"/>
      <c r="AO2114" s="12" t="inlineStr"/>
      <c r="AP2114" s="13" t="inlineStr"/>
      <c r="AQ2114" s="13" t="inlineStr"/>
      <c r="AR2114" s="13" t="inlineStr"/>
      <c r="AS2114" s="13" t="inlineStr"/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7" t="n">
        <v>37804</v>
      </c>
      <c r="AK2115" s="8" t="n">
        <v>3417</v>
      </c>
      <c r="AL2115" s="8" t="n">
        <v>3165</v>
      </c>
      <c r="AM2115" s="11" t="inlineStr"/>
      <c r="AN2115" s="12" t="inlineStr"/>
      <c r="AO2115" s="12" t="inlineStr"/>
      <c r="AP2115" s="13" t="inlineStr"/>
      <c r="AQ2115" s="13" t="inlineStr"/>
      <c r="AR2115" s="13" t="inlineStr"/>
      <c r="AS2115" s="13" t="inlineStr"/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7" t="n">
        <v>17597</v>
      </c>
      <c r="AK2116" s="8" t="n">
        <v>3428</v>
      </c>
      <c r="AL2116" s="8" t="n">
        <v>2298</v>
      </c>
      <c r="AM2116" s="11" t="inlineStr"/>
      <c r="AN2116" s="12" t="inlineStr"/>
      <c r="AO2116" s="12" t="inlineStr"/>
      <c r="AP2116" s="13" t="inlineStr"/>
      <c r="AQ2116" s="13" t="inlineStr"/>
      <c r="AR2116" s="13" t="inlineStr"/>
      <c r="AS2116" s="13" t="inlineStr"/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7" t="n">
        <v>10171</v>
      </c>
      <c r="AK2117" s="8" t="n">
        <v>-503</v>
      </c>
      <c r="AL2117" s="8" t="n">
        <v>16954</v>
      </c>
      <c r="AM2117" s="11" t="inlineStr"/>
      <c r="AN2117" s="12" t="inlineStr"/>
      <c r="AO2117" s="12" t="inlineStr"/>
      <c r="AP2117" s="13" t="inlineStr"/>
      <c r="AQ2117" s="13" t="inlineStr"/>
      <c r="AR2117" s="13" t="inlineStr"/>
      <c r="AS2117" s="13" t="inlineStr"/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7" t="n">
        <v>871289</v>
      </c>
      <c r="AK2118" s="8" t="n">
        <v>170771</v>
      </c>
      <c r="AL2118" s="8" t="n">
        <v>155952</v>
      </c>
      <c r="AM2118" s="11" t="inlineStr"/>
      <c r="AN2118" s="12" t="inlineStr"/>
      <c r="AO2118" s="12" t="inlineStr"/>
      <c r="AP2118" s="13" t="inlineStr"/>
      <c r="AQ2118" s="13" t="inlineStr"/>
      <c r="AR2118" s="13" t="inlineStr"/>
      <c r="AS2118" s="13" t="inlineStr"/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7" t="n">
        <v>2416151</v>
      </c>
      <c r="AK2119" s="8" t="n">
        <v>188762</v>
      </c>
      <c r="AL2119" s="8" t="n">
        <v>123916</v>
      </c>
      <c r="AM2119" s="11" t="inlineStr"/>
      <c r="AN2119" s="12" t="inlineStr"/>
      <c r="AO2119" s="12" t="inlineStr"/>
      <c r="AP2119" s="13" t="inlineStr"/>
      <c r="AQ2119" s="13" t="inlineStr"/>
      <c r="AR2119" s="13" t="inlineStr"/>
      <c r="AS2119" s="13" t="inlineStr"/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7" t="n">
        <v>1686978</v>
      </c>
      <c r="AK2120" s="8" t="n">
        <v>264286</v>
      </c>
      <c r="AL2120" s="8" t="n">
        <v>171741</v>
      </c>
      <c r="AM2120" s="11" t="inlineStr"/>
      <c r="AN2120" s="12" t="inlineStr"/>
      <c r="AO2120" s="12" t="inlineStr"/>
      <c r="AP2120" s="13" t="inlineStr"/>
      <c r="AQ2120" s="13" t="inlineStr"/>
      <c r="AR2120" s="13" t="inlineStr"/>
      <c r="AS2120" s="13" t="inlineStr"/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7" t="n">
        <v>952698</v>
      </c>
      <c r="AK2121" s="8" t="n">
        <v>77593</v>
      </c>
      <c r="AL2121" s="8" t="n">
        <v>45193</v>
      </c>
      <c r="AM2121" s="11" t="inlineStr"/>
      <c r="AN2121" s="12" t="inlineStr"/>
      <c r="AO2121" s="12" t="inlineStr"/>
      <c r="AP2121" s="13" t="inlineStr"/>
      <c r="AQ2121" s="13" t="inlineStr"/>
      <c r="AR2121" s="13" t="inlineStr"/>
      <c r="AS2121" s="13" t="inlineStr"/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7" t="n">
        <v>11991</v>
      </c>
      <c r="AK2122" s="8" t="n">
        <v>-986</v>
      </c>
      <c r="AL2122" s="8" t="n">
        <v>-3943</v>
      </c>
      <c r="AM2122" s="11" t="inlineStr"/>
      <c r="AN2122" s="12" t="inlineStr"/>
      <c r="AO2122" s="12" t="inlineStr"/>
      <c r="AP2122" s="13" t="inlineStr"/>
      <c r="AQ2122" s="13" t="inlineStr"/>
      <c r="AR2122" s="13" t="inlineStr"/>
      <c r="AS2122" s="13" t="inlineStr"/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7" t="n">
        <v>19704</v>
      </c>
      <c r="AK2123" s="8" t="n">
        <v>-16810</v>
      </c>
      <c r="AL2123" s="8" t="n">
        <v>-15002</v>
      </c>
      <c r="AM2123" s="11" t="inlineStr"/>
      <c r="AN2123" s="12" t="inlineStr"/>
      <c r="AO2123" s="12" t="inlineStr"/>
      <c r="AP2123" s="13" t="inlineStr"/>
      <c r="AQ2123" s="13" t="inlineStr"/>
      <c r="AR2123" s="13" t="inlineStr"/>
      <c r="AS2123" s="13" t="inlineStr"/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7" t="n">
        <v>95559</v>
      </c>
      <c r="AK2124" s="8" t="n">
        <v>-1786</v>
      </c>
      <c r="AL2124" s="8" t="n">
        <v>2154</v>
      </c>
      <c r="AM2124" s="11" t="inlineStr"/>
      <c r="AN2124" s="12" t="inlineStr"/>
      <c r="AO2124" s="12" t="inlineStr"/>
      <c r="AP2124" s="13" t="inlineStr"/>
      <c r="AQ2124" s="13" t="inlineStr"/>
      <c r="AR2124" s="13" t="inlineStr"/>
      <c r="AS2124" s="13" t="inlineStr"/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7" t="n">
        <v>235319</v>
      </c>
      <c r="AK2125" s="8" t="n">
        <v>-35515</v>
      </c>
      <c r="AL2125" s="8" t="n">
        <v>-61757</v>
      </c>
      <c r="AM2125" s="11" t="inlineStr"/>
      <c r="AN2125" s="12" t="inlineStr"/>
      <c r="AO2125" s="12" t="inlineStr"/>
      <c r="AP2125" s="13" t="inlineStr"/>
      <c r="AQ2125" s="13" t="inlineStr"/>
      <c r="AR2125" s="13" t="inlineStr"/>
      <c r="AS2125" s="13" t="inlineStr"/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7" t="inlineStr"/>
      <c r="AK2126" s="8" t="n">
        <v>2755</v>
      </c>
      <c r="AL2126" s="8" t="n">
        <v>2753</v>
      </c>
      <c r="AM2126" s="11" t="inlineStr"/>
      <c r="AN2126" s="12" t="inlineStr"/>
      <c r="AO2126" s="12" t="inlineStr"/>
      <c r="AP2126" s="13" t="inlineStr"/>
      <c r="AQ2126" s="13" t="inlineStr"/>
      <c r="AR2126" s="13" t="inlineStr"/>
      <c r="AS2126" s="13" t="inlineStr"/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7" t="n">
        <v>5293</v>
      </c>
      <c r="AK2127" s="8" t="n">
        <v>-6370</v>
      </c>
      <c r="AL2127" s="8" t="n">
        <v>1226</v>
      </c>
      <c r="AM2127" s="11" t="inlineStr"/>
      <c r="AN2127" s="12" t="inlineStr"/>
      <c r="AO2127" s="12" t="inlineStr"/>
      <c r="AP2127" s="13" t="inlineStr"/>
      <c r="AQ2127" s="13" t="inlineStr"/>
      <c r="AR2127" s="13" t="inlineStr"/>
      <c r="AS2127" s="13" t="inlineStr"/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7" t="n">
        <v>12925</v>
      </c>
      <c r="AK2128" s="8" t="n">
        <v>1027</v>
      </c>
      <c r="AL2128" s="8" t="n">
        <v>818</v>
      </c>
      <c r="AM2128" s="11" t="inlineStr"/>
      <c r="AN2128" s="12" t="inlineStr"/>
      <c r="AO2128" s="12" t="inlineStr"/>
      <c r="AP2128" s="13" t="inlineStr"/>
      <c r="AQ2128" s="13" t="inlineStr"/>
      <c r="AR2128" s="13" t="inlineStr"/>
      <c r="AS2128" s="13" t="inlineStr"/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7" t="n">
        <v>2066</v>
      </c>
      <c r="AK2129" s="8" t="n">
        <v>-2502</v>
      </c>
      <c r="AL2129" s="8" t="n">
        <v>-19024</v>
      </c>
      <c r="AM2129" s="11" t="inlineStr"/>
      <c r="AN2129" s="12" t="inlineStr"/>
      <c r="AO2129" s="12" t="inlineStr"/>
      <c r="AP2129" s="13" t="inlineStr"/>
      <c r="AQ2129" s="13" t="inlineStr"/>
      <c r="AR2129" s="13" t="inlineStr"/>
      <c r="AS2129" s="13" t="inlineStr"/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7" t="inlineStr"/>
      <c r="AK2130" s="8" t="inlineStr"/>
      <c r="AL2130" s="8" t="inlineStr"/>
      <c r="AM2130" s="11" t="inlineStr"/>
      <c r="AN2130" s="12" t="inlineStr"/>
      <c r="AO2130" s="12" t="inlineStr"/>
      <c r="AP2130" s="13" t="inlineStr"/>
      <c r="AQ2130" s="13" t="inlineStr"/>
      <c r="AR2130" s="13" t="inlineStr"/>
      <c r="AS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2026Q3</t>
        </is>
      </c>
      <c r="E2131" s="6" t="inlineStr">
        <is>
          <t>2026Q3</t>
        </is>
      </c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7" t="n">
        <v>8106</v>
      </c>
      <c r="AK2131" s="8" t="n">
        <v>1398</v>
      </c>
      <c r="AL2131" s="8" t="n">
        <v>1556</v>
      </c>
      <c r="AM2131" s="14" t="n">
        <v>17786</v>
      </c>
      <c r="AN2131" s="15" t="n">
        <v>8972</v>
      </c>
      <c r="AO2131" s="15" t="n">
        <v>8346</v>
      </c>
      <c r="AP2131" s="13" t="n">
        <v>119.4</v>
      </c>
      <c r="AQ2131" s="13" t="n">
        <v>51</v>
      </c>
      <c r="AR2131" s="13" t="n">
        <v>541.8</v>
      </c>
      <c r="AS2131" s="13" t="n">
        <v>217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2026Q3</t>
        </is>
      </c>
      <c r="E2132" s="6" t="inlineStr">
        <is>
          <t>2026Q3</t>
        </is>
      </c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7" t="n">
        <v>64079</v>
      </c>
      <c r="AK2132" s="8" t="n">
        <v>-495</v>
      </c>
      <c r="AL2132" s="8" t="n">
        <v>140</v>
      </c>
      <c r="AM2132" s="14" t="n">
        <v>3748</v>
      </c>
      <c r="AN2132" s="15" t="n">
        <v>1176</v>
      </c>
      <c r="AO2132" s="15" t="n">
        <v>35</v>
      </c>
      <c r="AP2132" s="13" t="n">
        <v>-94.2</v>
      </c>
      <c r="AQ2132" s="13" t="n">
        <v>-81.2</v>
      </c>
      <c r="AR2132" s="13" t="n">
        <v>337.6</v>
      </c>
      <c r="AS2132" s="13" t="n">
        <v>118.9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7" t="n">
        <v>370951</v>
      </c>
      <c r="AK2133" s="8" t="n">
        <v>61562</v>
      </c>
      <c r="AL2133" s="8" t="n">
        <v>48364</v>
      </c>
      <c r="AM2133" s="11" t="inlineStr"/>
      <c r="AN2133" s="12" t="inlineStr"/>
      <c r="AO2133" s="12" t="inlineStr"/>
      <c r="AP2133" s="13" t="inlineStr"/>
      <c r="AQ2133" s="13" t="inlineStr"/>
      <c r="AR2133" s="13" t="inlineStr"/>
      <c r="AS2133" s="13" t="inlineStr"/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7" t="n">
        <v>2715</v>
      </c>
      <c r="AK2134" s="8" t="n">
        <v>-839</v>
      </c>
      <c r="AL2134" s="8" t="n">
        <v>-1317</v>
      </c>
      <c r="AM2134" s="11" t="inlineStr"/>
      <c r="AN2134" s="12" t="inlineStr"/>
      <c r="AO2134" s="12" t="inlineStr"/>
      <c r="AP2134" s="13" t="inlineStr"/>
      <c r="AQ2134" s="13" t="inlineStr"/>
      <c r="AR2134" s="13" t="inlineStr"/>
      <c r="AS2134" s="13" t="inlineStr"/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7" t="n">
        <v>14631</v>
      </c>
      <c r="AK2135" s="8" t="n">
        <v>-2155</v>
      </c>
      <c r="AL2135" s="8" t="n">
        <v>-2225</v>
      </c>
      <c r="AM2135" s="11" t="inlineStr"/>
      <c r="AN2135" s="12" t="inlineStr"/>
      <c r="AO2135" s="12" t="inlineStr"/>
      <c r="AP2135" s="13" t="inlineStr"/>
      <c r="AQ2135" s="13" t="inlineStr"/>
      <c r="AR2135" s="13" t="inlineStr"/>
      <c r="AS2135" s="13" t="inlineStr"/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7" t="n">
        <v>155705</v>
      </c>
      <c r="AK2136" s="8" t="n">
        <v>-15738</v>
      </c>
      <c r="AL2136" s="8" t="n">
        <v>-14086</v>
      </c>
      <c r="AM2136" s="11" t="inlineStr"/>
      <c r="AN2136" s="12" t="inlineStr"/>
      <c r="AO2136" s="12" t="inlineStr"/>
      <c r="AP2136" s="13" t="inlineStr"/>
      <c r="AQ2136" s="13" t="inlineStr"/>
      <c r="AR2136" s="13" t="inlineStr"/>
      <c r="AS2136" s="13" t="inlineStr"/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7" t="n">
        <v>7369</v>
      </c>
      <c r="AK2137" s="8" t="n">
        <v>945</v>
      </c>
      <c r="AL2137" s="8" t="n">
        <v>272</v>
      </c>
      <c r="AM2137" s="11" t="inlineStr"/>
      <c r="AN2137" s="12" t="inlineStr"/>
      <c r="AO2137" s="12" t="inlineStr"/>
      <c r="AP2137" s="13" t="inlineStr"/>
      <c r="AQ2137" s="13" t="inlineStr"/>
      <c r="AR2137" s="13" t="inlineStr"/>
      <c r="AS2137" s="13" t="inlineStr"/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7" t="n">
        <v>9113</v>
      </c>
      <c r="AK2138" s="8" t="n">
        <v>-1009</v>
      </c>
      <c r="AL2138" s="8" t="n">
        <v>-1116</v>
      </c>
      <c r="AM2138" s="11" t="inlineStr"/>
      <c r="AN2138" s="12" t="inlineStr"/>
      <c r="AO2138" s="12" t="inlineStr"/>
      <c r="AP2138" s="13" t="inlineStr"/>
      <c r="AQ2138" s="13" t="inlineStr"/>
      <c r="AR2138" s="13" t="inlineStr"/>
      <c r="AS2138" s="13" t="inlineStr"/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7" t="n">
        <v>5347</v>
      </c>
      <c r="AK2139" s="8" t="n">
        <v>1637</v>
      </c>
      <c r="AL2139" s="8" t="n">
        <v>1551</v>
      </c>
      <c r="AM2139" s="11" t="inlineStr"/>
      <c r="AN2139" s="12" t="inlineStr"/>
      <c r="AO2139" s="12" t="inlineStr"/>
      <c r="AP2139" s="13" t="inlineStr"/>
      <c r="AQ2139" s="13" t="inlineStr"/>
      <c r="AR2139" s="13" t="inlineStr"/>
      <c r="AS2139" s="13" t="inlineStr"/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7" t="n">
        <v>19185</v>
      </c>
      <c r="AK2140" s="8" t="n">
        <v>-601</v>
      </c>
      <c r="AL2140" s="8" t="n">
        <v>-385</v>
      </c>
      <c r="AM2140" s="11" t="inlineStr"/>
      <c r="AN2140" s="12" t="inlineStr"/>
      <c r="AO2140" s="12" t="inlineStr"/>
      <c r="AP2140" s="13" t="inlineStr"/>
      <c r="AQ2140" s="13" t="inlineStr"/>
      <c r="AR2140" s="13" t="inlineStr"/>
      <c r="AS2140" s="13" t="inlineStr"/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7" t="n">
        <v>24258</v>
      </c>
      <c r="AK2141" s="8" t="n">
        <v>22</v>
      </c>
      <c r="AL2141" s="8" t="n">
        <v>-888</v>
      </c>
      <c r="AM2141" s="11" t="inlineStr"/>
      <c r="AN2141" s="12" t="inlineStr"/>
      <c r="AO2141" s="12" t="inlineStr"/>
      <c r="AP2141" s="13" t="inlineStr"/>
      <c r="AQ2141" s="13" t="inlineStr"/>
      <c r="AR2141" s="13" t="inlineStr"/>
      <c r="AS2141" s="13" t="inlineStr"/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7" t="n">
        <v>11526</v>
      </c>
      <c r="AK2142" s="8" t="n">
        <v>-3520</v>
      </c>
      <c r="AL2142" s="8" t="n">
        <v>-3279</v>
      </c>
      <c r="AM2142" s="11" t="inlineStr"/>
      <c r="AN2142" s="12" t="inlineStr"/>
      <c r="AO2142" s="12" t="inlineStr"/>
      <c r="AP2142" s="13" t="inlineStr"/>
      <c r="AQ2142" s="13" t="inlineStr"/>
      <c r="AR2142" s="13" t="inlineStr"/>
      <c r="AS2142" s="13" t="inlineStr"/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7" t="n">
        <v>4816</v>
      </c>
      <c r="AK2143" s="8" t="n">
        <v>-3686</v>
      </c>
      <c r="AL2143" s="8" t="n">
        <v>-6842</v>
      </c>
      <c r="AM2143" s="11" t="inlineStr"/>
      <c r="AN2143" s="12" t="inlineStr"/>
      <c r="AO2143" s="12" t="inlineStr"/>
      <c r="AP2143" s="13" t="inlineStr"/>
      <c r="AQ2143" s="13" t="inlineStr"/>
      <c r="AR2143" s="13" t="inlineStr"/>
      <c r="AS2143" s="13" t="inlineStr"/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7" t="n">
        <v>1669</v>
      </c>
      <c r="AK2144" s="8" t="n">
        <v>-749</v>
      </c>
      <c r="AL2144" s="8" t="n">
        <v>-1943</v>
      </c>
      <c r="AM2144" s="11" t="inlineStr"/>
      <c r="AN2144" s="12" t="inlineStr"/>
      <c r="AO2144" s="12" t="inlineStr"/>
      <c r="AP2144" s="13" t="inlineStr"/>
      <c r="AQ2144" s="13" t="inlineStr"/>
      <c r="AR2144" s="13" t="inlineStr"/>
      <c r="AS2144" s="13" t="inlineStr"/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7" t="n">
        <v>1136</v>
      </c>
      <c r="AK2145" s="8" t="n">
        <v>-5316</v>
      </c>
      <c r="AL2145" s="8" t="n">
        <v>-8069</v>
      </c>
      <c r="AM2145" s="11" t="inlineStr"/>
      <c r="AN2145" s="12" t="inlineStr"/>
      <c r="AO2145" s="12" t="inlineStr"/>
      <c r="AP2145" s="13" t="inlineStr"/>
      <c r="AQ2145" s="13" t="inlineStr"/>
      <c r="AR2145" s="13" t="inlineStr"/>
      <c r="AS2145" s="13" t="inlineStr"/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7" t="n">
        <v>38488</v>
      </c>
      <c r="AK2146" s="8" t="n">
        <v>288</v>
      </c>
      <c r="AL2146" s="8" t="n">
        <v>-171</v>
      </c>
      <c r="AM2146" s="11" t="inlineStr"/>
      <c r="AN2146" s="12" t="inlineStr"/>
      <c r="AO2146" s="12" t="inlineStr"/>
      <c r="AP2146" s="13" t="inlineStr"/>
      <c r="AQ2146" s="13" t="inlineStr"/>
      <c r="AR2146" s="13" t="inlineStr"/>
      <c r="AS2146" s="13" t="inlineStr"/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7" t="n">
        <v>495161</v>
      </c>
      <c r="AK2147" s="8" t="n">
        <v>34935</v>
      </c>
      <c r="AL2147" s="8" t="n">
        <v>32518</v>
      </c>
      <c r="AM2147" s="11" t="inlineStr"/>
      <c r="AN2147" s="12" t="inlineStr"/>
      <c r="AO2147" s="12" t="inlineStr"/>
      <c r="AP2147" s="13" t="inlineStr"/>
      <c r="AQ2147" s="13" t="inlineStr"/>
      <c r="AR2147" s="13" t="inlineStr"/>
      <c r="AS2147" s="13" t="inlineStr"/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7" t="n">
        <v>34007</v>
      </c>
      <c r="AK2148" s="8" t="n">
        <v>2580</v>
      </c>
      <c r="AL2148" s="8" t="n">
        <v>-880</v>
      </c>
      <c r="AM2148" s="11" t="inlineStr"/>
      <c r="AN2148" s="12" t="inlineStr"/>
      <c r="AO2148" s="12" t="inlineStr"/>
      <c r="AP2148" s="13" t="inlineStr"/>
      <c r="AQ2148" s="13" t="inlineStr"/>
      <c r="AR2148" s="13" t="inlineStr"/>
      <c r="AS2148" s="13" t="inlineStr"/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7" t="n">
        <v>24870</v>
      </c>
      <c r="AK2149" s="8" t="n">
        <v>2763</v>
      </c>
      <c r="AL2149" s="8" t="n">
        <v>-596</v>
      </c>
      <c r="AM2149" s="11" t="inlineStr"/>
      <c r="AN2149" s="12" t="inlineStr"/>
      <c r="AO2149" s="12" t="inlineStr"/>
      <c r="AP2149" s="13" t="inlineStr"/>
      <c r="AQ2149" s="13" t="inlineStr"/>
      <c r="AR2149" s="13" t="inlineStr"/>
      <c r="AS2149" s="13" t="inlineStr"/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7" t="n">
        <v>9931</v>
      </c>
      <c r="AK2150" s="8" t="n">
        <v>2780</v>
      </c>
      <c r="AL2150" s="8" t="n">
        <v>2801</v>
      </c>
      <c r="AM2150" s="11" t="inlineStr"/>
      <c r="AN2150" s="12" t="inlineStr"/>
      <c r="AO2150" s="12" t="inlineStr"/>
      <c r="AP2150" s="13" t="inlineStr"/>
      <c r="AQ2150" s="13" t="inlineStr"/>
      <c r="AR2150" s="13" t="inlineStr"/>
      <c r="AS2150" s="13" t="inlineStr"/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7" t="n">
        <v>40484</v>
      </c>
      <c r="AK2151" s="8" t="n">
        <v>1496</v>
      </c>
      <c r="AL2151" s="8" t="n">
        <v>6133</v>
      </c>
      <c r="AM2151" s="11" t="inlineStr"/>
      <c r="AN2151" s="12" t="inlineStr"/>
      <c r="AO2151" s="12" t="inlineStr"/>
      <c r="AP2151" s="13" t="inlineStr"/>
      <c r="AQ2151" s="13" t="inlineStr"/>
      <c r="AR2151" s="13" t="inlineStr"/>
      <c r="AS2151" s="13" t="inlineStr"/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7" t="n">
        <v>2726</v>
      </c>
      <c r="AK2152" s="8" t="n">
        <v>-882</v>
      </c>
      <c r="AL2152" s="8" t="n">
        <v>-2065</v>
      </c>
      <c r="AM2152" s="11" t="inlineStr"/>
      <c r="AN2152" s="12" t="inlineStr"/>
      <c r="AO2152" s="12" t="inlineStr"/>
      <c r="AP2152" s="13" t="inlineStr"/>
      <c r="AQ2152" s="13" t="inlineStr"/>
      <c r="AR2152" s="13" t="inlineStr"/>
      <c r="AS2152" s="13" t="inlineStr"/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7" t="n">
        <v>1046</v>
      </c>
      <c r="AK2153" s="8" t="n">
        <v>-3982</v>
      </c>
      <c r="AL2153" s="8" t="n">
        <v>-3152</v>
      </c>
      <c r="AM2153" s="11" t="inlineStr"/>
      <c r="AN2153" s="12" t="inlineStr"/>
      <c r="AO2153" s="12" t="inlineStr"/>
      <c r="AP2153" s="13" t="inlineStr"/>
      <c r="AQ2153" s="13" t="inlineStr"/>
      <c r="AR2153" s="13" t="inlineStr"/>
      <c r="AS2153" s="13" t="inlineStr"/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7" t="n">
        <v>1250739</v>
      </c>
      <c r="AK2154" s="8" t="n">
        <v>90547</v>
      </c>
      <c r="AL2154" s="8" t="n">
        <v>69590</v>
      </c>
      <c r="AM2154" s="11" t="inlineStr"/>
      <c r="AN2154" s="12" t="inlineStr"/>
      <c r="AO2154" s="12" t="inlineStr"/>
      <c r="AP2154" s="13" t="inlineStr"/>
      <c r="AQ2154" s="13" t="inlineStr"/>
      <c r="AR2154" s="13" t="inlineStr"/>
      <c r="AS2154" s="13" t="inlineStr"/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7" t="n">
        <v>571</v>
      </c>
      <c r="AK2155" s="8" t="n">
        <v>-2536</v>
      </c>
      <c r="AL2155" s="8" t="n">
        <v>-2342</v>
      </c>
      <c r="AM2155" s="11" t="inlineStr"/>
      <c r="AN2155" s="12" t="inlineStr"/>
      <c r="AO2155" s="12" t="inlineStr"/>
      <c r="AP2155" s="13" t="inlineStr"/>
      <c r="AQ2155" s="13" t="inlineStr"/>
      <c r="AR2155" s="13" t="inlineStr"/>
      <c r="AS2155" s="13" t="inlineStr"/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7" t="n">
        <v>23339</v>
      </c>
      <c r="AK2156" s="8" t="n">
        <v>264</v>
      </c>
      <c r="AL2156" s="8" t="inlineStr"/>
      <c r="AM2156" s="11" t="inlineStr"/>
      <c r="AN2156" s="12" t="inlineStr"/>
      <c r="AO2156" s="12" t="inlineStr"/>
      <c r="AP2156" s="13" t="inlineStr"/>
      <c r="AQ2156" s="13" t="inlineStr"/>
      <c r="AR2156" s="13" t="inlineStr"/>
      <c r="AS2156" s="13" t="inlineStr"/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7" t="n">
        <v>114178</v>
      </c>
      <c r="AK2157" s="8" t="n">
        <v>1246</v>
      </c>
      <c r="AL2157" s="8" t="n">
        <v>-868</v>
      </c>
      <c r="AM2157" s="11" t="inlineStr"/>
      <c r="AN2157" s="12" t="inlineStr"/>
      <c r="AO2157" s="12" t="inlineStr"/>
      <c r="AP2157" s="13" t="inlineStr"/>
      <c r="AQ2157" s="13" t="inlineStr"/>
      <c r="AR2157" s="13" t="inlineStr"/>
      <c r="AS2157" s="13" t="inlineStr"/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7" t="n">
        <v>472</v>
      </c>
      <c r="AK2158" s="8" t="n">
        <v>-2642</v>
      </c>
      <c r="AL2158" s="8" t="n">
        <v>14402</v>
      </c>
      <c r="AM2158" s="11" t="inlineStr"/>
      <c r="AN2158" s="12" t="inlineStr"/>
      <c r="AO2158" s="12" t="inlineStr"/>
      <c r="AP2158" s="13" t="inlineStr"/>
      <c r="AQ2158" s="13" t="inlineStr"/>
      <c r="AR2158" s="13" t="inlineStr"/>
      <c r="AS2158" s="13" t="inlineStr"/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7" t="n">
        <v>15091</v>
      </c>
      <c r="AK2159" s="8" t="n">
        <v>-2773</v>
      </c>
      <c r="AL2159" s="8" t="n">
        <v>-1458</v>
      </c>
      <c r="AM2159" s="11" t="inlineStr"/>
      <c r="AN2159" s="12" t="inlineStr"/>
      <c r="AO2159" s="12" t="inlineStr"/>
      <c r="AP2159" s="13" t="inlineStr"/>
      <c r="AQ2159" s="13" t="inlineStr"/>
      <c r="AR2159" s="13" t="inlineStr"/>
      <c r="AS2159" s="13" t="inlineStr"/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7" t="n">
        <v>12043</v>
      </c>
      <c r="AK2160" s="8" t="n">
        <v>-1304</v>
      </c>
      <c r="AL2160" s="8" t="n">
        <v>20</v>
      </c>
      <c r="AM2160" s="11" t="inlineStr"/>
      <c r="AN2160" s="12" t="inlineStr"/>
      <c r="AO2160" s="12" t="inlineStr"/>
      <c r="AP2160" s="13" t="inlineStr"/>
      <c r="AQ2160" s="13" t="inlineStr"/>
      <c r="AR2160" s="13" t="inlineStr"/>
      <c r="AS2160" s="13" t="inlineStr"/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7" t="n">
        <v>8537</v>
      </c>
      <c r="AK2161" s="8" t="n">
        <v>3435</v>
      </c>
      <c r="AL2161" s="8" t="n">
        <v>3154</v>
      </c>
      <c r="AM2161" s="11" t="inlineStr"/>
      <c r="AN2161" s="12" t="inlineStr"/>
      <c r="AO2161" s="12" t="inlineStr"/>
      <c r="AP2161" s="13" t="inlineStr"/>
      <c r="AQ2161" s="13" t="inlineStr"/>
      <c r="AR2161" s="13" t="inlineStr"/>
      <c r="AS2161" s="13" t="inlineStr"/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7" t="n">
        <v>32305</v>
      </c>
      <c r="AK2162" s="8" t="n">
        <v>3279</v>
      </c>
      <c r="AL2162" s="8" t="n">
        <v>1059</v>
      </c>
      <c r="AM2162" s="11" t="inlineStr"/>
      <c r="AN2162" s="12" t="inlineStr"/>
      <c r="AO2162" s="12" t="inlineStr"/>
      <c r="AP2162" s="13" t="inlineStr"/>
      <c r="AQ2162" s="13" t="inlineStr"/>
      <c r="AR2162" s="13" t="inlineStr"/>
      <c r="AS2162" s="13" t="inlineStr"/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7" t="n">
        <v>0</v>
      </c>
      <c r="AK2163" s="8" t="n">
        <v>-29298</v>
      </c>
      <c r="AL2163" s="8" t="n">
        <v>-29015</v>
      </c>
      <c r="AM2163" s="11" t="inlineStr"/>
      <c r="AN2163" s="12" t="inlineStr"/>
      <c r="AO2163" s="12" t="inlineStr"/>
      <c r="AP2163" s="13" t="inlineStr"/>
      <c r="AQ2163" s="13" t="inlineStr"/>
      <c r="AR2163" s="13" t="inlineStr"/>
      <c r="AS2163" s="13" t="inlineStr"/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7" t="n">
        <v>36544</v>
      </c>
      <c r="AK2164" s="8" t="n">
        <v>3728</v>
      </c>
      <c r="AL2164" s="8" t="n">
        <v>3030</v>
      </c>
      <c r="AM2164" s="11" t="inlineStr"/>
      <c r="AN2164" s="12" t="inlineStr"/>
      <c r="AO2164" s="12" t="inlineStr"/>
      <c r="AP2164" s="13" t="inlineStr"/>
      <c r="AQ2164" s="13" t="inlineStr"/>
      <c r="AR2164" s="13" t="inlineStr"/>
      <c r="AS2164" s="13" t="inlineStr"/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7" t="n">
        <v>17374</v>
      </c>
      <c r="AK2165" s="8" t="n">
        <v>3394</v>
      </c>
      <c r="AL2165" s="8" t="n">
        <v>2890</v>
      </c>
      <c r="AM2165" s="11" t="inlineStr"/>
      <c r="AN2165" s="12" t="inlineStr"/>
      <c r="AO2165" s="12" t="inlineStr"/>
      <c r="AP2165" s="13" t="inlineStr"/>
      <c r="AQ2165" s="13" t="inlineStr"/>
      <c r="AR2165" s="13" t="inlineStr"/>
      <c r="AS2165" s="13" t="inlineStr"/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7" t="n">
        <v>22845</v>
      </c>
      <c r="AK2166" s="8" t="n">
        <v>3536</v>
      </c>
      <c r="AL2166" s="8" t="n">
        <v>4602</v>
      </c>
      <c r="AM2166" s="11" t="inlineStr"/>
      <c r="AN2166" s="12" t="inlineStr"/>
      <c r="AO2166" s="12" t="inlineStr"/>
      <c r="AP2166" s="13" t="inlineStr"/>
      <c r="AQ2166" s="13" t="inlineStr"/>
      <c r="AR2166" s="13" t="inlineStr"/>
      <c r="AS2166" s="13" t="inlineStr"/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7" t="n">
        <v>898</v>
      </c>
      <c r="AK2167" s="8" t="n">
        <v>-6399</v>
      </c>
      <c r="AL2167" s="8" t="n">
        <v>-6208</v>
      </c>
      <c r="AM2167" s="11" t="inlineStr"/>
      <c r="AN2167" s="12" t="inlineStr"/>
      <c r="AO2167" s="12" t="inlineStr"/>
      <c r="AP2167" s="13" t="inlineStr"/>
      <c r="AQ2167" s="13" t="inlineStr"/>
      <c r="AR2167" s="13" t="inlineStr"/>
      <c r="AS2167" s="13" t="inlineStr"/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7" t="n">
        <v>6454</v>
      </c>
      <c r="AK2168" s="8" t="n">
        <v>-2632</v>
      </c>
      <c r="AL2168" s="8" t="n">
        <v>-2609</v>
      </c>
      <c r="AM2168" s="11" t="inlineStr"/>
      <c r="AN2168" s="12" t="inlineStr"/>
      <c r="AO2168" s="12" t="inlineStr"/>
      <c r="AP2168" s="13" t="inlineStr"/>
      <c r="AQ2168" s="13" t="inlineStr"/>
      <c r="AR2168" s="13" t="inlineStr"/>
      <c r="AS2168" s="13" t="inlineStr"/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7" t="n">
        <v>23</v>
      </c>
      <c r="AK2169" s="8" t="n">
        <v>-528</v>
      </c>
      <c r="AL2169" s="8" t="n">
        <v>-1162</v>
      </c>
      <c r="AM2169" s="11" t="inlineStr"/>
      <c r="AN2169" s="12" t="inlineStr"/>
      <c r="AO2169" s="12" t="inlineStr"/>
      <c r="AP2169" s="13" t="inlineStr"/>
      <c r="AQ2169" s="13" t="inlineStr"/>
      <c r="AR2169" s="13" t="inlineStr"/>
      <c r="AS2169" s="13" t="inlineStr"/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7" t="n">
        <v>6254</v>
      </c>
      <c r="AK2170" s="8" t="n">
        <v>-7974</v>
      </c>
      <c r="AL2170" s="8" t="n">
        <v>-42648</v>
      </c>
      <c r="AM2170" s="11" t="inlineStr"/>
      <c r="AN2170" s="12" t="inlineStr"/>
      <c r="AO2170" s="12" t="inlineStr"/>
      <c r="AP2170" s="13" t="inlineStr"/>
      <c r="AQ2170" s="13" t="inlineStr"/>
      <c r="AR2170" s="13" t="inlineStr"/>
      <c r="AS2170" s="13" t="inlineStr"/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7" t="n">
        <v>39770</v>
      </c>
      <c r="AK2171" s="8" t="n">
        <v>4091</v>
      </c>
      <c r="AL2171" s="8" t="n">
        <v>2970</v>
      </c>
      <c r="AM2171" s="11" t="inlineStr"/>
      <c r="AN2171" s="12" t="inlineStr"/>
      <c r="AO2171" s="12" t="inlineStr"/>
      <c r="AP2171" s="13" t="inlineStr"/>
      <c r="AQ2171" s="13" t="inlineStr"/>
      <c r="AR2171" s="13" t="inlineStr"/>
      <c r="AS2171" s="13" t="inlineStr"/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7" t="n">
        <v>587</v>
      </c>
      <c r="AK2172" s="8" t="n">
        <v>-681</v>
      </c>
      <c r="AL2172" s="8" t="n">
        <v>-323</v>
      </c>
      <c r="AM2172" s="11" t="inlineStr"/>
      <c r="AN2172" s="12" t="inlineStr"/>
      <c r="AO2172" s="12" t="inlineStr"/>
      <c r="AP2172" s="13" t="inlineStr"/>
      <c r="AQ2172" s="13" t="inlineStr"/>
      <c r="AR2172" s="13" t="inlineStr"/>
      <c r="AS2172" s="13" t="inlineStr"/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7" t="n">
        <v>1311</v>
      </c>
      <c r="AK2173" s="8" t="n">
        <v>-3297</v>
      </c>
      <c r="AL2173" s="8" t="n">
        <v>-3234</v>
      </c>
      <c r="AM2173" s="11" t="inlineStr"/>
      <c r="AN2173" s="12" t="inlineStr"/>
      <c r="AO2173" s="12" t="inlineStr"/>
      <c r="AP2173" s="13" t="inlineStr"/>
      <c r="AQ2173" s="13" t="inlineStr"/>
      <c r="AR2173" s="13" t="inlineStr"/>
      <c r="AS2173" s="13" t="inlineStr"/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2026Q3</t>
        </is>
      </c>
      <c r="E2174" s="6" t="inlineStr">
        <is>
          <t>2023Q4, 2026Q3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8" t="n">
        <v>1315672</v>
      </c>
      <c r="AL2174" s="8" t="n">
        <v>1026482</v>
      </c>
      <c r="AM2174" s="14" t="n">
        <v>13300676</v>
      </c>
      <c r="AN2174" s="15" t="n">
        <v>1418989</v>
      </c>
      <c r="AO2174" s="15" t="n">
        <v>1080013</v>
      </c>
      <c r="AP2174" s="13" t="n">
        <v>1</v>
      </c>
      <c r="AQ2174" s="13" t="n">
        <v>162.7</v>
      </c>
      <c r="AR2174" s="13" t="n">
        <v>7.9</v>
      </c>
      <c r="AS2174" s="13" t="n">
        <v>43.6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7" t="n">
        <v>1936</v>
      </c>
      <c r="AK2175" s="8" t="n">
        <v>-1551</v>
      </c>
      <c r="AL2175" s="8" t="n">
        <v>-2135</v>
      </c>
      <c r="AM2175" s="11" t="inlineStr"/>
      <c r="AN2175" s="12" t="inlineStr"/>
      <c r="AO2175" s="12" t="inlineStr"/>
      <c r="AP2175" s="13" t="inlineStr"/>
      <c r="AQ2175" s="13" t="inlineStr"/>
      <c r="AR2175" s="13" t="inlineStr"/>
      <c r="AS2175" s="13" t="inlineStr"/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7" t="n">
        <v>7897</v>
      </c>
      <c r="AK2176" s="8" t="n">
        <v>290</v>
      </c>
      <c r="AL2176" s="8" t="n">
        <v>-131</v>
      </c>
      <c r="AM2176" s="11" t="inlineStr"/>
      <c r="AN2176" s="12" t="inlineStr"/>
      <c r="AO2176" s="12" t="inlineStr"/>
      <c r="AP2176" s="13" t="inlineStr"/>
      <c r="AQ2176" s="13" t="inlineStr"/>
      <c r="AR2176" s="13" t="inlineStr"/>
      <c r="AS2176" s="13" t="inlineStr"/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7" t="n">
        <v>42182</v>
      </c>
      <c r="AK2177" s="8" t="n">
        <v>-10562</v>
      </c>
      <c r="AL2177" s="8" t="n">
        <v>-18128</v>
      </c>
      <c r="AM2177" s="11" t="inlineStr"/>
      <c r="AN2177" s="12" t="inlineStr"/>
      <c r="AO2177" s="12" t="inlineStr"/>
      <c r="AP2177" s="13" t="inlineStr"/>
      <c r="AQ2177" s="13" t="inlineStr"/>
      <c r="AR2177" s="13" t="inlineStr"/>
      <c r="AS2177" s="13" t="inlineStr"/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7" t="n">
        <v>303337</v>
      </c>
      <c r="AK2178" s="8" t="n">
        <v>9036</v>
      </c>
      <c r="AL2178" s="8" t="n">
        <v>9852</v>
      </c>
      <c r="AM2178" s="11" t="inlineStr"/>
      <c r="AN2178" s="12" t="inlineStr"/>
      <c r="AO2178" s="12" t="inlineStr"/>
      <c r="AP2178" s="13" t="inlineStr"/>
      <c r="AQ2178" s="13" t="inlineStr"/>
      <c r="AR2178" s="13" t="inlineStr"/>
      <c r="AS2178" s="13" t="inlineStr"/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7" t="n">
        <v>76106</v>
      </c>
      <c r="AK2179" s="8" t="n">
        <v>27612</v>
      </c>
      <c r="AL2179" s="8" t="n">
        <v>24322</v>
      </c>
      <c r="AM2179" s="11" t="inlineStr"/>
      <c r="AN2179" s="12" t="inlineStr"/>
      <c r="AO2179" s="12" t="inlineStr"/>
      <c r="AP2179" s="13" t="inlineStr"/>
      <c r="AQ2179" s="13" t="inlineStr"/>
      <c r="AR2179" s="13" t="inlineStr"/>
      <c r="AS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7" t="n">
        <v>19429</v>
      </c>
      <c r="AK2180" s="8" t="n">
        <v>-3100</v>
      </c>
      <c r="AL2180" s="8" t="n">
        <v>-2893</v>
      </c>
      <c r="AM2180" s="11" t="inlineStr"/>
      <c r="AN2180" s="12" t="inlineStr"/>
      <c r="AO2180" s="12" t="inlineStr"/>
      <c r="AP2180" s="13" t="inlineStr"/>
      <c r="AQ2180" s="13" t="inlineStr"/>
      <c r="AR2180" s="13" t="inlineStr"/>
      <c r="AS2180" s="13" t="inlineStr"/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7" t="n">
        <v>646</v>
      </c>
      <c r="AK2181" s="8" t="n">
        <v>-4218</v>
      </c>
      <c r="AL2181" s="8" t="n">
        <v>-3808</v>
      </c>
      <c r="AM2181" s="11" t="inlineStr"/>
      <c r="AN2181" s="12" t="inlineStr"/>
      <c r="AO2181" s="12" t="inlineStr"/>
      <c r="AP2181" s="13" t="inlineStr"/>
      <c r="AQ2181" s="13" t="inlineStr"/>
      <c r="AR2181" s="13" t="inlineStr"/>
      <c r="AS2181" s="13" t="inlineStr"/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7" t="n">
        <v>5259</v>
      </c>
      <c r="AK2182" s="8" t="n">
        <v>-808</v>
      </c>
      <c r="AL2182" s="8" t="n">
        <v>757</v>
      </c>
      <c r="AM2182" s="11" t="inlineStr"/>
      <c r="AN2182" s="12" t="inlineStr"/>
      <c r="AO2182" s="12" t="inlineStr"/>
      <c r="AP2182" s="13" t="inlineStr"/>
      <c r="AQ2182" s="13" t="inlineStr"/>
      <c r="AR2182" s="13" t="inlineStr"/>
      <c r="AS2182" s="13" t="inlineStr"/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7" t="n">
        <v>11882</v>
      </c>
      <c r="AK2183" s="8" t="n">
        <v>-184</v>
      </c>
      <c r="AL2183" s="8" t="n">
        <v>96</v>
      </c>
      <c r="AM2183" s="11" t="inlineStr"/>
      <c r="AN2183" s="12" t="inlineStr"/>
      <c r="AO2183" s="12" t="inlineStr"/>
      <c r="AP2183" s="13" t="inlineStr"/>
      <c r="AQ2183" s="13" t="inlineStr"/>
      <c r="AR2183" s="13" t="inlineStr"/>
      <c r="AS2183" s="13" t="inlineStr"/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7" t="n">
        <v>11590</v>
      </c>
      <c r="AK2184" s="8" t="n">
        <v>974</v>
      </c>
      <c r="AL2184" s="8" t="n">
        <v>1045</v>
      </c>
      <c r="AM2184" s="11" t="inlineStr"/>
      <c r="AN2184" s="12" t="inlineStr"/>
      <c r="AO2184" s="12" t="inlineStr"/>
      <c r="AP2184" s="13" t="inlineStr"/>
      <c r="AQ2184" s="13" t="inlineStr"/>
      <c r="AR2184" s="13" t="inlineStr"/>
      <c r="AS2184" s="13" t="inlineStr"/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7" t="n">
        <v>4614</v>
      </c>
      <c r="AK2185" s="8" t="n">
        <v>-784</v>
      </c>
      <c r="AL2185" s="8" t="n">
        <v>548</v>
      </c>
      <c r="AM2185" s="11" t="inlineStr"/>
      <c r="AN2185" s="12" t="inlineStr"/>
      <c r="AO2185" s="12" t="inlineStr"/>
      <c r="AP2185" s="13" t="inlineStr"/>
      <c r="AQ2185" s="13" t="inlineStr"/>
      <c r="AR2185" s="13" t="inlineStr"/>
      <c r="AS2185" s="13" t="inlineStr"/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7" t="n">
        <v>6307</v>
      </c>
      <c r="AK2186" s="8" t="n">
        <v>-283</v>
      </c>
      <c r="AL2186" s="8" t="n">
        <v>-181</v>
      </c>
      <c r="AM2186" s="11" t="inlineStr"/>
      <c r="AN2186" s="12" t="inlineStr"/>
      <c r="AO2186" s="12" t="inlineStr"/>
      <c r="AP2186" s="13" t="inlineStr"/>
      <c r="AQ2186" s="13" t="inlineStr"/>
      <c r="AR2186" s="13" t="inlineStr"/>
      <c r="AS2186" s="13" t="inlineStr"/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7" t="n">
        <v>2383</v>
      </c>
      <c r="AK2187" s="8" t="n">
        <v>-162</v>
      </c>
      <c r="AL2187" s="8" t="n">
        <v>475</v>
      </c>
      <c r="AM2187" s="11" t="inlineStr"/>
      <c r="AN2187" s="12" t="inlineStr"/>
      <c r="AO2187" s="12" t="inlineStr"/>
      <c r="AP2187" s="13" t="inlineStr"/>
      <c r="AQ2187" s="13" t="inlineStr"/>
      <c r="AR2187" s="13" t="inlineStr"/>
      <c r="AS2187" s="13" t="inlineStr"/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7" t="n">
        <v>28450</v>
      </c>
      <c r="AK2188" s="8" t="n">
        <v>4203</v>
      </c>
      <c r="AL2188" s="8" t="n">
        <v>4603</v>
      </c>
      <c r="AM2188" s="11" t="inlineStr"/>
      <c r="AN2188" s="12" t="inlineStr"/>
      <c r="AO2188" s="12" t="inlineStr"/>
      <c r="AP2188" s="13" t="inlineStr"/>
      <c r="AQ2188" s="13" t="inlineStr"/>
      <c r="AR2188" s="13" t="inlineStr"/>
      <c r="AS2188" s="13" t="inlineStr"/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7" t="n">
        <v>6279</v>
      </c>
      <c r="AK2189" s="8" t="n">
        <v>-3692</v>
      </c>
      <c r="AL2189" s="8" t="n">
        <v>-3563</v>
      </c>
      <c r="AM2189" s="11" t="inlineStr"/>
      <c r="AN2189" s="12" t="inlineStr"/>
      <c r="AO2189" s="12" t="inlineStr"/>
      <c r="AP2189" s="13" t="inlineStr"/>
      <c r="AQ2189" s="13" t="inlineStr"/>
      <c r="AR2189" s="13" t="inlineStr"/>
      <c r="AS2189" s="13" t="inlineStr"/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7" t="n">
        <v>19363</v>
      </c>
      <c r="AK2190" s="8" t="n">
        <v>3489</v>
      </c>
      <c r="AL2190" s="8" t="n">
        <v>2938</v>
      </c>
      <c r="AM2190" s="11" t="inlineStr"/>
      <c r="AN2190" s="12" t="inlineStr"/>
      <c r="AO2190" s="12" t="inlineStr"/>
      <c r="AP2190" s="13" t="inlineStr"/>
      <c r="AQ2190" s="13" t="inlineStr"/>
      <c r="AR2190" s="13" t="inlineStr"/>
      <c r="AS2190" s="13" t="inlineStr"/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7" t="n">
        <v>15323</v>
      </c>
      <c r="AK2191" s="8" t="n">
        <v>3794</v>
      </c>
      <c r="AL2191" s="8" t="n">
        <v>5335</v>
      </c>
      <c r="AM2191" s="11" t="inlineStr"/>
      <c r="AN2191" s="12" t="inlineStr"/>
      <c r="AO2191" s="12" t="inlineStr"/>
      <c r="AP2191" s="13" t="inlineStr"/>
      <c r="AQ2191" s="13" t="inlineStr"/>
      <c r="AR2191" s="13" t="inlineStr"/>
      <c r="AS2191" s="13" t="inlineStr"/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7" t="n">
        <v>100360</v>
      </c>
      <c r="AK2192" s="8" t="n">
        <v>3196</v>
      </c>
      <c r="AL2192" s="8" t="n">
        <v>11343</v>
      </c>
      <c r="AM2192" s="11" t="inlineStr"/>
      <c r="AN2192" s="12" t="inlineStr"/>
      <c r="AO2192" s="12" t="inlineStr"/>
      <c r="AP2192" s="13" t="inlineStr"/>
      <c r="AQ2192" s="13" t="inlineStr"/>
      <c r="AR2192" s="13" t="inlineStr"/>
      <c r="AS2192" s="13" t="inlineStr"/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7" t="n">
        <v>167474</v>
      </c>
      <c r="AK2193" s="8" t="n">
        <v>50264</v>
      </c>
      <c r="AL2193" s="8" t="n">
        <v>43954</v>
      </c>
      <c r="AM2193" s="11" t="inlineStr"/>
      <c r="AN2193" s="12" t="inlineStr"/>
      <c r="AO2193" s="12" t="inlineStr"/>
      <c r="AP2193" s="13" t="inlineStr"/>
      <c r="AQ2193" s="13" t="inlineStr"/>
      <c r="AR2193" s="13" t="inlineStr"/>
      <c r="AS2193" s="13" t="inlineStr"/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7" t="n">
        <v>14108</v>
      </c>
      <c r="AK2194" s="8" t="n">
        <v>-3352</v>
      </c>
      <c r="AL2194" s="8" t="n">
        <v>-11354</v>
      </c>
      <c r="AM2194" s="11" t="inlineStr"/>
      <c r="AN2194" s="12" t="inlineStr"/>
      <c r="AO2194" s="12" t="inlineStr"/>
      <c r="AP2194" s="13" t="inlineStr"/>
      <c r="AQ2194" s="13" t="inlineStr"/>
      <c r="AR2194" s="13" t="inlineStr"/>
      <c r="AS2194" s="13" t="inlineStr"/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7" t="n">
        <v>8964</v>
      </c>
      <c r="AK2195" s="8" t="n">
        <v>1231</v>
      </c>
      <c r="AL2195" s="8" t="n">
        <v>5115</v>
      </c>
      <c r="AM2195" s="11" t="inlineStr"/>
      <c r="AN2195" s="12" t="inlineStr"/>
      <c r="AO2195" s="12" t="inlineStr"/>
      <c r="AP2195" s="13" t="inlineStr"/>
      <c r="AQ2195" s="13" t="inlineStr"/>
      <c r="AR2195" s="13" t="inlineStr"/>
      <c r="AS2195" s="13" t="inlineStr"/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7" t="n">
        <v>2527</v>
      </c>
      <c r="AK2196" s="8" t="n">
        <v>-2198</v>
      </c>
      <c r="AL2196" s="8" t="n">
        <v>-2611</v>
      </c>
      <c r="AM2196" s="11" t="inlineStr"/>
      <c r="AN2196" s="12" t="inlineStr"/>
      <c r="AO2196" s="12" t="inlineStr"/>
      <c r="AP2196" s="13" t="inlineStr"/>
      <c r="AQ2196" s="13" t="inlineStr"/>
      <c r="AR2196" s="13" t="inlineStr"/>
      <c r="AS2196" s="13" t="inlineStr"/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7" t="n">
        <v>4477</v>
      </c>
      <c r="AK2197" s="8" t="n">
        <v>-4245</v>
      </c>
      <c r="AL2197" s="8" t="n">
        <v>-4502</v>
      </c>
      <c r="AM2197" s="11" t="inlineStr"/>
      <c r="AN2197" s="12" t="inlineStr"/>
      <c r="AO2197" s="12" t="inlineStr"/>
      <c r="AP2197" s="13" t="inlineStr"/>
      <c r="AQ2197" s="13" t="inlineStr"/>
      <c r="AR2197" s="13" t="inlineStr"/>
      <c r="AS2197" s="13" t="inlineStr"/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7" t="n">
        <v>9325</v>
      </c>
      <c r="AK2198" s="8" t="n">
        <v>-1088</v>
      </c>
      <c r="AL2198" s="8" t="n">
        <v>-728</v>
      </c>
      <c r="AM2198" s="11" t="inlineStr"/>
      <c r="AN2198" s="12" t="inlineStr"/>
      <c r="AO2198" s="12" t="inlineStr"/>
      <c r="AP2198" s="13" t="inlineStr"/>
      <c r="AQ2198" s="13" t="inlineStr"/>
      <c r="AR2198" s="13" t="inlineStr"/>
      <c r="AS2198" s="13" t="inlineStr"/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2026Q2</t>
        </is>
      </c>
      <c r="E2199" s="6" t="inlineStr">
        <is>
          <t>2023Q4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7" t="n">
        <v>165037</v>
      </c>
      <c r="AK2199" s="8" t="n">
        <v>36115</v>
      </c>
      <c r="AL2199" s="8" t="n">
        <v>30745</v>
      </c>
      <c r="AM2199" s="11" t="inlineStr"/>
      <c r="AN2199" s="12" t="inlineStr"/>
      <c r="AO2199" s="12" t="inlineStr"/>
      <c r="AP2199" s="13" t="inlineStr"/>
      <c r="AQ2199" s="13" t="inlineStr"/>
      <c r="AR2199" s="13" t="inlineStr"/>
      <c r="AS2199" s="13" t="inlineStr"/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7" t="n">
        <v>16790</v>
      </c>
      <c r="AK2200" s="8" t="n">
        <v>-2646</v>
      </c>
      <c r="AL2200" s="8" t="n">
        <v>-6798</v>
      </c>
      <c r="AM2200" s="11" t="inlineStr"/>
      <c r="AN2200" s="12" t="inlineStr"/>
      <c r="AO2200" s="12" t="inlineStr"/>
      <c r="AP2200" s="13" t="inlineStr"/>
      <c r="AQ2200" s="13" t="inlineStr"/>
      <c r="AR2200" s="13" t="inlineStr"/>
      <c r="AS2200" s="13" t="inlineStr"/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7" t="n">
        <v>11366</v>
      </c>
      <c r="AK2201" s="8" t="n">
        <v>-2294</v>
      </c>
      <c r="AL2201" s="8" t="n">
        <v>-3571</v>
      </c>
      <c r="AM2201" s="11" t="inlineStr"/>
      <c r="AN2201" s="12" t="inlineStr"/>
      <c r="AO2201" s="12" t="inlineStr"/>
      <c r="AP2201" s="13" t="inlineStr"/>
      <c r="AQ2201" s="13" t="inlineStr"/>
      <c r="AR2201" s="13" t="inlineStr"/>
      <c r="AS2201" s="13" t="inlineStr"/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7" t="n">
        <v>520</v>
      </c>
      <c r="AK2202" s="8" t="n">
        <v>-3347</v>
      </c>
      <c r="AL2202" s="8" t="n">
        <v>-3742</v>
      </c>
      <c r="AM2202" s="11" t="inlineStr"/>
      <c r="AN2202" s="12" t="inlineStr"/>
      <c r="AO2202" s="12" t="inlineStr"/>
      <c r="AP2202" s="13" t="inlineStr"/>
      <c r="AQ2202" s="13" t="inlineStr"/>
      <c r="AR2202" s="13" t="inlineStr"/>
      <c r="AS2202" s="13" t="inlineStr"/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7" t="n">
        <v>7175</v>
      </c>
      <c r="AK2203" s="8" t="n">
        <v>-1079</v>
      </c>
      <c r="AL2203" s="8" t="n">
        <v>-389</v>
      </c>
      <c r="AM2203" s="11" t="inlineStr"/>
      <c r="AN2203" s="12" t="inlineStr"/>
      <c r="AO2203" s="12" t="inlineStr"/>
      <c r="AP2203" s="13" t="inlineStr"/>
      <c r="AQ2203" s="13" t="inlineStr"/>
      <c r="AR2203" s="13" t="inlineStr"/>
      <c r="AS2203" s="13" t="inlineStr"/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7" t="n">
        <v>30518</v>
      </c>
      <c r="AK2204" s="8" t="n">
        <v>3118</v>
      </c>
      <c r="AL2204" s="8" t="n">
        <v>3466</v>
      </c>
      <c r="AM2204" s="11" t="inlineStr"/>
      <c r="AN2204" s="12" t="inlineStr"/>
      <c r="AO2204" s="12" t="inlineStr"/>
      <c r="AP2204" s="13" t="inlineStr"/>
      <c r="AQ2204" s="13" t="inlineStr"/>
      <c r="AR2204" s="13" t="inlineStr"/>
      <c r="AS2204" s="13" t="inlineStr"/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7" t="n">
        <v>8017</v>
      </c>
      <c r="AK2205" s="8" t="n">
        <v>1693</v>
      </c>
      <c r="AL2205" s="8" t="n">
        <v>1425</v>
      </c>
      <c r="AM2205" s="11" t="inlineStr"/>
      <c r="AN2205" s="12" t="inlineStr"/>
      <c r="AO2205" s="12" t="inlineStr"/>
      <c r="AP2205" s="13" t="inlineStr"/>
      <c r="AQ2205" s="13" t="inlineStr"/>
      <c r="AR2205" s="13" t="inlineStr"/>
      <c r="AS2205" s="13" t="inlineStr"/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7" t="n">
        <v>828980</v>
      </c>
      <c r="AK2206" s="8" t="n">
        <v>193977</v>
      </c>
      <c r="AL2206" s="8" t="n">
        <v>140752</v>
      </c>
      <c r="AM2206" s="11" t="inlineStr"/>
      <c r="AN2206" s="12" t="inlineStr"/>
      <c r="AO2206" s="12" t="inlineStr"/>
      <c r="AP2206" s="13" t="inlineStr"/>
      <c r="AQ2206" s="13" t="inlineStr"/>
      <c r="AR2206" s="13" t="inlineStr"/>
      <c r="AS2206" s="13" t="inlineStr"/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7" t="n">
        <v>1625</v>
      </c>
      <c r="AK2207" s="8" t="n">
        <v>-5025</v>
      </c>
      <c r="AL2207" s="8" t="n">
        <v>-4046</v>
      </c>
      <c r="AM2207" s="11" t="inlineStr"/>
      <c r="AN2207" s="12" t="inlineStr"/>
      <c r="AO2207" s="12" t="inlineStr"/>
      <c r="AP2207" s="13" t="inlineStr"/>
      <c r="AQ2207" s="13" t="inlineStr"/>
      <c r="AR2207" s="13" t="inlineStr"/>
      <c r="AS2207" s="13" t="inlineStr"/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7" t="n">
        <v>247367</v>
      </c>
      <c r="AK2208" s="8" t="n">
        <v>97064</v>
      </c>
      <c r="AL2208" s="8" t="n">
        <v>85065</v>
      </c>
      <c r="AM2208" s="11" t="inlineStr"/>
      <c r="AN2208" s="12" t="inlineStr"/>
      <c r="AO2208" s="12" t="inlineStr"/>
      <c r="AP2208" s="13" t="inlineStr"/>
      <c r="AQ2208" s="13" t="inlineStr"/>
      <c r="AR2208" s="13" t="inlineStr"/>
      <c r="AS2208" s="13" t="inlineStr"/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7" t="n">
        <v>25060</v>
      </c>
      <c r="AK2209" s="8" t="n">
        <v>5290</v>
      </c>
      <c r="AL2209" s="8" t="n">
        <v>5235</v>
      </c>
      <c r="AM2209" s="11" t="inlineStr"/>
      <c r="AN2209" s="12" t="inlineStr"/>
      <c r="AO2209" s="12" t="inlineStr"/>
      <c r="AP2209" s="13" t="inlineStr"/>
      <c r="AQ2209" s="13" t="inlineStr"/>
      <c r="AR2209" s="13" t="inlineStr"/>
      <c r="AS2209" s="13" t="inlineStr"/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7" t="n">
        <v>21814</v>
      </c>
      <c r="AK2210" s="8" t="n">
        <v>-15369</v>
      </c>
      <c r="AL2210" s="8" t="n">
        <v>-23557</v>
      </c>
      <c r="AM2210" s="11" t="inlineStr"/>
      <c r="AN2210" s="12" t="inlineStr"/>
      <c r="AO2210" s="12" t="inlineStr"/>
      <c r="AP2210" s="13" t="inlineStr"/>
      <c r="AQ2210" s="13" t="inlineStr"/>
      <c r="AR2210" s="13" t="inlineStr"/>
      <c r="AS2210" s="13" t="inlineStr"/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7" t="n">
        <v>19904</v>
      </c>
      <c r="AK2211" s="8" t="n">
        <v>-798</v>
      </c>
      <c r="AL2211" s="8" t="n">
        <v>-509</v>
      </c>
      <c r="AM2211" s="11" t="inlineStr"/>
      <c r="AN2211" s="12" t="inlineStr"/>
      <c r="AO2211" s="12" t="inlineStr"/>
      <c r="AP2211" s="13" t="inlineStr"/>
      <c r="AQ2211" s="13" t="inlineStr"/>
      <c r="AR2211" s="13" t="inlineStr"/>
      <c r="AS2211" s="13" t="inlineStr"/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7" t="n">
        <v>6332155</v>
      </c>
      <c r="AK2212" s="8" t="n">
        <v>1039938</v>
      </c>
      <c r="AL2212" s="8" t="n">
        <v>822143</v>
      </c>
      <c r="AM2212" s="11" t="inlineStr"/>
      <c r="AN2212" s="12" t="inlineStr"/>
      <c r="AO2212" s="12" t="inlineStr"/>
      <c r="AP2212" s="13" t="inlineStr"/>
      <c r="AQ2212" s="13" t="inlineStr"/>
      <c r="AR2212" s="13" t="inlineStr"/>
      <c r="AS2212" s="13" t="inlineStr"/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7" t="n">
        <v>29072</v>
      </c>
      <c r="AK2213" s="8" t="n">
        <v>1077</v>
      </c>
      <c r="AL2213" s="8" t="n">
        <v>1968</v>
      </c>
      <c r="AM2213" s="11" t="inlineStr"/>
      <c r="AN2213" s="12" t="inlineStr"/>
      <c r="AO2213" s="12" t="inlineStr"/>
      <c r="AP2213" s="13" t="inlineStr"/>
      <c r="AQ2213" s="13" t="inlineStr"/>
      <c r="AR2213" s="13" t="inlineStr"/>
      <c r="AS2213" s="13" t="inlineStr"/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7" t="n">
        <v>38934</v>
      </c>
      <c r="AK2214" s="8" t="n">
        <v>26063</v>
      </c>
      <c r="AL2214" s="8" t="n">
        <v>10571</v>
      </c>
      <c r="AM2214" s="11" t="inlineStr"/>
      <c r="AN2214" s="12" t="inlineStr"/>
      <c r="AO2214" s="12" t="inlineStr"/>
      <c r="AP2214" s="13" t="inlineStr"/>
      <c r="AQ2214" s="13" t="inlineStr"/>
      <c r="AR2214" s="13" t="inlineStr"/>
      <c r="AS2214" s="13" t="inlineStr"/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7" t="n">
        <v>15995</v>
      </c>
      <c r="AK2215" s="8" t="n">
        <v>1726</v>
      </c>
      <c r="AL2215" s="8" t="n">
        <v>584</v>
      </c>
      <c r="AM2215" s="11" t="inlineStr"/>
      <c r="AN2215" s="12" t="inlineStr"/>
      <c r="AO2215" s="12" t="inlineStr"/>
      <c r="AP2215" s="13" t="inlineStr"/>
      <c r="AQ2215" s="13" t="inlineStr"/>
      <c r="AR2215" s="13" t="inlineStr"/>
      <c r="AS2215" s="13" t="inlineStr"/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7" t="n">
        <v>30932</v>
      </c>
      <c r="AK2216" s="8" t="n">
        <v>5102</v>
      </c>
      <c r="AL2216" s="8" t="n">
        <v>9351</v>
      </c>
      <c r="AM2216" s="11" t="inlineStr"/>
      <c r="AN2216" s="12" t="inlineStr"/>
      <c r="AO2216" s="12" t="inlineStr"/>
      <c r="AP2216" s="13" t="inlineStr"/>
      <c r="AQ2216" s="13" t="inlineStr"/>
      <c r="AR2216" s="13" t="inlineStr"/>
      <c r="AS2216" s="13" t="inlineStr"/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7" t="n">
        <v>10599</v>
      </c>
      <c r="AK2217" s="8" t="n">
        <v>-1166</v>
      </c>
      <c r="AL2217" s="8" t="n">
        <v>-2508</v>
      </c>
      <c r="AM2217" s="11" t="inlineStr"/>
      <c r="AN2217" s="12" t="inlineStr"/>
      <c r="AO2217" s="12" t="inlineStr"/>
      <c r="AP2217" s="13" t="inlineStr"/>
      <c r="AQ2217" s="13" t="inlineStr"/>
      <c r="AR2217" s="13" t="inlineStr"/>
      <c r="AS2217" s="13" t="inlineStr"/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7" t="n">
        <v>12413</v>
      </c>
      <c r="AK2218" s="8" t="n">
        <v>1742</v>
      </c>
      <c r="AL2218" s="8" t="n">
        <v>1230</v>
      </c>
      <c r="AM2218" s="11" t="inlineStr"/>
      <c r="AN2218" s="12" t="inlineStr"/>
      <c r="AO2218" s="12" t="inlineStr"/>
      <c r="AP2218" s="13" t="inlineStr"/>
      <c r="AQ2218" s="13" t="inlineStr"/>
      <c r="AR2218" s="13" t="inlineStr"/>
      <c r="AS2218" s="13" t="inlineStr"/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7" t="n">
        <v>7465</v>
      </c>
      <c r="AK2219" s="8" t="n">
        <v>-793</v>
      </c>
      <c r="AL2219" s="8" t="n">
        <v>-106</v>
      </c>
      <c r="AM2219" s="11" t="inlineStr"/>
      <c r="AN2219" s="12" t="inlineStr"/>
      <c r="AO2219" s="12" t="inlineStr"/>
      <c r="AP2219" s="13" t="inlineStr"/>
      <c r="AQ2219" s="13" t="inlineStr"/>
      <c r="AR2219" s="13" t="inlineStr"/>
      <c r="AS2219" s="13" t="inlineStr"/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7" t="n">
        <v>1376</v>
      </c>
      <c r="AK2220" s="8" t="n">
        <v>-924</v>
      </c>
      <c r="AL2220" s="8" t="n">
        <v>-5232</v>
      </c>
      <c r="AM2220" s="11" t="inlineStr"/>
      <c r="AN2220" s="12" t="inlineStr"/>
      <c r="AO2220" s="12" t="inlineStr"/>
      <c r="AP2220" s="13" t="inlineStr"/>
      <c r="AQ2220" s="13" t="inlineStr"/>
      <c r="AR2220" s="13" t="inlineStr"/>
      <c r="AS2220" s="13" t="inlineStr"/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7" t="n">
        <v>51664</v>
      </c>
      <c r="AK2221" s="8" t="n">
        <v>3416</v>
      </c>
      <c r="AL2221" s="8" t="n">
        <v>3499</v>
      </c>
      <c r="AM2221" s="11" t="inlineStr"/>
      <c r="AN2221" s="12" t="inlineStr"/>
      <c r="AO2221" s="12" t="inlineStr"/>
      <c r="AP2221" s="13" t="inlineStr"/>
      <c r="AQ2221" s="13" t="inlineStr"/>
      <c r="AR2221" s="13" t="inlineStr"/>
      <c r="AS2221" s="13" t="inlineStr"/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7" t="n">
        <v>11882</v>
      </c>
      <c r="AK2222" s="8" t="n">
        <v>2587</v>
      </c>
      <c r="AL2222" s="8" t="n">
        <v>2426</v>
      </c>
      <c r="AM2222" s="11" t="inlineStr"/>
      <c r="AN2222" s="12" t="inlineStr"/>
      <c r="AO2222" s="12" t="inlineStr"/>
      <c r="AP2222" s="13" t="inlineStr"/>
      <c r="AQ2222" s="13" t="inlineStr"/>
      <c r="AR2222" s="13" t="inlineStr"/>
      <c r="AS2222" s="13" t="inlineStr"/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7" t="n">
        <v>74420</v>
      </c>
      <c r="AK2223" s="8" t="n">
        <v>4171</v>
      </c>
      <c r="AL2223" s="8" t="n">
        <v>5998</v>
      </c>
      <c r="AM2223" s="11" t="inlineStr"/>
      <c r="AN2223" s="12" t="inlineStr"/>
      <c r="AO2223" s="12" t="inlineStr"/>
      <c r="AP2223" s="13" t="inlineStr"/>
      <c r="AQ2223" s="13" t="inlineStr"/>
      <c r="AR2223" s="13" t="inlineStr"/>
      <c r="AS2223" s="13" t="inlineStr"/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7" t="n">
        <v>6514</v>
      </c>
      <c r="AK2224" s="8" t="n">
        <v>556</v>
      </c>
      <c r="AL2224" s="8" t="n">
        <v>619</v>
      </c>
      <c r="AM2224" s="11" t="inlineStr"/>
      <c r="AN2224" s="12" t="inlineStr"/>
      <c r="AO2224" s="12" t="inlineStr"/>
      <c r="AP2224" s="13" t="inlineStr"/>
      <c r="AQ2224" s="13" t="inlineStr"/>
      <c r="AR2224" s="13" t="inlineStr"/>
      <c r="AS2224" s="13" t="inlineStr"/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7" t="n">
        <v>16229</v>
      </c>
      <c r="AK2225" s="8" t="n">
        <v>5933</v>
      </c>
      <c r="AL2225" s="8" t="n">
        <v>6752</v>
      </c>
      <c r="AM2225" s="11" t="inlineStr"/>
      <c r="AN2225" s="12" t="inlineStr"/>
      <c r="AO2225" s="12" t="inlineStr"/>
      <c r="AP2225" s="13" t="inlineStr"/>
      <c r="AQ2225" s="13" t="inlineStr"/>
      <c r="AR2225" s="13" t="inlineStr"/>
      <c r="AS2225" s="13" t="inlineStr"/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7" t="n">
        <v>25496</v>
      </c>
      <c r="AK2226" s="8" t="n">
        <v>2914</v>
      </c>
      <c r="AL2226" s="8" t="n">
        <v>2122</v>
      </c>
      <c r="AM2226" s="11" t="inlineStr"/>
      <c r="AN2226" s="12" t="inlineStr"/>
      <c r="AO2226" s="12" t="inlineStr"/>
      <c r="AP2226" s="13" t="inlineStr"/>
      <c r="AQ2226" s="13" t="inlineStr"/>
      <c r="AR2226" s="13" t="inlineStr"/>
      <c r="AS2226" s="13" t="inlineStr"/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7" t="n">
        <v>2032</v>
      </c>
      <c r="AK2227" s="8" t="n">
        <v>228</v>
      </c>
      <c r="AL2227" s="8" t="n">
        <v>-1190</v>
      </c>
      <c r="AM2227" s="11" t="inlineStr"/>
      <c r="AN2227" s="12" t="inlineStr"/>
      <c r="AO2227" s="12" t="inlineStr"/>
      <c r="AP2227" s="13" t="inlineStr"/>
      <c r="AQ2227" s="13" t="inlineStr"/>
      <c r="AR2227" s="13" t="inlineStr"/>
      <c r="AS2227" s="13" t="inlineStr"/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2026Q3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7" t="inlineStr"/>
      <c r="AK2228" s="8" t="inlineStr"/>
      <c r="AL2228" s="8" t="inlineStr"/>
      <c r="AM2228" s="11" t="n">
        <v>2270</v>
      </c>
      <c r="AN2228" s="12" t="n">
        <v>-16328</v>
      </c>
      <c r="AO2228" s="12" t="n">
        <v>-14650</v>
      </c>
      <c r="AP2228" s="13" t="inlineStr"/>
      <c r="AQ2228" s="13" t="n">
        <v>-34.8</v>
      </c>
      <c r="AR2228" s="13" t="inlineStr"/>
      <c r="AS2228" s="13" t="n">
        <v>-124.5</v>
      </c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7" t="n">
        <v>6216</v>
      </c>
      <c r="AK2229" s="8" t="n">
        <v>-1209</v>
      </c>
      <c r="AL2229" s="8" t="n">
        <v>-1167</v>
      </c>
      <c r="AM2229" s="11" t="inlineStr"/>
      <c r="AN2229" s="12" t="inlineStr"/>
      <c r="AO2229" s="12" t="inlineStr"/>
      <c r="AP2229" s="13" t="inlineStr"/>
      <c r="AQ2229" s="13" t="inlineStr"/>
      <c r="AR2229" s="13" t="inlineStr"/>
      <c r="AS2229" s="13" t="inlineStr"/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7" t="n">
        <v>1756</v>
      </c>
      <c r="AK2230" s="8" t="n">
        <v>-1942</v>
      </c>
      <c r="AL2230" s="8" t="n">
        <v>1017</v>
      </c>
      <c r="AM2230" s="11" t="inlineStr"/>
      <c r="AN2230" s="12" t="inlineStr"/>
      <c r="AO2230" s="12" t="inlineStr"/>
      <c r="AP2230" s="13" t="inlineStr"/>
      <c r="AQ2230" s="13" t="inlineStr"/>
      <c r="AR2230" s="13" t="inlineStr"/>
      <c r="AS2230" s="13" t="inlineStr"/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7" t="n">
        <v>15239</v>
      </c>
      <c r="AK2231" s="8" t="n">
        <v>-886</v>
      </c>
      <c r="AL2231" s="8" t="n">
        <v>-211</v>
      </c>
      <c r="AM2231" s="11" t="inlineStr"/>
      <c r="AN2231" s="12" t="inlineStr"/>
      <c r="AO2231" s="12" t="inlineStr"/>
      <c r="AP2231" s="13" t="inlineStr"/>
      <c r="AQ2231" s="13" t="inlineStr"/>
      <c r="AR2231" s="13" t="inlineStr"/>
      <c r="AS2231" s="13" t="inlineStr"/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7" t="n">
        <v>44259</v>
      </c>
      <c r="AK2232" s="8" t="n">
        <v>-50914</v>
      </c>
      <c r="AL2232" s="8" t="n">
        <v>-55598</v>
      </c>
      <c r="AM2232" s="11" t="inlineStr"/>
      <c r="AN2232" s="12" t="inlineStr"/>
      <c r="AO2232" s="12" t="inlineStr"/>
      <c r="AP2232" s="13" t="inlineStr"/>
      <c r="AQ2232" s="13" t="inlineStr"/>
      <c r="AR2232" s="13" t="inlineStr"/>
      <c r="AS2232" s="13" t="inlineStr"/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7" t="n">
        <v>101870</v>
      </c>
      <c r="AK2233" s="8" t="n">
        <v>-21676</v>
      </c>
      <c r="AL2233" s="8" t="n">
        <v>59273</v>
      </c>
      <c r="AM2233" s="11" t="inlineStr"/>
      <c r="AN2233" s="12" t="inlineStr"/>
      <c r="AO2233" s="12" t="inlineStr"/>
      <c r="AP2233" s="13" t="inlineStr"/>
      <c r="AQ2233" s="13" t="inlineStr"/>
      <c r="AR2233" s="13" t="inlineStr"/>
      <c r="AS2233" s="13" t="inlineStr"/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7" t="n">
        <v>47493</v>
      </c>
      <c r="AK2234" s="8" t="n">
        <v>11088</v>
      </c>
      <c r="AL2234" s="8" t="n">
        <v>15446</v>
      </c>
      <c r="AM2234" s="11" t="inlineStr"/>
      <c r="AN2234" s="12" t="inlineStr"/>
      <c r="AO2234" s="12" t="inlineStr"/>
      <c r="AP2234" s="13" t="inlineStr"/>
      <c r="AQ2234" s="13" t="inlineStr"/>
      <c r="AR2234" s="13" t="inlineStr"/>
      <c r="AS2234" s="13" t="inlineStr"/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7" t="n">
        <v>178757</v>
      </c>
      <c r="AK2235" s="8" t="n">
        <v>299</v>
      </c>
      <c r="AL2235" s="8" t="n">
        <v>-823</v>
      </c>
      <c r="AM2235" s="11" t="inlineStr"/>
      <c r="AN2235" s="12" t="inlineStr"/>
      <c r="AO2235" s="12" t="inlineStr"/>
      <c r="AP2235" s="13" t="inlineStr"/>
      <c r="AQ2235" s="13" t="inlineStr"/>
      <c r="AR2235" s="13" t="inlineStr"/>
      <c r="AS2235" s="13" t="inlineStr"/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7" t="n">
        <v>74378</v>
      </c>
      <c r="AK2236" s="8" t="n">
        <v>5348</v>
      </c>
      <c r="AL2236" s="8" t="n">
        <v>4381</v>
      </c>
      <c r="AM2236" s="11" t="inlineStr"/>
      <c r="AN2236" s="12" t="inlineStr"/>
      <c r="AO2236" s="12" t="inlineStr"/>
      <c r="AP2236" s="13" t="inlineStr"/>
      <c r="AQ2236" s="13" t="inlineStr"/>
      <c r="AR2236" s="13" t="inlineStr"/>
      <c r="AS2236" s="13" t="inlineStr"/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7" t="n">
        <v>743</v>
      </c>
      <c r="AK2237" s="8" t="n">
        <v>361</v>
      </c>
      <c r="AL2237" s="8" t="n">
        <v>711</v>
      </c>
      <c r="AM2237" s="11" t="inlineStr"/>
      <c r="AN2237" s="12" t="inlineStr"/>
      <c r="AO2237" s="12" t="inlineStr"/>
      <c r="AP2237" s="13" t="inlineStr"/>
      <c r="AQ2237" s="13" t="inlineStr"/>
      <c r="AR2237" s="13" t="inlineStr"/>
      <c r="AS2237" s="13" t="inlineStr"/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7" t="n">
        <v>6111</v>
      </c>
      <c r="AK2238" s="8" t="n">
        <v>-4209</v>
      </c>
      <c r="AL2238" s="8" t="n">
        <v>-5384</v>
      </c>
      <c r="AM2238" s="11" t="inlineStr"/>
      <c r="AN2238" s="12" t="inlineStr"/>
      <c r="AO2238" s="12" t="inlineStr"/>
      <c r="AP2238" s="13" t="inlineStr"/>
      <c r="AQ2238" s="13" t="inlineStr"/>
      <c r="AR2238" s="13" t="inlineStr"/>
      <c r="AS2238" s="13" t="inlineStr"/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7" t="n">
        <v>1547</v>
      </c>
      <c r="AK2239" s="8" t="n">
        <v>-3789</v>
      </c>
      <c r="AL2239" s="8" t="n">
        <v>-7827</v>
      </c>
      <c r="AM2239" s="11" t="inlineStr"/>
      <c r="AN2239" s="12" t="inlineStr"/>
      <c r="AO2239" s="12" t="inlineStr"/>
      <c r="AP2239" s="13" t="inlineStr"/>
      <c r="AQ2239" s="13" t="inlineStr"/>
      <c r="AR2239" s="13" t="inlineStr"/>
      <c r="AS2239" s="13" t="inlineStr"/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7" t="n">
        <v>132273</v>
      </c>
      <c r="AK2240" s="8" t="n">
        <v>7848</v>
      </c>
      <c r="AL2240" s="8" t="n">
        <v>5193</v>
      </c>
      <c r="AM2240" s="11" t="inlineStr"/>
      <c r="AN2240" s="12" t="inlineStr"/>
      <c r="AO2240" s="12" t="inlineStr"/>
      <c r="AP2240" s="13" t="inlineStr"/>
      <c r="AQ2240" s="13" t="inlineStr"/>
      <c r="AR2240" s="13" t="inlineStr"/>
      <c r="AS2240" s="13" t="inlineStr"/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7" t="n">
        <v>28319</v>
      </c>
      <c r="AK2241" s="8" t="n">
        <v>3059</v>
      </c>
      <c r="AL2241" s="8" t="n">
        <v>2071</v>
      </c>
      <c r="AM2241" s="11" t="inlineStr"/>
      <c r="AN2241" s="12" t="inlineStr"/>
      <c r="AO2241" s="12" t="inlineStr"/>
      <c r="AP2241" s="13" t="inlineStr"/>
      <c r="AQ2241" s="13" t="inlineStr"/>
      <c r="AR2241" s="13" t="inlineStr"/>
      <c r="AS2241" s="13" t="inlineStr"/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7" t="n">
        <v>16652</v>
      </c>
      <c r="AK2242" s="8" t="n">
        <v>-932</v>
      </c>
      <c r="AL2242" s="8" t="n">
        <v>-292</v>
      </c>
      <c r="AM2242" s="11" t="inlineStr"/>
      <c r="AN2242" s="12" t="inlineStr"/>
      <c r="AO2242" s="12" t="inlineStr"/>
      <c r="AP2242" s="13" t="inlineStr"/>
      <c r="AQ2242" s="13" t="inlineStr"/>
      <c r="AR2242" s="13" t="inlineStr"/>
      <c r="AS2242" s="13" t="inlineStr"/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7" t="n">
        <v>12342</v>
      </c>
      <c r="AK2243" s="8" t="n">
        <v>393</v>
      </c>
      <c r="AL2243" s="8" t="n">
        <v>730</v>
      </c>
      <c r="AM2243" s="11" t="inlineStr"/>
      <c r="AN2243" s="12" t="inlineStr"/>
      <c r="AO2243" s="12" t="inlineStr"/>
      <c r="AP2243" s="13" t="inlineStr"/>
      <c r="AQ2243" s="13" t="inlineStr"/>
      <c r="AR2243" s="13" t="inlineStr"/>
      <c r="AS2243" s="13" t="inlineStr"/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7" t="n">
        <v>8288</v>
      </c>
      <c r="AK2244" s="8" t="n">
        <v>433</v>
      </c>
      <c r="AL2244" s="8" t="n">
        <v>781</v>
      </c>
      <c r="AM2244" s="11" t="inlineStr"/>
      <c r="AN2244" s="12" t="inlineStr"/>
      <c r="AO2244" s="12" t="inlineStr"/>
      <c r="AP2244" s="13" t="inlineStr"/>
      <c r="AQ2244" s="13" t="inlineStr"/>
      <c r="AR2244" s="13" t="inlineStr"/>
      <c r="AS2244" s="13" t="inlineStr"/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7" t="n">
        <v>56017</v>
      </c>
      <c r="AK2245" s="8" t="n">
        <v>24959</v>
      </c>
      <c r="AL2245" s="8" t="n">
        <v>19948</v>
      </c>
      <c r="AM2245" s="11" t="inlineStr"/>
      <c r="AN2245" s="12" t="inlineStr"/>
      <c r="AO2245" s="12" t="inlineStr"/>
      <c r="AP2245" s="13" t="inlineStr"/>
      <c r="AQ2245" s="13" t="inlineStr"/>
      <c r="AR2245" s="13" t="inlineStr"/>
      <c r="AS2245" s="13" t="inlineStr"/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7" t="n">
        <v>2502</v>
      </c>
      <c r="AK2246" s="8" t="n">
        <v>-2793</v>
      </c>
      <c r="AL2246" s="8" t="n">
        <v>-3384</v>
      </c>
      <c r="AM2246" s="11" t="inlineStr"/>
      <c r="AN2246" s="12" t="inlineStr"/>
      <c r="AO2246" s="12" t="inlineStr"/>
      <c r="AP2246" s="13" t="inlineStr"/>
      <c r="AQ2246" s="13" t="inlineStr"/>
      <c r="AR2246" s="13" t="inlineStr"/>
      <c r="AS2246" s="13" t="inlineStr"/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7" t="n">
        <v>489</v>
      </c>
      <c r="AK2247" s="8" t="n">
        <v>-7956</v>
      </c>
      <c r="AL2247" s="8" t="n">
        <v>-1654</v>
      </c>
      <c r="AM2247" s="11" t="inlineStr"/>
      <c r="AN2247" s="12" t="inlineStr"/>
      <c r="AO2247" s="12" t="inlineStr"/>
      <c r="AP2247" s="13" t="inlineStr"/>
      <c r="AQ2247" s="13" t="inlineStr"/>
      <c r="AR2247" s="13" t="inlineStr"/>
      <c r="AS2247" s="13" t="inlineStr"/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7" t="n">
        <v>27455</v>
      </c>
      <c r="AK2248" s="8" t="n">
        <v>-127</v>
      </c>
      <c r="AL2248" s="8" t="n">
        <v>-251</v>
      </c>
      <c r="AM2248" s="11" t="inlineStr"/>
      <c r="AN2248" s="12" t="inlineStr"/>
      <c r="AO2248" s="12" t="inlineStr"/>
      <c r="AP2248" s="13" t="inlineStr"/>
      <c r="AQ2248" s="13" t="inlineStr"/>
      <c r="AR2248" s="13" t="inlineStr"/>
      <c r="AS2248" s="13" t="inlineStr"/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7" t="n">
        <v>577146</v>
      </c>
      <c r="AK2249" s="8" t="n">
        <v>4811</v>
      </c>
      <c r="AL2249" s="8" t="n">
        <v>-11815</v>
      </c>
      <c r="AM2249" s="11" t="inlineStr"/>
      <c r="AN2249" s="12" t="inlineStr"/>
      <c r="AO2249" s="12" t="inlineStr"/>
      <c r="AP2249" s="13" t="inlineStr"/>
      <c r="AQ2249" s="13" t="inlineStr"/>
      <c r="AR2249" s="13" t="inlineStr"/>
      <c r="AS2249" s="13" t="inlineStr"/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7" t="n">
        <v>4796</v>
      </c>
      <c r="AK2250" s="8" t="n">
        <v>-545</v>
      </c>
      <c r="AL2250" s="8" t="n">
        <v>-487</v>
      </c>
      <c r="AM2250" s="11" t="inlineStr"/>
      <c r="AN2250" s="12" t="inlineStr"/>
      <c r="AO2250" s="12" t="inlineStr"/>
      <c r="AP2250" s="13" t="inlineStr"/>
      <c r="AQ2250" s="13" t="inlineStr"/>
      <c r="AR2250" s="13" t="inlineStr"/>
      <c r="AS2250" s="13" t="inlineStr"/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7" t="n">
        <v>12638</v>
      </c>
      <c r="AK2251" s="8" t="n">
        <v>1411</v>
      </c>
      <c r="AL2251" s="8" t="n">
        <v>1030</v>
      </c>
      <c r="AM2251" s="11" t="inlineStr"/>
      <c r="AN2251" s="12" t="inlineStr"/>
      <c r="AO2251" s="12" t="inlineStr"/>
      <c r="AP2251" s="13" t="inlineStr"/>
      <c r="AQ2251" s="13" t="inlineStr"/>
      <c r="AR2251" s="13" t="inlineStr"/>
      <c r="AS2251" s="13" t="inlineStr"/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7" t="n">
        <v>77062</v>
      </c>
      <c r="AK2252" s="8" t="n">
        <v>1665</v>
      </c>
      <c r="AL2252" s="8" t="n">
        <v>-24290</v>
      </c>
      <c r="AM2252" s="11" t="inlineStr"/>
      <c r="AN2252" s="12" t="inlineStr"/>
      <c r="AO2252" s="12" t="inlineStr"/>
      <c r="AP2252" s="13" t="inlineStr"/>
      <c r="AQ2252" s="13" t="inlineStr"/>
      <c r="AR2252" s="13" t="inlineStr"/>
      <c r="AS2252" s="13" t="inlineStr"/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7" t="n">
        <v>6595</v>
      </c>
      <c r="AK2253" s="8" t="n">
        <v>1510</v>
      </c>
      <c r="AL2253" s="8" t="n">
        <v>1507</v>
      </c>
      <c r="AM2253" s="11" t="inlineStr"/>
      <c r="AN2253" s="12" t="inlineStr"/>
      <c r="AO2253" s="12" t="inlineStr"/>
      <c r="AP2253" s="13" t="inlineStr"/>
      <c r="AQ2253" s="13" t="inlineStr"/>
      <c r="AR2253" s="13" t="inlineStr"/>
      <c r="AS2253" s="13" t="inlineStr"/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7" t="n">
        <v>17607</v>
      </c>
      <c r="AK2254" s="8" t="n">
        <v>-1197</v>
      </c>
      <c r="AL2254" s="8" t="n">
        <v>-637</v>
      </c>
      <c r="AM2254" s="11" t="inlineStr"/>
      <c r="AN2254" s="12" t="inlineStr"/>
      <c r="AO2254" s="12" t="inlineStr"/>
      <c r="AP2254" s="13" t="inlineStr"/>
      <c r="AQ2254" s="13" t="inlineStr"/>
      <c r="AR2254" s="13" t="inlineStr"/>
      <c r="AS2254" s="13" t="inlineStr"/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7" t="n">
        <v>662</v>
      </c>
      <c r="AK2255" s="8" t="n">
        <v>-9880</v>
      </c>
      <c r="AL2255" s="8" t="n">
        <v>-7767</v>
      </c>
      <c r="AM2255" s="11" t="inlineStr"/>
      <c r="AN2255" s="12" t="inlineStr"/>
      <c r="AO2255" s="12" t="inlineStr"/>
      <c r="AP2255" s="13" t="inlineStr"/>
      <c r="AQ2255" s="13" t="inlineStr"/>
      <c r="AR2255" s="13" t="inlineStr"/>
      <c r="AS2255" s="13" t="inlineStr"/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7" t="inlineStr"/>
      <c r="AK2256" s="8" t="n">
        <v>-3201</v>
      </c>
      <c r="AL2256" s="8" t="n">
        <v>-3278</v>
      </c>
      <c r="AM2256" s="11" t="inlineStr"/>
      <c r="AN2256" s="12" t="inlineStr"/>
      <c r="AO2256" s="12" t="inlineStr"/>
      <c r="AP2256" s="13" t="inlineStr"/>
      <c r="AQ2256" s="13" t="inlineStr"/>
      <c r="AR2256" s="13" t="inlineStr"/>
      <c r="AS2256" s="13" t="inlineStr"/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7" t="n">
        <v>40414</v>
      </c>
      <c r="AK2257" s="8" t="n">
        <v>282</v>
      </c>
      <c r="AL2257" s="8" t="n">
        <v>1397</v>
      </c>
      <c r="AM2257" s="11" t="inlineStr"/>
      <c r="AN2257" s="12" t="inlineStr"/>
      <c r="AO2257" s="12" t="inlineStr"/>
      <c r="AP2257" s="13" t="inlineStr"/>
      <c r="AQ2257" s="13" t="inlineStr"/>
      <c r="AR2257" s="13" t="inlineStr"/>
      <c r="AS2257" s="13" t="inlineStr"/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7" t="n">
        <v>6124</v>
      </c>
      <c r="AK2258" s="8" t="n">
        <v>1051</v>
      </c>
      <c r="AL2258" s="8" t="n">
        <v>1292</v>
      </c>
      <c r="AM2258" s="11" t="inlineStr"/>
      <c r="AN2258" s="12" t="inlineStr"/>
      <c r="AO2258" s="12" t="inlineStr"/>
      <c r="AP2258" s="13" t="inlineStr"/>
      <c r="AQ2258" s="13" t="inlineStr"/>
      <c r="AR2258" s="13" t="inlineStr"/>
      <c r="AS2258" s="13" t="inlineStr"/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7" t="n">
        <v>320</v>
      </c>
      <c r="AK2259" s="8" t="n">
        <v>-3008</v>
      </c>
      <c r="AL2259" s="8" t="n">
        <v>-3022</v>
      </c>
      <c r="AM2259" s="11" t="inlineStr"/>
      <c r="AN2259" s="12" t="inlineStr"/>
      <c r="AO2259" s="12" t="inlineStr"/>
      <c r="AP2259" s="13" t="inlineStr"/>
      <c r="AQ2259" s="13" t="inlineStr"/>
      <c r="AR2259" s="13" t="inlineStr"/>
      <c r="AS2259" s="13" t="inlineStr"/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7" t="n">
        <v>21810</v>
      </c>
      <c r="AK2260" s="8" t="n">
        <v>-2014</v>
      </c>
      <c r="AL2260" s="8" t="n">
        <v>-3874</v>
      </c>
      <c r="AM2260" s="11" t="inlineStr"/>
      <c r="AN2260" s="12" t="inlineStr"/>
      <c r="AO2260" s="12" t="inlineStr"/>
      <c r="AP2260" s="13" t="inlineStr"/>
      <c r="AQ2260" s="13" t="inlineStr"/>
      <c r="AR2260" s="13" t="inlineStr"/>
      <c r="AS2260" s="13" t="inlineStr"/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7" t="n">
        <v>20833</v>
      </c>
      <c r="AK2261" s="8" t="n">
        <v>-786</v>
      </c>
      <c r="AL2261" s="8" t="n">
        <v>1297</v>
      </c>
      <c r="AM2261" s="11" t="inlineStr"/>
      <c r="AN2261" s="12" t="inlineStr"/>
      <c r="AO2261" s="12" t="inlineStr"/>
      <c r="AP2261" s="13" t="inlineStr"/>
      <c r="AQ2261" s="13" t="inlineStr"/>
      <c r="AR2261" s="13" t="inlineStr"/>
      <c r="AS2261" s="13" t="inlineStr"/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7" t="n">
        <v>2822</v>
      </c>
      <c r="AK2262" s="8" t="n">
        <v>-5267</v>
      </c>
      <c r="AL2262" s="8" t="n">
        <v>-4579</v>
      </c>
      <c r="AM2262" s="11" t="inlineStr"/>
      <c r="AN2262" s="12" t="inlineStr"/>
      <c r="AO2262" s="12" t="inlineStr"/>
      <c r="AP2262" s="13" t="inlineStr"/>
      <c r="AQ2262" s="13" t="inlineStr"/>
      <c r="AR2262" s="13" t="inlineStr"/>
      <c r="AS2262" s="13" t="inlineStr"/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7" t="n">
        <v>18302</v>
      </c>
      <c r="AK2263" s="8" t="n">
        <v>2648</v>
      </c>
      <c r="AL2263" s="8" t="n">
        <v>3383</v>
      </c>
      <c r="AM2263" s="11" t="inlineStr"/>
      <c r="AN2263" s="12" t="inlineStr"/>
      <c r="AO2263" s="12" t="inlineStr"/>
      <c r="AP2263" s="13" t="inlineStr"/>
      <c r="AQ2263" s="13" t="inlineStr"/>
      <c r="AR2263" s="13" t="inlineStr"/>
      <c r="AS2263" s="13" t="inlineStr"/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7" t="n">
        <v>102321</v>
      </c>
      <c r="AK2264" s="8" t="n">
        <v>-11568</v>
      </c>
      <c r="AL2264" s="8" t="n">
        <v>-27758</v>
      </c>
      <c r="AM2264" s="11" t="inlineStr"/>
      <c r="AN2264" s="12" t="inlineStr"/>
      <c r="AO2264" s="12" t="inlineStr"/>
      <c r="AP2264" s="13" t="inlineStr"/>
      <c r="AQ2264" s="13" t="inlineStr"/>
      <c r="AR2264" s="13" t="inlineStr"/>
      <c r="AS2264" s="13" t="inlineStr"/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7" t="n">
        <v>42705</v>
      </c>
      <c r="AK2265" s="8" t="n">
        <v>34414</v>
      </c>
      <c r="AL2265" s="8" t="n">
        <v>12342</v>
      </c>
      <c r="AM2265" s="11" t="inlineStr"/>
      <c r="AN2265" s="12" t="inlineStr"/>
      <c r="AO2265" s="12" t="inlineStr"/>
      <c r="AP2265" s="13" t="inlineStr"/>
      <c r="AQ2265" s="13" t="inlineStr"/>
      <c r="AR2265" s="13" t="inlineStr"/>
      <c r="AS2265" s="13" t="inlineStr"/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7" t="n">
        <v>4380</v>
      </c>
      <c r="AK2266" s="8" t="n">
        <v>4102</v>
      </c>
      <c r="AL2266" s="8" t="n">
        <v>2976</v>
      </c>
      <c r="AM2266" s="11" t="inlineStr"/>
      <c r="AN2266" s="12" t="inlineStr"/>
      <c r="AO2266" s="12" t="inlineStr"/>
      <c r="AP2266" s="13" t="inlineStr"/>
      <c r="AQ2266" s="13" t="inlineStr"/>
      <c r="AR2266" s="13" t="inlineStr"/>
      <c r="AS2266" s="13" t="inlineStr"/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7" t="n">
        <v>865</v>
      </c>
      <c r="AK2267" s="8" t="n">
        <v>-2611</v>
      </c>
      <c r="AL2267" s="8" t="n">
        <v>-3012</v>
      </c>
      <c r="AM2267" s="11" t="inlineStr"/>
      <c r="AN2267" s="12" t="inlineStr"/>
      <c r="AO2267" s="12" t="inlineStr"/>
      <c r="AP2267" s="13" t="inlineStr"/>
      <c r="AQ2267" s="13" t="inlineStr"/>
      <c r="AR2267" s="13" t="inlineStr"/>
      <c r="AS2267" s="13" t="inlineStr"/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7" t="n">
        <v>18448</v>
      </c>
      <c r="AK2268" s="8" t="n">
        <v>-1471</v>
      </c>
      <c r="AL2268" s="8" t="n">
        <v>-3085</v>
      </c>
      <c r="AM2268" s="11" t="inlineStr"/>
      <c r="AN2268" s="12" t="inlineStr"/>
      <c r="AO2268" s="12" t="inlineStr"/>
      <c r="AP2268" s="13" t="inlineStr"/>
      <c r="AQ2268" s="13" t="inlineStr"/>
      <c r="AR2268" s="13" t="inlineStr"/>
      <c r="AS2268" s="13" t="inlineStr"/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7" t="n">
        <v>26417</v>
      </c>
      <c r="AK2269" s="8" t="n">
        <v>2779</v>
      </c>
      <c r="AL2269" s="8" t="n">
        <v>-596</v>
      </c>
      <c r="AM2269" s="11" t="inlineStr"/>
      <c r="AN2269" s="12" t="inlineStr"/>
      <c r="AO2269" s="12" t="inlineStr"/>
      <c r="AP2269" s="13" t="inlineStr"/>
      <c r="AQ2269" s="13" t="inlineStr"/>
      <c r="AR2269" s="13" t="inlineStr"/>
      <c r="AS2269" s="13" t="inlineStr"/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7" t="n">
        <v>20769</v>
      </c>
      <c r="AK2270" s="8" t="n">
        <v>4587</v>
      </c>
      <c r="AL2270" s="8" t="n">
        <v>3728</v>
      </c>
      <c r="AM2270" s="11" t="inlineStr"/>
      <c r="AN2270" s="12" t="inlineStr"/>
      <c r="AO2270" s="12" t="inlineStr"/>
      <c r="AP2270" s="13" t="inlineStr"/>
      <c r="AQ2270" s="13" t="inlineStr"/>
      <c r="AR2270" s="13" t="inlineStr"/>
      <c r="AS2270" s="13" t="inlineStr"/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7" t="n">
        <v>73321</v>
      </c>
      <c r="AK2271" s="8" t="n">
        <v>1601</v>
      </c>
      <c r="AL2271" s="8" t="n">
        <v>-6233</v>
      </c>
      <c r="AM2271" s="11" t="inlineStr"/>
      <c r="AN2271" s="12" t="inlineStr"/>
      <c r="AO2271" s="12" t="inlineStr"/>
      <c r="AP2271" s="13" t="inlineStr"/>
      <c r="AQ2271" s="13" t="inlineStr"/>
      <c r="AR2271" s="13" t="inlineStr"/>
      <c r="AS2271" s="13" t="inlineStr"/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7" t="n">
        <v>16337</v>
      </c>
      <c r="AK2272" s="8" t="n">
        <v>-1994</v>
      </c>
      <c r="AL2272" s="8" t="n">
        <v>-2417</v>
      </c>
      <c r="AM2272" s="11" t="inlineStr"/>
      <c r="AN2272" s="12" t="inlineStr"/>
      <c r="AO2272" s="12" t="inlineStr"/>
      <c r="AP2272" s="13" t="inlineStr"/>
      <c r="AQ2272" s="13" t="inlineStr"/>
      <c r="AR2272" s="13" t="inlineStr"/>
      <c r="AS2272" s="13" t="inlineStr"/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7" t="inlineStr"/>
      <c r="AK2273" s="8" t="n">
        <v>-447</v>
      </c>
      <c r="AL2273" s="8" t="n">
        <v>-444</v>
      </c>
      <c r="AM2273" s="11" t="inlineStr"/>
      <c r="AN2273" s="12" t="inlineStr"/>
      <c r="AO2273" s="12" t="inlineStr"/>
      <c r="AP2273" s="13" t="inlineStr"/>
      <c r="AQ2273" s="13" t="inlineStr"/>
      <c r="AR2273" s="13" t="inlineStr"/>
      <c r="AS2273" s="13" t="inlineStr"/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7" t="n">
        <v>1449998</v>
      </c>
      <c r="AK2274" s="8" t="n">
        <v>170925</v>
      </c>
      <c r="AL2274" s="8" t="n">
        <v>109765</v>
      </c>
      <c r="AM2274" s="11" t="inlineStr"/>
      <c r="AN2274" s="12" t="inlineStr"/>
      <c r="AO2274" s="12" t="inlineStr"/>
      <c r="AP2274" s="13" t="inlineStr"/>
      <c r="AQ2274" s="13" t="inlineStr"/>
      <c r="AR2274" s="13" t="inlineStr"/>
      <c r="AS2274" s="13" t="inlineStr"/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7" t="n">
        <v>10995</v>
      </c>
      <c r="AK2275" s="8" t="n">
        <v>-1146</v>
      </c>
      <c r="AL2275" s="8" t="n">
        <v>242</v>
      </c>
      <c r="AM2275" s="11" t="inlineStr"/>
      <c r="AN2275" s="12" t="inlineStr"/>
      <c r="AO2275" s="12" t="inlineStr"/>
      <c r="AP2275" s="13" t="inlineStr"/>
      <c r="AQ2275" s="13" t="inlineStr"/>
      <c r="AR2275" s="13" t="inlineStr"/>
      <c r="AS2275" s="13" t="inlineStr"/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7" t="n">
        <v>10445</v>
      </c>
      <c r="AK2276" s="8" t="n">
        <v>172</v>
      </c>
      <c r="AL2276" s="8" t="n">
        <v>-41</v>
      </c>
      <c r="AM2276" s="11" t="inlineStr"/>
      <c r="AN2276" s="12" t="inlineStr"/>
      <c r="AO2276" s="12" t="inlineStr"/>
      <c r="AP2276" s="13" t="inlineStr"/>
      <c r="AQ2276" s="13" t="inlineStr"/>
      <c r="AR2276" s="13" t="inlineStr"/>
      <c r="AS2276" s="13" t="inlineStr"/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7" t="n">
        <v>21962</v>
      </c>
      <c r="AK2277" s="8" t="n">
        <v>-813</v>
      </c>
      <c r="AL2277" s="8" t="n">
        <v>-256</v>
      </c>
      <c r="AM2277" s="11" t="inlineStr"/>
      <c r="AN2277" s="12" t="inlineStr"/>
      <c r="AO2277" s="12" t="inlineStr"/>
      <c r="AP2277" s="13" t="inlineStr"/>
      <c r="AQ2277" s="13" t="inlineStr"/>
      <c r="AR2277" s="13" t="inlineStr"/>
      <c r="AS2277" s="13" t="inlineStr"/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7" t="n">
        <v>400975</v>
      </c>
      <c r="AK2278" s="8" t="n">
        <v>70276</v>
      </c>
      <c r="AL2278" s="8" t="n">
        <v>57675</v>
      </c>
      <c r="AM2278" s="11" t="inlineStr"/>
      <c r="AN2278" s="12" t="inlineStr"/>
      <c r="AO2278" s="12" t="inlineStr"/>
      <c r="AP2278" s="13" t="inlineStr"/>
      <c r="AQ2278" s="13" t="inlineStr"/>
      <c r="AR2278" s="13" t="inlineStr"/>
      <c r="AS2278" s="13" t="inlineStr"/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7" t="n">
        <v>13255</v>
      </c>
      <c r="AK2279" s="8" t="n">
        <v>-1115</v>
      </c>
      <c r="AL2279" s="8" t="n">
        <v>-310</v>
      </c>
      <c r="AM2279" s="11" t="inlineStr"/>
      <c r="AN2279" s="12" t="inlineStr"/>
      <c r="AO2279" s="12" t="inlineStr"/>
      <c r="AP2279" s="13" t="inlineStr"/>
      <c r="AQ2279" s="13" t="inlineStr"/>
      <c r="AR2279" s="13" t="inlineStr"/>
      <c r="AS2279" s="13" t="inlineStr"/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7" t="n">
        <v>148130</v>
      </c>
      <c r="AK2280" s="8" t="n">
        <v>15060</v>
      </c>
      <c r="AL2280" s="8" t="n">
        <v>10857</v>
      </c>
      <c r="AM2280" s="11" t="inlineStr"/>
      <c r="AN2280" s="12" t="inlineStr"/>
      <c r="AO2280" s="12" t="inlineStr"/>
      <c r="AP2280" s="13" t="inlineStr"/>
      <c r="AQ2280" s="13" t="inlineStr"/>
      <c r="AR2280" s="13" t="inlineStr"/>
      <c r="AS2280" s="13" t="inlineStr"/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7" t="n">
        <v>12452</v>
      </c>
      <c r="AK2281" s="8" t="n">
        <v>-1185</v>
      </c>
      <c r="AL2281" s="8" t="n">
        <v>-3462</v>
      </c>
      <c r="AM2281" s="11" t="inlineStr"/>
      <c r="AN2281" s="12" t="inlineStr"/>
      <c r="AO2281" s="12" t="inlineStr"/>
      <c r="AP2281" s="13" t="inlineStr"/>
      <c r="AQ2281" s="13" t="inlineStr"/>
      <c r="AR2281" s="13" t="inlineStr"/>
      <c r="AS2281" s="13" t="inlineStr"/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7" t="n">
        <v>55217</v>
      </c>
      <c r="AK2282" s="8" t="n">
        <v>2601</v>
      </c>
      <c r="AL2282" s="8" t="n">
        <v>3507</v>
      </c>
      <c r="AM2282" s="11" t="inlineStr"/>
      <c r="AN2282" s="12" t="inlineStr"/>
      <c r="AO2282" s="12" t="inlineStr"/>
      <c r="AP2282" s="13" t="inlineStr"/>
      <c r="AQ2282" s="13" t="inlineStr"/>
      <c r="AR2282" s="13" t="inlineStr"/>
      <c r="AS2282" s="13" t="inlineStr"/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7" t="n">
        <v>5343</v>
      </c>
      <c r="AK2283" s="8" t="n">
        <v>1186</v>
      </c>
      <c r="AL2283" s="8" t="n">
        <v>903</v>
      </c>
      <c r="AM2283" s="11" t="inlineStr"/>
      <c r="AN2283" s="12" t="inlineStr"/>
      <c r="AO2283" s="12" t="inlineStr"/>
      <c r="AP2283" s="13" t="inlineStr"/>
      <c r="AQ2283" s="13" t="inlineStr"/>
      <c r="AR2283" s="13" t="inlineStr"/>
      <c r="AS2283" s="13" t="inlineStr"/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7" t="n">
        <v>2351</v>
      </c>
      <c r="AK2284" s="8" t="n">
        <v>-3586</v>
      </c>
      <c r="AL2284" s="8" t="n">
        <v>-3022</v>
      </c>
      <c r="AM2284" s="11" t="inlineStr"/>
      <c r="AN2284" s="12" t="inlineStr"/>
      <c r="AO2284" s="12" t="inlineStr"/>
      <c r="AP2284" s="13" t="inlineStr"/>
      <c r="AQ2284" s="13" t="inlineStr"/>
      <c r="AR2284" s="13" t="inlineStr"/>
      <c r="AS2284" s="13" t="inlineStr"/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7" t="n">
        <v>32295</v>
      </c>
      <c r="AK2285" s="8" t="n">
        <v>-995</v>
      </c>
      <c r="AL2285" s="8" t="n">
        <v>-1165</v>
      </c>
      <c r="AM2285" s="11" t="inlineStr"/>
      <c r="AN2285" s="12" t="inlineStr"/>
      <c r="AO2285" s="12" t="inlineStr"/>
      <c r="AP2285" s="13" t="inlineStr"/>
      <c r="AQ2285" s="13" t="inlineStr"/>
      <c r="AR2285" s="13" t="inlineStr"/>
      <c r="AS2285" s="13" t="inlineStr"/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7" t="n">
        <v>12092</v>
      </c>
      <c r="AK2286" s="8" t="n">
        <v>373</v>
      </c>
      <c r="AL2286" s="8" t="n">
        <v>581</v>
      </c>
      <c r="AM2286" s="11" t="inlineStr"/>
      <c r="AN2286" s="12" t="inlineStr"/>
      <c r="AO2286" s="12" t="inlineStr"/>
      <c r="AP2286" s="13" t="inlineStr"/>
      <c r="AQ2286" s="13" t="inlineStr"/>
      <c r="AR2286" s="13" t="inlineStr"/>
      <c r="AS2286" s="13" t="inlineStr"/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7" t="n">
        <v>88243</v>
      </c>
      <c r="AK2287" s="8" t="n">
        <v>12773</v>
      </c>
      <c r="AL2287" s="8" t="n">
        <v>10759</v>
      </c>
      <c r="AM2287" s="11" t="inlineStr"/>
      <c r="AN2287" s="12" t="inlineStr"/>
      <c r="AO2287" s="12" t="inlineStr"/>
      <c r="AP2287" s="13" t="inlineStr"/>
      <c r="AQ2287" s="13" t="inlineStr"/>
      <c r="AR2287" s="13" t="inlineStr"/>
      <c r="AS2287" s="13" t="inlineStr"/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7" t="n">
        <v>9691</v>
      </c>
      <c r="AK2288" s="8" t="n">
        <v>761</v>
      </c>
      <c r="AL2288" s="8" t="n">
        <v>1071</v>
      </c>
      <c r="AM2288" s="11" t="inlineStr"/>
      <c r="AN2288" s="12" t="inlineStr"/>
      <c r="AO2288" s="12" t="inlineStr"/>
      <c r="AP2288" s="13" t="inlineStr"/>
      <c r="AQ2288" s="13" t="inlineStr"/>
      <c r="AR2288" s="13" t="inlineStr"/>
      <c r="AS2288" s="13" t="inlineStr"/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7" t="n">
        <v>27644</v>
      </c>
      <c r="AK2289" s="8" t="n">
        <v>16654</v>
      </c>
      <c r="AL2289" s="8" t="n">
        <v>1887</v>
      </c>
      <c r="AM2289" s="11" t="inlineStr"/>
      <c r="AN2289" s="12" t="inlineStr"/>
      <c r="AO2289" s="12" t="inlineStr"/>
      <c r="AP2289" s="13" t="inlineStr"/>
      <c r="AQ2289" s="13" t="inlineStr"/>
      <c r="AR2289" s="13" t="inlineStr"/>
      <c r="AS2289" s="13" t="inlineStr"/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7" t="n">
        <v>78493</v>
      </c>
      <c r="AK2290" s="8" t="n">
        <v>3896</v>
      </c>
      <c r="AL2290" s="8" t="n">
        <v>2387</v>
      </c>
      <c r="AM2290" s="11" t="inlineStr"/>
      <c r="AN2290" s="12" t="inlineStr"/>
      <c r="AO2290" s="12" t="inlineStr"/>
      <c r="AP2290" s="13" t="inlineStr"/>
      <c r="AQ2290" s="13" t="inlineStr"/>
      <c r="AR2290" s="13" t="inlineStr"/>
      <c r="AS2290" s="13" t="inlineStr"/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7" t="n">
        <v>3635</v>
      </c>
      <c r="AK2291" s="8" t="n">
        <v>1958</v>
      </c>
      <c r="AL2291" s="8" t="n">
        <v>-61</v>
      </c>
      <c r="AM2291" s="11" t="inlineStr"/>
      <c r="AN2291" s="12" t="inlineStr"/>
      <c r="AO2291" s="12" t="inlineStr"/>
      <c r="AP2291" s="13" t="inlineStr"/>
      <c r="AQ2291" s="13" t="inlineStr"/>
      <c r="AR2291" s="13" t="inlineStr"/>
      <c r="AS2291" s="13" t="inlineStr"/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7" t="n">
        <v>2153</v>
      </c>
      <c r="AK2292" s="8" t="n">
        <v>1396</v>
      </c>
      <c r="AL2292" s="8" t="n">
        <v>510</v>
      </c>
      <c r="AM2292" s="11" t="inlineStr"/>
      <c r="AN2292" s="12" t="inlineStr"/>
      <c r="AO2292" s="12" t="inlineStr"/>
      <c r="AP2292" s="13" t="inlineStr"/>
      <c r="AQ2292" s="13" t="inlineStr"/>
      <c r="AR2292" s="13" t="inlineStr"/>
      <c r="AS2292" s="13" t="inlineStr"/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7" t="n">
        <v>5168</v>
      </c>
      <c r="AK2293" s="8" t="n">
        <v>1276</v>
      </c>
      <c r="AL2293" s="8" t="n">
        <v>1133</v>
      </c>
      <c r="AM2293" s="11" t="inlineStr"/>
      <c r="AN2293" s="12" t="inlineStr"/>
      <c r="AO2293" s="12" t="inlineStr"/>
      <c r="AP2293" s="13" t="inlineStr"/>
      <c r="AQ2293" s="13" t="inlineStr"/>
      <c r="AR2293" s="13" t="inlineStr"/>
      <c r="AS2293" s="13" t="inlineStr"/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7" t="n">
        <v>27179</v>
      </c>
      <c r="AK2294" s="8" t="n">
        <v>-1419</v>
      </c>
      <c r="AL2294" s="8" t="n">
        <v>-1602</v>
      </c>
      <c r="AM2294" s="11" t="inlineStr"/>
      <c r="AN2294" s="12" t="inlineStr"/>
      <c r="AO2294" s="12" t="inlineStr"/>
      <c r="AP2294" s="13" t="inlineStr"/>
      <c r="AQ2294" s="13" t="inlineStr"/>
      <c r="AR2294" s="13" t="inlineStr"/>
      <c r="AS2294" s="13" t="inlineStr"/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7" t="n">
        <v>311971</v>
      </c>
      <c r="AK2295" s="8" t="n">
        <v>46022</v>
      </c>
      <c r="AL2295" s="8" t="n">
        <v>56811</v>
      </c>
      <c r="AM2295" s="11" t="inlineStr"/>
      <c r="AN2295" s="12" t="inlineStr"/>
      <c r="AO2295" s="12" t="inlineStr"/>
      <c r="AP2295" s="13" t="inlineStr"/>
      <c r="AQ2295" s="13" t="inlineStr"/>
      <c r="AR2295" s="13" t="inlineStr"/>
      <c r="AS2295" s="13" t="inlineStr"/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7" t="n">
        <v>2738</v>
      </c>
      <c r="AK2296" s="8" t="n">
        <v>-2420</v>
      </c>
      <c r="AL2296" s="8" t="n">
        <v>-6883</v>
      </c>
      <c r="AM2296" s="11" t="inlineStr"/>
      <c r="AN2296" s="12" t="inlineStr"/>
      <c r="AO2296" s="12" t="inlineStr"/>
      <c r="AP2296" s="13" t="inlineStr"/>
      <c r="AQ2296" s="13" t="inlineStr"/>
      <c r="AR2296" s="13" t="inlineStr"/>
      <c r="AS2296" s="13" t="inlineStr"/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7" t="inlineStr"/>
      <c r="AK2297" s="8" t="n">
        <v>-14385</v>
      </c>
      <c r="AL2297" s="8" t="n">
        <v>-14253</v>
      </c>
      <c r="AM2297" s="11" t="inlineStr"/>
      <c r="AN2297" s="12" t="inlineStr"/>
      <c r="AO2297" s="12" t="inlineStr"/>
      <c r="AP2297" s="13" t="inlineStr"/>
      <c r="AQ2297" s="13" t="inlineStr"/>
      <c r="AR2297" s="13" t="inlineStr"/>
      <c r="AS2297" s="13" t="inlineStr"/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7" t="n">
        <v>17778</v>
      </c>
      <c r="AK2298" s="8" t="n">
        <v>176</v>
      </c>
      <c r="AL2298" s="8" t="n">
        <v>-136</v>
      </c>
      <c r="AM2298" s="11" t="inlineStr"/>
      <c r="AN2298" s="12" t="inlineStr"/>
      <c r="AO2298" s="12" t="inlineStr"/>
      <c r="AP2298" s="13" t="inlineStr"/>
      <c r="AQ2298" s="13" t="inlineStr"/>
      <c r="AR2298" s="13" t="inlineStr"/>
      <c r="AS2298" s="13" t="inlineStr"/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7" t="n">
        <v>5083</v>
      </c>
      <c r="AK2299" s="8" t="n">
        <v>-9647</v>
      </c>
      <c r="AL2299" s="8" t="n">
        <v>-10049</v>
      </c>
      <c r="AM2299" s="11" t="inlineStr"/>
      <c r="AN2299" s="12" t="inlineStr"/>
      <c r="AO2299" s="12" t="inlineStr"/>
      <c r="AP2299" s="13" t="inlineStr"/>
      <c r="AQ2299" s="13" t="inlineStr"/>
      <c r="AR2299" s="13" t="inlineStr"/>
      <c r="AS2299" s="13" t="inlineStr"/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7" t="n">
        <v>2722</v>
      </c>
      <c r="AK2300" s="8" t="n">
        <v>-741</v>
      </c>
      <c r="AL2300" s="8" t="n">
        <v>-533</v>
      </c>
      <c r="AM2300" s="11" t="inlineStr"/>
      <c r="AN2300" s="12" t="inlineStr"/>
      <c r="AO2300" s="12" t="inlineStr"/>
      <c r="AP2300" s="13" t="inlineStr"/>
      <c r="AQ2300" s="13" t="inlineStr"/>
      <c r="AR2300" s="13" t="inlineStr"/>
      <c r="AS2300" s="13" t="inlineStr"/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7" t="n">
        <v>10856</v>
      </c>
      <c r="AK2301" s="8" t="n">
        <v>-696</v>
      </c>
      <c r="AL2301" s="8" t="n">
        <v>193</v>
      </c>
      <c r="AM2301" s="11" t="inlineStr"/>
      <c r="AN2301" s="12" t="inlineStr"/>
      <c r="AO2301" s="12" t="inlineStr"/>
      <c r="AP2301" s="13" t="inlineStr"/>
      <c r="AQ2301" s="13" t="inlineStr"/>
      <c r="AR2301" s="13" t="inlineStr"/>
      <c r="AS2301" s="13" t="inlineStr"/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7" t="n">
        <v>14708</v>
      </c>
      <c r="AK2302" s="8" t="n">
        <v>2401</v>
      </c>
      <c r="AL2302" s="8" t="n">
        <v>4428</v>
      </c>
      <c r="AM2302" s="11" t="inlineStr"/>
      <c r="AN2302" s="12" t="inlineStr"/>
      <c r="AO2302" s="12" t="inlineStr"/>
      <c r="AP2302" s="13" t="inlineStr"/>
      <c r="AQ2302" s="13" t="inlineStr"/>
      <c r="AR2302" s="13" t="inlineStr"/>
      <c r="AS2302" s="13" t="inlineStr"/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7" t="n">
        <v>39526</v>
      </c>
      <c r="AK2303" s="8" t="n">
        <v>-63448</v>
      </c>
      <c r="AL2303" s="8" t="n">
        <v>-1327763</v>
      </c>
      <c r="AM2303" s="11" t="inlineStr"/>
      <c r="AN2303" s="12" t="inlineStr"/>
      <c r="AO2303" s="12" t="inlineStr"/>
      <c r="AP2303" s="13" t="inlineStr"/>
      <c r="AQ2303" s="13" t="inlineStr"/>
      <c r="AR2303" s="13" t="inlineStr"/>
      <c r="AS2303" s="13" t="inlineStr"/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7" t="n">
        <v>2756</v>
      </c>
      <c r="AK2304" s="8" t="n">
        <v>-407</v>
      </c>
      <c r="AL2304" s="8" t="n">
        <v>-264</v>
      </c>
      <c r="AM2304" s="11" t="inlineStr"/>
      <c r="AN2304" s="12" t="inlineStr"/>
      <c r="AO2304" s="12" t="inlineStr"/>
      <c r="AP2304" s="13" t="inlineStr"/>
      <c r="AQ2304" s="13" t="inlineStr"/>
      <c r="AR2304" s="13" t="inlineStr"/>
      <c r="AS2304" s="13" t="inlineStr"/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7" t="n">
        <v>65904</v>
      </c>
      <c r="AK2305" s="8" t="n">
        <v>1947</v>
      </c>
      <c r="AL2305" s="8" t="n">
        <v>-938</v>
      </c>
      <c r="AM2305" s="11" t="inlineStr"/>
      <c r="AN2305" s="12" t="inlineStr"/>
      <c r="AO2305" s="12" t="inlineStr"/>
      <c r="AP2305" s="13" t="inlineStr"/>
      <c r="AQ2305" s="13" t="inlineStr"/>
      <c r="AR2305" s="13" t="inlineStr"/>
      <c r="AS2305" s="13" t="inlineStr"/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7" t="n">
        <v>5382</v>
      </c>
      <c r="AK2306" s="8" t="n">
        <v>-249</v>
      </c>
      <c r="AL2306" s="8" t="n">
        <v>-211</v>
      </c>
      <c r="AM2306" s="11" t="inlineStr"/>
      <c r="AN2306" s="12" t="inlineStr"/>
      <c r="AO2306" s="12" t="inlineStr"/>
      <c r="AP2306" s="13" t="inlineStr"/>
      <c r="AQ2306" s="13" t="inlineStr"/>
      <c r="AR2306" s="13" t="inlineStr"/>
      <c r="AS2306" s="13" t="inlineStr"/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7" t="n">
        <v>432</v>
      </c>
      <c r="AK2307" s="8" t="n">
        <v>-958</v>
      </c>
      <c r="AL2307" s="8" t="n">
        <v>-814</v>
      </c>
      <c r="AM2307" s="11" t="inlineStr"/>
      <c r="AN2307" s="12" t="inlineStr"/>
      <c r="AO2307" s="12" t="inlineStr"/>
      <c r="AP2307" s="13" t="inlineStr"/>
      <c r="AQ2307" s="13" t="inlineStr"/>
      <c r="AR2307" s="13" t="inlineStr"/>
      <c r="AS2307" s="13" t="inlineStr"/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7" t="n">
        <v>13011</v>
      </c>
      <c r="AK2308" s="8" t="n">
        <v>2895</v>
      </c>
      <c r="AL2308" s="8" t="n">
        <v>1608</v>
      </c>
      <c r="AM2308" s="11" t="inlineStr"/>
      <c r="AN2308" s="12" t="inlineStr"/>
      <c r="AO2308" s="12" t="inlineStr"/>
      <c r="AP2308" s="13" t="inlineStr"/>
      <c r="AQ2308" s="13" t="inlineStr"/>
      <c r="AR2308" s="13" t="inlineStr"/>
      <c r="AS2308" s="13" t="inlineStr"/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7" t="n">
        <v>26347</v>
      </c>
      <c r="AK2309" s="8" t="n">
        <v>5143</v>
      </c>
      <c r="AL2309" s="8" t="n">
        <v>-2148</v>
      </c>
      <c r="AM2309" s="11" t="inlineStr"/>
      <c r="AN2309" s="12" t="inlineStr"/>
      <c r="AO2309" s="12" t="inlineStr"/>
      <c r="AP2309" s="13" t="inlineStr"/>
      <c r="AQ2309" s="13" t="inlineStr"/>
      <c r="AR2309" s="13" t="inlineStr"/>
      <c r="AS2309" s="13" t="inlineStr"/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7" t="n">
        <v>21552</v>
      </c>
      <c r="AK2310" s="8" t="n">
        <v>-2583</v>
      </c>
      <c r="AL2310" s="8" t="n">
        <v>98</v>
      </c>
      <c r="AM2310" s="11" t="inlineStr"/>
      <c r="AN2310" s="12" t="inlineStr"/>
      <c r="AO2310" s="12" t="inlineStr"/>
      <c r="AP2310" s="13" t="inlineStr"/>
      <c r="AQ2310" s="13" t="inlineStr"/>
      <c r="AR2310" s="13" t="inlineStr"/>
      <c r="AS2310" s="13" t="inlineStr"/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7" t="n">
        <v>7185</v>
      </c>
      <c r="AK2311" s="8" t="n">
        <v>2359</v>
      </c>
      <c r="AL2311" s="8" t="n">
        <v>3228</v>
      </c>
      <c r="AM2311" s="11" t="inlineStr"/>
      <c r="AN2311" s="12" t="inlineStr"/>
      <c r="AO2311" s="12" t="inlineStr"/>
      <c r="AP2311" s="13" t="inlineStr"/>
      <c r="AQ2311" s="13" t="inlineStr"/>
      <c r="AR2311" s="13" t="inlineStr"/>
      <c r="AS2311" s="13" t="inlineStr"/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7" t="n">
        <v>37647</v>
      </c>
      <c r="AK2312" s="8" t="n">
        <v>-2651</v>
      </c>
      <c r="AL2312" s="8" t="n">
        <v>-3159</v>
      </c>
      <c r="AM2312" s="11" t="inlineStr"/>
      <c r="AN2312" s="12" t="inlineStr"/>
      <c r="AO2312" s="12" t="inlineStr"/>
      <c r="AP2312" s="13" t="inlineStr"/>
      <c r="AQ2312" s="13" t="inlineStr"/>
      <c r="AR2312" s="13" t="inlineStr"/>
      <c r="AS2312" s="13" t="inlineStr"/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7" t="n">
        <v>76814</v>
      </c>
      <c r="AK2313" s="8" t="n">
        <v>6331</v>
      </c>
      <c r="AL2313" s="8" t="n">
        <v>9298</v>
      </c>
      <c r="AM2313" s="11" t="inlineStr"/>
      <c r="AN2313" s="12" t="inlineStr"/>
      <c r="AO2313" s="12" t="inlineStr"/>
      <c r="AP2313" s="13" t="inlineStr"/>
      <c r="AQ2313" s="13" t="inlineStr"/>
      <c r="AR2313" s="13" t="inlineStr"/>
      <c r="AS2313" s="13" t="inlineStr"/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7" t="n">
        <v>33432</v>
      </c>
      <c r="AK2314" s="8" t="n">
        <v>14321</v>
      </c>
      <c r="AL2314" s="8" t="n">
        <v>-2565</v>
      </c>
      <c r="AM2314" s="11" t="inlineStr"/>
      <c r="AN2314" s="12" t="inlineStr"/>
      <c r="AO2314" s="12" t="inlineStr"/>
      <c r="AP2314" s="13" t="inlineStr"/>
      <c r="AQ2314" s="13" t="inlineStr"/>
      <c r="AR2314" s="13" t="inlineStr"/>
      <c r="AS2314" s="13" t="inlineStr"/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7" t="n">
        <v>25</v>
      </c>
      <c r="AK2315" s="8" t="n">
        <v>-2931</v>
      </c>
      <c r="AL2315" s="8" t="n">
        <v>-3654</v>
      </c>
      <c r="AM2315" s="11" t="inlineStr"/>
      <c r="AN2315" s="12" t="inlineStr"/>
      <c r="AO2315" s="12" t="inlineStr"/>
      <c r="AP2315" s="13" t="inlineStr"/>
      <c r="AQ2315" s="13" t="inlineStr"/>
      <c r="AR2315" s="13" t="inlineStr"/>
      <c r="AS2315" s="13" t="inlineStr"/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7" t="n">
        <v>2931</v>
      </c>
      <c r="AK2316" s="8" t="n">
        <v>-2127</v>
      </c>
      <c r="AL2316" s="8" t="n">
        <v>-2145</v>
      </c>
      <c r="AM2316" s="11" t="inlineStr"/>
      <c r="AN2316" s="12" t="inlineStr"/>
      <c r="AO2316" s="12" t="inlineStr"/>
      <c r="AP2316" s="13" t="inlineStr"/>
      <c r="AQ2316" s="13" t="inlineStr"/>
      <c r="AR2316" s="13" t="inlineStr"/>
      <c r="AS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7" t="n">
        <v>17462</v>
      </c>
      <c r="AK2317" s="8" t="n">
        <v>2103</v>
      </c>
      <c r="AL2317" s="8" t="n">
        <v>1673</v>
      </c>
      <c r="AM2317" s="11" t="inlineStr"/>
      <c r="AN2317" s="12" t="inlineStr"/>
      <c r="AO2317" s="12" t="inlineStr"/>
      <c r="AP2317" s="13" t="inlineStr"/>
      <c r="AQ2317" s="13" t="inlineStr"/>
      <c r="AR2317" s="13" t="inlineStr"/>
      <c r="AS2317" s="13" t="inlineStr"/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7" t="n">
        <v>14132</v>
      </c>
      <c r="AK2318" s="8" t="n">
        <v>1893</v>
      </c>
      <c r="AL2318" s="8" t="n">
        <v>8017</v>
      </c>
      <c r="AM2318" s="11" t="inlineStr"/>
      <c r="AN2318" s="12" t="inlineStr"/>
      <c r="AO2318" s="12" t="inlineStr"/>
      <c r="AP2318" s="13" t="inlineStr"/>
      <c r="AQ2318" s="13" t="inlineStr"/>
      <c r="AR2318" s="13" t="inlineStr"/>
      <c r="AS2318" s="13" t="inlineStr"/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7" t="n">
        <v>10368</v>
      </c>
      <c r="AK2319" s="8" t="n">
        <v>362</v>
      </c>
      <c r="AL2319" s="8" t="n">
        <v>308</v>
      </c>
      <c r="AM2319" s="11" t="inlineStr"/>
      <c r="AN2319" s="12" t="inlineStr"/>
      <c r="AO2319" s="12" t="inlineStr"/>
      <c r="AP2319" s="13" t="inlineStr"/>
      <c r="AQ2319" s="13" t="inlineStr"/>
      <c r="AR2319" s="13" t="inlineStr"/>
      <c r="AS2319" s="13" t="inlineStr"/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7" t="n">
        <v>12573</v>
      </c>
      <c r="AK2320" s="8" t="n">
        <v>-2024</v>
      </c>
      <c r="AL2320" s="8" t="n">
        <v>-3263</v>
      </c>
      <c r="AM2320" s="11" t="inlineStr"/>
      <c r="AN2320" s="12" t="inlineStr"/>
      <c r="AO2320" s="12" t="inlineStr"/>
      <c r="AP2320" s="13" t="inlineStr"/>
      <c r="AQ2320" s="13" t="inlineStr"/>
      <c r="AR2320" s="13" t="inlineStr"/>
      <c r="AS2320" s="13" t="inlineStr"/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7" t="n">
        <v>13339</v>
      </c>
      <c r="AK2321" s="8" t="n">
        <v>2699</v>
      </c>
      <c r="AL2321" s="8" t="n">
        <v>2361</v>
      </c>
      <c r="AM2321" s="11" t="inlineStr"/>
      <c r="AN2321" s="12" t="inlineStr"/>
      <c r="AO2321" s="12" t="inlineStr"/>
      <c r="AP2321" s="13" t="inlineStr"/>
      <c r="AQ2321" s="13" t="inlineStr"/>
      <c r="AR2321" s="13" t="inlineStr"/>
      <c r="AS2321" s="13" t="inlineStr"/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7" t="n">
        <v>6945</v>
      </c>
      <c r="AK2322" s="8" t="n">
        <v>474</v>
      </c>
      <c r="AL2322" s="8" t="n">
        <v>481</v>
      </c>
      <c r="AM2322" s="11" t="inlineStr"/>
      <c r="AN2322" s="12" t="inlineStr"/>
      <c r="AO2322" s="12" t="inlineStr"/>
      <c r="AP2322" s="13" t="inlineStr"/>
      <c r="AQ2322" s="13" t="inlineStr"/>
      <c r="AR2322" s="13" t="inlineStr"/>
      <c r="AS2322" s="13" t="inlineStr"/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7" t="inlineStr"/>
      <c r="AK2323" s="8" t="n">
        <v>-1058</v>
      </c>
      <c r="AL2323" s="8" t="n">
        <v>-999</v>
      </c>
      <c r="AM2323" s="11" t="inlineStr"/>
      <c r="AN2323" s="12" t="inlineStr"/>
      <c r="AO2323" s="12" t="inlineStr"/>
      <c r="AP2323" s="13" t="inlineStr"/>
      <c r="AQ2323" s="13" t="inlineStr"/>
      <c r="AR2323" s="13" t="inlineStr"/>
      <c r="AS2323" s="13" t="inlineStr"/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7" t="n">
        <v>8628</v>
      </c>
      <c r="AK2324" s="8" t="n">
        <v>-494</v>
      </c>
      <c r="AL2324" s="8" t="n">
        <v>-135</v>
      </c>
      <c r="AM2324" s="11" t="inlineStr"/>
      <c r="AN2324" s="12" t="inlineStr"/>
      <c r="AO2324" s="12" t="inlineStr"/>
      <c r="AP2324" s="13" t="inlineStr"/>
      <c r="AQ2324" s="13" t="inlineStr"/>
      <c r="AR2324" s="13" t="inlineStr"/>
      <c r="AS2324" s="13" t="inlineStr"/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7" t="n">
        <v>10201</v>
      </c>
      <c r="AK2325" s="8" t="n">
        <v>-4544</v>
      </c>
      <c r="AL2325" s="8" t="n">
        <v>-4008</v>
      </c>
      <c r="AM2325" s="11" t="inlineStr"/>
      <c r="AN2325" s="12" t="inlineStr"/>
      <c r="AO2325" s="12" t="inlineStr"/>
      <c r="AP2325" s="13" t="inlineStr"/>
      <c r="AQ2325" s="13" t="inlineStr"/>
      <c r="AR2325" s="13" t="inlineStr"/>
      <c r="AS2325" s="13" t="inlineStr"/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7" t="n">
        <v>59822</v>
      </c>
      <c r="AK2326" s="8" t="n">
        <v>17074</v>
      </c>
      <c r="AL2326" s="8" t="n">
        <v>15990</v>
      </c>
      <c r="AM2326" s="11" t="inlineStr"/>
      <c r="AN2326" s="12" t="inlineStr"/>
      <c r="AO2326" s="12" t="inlineStr"/>
      <c r="AP2326" s="13" t="inlineStr"/>
      <c r="AQ2326" s="13" t="inlineStr"/>
      <c r="AR2326" s="13" t="inlineStr"/>
      <c r="AS2326" s="13" t="inlineStr"/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7" t="n">
        <v>0</v>
      </c>
      <c r="AK2327" s="8" t="n">
        <v>-9739</v>
      </c>
      <c r="AL2327" s="8" t="n">
        <v>-17647</v>
      </c>
      <c r="AM2327" s="11" t="inlineStr"/>
      <c r="AN2327" s="12" t="inlineStr"/>
      <c r="AO2327" s="12" t="inlineStr"/>
      <c r="AP2327" s="13" t="inlineStr"/>
      <c r="AQ2327" s="13" t="inlineStr"/>
      <c r="AR2327" s="13" t="inlineStr"/>
      <c r="AS2327" s="13" t="inlineStr"/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7" t="n">
        <v>12933</v>
      </c>
      <c r="AK2328" s="8" t="n">
        <v>-2997</v>
      </c>
      <c r="AL2328" s="8" t="n">
        <v>-2106</v>
      </c>
      <c r="AM2328" s="11" t="inlineStr"/>
      <c r="AN2328" s="12" t="inlineStr"/>
      <c r="AO2328" s="12" t="inlineStr"/>
      <c r="AP2328" s="13" t="inlineStr"/>
      <c r="AQ2328" s="13" t="inlineStr"/>
      <c r="AR2328" s="13" t="inlineStr"/>
      <c r="AS2328" s="13" t="inlineStr"/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7" t="n">
        <v>55074</v>
      </c>
      <c r="AK2329" s="8" t="n">
        <v>7609</v>
      </c>
      <c r="AL2329" s="8" t="n">
        <v>6819</v>
      </c>
      <c r="AM2329" s="11" t="inlineStr"/>
      <c r="AN2329" s="12" t="inlineStr"/>
      <c r="AO2329" s="12" t="inlineStr"/>
      <c r="AP2329" s="13" t="inlineStr"/>
      <c r="AQ2329" s="13" t="inlineStr"/>
      <c r="AR2329" s="13" t="inlineStr"/>
      <c r="AS2329" s="13" t="inlineStr"/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7" t="n">
        <v>1937</v>
      </c>
      <c r="AK2330" s="8" t="n">
        <v>-2754</v>
      </c>
      <c r="AL2330" s="8" t="n">
        <v>-2762</v>
      </c>
      <c r="AM2330" s="11" t="inlineStr"/>
      <c r="AN2330" s="12" t="inlineStr"/>
      <c r="AO2330" s="12" t="inlineStr"/>
      <c r="AP2330" s="13" t="inlineStr"/>
      <c r="AQ2330" s="13" t="inlineStr"/>
      <c r="AR2330" s="13" t="inlineStr"/>
      <c r="AS2330" s="13" t="inlineStr"/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7" t="n">
        <v>26788</v>
      </c>
      <c r="AK2331" s="8" t="n">
        <v>-3043</v>
      </c>
      <c r="AL2331" s="8" t="n">
        <v>-3221</v>
      </c>
      <c r="AM2331" s="11" t="inlineStr"/>
      <c r="AN2331" s="12" t="inlineStr"/>
      <c r="AO2331" s="12" t="inlineStr"/>
      <c r="AP2331" s="13" t="inlineStr"/>
      <c r="AQ2331" s="13" t="inlineStr"/>
      <c r="AR2331" s="13" t="inlineStr"/>
      <c r="AS2331" s="13" t="inlineStr"/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7" t="n">
        <v>5801</v>
      </c>
      <c r="AK2332" s="8" t="n">
        <v>-319</v>
      </c>
      <c r="AL2332" s="8" t="n">
        <v>-161</v>
      </c>
      <c r="AM2332" s="11" t="inlineStr"/>
      <c r="AN2332" s="12" t="inlineStr"/>
      <c r="AO2332" s="12" t="inlineStr"/>
      <c r="AP2332" s="13" t="inlineStr"/>
      <c r="AQ2332" s="13" t="inlineStr"/>
      <c r="AR2332" s="13" t="inlineStr"/>
      <c r="AS2332" s="13" t="inlineStr"/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7" t="n">
        <v>2659</v>
      </c>
      <c r="AK2333" s="8" t="n">
        <v>-2290</v>
      </c>
      <c r="AL2333" s="8" t="n">
        <v>-3874</v>
      </c>
      <c r="AM2333" s="11" t="inlineStr"/>
      <c r="AN2333" s="12" t="inlineStr"/>
      <c r="AO2333" s="12" t="inlineStr"/>
      <c r="AP2333" s="13" t="inlineStr"/>
      <c r="AQ2333" s="13" t="inlineStr"/>
      <c r="AR2333" s="13" t="inlineStr"/>
      <c r="AS2333" s="13" t="inlineStr"/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2026Q3</t>
        </is>
      </c>
      <c r="E2334" s="6" t="inlineStr">
        <is>
          <t>2023Q4, 2026Q3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7" t="n">
        <v>7560249</v>
      </c>
      <c r="AK2334" s="8" t="n">
        <v>113302</v>
      </c>
      <c r="AL2334" s="8" t="n">
        <v>-328644</v>
      </c>
      <c r="AM2334" s="14" t="n">
        <v>9643400</v>
      </c>
      <c r="AN2334" s="15" t="n">
        <v>756000</v>
      </c>
      <c r="AO2334" s="12" t="inlineStr"/>
      <c r="AP2334" s="13" t="n">
        <v>27.6</v>
      </c>
      <c r="AQ2334" s="13" t="n">
        <v>69.2</v>
      </c>
      <c r="AR2334" s="13" t="n">
        <v>567.2</v>
      </c>
      <c r="AS2334" s="13" t="n">
        <v>25.7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7" t="n">
        <v>1802922</v>
      </c>
      <c r="AK2335" s="8" t="n">
        <v>159428</v>
      </c>
      <c r="AL2335" s="8" t="n">
        <v>129720</v>
      </c>
      <c r="AM2335" s="11" t="inlineStr"/>
      <c r="AN2335" s="12" t="inlineStr"/>
      <c r="AO2335" s="12" t="inlineStr"/>
      <c r="AP2335" s="13" t="inlineStr"/>
      <c r="AQ2335" s="13" t="inlineStr"/>
      <c r="AR2335" s="13" t="inlineStr"/>
      <c r="AS2335" s="13" t="inlineStr"/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7" t="n">
        <v>8438</v>
      </c>
      <c r="AK2336" s="8" t="n">
        <v>1203</v>
      </c>
      <c r="AL2336" s="8" t="n">
        <v>2389</v>
      </c>
      <c r="AM2336" s="11" t="inlineStr"/>
      <c r="AN2336" s="12" t="inlineStr"/>
      <c r="AO2336" s="12" t="inlineStr"/>
      <c r="AP2336" s="13" t="inlineStr"/>
      <c r="AQ2336" s="13" t="inlineStr"/>
      <c r="AR2336" s="13" t="inlineStr"/>
      <c r="AS2336" s="13" t="inlineStr"/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7" t="n">
        <v>4575</v>
      </c>
      <c r="AK2337" s="8" t="n">
        <v>-2859</v>
      </c>
      <c r="AL2337" s="8" t="n">
        <v>1405</v>
      </c>
      <c r="AM2337" s="11" t="inlineStr"/>
      <c r="AN2337" s="12" t="inlineStr"/>
      <c r="AO2337" s="12" t="inlineStr"/>
      <c r="AP2337" s="13" t="inlineStr"/>
      <c r="AQ2337" s="13" t="inlineStr"/>
      <c r="AR2337" s="13" t="inlineStr"/>
      <c r="AS2337" s="13" t="inlineStr"/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7" t="n">
        <v>47985</v>
      </c>
      <c r="AK2338" s="8" t="n">
        <v>1551</v>
      </c>
      <c r="AL2338" s="8" t="n">
        <v>2686</v>
      </c>
      <c r="AM2338" s="11" t="inlineStr"/>
      <c r="AN2338" s="12" t="inlineStr"/>
      <c r="AO2338" s="12" t="inlineStr"/>
      <c r="AP2338" s="13" t="inlineStr"/>
      <c r="AQ2338" s="13" t="inlineStr"/>
      <c r="AR2338" s="13" t="inlineStr"/>
      <c r="AS2338" s="13" t="inlineStr"/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7" t="n">
        <v>23352</v>
      </c>
      <c r="AK2339" s="8" t="n">
        <v>9406</v>
      </c>
      <c r="AL2339" s="8" t="n">
        <v>4532</v>
      </c>
      <c r="AM2339" s="11" t="inlineStr"/>
      <c r="AN2339" s="12" t="inlineStr"/>
      <c r="AO2339" s="12" t="inlineStr"/>
      <c r="AP2339" s="13" t="inlineStr"/>
      <c r="AQ2339" s="13" t="inlineStr"/>
      <c r="AR2339" s="13" t="inlineStr"/>
      <c r="AS2339" s="13" t="inlineStr"/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7" t="n">
        <v>8216</v>
      </c>
      <c r="AK2340" s="8" t="n">
        <v>-13453</v>
      </c>
      <c r="AL2340" s="8" t="n">
        <v>-9343</v>
      </c>
      <c r="AM2340" s="11" t="inlineStr"/>
      <c r="AN2340" s="12" t="inlineStr"/>
      <c r="AO2340" s="12" t="inlineStr"/>
      <c r="AP2340" s="13" t="inlineStr"/>
      <c r="AQ2340" s="13" t="inlineStr"/>
      <c r="AR2340" s="13" t="inlineStr"/>
      <c r="AS2340" s="13" t="inlineStr"/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7" t="n">
        <v>1008</v>
      </c>
      <c r="AK2341" s="8" t="n">
        <v>-4802</v>
      </c>
      <c r="AL2341" s="8" t="n">
        <v>-4691</v>
      </c>
      <c r="AM2341" s="11" t="inlineStr"/>
      <c r="AN2341" s="12" t="inlineStr"/>
      <c r="AO2341" s="12" t="inlineStr"/>
      <c r="AP2341" s="13" t="inlineStr"/>
      <c r="AQ2341" s="13" t="inlineStr"/>
      <c r="AR2341" s="13" t="inlineStr"/>
      <c r="AS2341" s="13" t="inlineStr"/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7" t="n">
        <v>11735</v>
      </c>
      <c r="AK2342" s="8" t="n">
        <v>1717</v>
      </c>
      <c r="AL2342" s="8" t="n">
        <v>2261</v>
      </c>
      <c r="AM2342" s="11" t="inlineStr"/>
      <c r="AN2342" s="12" t="inlineStr"/>
      <c r="AO2342" s="12" t="inlineStr"/>
      <c r="AP2342" s="13" t="inlineStr"/>
      <c r="AQ2342" s="13" t="inlineStr"/>
      <c r="AR2342" s="13" t="inlineStr"/>
      <c r="AS2342" s="13" t="inlineStr"/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7" t="n">
        <v>4532</v>
      </c>
      <c r="AK2343" s="8" t="n">
        <v>-779</v>
      </c>
      <c r="AL2343" s="8" t="n">
        <v>-9033</v>
      </c>
      <c r="AM2343" s="11" t="inlineStr"/>
      <c r="AN2343" s="12" t="inlineStr"/>
      <c r="AO2343" s="12" t="inlineStr"/>
      <c r="AP2343" s="13" t="inlineStr"/>
      <c r="AQ2343" s="13" t="inlineStr"/>
      <c r="AR2343" s="13" t="inlineStr"/>
      <c r="AS2343" s="13" t="inlineStr"/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7" t="n">
        <v>14771</v>
      </c>
      <c r="AK2344" s="8" t="n">
        <v>10441</v>
      </c>
      <c r="AL2344" s="8" t="n">
        <v>2635</v>
      </c>
      <c r="AM2344" s="11" t="inlineStr"/>
      <c r="AN2344" s="12" t="inlineStr"/>
      <c r="AO2344" s="12" t="inlineStr"/>
      <c r="AP2344" s="13" t="inlineStr"/>
      <c r="AQ2344" s="13" t="inlineStr"/>
      <c r="AR2344" s="13" t="inlineStr"/>
      <c r="AS2344" s="13" t="inlineStr"/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7" t="n">
        <v>14665</v>
      </c>
      <c r="AK2345" s="8" t="n">
        <v>-553</v>
      </c>
      <c r="AL2345" s="8" t="n">
        <v>-1200</v>
      </c>
      <c r="AM2345" s="11" t="inlineStr"/>
      <c r="AN2345" s="12" t="inlineStr"/>
      <c r="AO2345" s="12" t="inlineStr"/>
      <c r="AP2345" s="13" t="inlineStr"/>
      <c r="AQ2345" s="13" t="inlineStr"/>
      <c r="AR2345" s="13" t="inlineStr"/>
      <c r="AS2345" s="13" t="inlineStr"/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7" t="n">
        <v>335079</v>
      </c>
      <c r="AK2346" s="8" t="n">
        <v>58603</v>
      </c>
      <c r="AL2346" s="8" t="n">
        <v>49596</v>
      </c>
      <c r="AM2346" s="11" t="inlineStr"/>
      <c r="AN2346" s="12" t="inlineStr"/>
      <c r="AO2346" s="12" t="inlineStr"/>
      <c r="AP2346" s="13" t="inlineStr"/>
      <c r="AQ2346" s="13" t="inlineStr"/>
      <c r="AR2346" s="13" t="inlineStr"/>
      <c r="AS2346" s="13" t="inlineStr"/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7" t="n">
        <v>3483</v>
      </c>
      <c r="AK2347" s="8" t="n">
        <v>-2321</v>
      </c>
      <c r="AL2347" s="8" t="n">
        <v>-2110</v>
      </c>
      <c r="AM2347" s="11" t="inlineStr"/>
      <c r="AN2347" s="12" t="inlineStr"/>
      <c r="AO2347" s="12" t="inlineStr"/>
      <c r="AP2347" s="13" t="inlineStr"/>
      <c r="AQ2347" s="13" t="inlineStr"/>
      <c r="AR2347" s="13" t="inlineStr"/>
      <c r="AS2347" s="13" t="inlineStr"/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7" t="n">
        <v>14114</v>
      </c>
      <c r="AK2348" s="8" t="n">
        <v>4861</v>
      </c>
      <c r="AL2348" s="8" t="n">
        <v>4839</v>
      </c>
      <c r="AM2348" s="11" t="inlineStr"/>
      <c r="AN2348" s="12" t="inlineStr"/>
      <c r="AO2348" s="12" t="inlineStr"/>
      <c r="AP2348" s="13" t="inlineStr"/>
      <c r="AQ2348" s="13" t="inlineStr"/>
      <c r="AR2348" s="13" t="inlineStr"/>
      <c r="AS2348" s="13" t="inlineStr"/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7" t="n">
        <v>23530</v>
      </c>
      <c r="AK2349" s="8" t="n">
        <v>-700</v>
      </c>
      <c r="AL2349" s="8" t="n">
        <v>-1975</v>
      </c>
      <c r="AM2349" s="11" t="inlineStr"/>
      <c r="AN2349" s="12" t="inlineStr"/>
      <c r="AO2349" s="12" t="inlineStr"/>
      <c r="AP2349" s="13" t="inlineStr"/>
      <c r="AQ2349" s="13" t="inlineStr"/>
      <c r="AR2349" s="13" t="inlineStr"/>
      <c r="AS2349" s="13" t="inlineStr"/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7" t="n">
        <v>962</v>
      </c>
      <c r="AK2350" s="8" t="n">
        <v>-3014</v>
      </c>
      <c r="AL2350" s="8" t="n">
        <v>-1352</v>
      </c>
      <c r="AM2350" s="11" t="inlineStr"/>
      <c r="AN2350" s="12" t="inlineStr"/>
      <c r="AO2350" s="12" t="inlineStr"/>
      <c r="AP2350" s="13" t="inlineStr"/>
      <c r="AQ2350" s="13" t="inlineStr"/>
      <c r="AR2350" s="13" t="inlineStr"/>
      <c r="AS2350" s="13" t="inlineStr"/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7" t="n">
        <v>36368</v>
      </c>
      <c r="AK2351" s="8" t="n">
        <v>8457</v>
      </c>
      <c r="AL2351" s="8" t="n">
        <v>9072</v>
      </c>
      <c r="AM2351" s="11" t="inlineStr"/>
      <c r="AN2351" s="12" t="inlineStr"/>
      <c r="AO2351" s="12" t="inlineStr"/>
      <c r="AP2351" s="13" t="inlineStr"/>
      <c r="AQ2351" s="13" t="inlineStr"/>
      <c r="AR2351" s="13" t="inlineStr"/>
      <c r="AS2351" s="13" t="inlineStr"/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7" t="n">
        <v>2391</v>
      </c>
      <c r="AK2352" s="8" t="n">
        <v>-7144</v>
      </c>
      <c r="AL2352" s="8" t="n">
        <v>-3797</v>
      </c>
      <c r="AM2352" s="11" t="inlineStr"/>
      <c r="AN2352" s="12" t="inlineStr"/>
      <c r="AO2352" s="12" t="inlineStr"/>
      <c r="AP2352" s="13" t="inlineStr"/>
      <c r="AQ2352" s="13" t="inlineStr"/>
      <c r="AR2352" s="13" t="inlineStr"/>
      <c r="AS2352" s="13" t="inlineStr"/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2026Q3</t>
        </is>
      </c>
      <c r="E2353" s="6" t="inlineStr">
        <is>
          <t>2026Q3</t>
        </is>
      </c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7" t="n">
        <v>41</v>
      </c>
      <c r="AK2353" s="8" t="n">
        <v>-3115</v>
      </c>
      <c r="AL2353" s="8" t="n">
        <v>-3697</v>
      </c>
      <c r="AM2353" s="14" t="n">
        <v>4771</v>
      </c>
      <c r="AN2353" s="12" t="inlineStr"/>
      <c r="AO2353" s="12" t="inlineStr"/>
      <c r="AP2353" s="13" t="n">
        <v>11536.6</v>
      </c>
      <c r="AQ2353" s="13" t="n">
        <v>2739.9</v>
      </c>
      <c r="AR2353" s="13" t="inlineStr"/>
      <c r="AS2353" s="13" t="inlineStr"/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7" t="n">
        <v>201186</v>
      </c>
      <c r="AK2354" s="8" t="n">
        <v>10561</v>
      </c>
      <c r="AL2354" s="8" t="n">
        <v>8227</v>
      </c>
      <c r="AM2354" s="11" t="inlineStr"/>
      <c r="AN2354" s="12" t="inlineStr"/>
      <c r="AO2354" s="12" t="inlineStr"/>
      <c r="AP2354" s="13" t="inlineStr"/>
      <c r="AQ2354" s="13" t="inlineStr"/>
      <c r="AR2354" s="13" t="inlineStr"/>
      <c r="AS2354" s="13" t="inlineStr"/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7" t="n">
        <v>3388</v>
      </c>
      <c r="AK2355" s="8" t="n">
        <v>-1873</v>
      </c>
      <c r="AL2355" s="8" t="n">
        <v>-9701</v>
      </c>
      <c r="AM2355" s="11" t="inlineStr"/>
      <c r="AN2355" s="12" t="inlineStr"/>
      <c r="AO2355" s="12" t="inlineStr"/>
      <c r="AP2355" s="13" t="inlineStr"/>
      <c r="AQ2355" s="13" t="inlineStr"/>
      <c r="AR2355" s="13" t="inlineStr"/>
      <c r="AS2355" s="13" t="inlineStr"/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7" t="n">
        <v>782</v>
      </c>
      <c r="AK2356" s="8" t="n">
        <v>-5232</v>
      </c>
      <c r="AL2356" s="8" t="n">
        <v>-5660</v>
      </c>
      <c r="AM2356" s="11" t="inlineStr"/>
      <c r="AN2356" s="12" t="inlineStr"/>
      <c r="AO2356" s="12" t="inlineStr"/>
      <c r="AP2356" s="13" t="inlineStr"/>
      <c r="AQ2356" s="13" t="inlineStr"/>
      <c r="AR2356" s="13" t="inlineStr"/>
      <c r="AS2356" s="13" t="inlineStr"/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7" t="n">
        <v>4477</v>
      </c>
      <c r="AK2357" s="8" t="n">
        <v>-2530</v>
      </c>
      <c r="AL2357" s="8" t="n">
        <v>-566</v>
      </c>
      <c r="AM2357" s="11" t="inlineStr"/>
      <c r="AN2357" s="12" t="inlineStr"/>
      <c r="AO2357" s="12" t="inlineStr"/>
      <c r="AP2357" s="13" t="inlineStr"/>
      <c r="AQ2357" s="13" t="inlineStr"/>
      <c r="AR2357" s="13" t="inlineStr"/>
      <c r="AS2357" s="13" t="inlineStr"/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7" t="n">
        <v>439157</v>
      </c>
      <c r="AK2358" s="8" t="n">
        <v>-33635</v>
      </c>
      <c r="AL2358" s="8" t="n">
        <v>-27103</v>
      </c>
      <c r="AM2358" s="11" t="inlineStr"/>
      <c r="AN2358" s="12" t="inlineStr"/>
      <c r="AO2358" s="12" t="inlineStr"/>
      <c r="AP2358" s="13" t="inlineStr"/>
      <c r="AQ2358" s="13" t="inlineStr"/>
      <c r="AR2358" s="13" t="inlineStr"/>
      <c r="AS2358" s="13" t="inlineStr"/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7" t="inlineStr"/>
      <c r="AK2359" s="8" t="n">
        <v>-2698</v>
      </c>
      <c r="AL2359" s="8" t="n">
        <v>1011</v>
      </c>
      <c r="AM2359" s="11" t="inlineStr"/>
      <c r="AN2359" s="12" t="inlineStr"/>
      <c r="AO2359" s="12" t="inlineStr"/>
      <c r="AP2359" s="13" t="inlineStr"/>
      <c r="AQ2359" s="13" t="inlineStr"/>
      <c r="AR2359" s="13" t="inlineStr"/>
      <c r="AS2359" s="13" t="inlineStr"/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7" t="n">
        <v>9586</v>
      </c>
      <c r="AK2360" s="8" t="n">
        <v>-530</v>
      </c>
      <c r="AL2360" s="8" t="n">
        <v>365</v>
      </c>
      <c r="AM2360" s="11" t="inlineStr"/>
      <c r="AN2360" s="12" t="inlineStr"/>
      <c r="AO2360" s="12" t="inlineStr"/>
      <c r="AP2360" s="13" t="inlineStr"/>
      <c r="AQ2360" s="13" t="inlineStr"/>
      <c r="AR2360" s="13" t="inlineStr"/>
      <c r="AS2360" s="13" t="inlineStr"/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7" t="n">
        <v>36664</v>
      </c>
      <c r="AK2361" s="8" t="n">
        <v>5079</v>
      </c>
      <c r="AL2361" s="8" t="n">
        <v>5116</v>
      </c>
      <c r="AM2361" s="11" t="inlineStr"/>
      <c r="AN2361" s="12" t="inlineStr"/>
      <c r="AO2361" s="12" t="inlineStr"/>
      <c r="AP2361" s="13" t="inlineStr"/>
      <c r="AQ2361" s="13" t="inlineStr"/>
      <c r="AR2361" s="13" t="inlineStr"/>
      <c r="AS2361" s="13" t="inlineStr"/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7" t="n">
        <v>3464</v>
      </c>
      <c r="AK2362" s="8" t="n">
        <v>-14229</v>
      </c>
      <c r="AL2362" s="8" t="n">
        <v>-18805</v>
      </c>
      <c r="AM2362" s="11" t="inlineStr"/>
      <c r="AN2362" s="12" t="inlineStr"/>
      <c r="AO2362" s="12" t="inlineStr"/>
      <c r="AP2362" s="13" t="inlineStr"/>
      <c r="AQ2362" s="13" t="inlineStr"/>
      <c r="AR2362" s="13" t="inlineStr"/>
      <c r="AS2362" s="13" t="inlineStr"/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7" t="n">
        <v>17825</v>
      </c>
      <c r="AK2363" s="8" t="n">
        <v>-3233</v>
      </c>
      <c r="AL2363" s="8" t="n">
        <v>-3988</v>
      </c>
      <c r="AM2363" s="11" t="inlineStr"/>
      <c r="AN2363" s="12" t="inlineStr"/>
      <c r="AO2363" s="12" t="inlineStr"/>
      <c r="AP2363" s="13" t="inlineStr"/>
      <c r="AQ2363" s="13" t="inlineStr"/>
      <c r="AR2363" s="13" t="inlineStr"/>
      <c r="AS2363" s="13" t="inlineStr"/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7" t="n">
        <v>399622</v>
      </c>
      <c r="AK2364" s="8" t="n">
        <v>86499</v>
      </c>
      <c r="AL2364" s="8" t="n">
        <v>72988</v>
      </c>
      <c r="AM2364" s="11" t="inlineStr"/>
      <c r="AN2364" s="12" t="inlineStr"/>
      <c r="AO2364" s="12" t="inlineStr"/>
      <c r="AP2364" s="13" t="inlineStr"/>
      <c r="AQ2364" s="13" t="inlineStr"/>
      <c r="AR2364" s="13" t="inlineStr"/>
      <c r="AS2364" s="13" t="inlineStr"/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7" t="n">
        <v>51528</v>
      </c>
      <c r="AK2365" s="8" t="n">
        <v>5762</v>
      </c>
      <c r="AL2365" s="8" t="n">
        <v>5072</v>
      </c>
      <c r="AM2365" s="11" t="inlineStr"/>
      <c r="AN2365" s="12" t="inlineStr"/>
      <c r="AO2365" s="12" t="inlineStr"/>
      <c r="AP2365" s="13" t="inlineStr"/>
      <c r="AQ2365" s="13" t="inlineStr"/>
      <c r="AR2365" s="13" t="inlineStr"/>
      <c r="AS2365" s="13" t="inlineStr"/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7" t="n">
        <v>17286</v>
      </c>
      <c r="AK2366" s="8" t="n">
        <v>60337</v>
      </c>
      <c r="AL2366" s="8" t="n">
        <v>56551</v>
      </c>
      <c r="AM2366" s="11" t="inlineStr"/>
      <c r="AN2366" s="12" t="inlineStr"/>
      <c r="AO2366" s="12" t="inlineStr"/>
      <c r="AP2366" s="13" t="inlineStr"/>
      <c r="AQ2366" s="13" t="inlineStr"/>
      <c r="AR2366" s="13" t="inlineStr"/>
      <c r="AS2366" s="13" t="inlineStr"/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7" t="n">
        <v>11294</v>
      </c>
      <c r="AK2367" s="8" t="n">
        <v>-6565</v>
      </c>
      <c r="AL2367" s="8" t="n">
        <v>-4104</v>
      </c>
      <c r="AM2367" s="11" t="inlineStr"/>
      <c r="AN2367" s="12" t="inlineStr"/>
      <c r="AO2367" s="12" t="inlineStr"/>
      <c r="AP2367" s="13" t="inlineStr"/>
      <c r="AQ2367" s="13" t="inlineStr"/>
      <c r="AR2367" s="13" t="inlineStr"/>
      <c r="AS2367" s="13" t="inlineStr"/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7" t="inlineStr"/>
      <c r="AK2368" s="8" t="n">
        <v>-2369</v>
      </c>
      <c r="AL2368" s="8" t="n">
        <v>-3724</v>
      </c>
      <c r="AM2368" s="11" t="inlineStr"/>
      <c r="AN2368" s="12" t="inlineStr"/>
      <c r="AO2368" s="12" t="inlineStr"/>
      <c r="AP2368" s="13" t="inlineStr"/>
      <c r="AQ2368" s="13" t="inlineStr"/>
      <c r="AR2368" s="13" t="inlineStr"/>
      <c r="AS2368" s="13" t="inlineStr"/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7" t="n">
        <v>4031</v>
      </c>
      <c r="AK2369" s="8" t="n">
        <v>790</v>
      </c>
      <c r="AL2369" s="8" t="n">
        <v>777</v>
      </c>
      <c r="AM2369" s="11" t="inlineStr"/>
      <c r="AN2369" s="12" t="inlineStr"/>
      <c r="AO2369" s="12" t="inlineStr"/>
      <c r="AP2369" s="13" t="inlineStr"/>
      <c r="AQ2369" s="13" t="inlineStr"/>
      <c r="AR2369" s="13" t="inlineStr"/>
      <c r="AS2369" s="13" t="inlineStr"/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7" t="n">
        <v>6184</v>
      </c>
      <c r="AK2370" s="8" t="n">
        <v>2833</v>
      </c>
      <c r="AL2370" s="8" t="n">
        <v>1859</v>
      </c>
      <c r="AM2370" s="11" t="inlineStr"/>
      <c r="AN2370" s="12" t="inlineStr"/>
      <c r="AO2370" s="12" t="inlineStr"/>
      <c r="AP2370" s="13" t="inlineStr"/>
      <c r="AQ2370" s="13" t="inlineStr"/>
      <c r="AR2370" s="13" t="inlineStr"/>
      <c r="AS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7" t="n">
        <v>10417</v>
      </c>
      <c r="AK2371" s="8" t="n">
        <v>413</v>
      </c>
      <c r="AL2371" s="8" t="n">
        <v>349</v>
      </c>
      <c r="AM2371" s="11" t="inlineStr"/>
      <c r="AN2371" s="12" t="inlineStr"/>
      <c r="AO2371" s="12" t="inlineStr"/>
      <c r="AP2371" s="13" t="inlineStr"/>
      <c r="AQ2371" s="13" t="inlineStr"/>
      <c r="AR2371" s="13" t="inlineStr"/>
      <c r="AS2371" s="13" t="inlineStr"/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7" t="n">
        <v>47897</v>
      </c>
      <c r="AK2372" s="8" t="n">
        <v>15575</v>
      </c>
      <c r="AL2372" s="8" t="n">
        <v>10087</v>
      </c>
      <c r="AM2372" s="11" t="inlineStr"/>
      <c r="AN2372" s="12" t="inlineStr"/>
      <c r="AO2372" s="12" t="inlineStr"/>
      <c r="AP2372" s="13" t="inlineStr"/>
      <c r="AQ2372" s="13" t="inlineStr"/>
      <c r="AR2372" s="13" t="inlineStr"/>
      <c r="AS2372" s="13" t="inlineStr"/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7" t="n">
        <v>5464</v>
      </c>
      <c r="AK2373" s="8" t="n">
        <v>581</v>
      </c>
      <c r="AL2373" s="8" t="n">
        <v>417</v>
      </c>
      <c r="AM2373" s="11" t="inlineStr"/>
      <c r="AN2373" s="12" t="inlineStr"/>
      <c r="AO2373" s="12" t="inlineStr"/>
      <c r="AP2373" s="13" t="inlineStr"/>
      <c r="AQ2373" s="13" t="inlineStr"/>
      <c r="AR2373" s="13" t="inlineStr"/>
      <c r="AS2373" s="13" t="inlineStr"/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7" t="inlineStr"/>
      <c r="AK2374" s="8" t="n">
        <v>-1457</v>
      </c>
      <c r="AL2374" s="8" t="n">
        <v>-1283</v>
      </c>
      <c r="AM2374" s="11" t="inlineStr"/>
      <c r="AN2374" s="12" t="inlineStr"/>
      <c r="AO2374" s="12" t="inlineStr"/>
      <c r="AP2374" s="13" t="inlineStr"/>
      <c r="AQ2374" s="13" t="inlineStr"/>
      <c r="AR2374" s="13" t="inlineStr"/>
      <c r="AS2374" s="13" t="inlineStr"/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7" t="n">
        <v>4530</v>
      </c>
      <c r="AK2375" s="8" t="n">
        <v>128</v>
      </c>
      <c r="AL2375" s="8" t="n">
        <v>113</v>
      </c>
      <c r="AM2375" s="11" t="inlineStr"/>
      <c r="AN2375" s="12" t="inlineStr"/>
      <c r="AO2375" s="12" t="inlineStr"/>
      <c r="AP2375" s="13" t="inlineStr"/>
      <c r="AQ2375" s="13" t="inlineStr"/>
      <c r="AR2375" s="13" t="inlineStr"/>
      <c r="AS2375" s="13" t="inlineStr"/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7" t="inlineStr"/>
      <c r="AK2376" s="8" t="n">
        <v>-2280</v>
      </c>
      <c r="AL2376" s="8" t="n">
        <v>-2335</v>
      </c>
      <c r="AM2376" s="11" t="inlineStr"/>
      <c r="AN2376" s="12" t="inlineStr"/>
      <c r="AO2376" s="12" t="inlineStr"/>
      <c r="AP2376" s="13" t="inlineStr"/>
      <c r="AQ2376" s="13" t="inlineStr"/>
      <c r="AR2376" s="13" t="inlineStr"/>
      <c r="AS2376" s="13" t="inlineStr"/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7" t="n">
        <v>6095</v>
      </c>
      <c r="AK2377" s="8" t="n">
        <v>-314</v>
      </c>
      <c r="AL2377" s="8" t="n">
        <v>-240</v>
      </c>
      <c r="AM2377" s="11" t="inlineStr"/>
      <c r="AN2377" s="12" t="inlineStr"/>
      <c r="AO2377" s="12" t="inlineStr"/>
      <c r="AP2377" s="13" t="inlineStr"/>
      <c r="AQ2377" s="13" t="inlineStr"/>
      <c r="AR2377" s="13" t="inlineStr"/>
      <c r="AS2377" s="13" t="inlineStr"/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7" t="n">
        <v>3607</v>
      </c>
      <c r="AK2378" s="8" t="n">
        <v>-4595</v>
      </c>
      <c r="AL2378" s="8" t="n">
        <v>-7746</v>
      </c>
      <c r="AM2378" s="11" t="inlineStr"/>
      <c r="AN2378" s="12" t="inlineStr"/>
      <c r="AO2378" s="12" t="inlineStr"/>
      <c r="AP2378" s="13" t="inlineStr"/>
      <c r="AQ2378" s="13" t="inlineStr"/>
      <c r="AR2378" s="13" t="inlineStr"/>
      <c r="AS2378" s="13" t="inlineStr"/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7" t="inlineStr"/>
      <c r="AK2379" s="8" t="n">
        <v>-603</v>
      </c>
      <c r="AL2379" s="8" t="n">
        <v>-565</v>
      </c>
      <c r="AM2379" s="11" t="inlineStr"/>
      <c r="AN2379" s="12" t="inlineStr"/>
      <c r="AO2379" s="12" t="inlineStr"/>
      <c r="AP2379" s="13" t="inlineStr"/>
      <c r="AQ2379" s="13" t="inlineStr"/>
      <c r="AR2379" s="13" t="inlineStr"/>
      <c r="AS2379" s="13" t="inlineStr"/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7" t="n">
        <v>25346</v>
      </c>
      <c r="AK2380" s="8" t="n">
        <v>3397</v>
      </c>
      <c r="AL2380" s="8" t="n">
        <v>16526</v>
      </c>
      <c r="AM2380" s="11" t="inlineStr"/>
      <c r="AN2380" s="12" t="inlineStr"/>
      <c r="AO2380" s="12" t="inlineStr"/>
      <c r="AP2380" s="13" t="inlineStr"/>
      <c r="AQ2380" s="13" t="inlineStr"/>
      <c r="AR2380" s="13" t="inlineStr"/>
      <c r="AS2380" s="13" t="inlineStr"/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7" t="n">
        <v>176</v>
      </c>
      <c r="AK2381" s="8" t="n">
        <v>-10285</v>
      </c>
      <c r="AL2381" s="8" t="n">
        <v>-4223</v>
      </c>
      <c r="AM2381" s="11" t="inlineStr"/>
      <c r="AN2381" s="12" t="inlineStr"/>
      <c r="AO2381" s="12" t="inlineStr"/>
      <c r="AP2381" s="13" t="inlineStr"/>
      <c r="AQ2381" s="13" t="inlineStr"/>
      <c r="AR2381" s="13" t="inlineStr"/>
      <c r="AS2381" s="13" t="inlineStr"/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7" t="n">
        <v>2704</v>
      </c>
      <c r="AK2382" s="8" t="n">
        <v>-2952</v>
      </c>
      <c r="AL2382" s="8" t="n">
        <v>-3228</v>
      </c>
      <c r="AM2382" s="11" t="inlineStr"/>
      <c r="AN2382" s="12" t="inlineStr"/>
      <c r="AO2382" s="12" t="inlineStr"/>
      <c r="AP2382" s="13" t="inlineStr"/>
      <c r="AQ2382" s="13" t="inlineStr"/>
      <c r="AR2382" s="13" t="inlineStr"/>
      <c r="AS2382" s="13" t="inlineStr"/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7" t="n">
        <v>4936</v>
      </c>
      <c r="AK2383" s="8" t="n">
        <v>-1034</v>
      </c>
      <c r="AL2383" s="8" t="n">
        <v>-633</v>
      </c>
      <c r="AM2383" s="11" t="inlineStr"/>
      <c r="AN2383" s="12" t="inlineStr"/>
      <c r="AO2383" s="12" t="inlineStr"/>
      <c r="AP2383" s="13" t="inlineStr"/>
      <c r="AQ2383" s="13" t="inlineStr"/>
      <c r="AR2383" s="13" t="inlineStr"/>
      <c r="AS2383" s="13" t="inlineStr"/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7" t="n">
        <v>743</v>
      </c>
      <c r="AK2384" s="8" t="n">
        <v>-693</v>
      </c>
      <c r="AL2384" s="8" t="n">
        <v>-627</v>
      </c>
      <c r="AM2384" s="11" t="inlineStr"/>
      <c r="AN2384" s="12" t="inlineStr"/>
      <c r="AO2384" s="12" t="inlineStr"/>
      <c r="AP2384" s="13" t="inlineStr"/>
      <c r="AQ2384" s="13" t="inlineStr"/>
      <c r="AR2384" s="13" t="inlineStr"/>
      <c r="AS2384" s="13" t="inlineStr"/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7" t="n">
        <v>4930</v>
      </c>
      <c r="AK2385" s="8" t="n">
        <v>-1560</v>
      </c>
      <c r="AL2385" s="8" t="n">
        <v>-5715</v>
      </c>
      <c r="AM2385" s="11" t="inlineStr"/>
      <c r="AN2385" s="12" t="inlineStr"/>
      <c r="AO2385" s="12" t="inlineStr"/>
      <c r="AP2385" s="13" t="inlineStr"/>
      <c r="AQ2385" s="13" t="inlineStr"/>
      <c r="AR2385" s="13" t="inlineStr"/>
      <c r="AS2385" s="13" t="inlineStr"/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7" t="n">
        <v>8416</v>
      </c>
      <c r="AK2386" s="8" t="n">
        <v>21</v>
      </c>
      <c r="AL2386" s="8" t="n">
        <v>-364</v>
      </c>
      <c r="AM2386" s="11" t="inlineStr"/>
      <c r="AN2386" s="12" t="inlineStr"/>
      <c r="AO2386" s="12" t="inlineStr"/>
      <c r="AP2386" s="13" t="inlineStr"/>
      <c r="AQ2386" s="13" t="inlineStr"/>
      <c r="AR2386" s="13" t="inlineStr"/>
      <c r="AS2386" s="13" t="inlineStr"/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7" t="n">
        <v>36237</v>
      </c>
      <c r="AK2387" s="8" t="n">
        <v>-15499</v>
      </c>
      <c r="AL2387" s="8" t="n">
        <v>810</v>
      </c>
      <c r="AM2387" s="11" t="inlineStr"/>
      <c r="AN2387" s="12" t="inlineStr"/>
      <c r="AO2387" s="12" t="inlineStr"/>
      <c r="AP2387" s="13" t="inlineStr"/>
      <c r="AQ2387" s="13" t="inlineStr"/>
      <c r="AR2387" s="13" t="inlineStr"/>
      <c r="AS2387" s="13" t="inlineStr"/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7" t="n">
        <v>27002</v>
      </c>
      <c r="AK2388" s="8" t="n">
        <v>-560</v>
      </c>
      <c r="AL2388" s="8" t="n">
        <v>-930</v>
      </c>
      <c r="AM2388" s="11" t="inlineStr"/>
      <c r="AN2388" s="12" t="inlineStr"/>
      <c r="AO2388" s="12" t="inlineStr"/>
      <c r="AP2388" s="13" t="inlineStr"/>
      <c r="AQ2388" s="13" t="inlineStr"/>
      <c r="AR2388" s="13" t="inlineStr"/>
      <c r="AS2388" s="13" t="inlineStr"/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7" t="n">
        <v>2942</v>
      </c>
      <c r="AK2389" s="8" t="n">
        <v>-6254</v>
      </c>
      <c r="AL2389" s="8" t="n">
        <v>-6107</v>
      </c>
      <c r="AM2389" s="11" t="inlineStr"/>
      <c r="AN2389" s="12" t="inlineStr"/>
      <c r="AO2389" s="12" t="inlineStr"/>
      <c r="AP2389" s="13" t="inlineStr"/>
      <c r="AQ2389" s="13" t="inlineStr"/>
      <c r="AR2389" s="13" t="inlineStr"/>
      <c r="AS2389" s="13" t="inlineStr"/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7" t="n">
        <v>1687</v>
      </c>
      <c r="AK2390" s="8" t="inlineStr"/>
      <c r="AL2390" s="8" t="inlineStr"/>
      <c r="AM2390" s="11" t="inlineStr"/>
      <c r="AN2390" s="12" t="inlineStr"/>
      <c r="AO2390" s="12" t="inlineStr"/>
      <c r="AP2390" s="13" t="inlineStr"/>
      <c r="AQ2390" s="13" t="inlineStr"/>
      <c r="AR2390" s="13" t="inlineStr"/>
      <c r="AS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7" t="n">
        <v>3795</v>
      </c>
      <c r="AK2391" s="8" t="n">
        <v>-1667</v>
      </c>
      <c r="AL2391" s="8" t="n">
        <v>6718</v>
      </c>
      <c r="AM2391" s="11" t="inlineStr"/>
      <c r="AN2391" s="12" t="inlineStr"/>
      <c r="AO2391" s="12" t="inlineStr"/>
      <c r="AP2391" s="13" t="inlineStr"/>
      <c r="AQ2391" s="13" t="inlineStr"/>
      <c r="AR2391" s="13" t="inlineStr"/>
      <c r="AS2391" s="13" t="inlineStr"/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1" t="inlineStr"/>
      <c r="AN2392" s="12" t="inlineStr"/>
      <c r="AO2392" s="12" t="inlineStr"/>
      <c r="AP2392" s="13" t="inlineStr"/>
      <c r="AQ2392" s="13" t="inlineStr"/>
      <c r="AR2392" s="13" t="inlineStr"/>
      <c r="AS2392" s="13" t="inlineStr"/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7" t="n">
        <v>13208</v>
      </c>
      <c r="AK2393" s="8" t="n">
        <v>-590</v>
      </c>
      <c r="AL2393" s="8" t="n">
        <v>-711</v>
      </c>
      <c r="AM2393" s="11" t="inlineStr"/>
      <c r="AN2393" s="12" t="inlineStr"/>
      <c r="AO2393" s="12" t="inlineStr"/>
      <c r="AP2393" s="13" t="inlineStr"/>
      <c r="AQ2393" s="13" t="inlineStr"/>
      <c r="AR2393" s="13" t="inlineStr"/>
      <c r="AS2393" s="13" t="inlineStr"/>
    </row>
    <row r="2394">
      <c r="A2394" s="5" t="inlineStr">
        <is>
          <t>HT로보틱스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7" t="n">
        <v>37449</v>
      </c>
      <c r="AK2394" s="8" t="n">
        <v>2041</v>
      </c>
      <c r="AL2394" s="8" t="n">
        <v>3194</v>
      </c>
      <c r="AM2394" s="11" t="inlineStr"/>
      <c r="AN2394" s="12" t="inlineStr"/>
      <c r="AO2394" s="12" t="inlineStr"/>
      <c r="AP2394" s="13" t="inlineStr"/>
      <c r="AQ2394" s="13" t="inlineStr"/>
      <c r="AR2394" s="13" t="inlineStr"/>
      <c r="AS2394" s="13" t="inlineStr"/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7" t="n">
        <v>7705</v>
      </c>
      <c r="AK2395" s="8" t="n">
        <v>2077</v>
      </c>
      <c r="AL2395" s="8" t="n">
        <v>1918</v>
      </c>
      <c r="AM2395" s="11" t="inlineStr"/>
      <c r="AN2395" s="12" t="inlineStr"/>
      <c r="AO2395" s="12" t="inlineStr"/>
      <c r="AP2395" s="13" t="inlineStr"/>
      <c r="AQ2395" s="13" t="inlineStr"/>
      <c r="AR2395" s="13" t="inlineStr"/>
      <c r="AS2395" s="13" t="inlineStr"/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7" t="n">
        <v>5941</v>
      </c>
      <c r="AK2396" s="8" t="n">
        <v>2784</v>
      </c>
      <c r="AL2396" s="8" t="n">
        <v>-7770</v>
      </c>
      <c r="AM2396" s="11" t="inlineStr"/>
      <c r="AN2396" s="12" t="inlineStr"/>
      <c r="AO2396" s="12" t="inlineStr"/>
      <c r="AP2396" s="13" t="inlineStr"/>
      <c r="AQ2396" s="13" t="inlineStr"/>
      <c r="AR2396" s="13" t="inlineStr"/>
      <c r="AS2396" s="13" t="inlineStr"/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7" t="inlineStr"/>
      <c r="AK2397" s="8" t="n">
        <v>-2915</v>
      </c>
      <c r="AL2397" s="8" t="n">
        <v>-1985</v>
      </c>
      <c r="AM2397" s="11" t="inlineStr"/>
      <c r="AN2397" s="12" t="inlineStr"/>
      <c r="AO2397" s="12" t="inlineStr"/>
      <c r="AP2397" s="13" t="inlineStr"/>
      <c r="AQ2397" s="13" t="inlineStr"/>
      <c r="AR2397" s="13" t="inlineStr"/>
      <c r="AS2397" s="13" t="inlineStr"/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7" t="n">
        <v>12515</v>
      </c>
      <c r="AK2398" s="8" t="n">
        <v>463</v>
      </c>
      <c r="AL2398" s="8" t="n">
        <v>472</v>
      </c>
      <c r="AM2398" s="11" t="inlineStr"/>
      <c r="AN2398" s="12" t="inlineStr"/>
      <c r="AO2398" s="12" t="inlineStr"/>
      <c r="AP2398" s="13" t="inlineStr"/>
      <c r="AQ2398" s="13" t="inlineStr"/>
      <c r="AR2398" s="13" t="inlineStr"/>
      <c r="AS2398" s="13" t="inlineStr"/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7" t="n">
        <v>4193</v>
      </c>
      <c r="AK2399" s="8" t="n">
        <v>-751</v>
      </c>
      <c r="AL2399" s="8" t="n">
        <v>-668</v>
      </c>
      <c r="AM2399" s="11" t="inlineStr"/>
      <c r="AN2399" s="12" t="inlineStr"/>
      <c r="AO2399" s="12" t="inlineStr"/>
      <c r="AP2399" s="13" t="inlineStr"/>
      <c r="AQ2399" s="13" t="inlineStr"/>
      <c r="AR2399" s="13" t="inlineStr"/>
      <c r="AS2399" s="13" t="inlineStr"/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7" t="n">
        <v>21310</v>
      </c>
      <c r="AK2400" s="8" t="n">
        <v>328</v>
      </c>
      <c r="AL2400" s="8" t="n">
        <v>729</v>
      </c>
      <c r="AM2400" s="11" t="inlineStr"/>
      <c r="AN2400" s="12" t="inlineStr"/>
      <c r="AO2400" s="12" t="inlineStr"/>
      <c r="AP2400" s="13" t="inlineStr"/>
      <c r="AQ2400" s="13" t="inlineStr"/>
      <c r="AR2400" s="13" t="inlineStr"/>
      <c r="AS2400" s="13" t="inlineStr"/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7" t="n">
        <v>12798</v>
      </c>
      <c r="AK2401" s="8" t="n">
        <v>8405</v>
      </c>
      <c r="AL2401" s="8" t="n">
        <v>89</v>
      </c>
      <c r="AM2401" s="11" t="inlineStr"/>
      <c r="AN2401" s="12" t="inlineStr"/>
      <c r="AO2401" s="12" t="inlineStr"/>
      <c r="AP2401" s="13" t="inlineStr"/>
      <c r="AQ2401" s="13" t="inlineStr"/>
      <c r="AR2401" s="13" t="inlineStr"/>
      <c r="AS2401" s="13" t="inlineStr"/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7" t="n">
        <v>4172</v>
      </c>
      <c r="AK2402" s="8" t="n">
        <v>-2821</v>
      </c>
      <c r="AL2402" s="8" t="n">
        <v>-2678</v>
      </c>
      <c r="AM2402" s="11" t="inlineStr"/>
      <c r="AN2402" s="12" t="inlineStr"/>
      <c r="AO2402" s="12" t="inlineStr"/>
      <c r="AP2402" s="13" t="inlineStr"/>
      <c r="AQ2402" s="13" t="inlineStr"/>
      <c r="AR2402" s="13" t="inlineStr"/>
      <c r="AS2402" s="13" t="inlineStr"/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7" t="n">
        <v>328549</v>
      </c>
      <c r="AK2403" s="8" t="n">
        <v>19235428</v>
      </c>
      <c r="AL2403" s="8" t="n">
        <v>18675023</v>
      </c>
      <c r="AM2403" s="11" t="inlineStr"/>
      <c r="AN2403" s="12" t="inlineStr"/>
      <c r="AO2403" s="12" t="inlineStr"/>
      <c r="AP2403" s="13" t="inlineStr"/>
      <c r="AQ2403" s="13" t="inlineStr"/>
      <c r="AR2403" s="13" t="inlineStr"/>
      <c r="AS2403" s="13" t="inlineStr"/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7" t="n">
        <v>14419</v>
      </c>
      <c r="AK2404" s="8" t="n">
        <v>331</v>
      </c>
      <c r="AL2404" s="8" t="n">
        <v>-3780</v>
      </c>
      <c r="AM2404" s="11" t="inlineStr"/>
      <c r="AN2404" s="12" t="inlineStr"/>
      <c r="AO2404" s="12" t="inlineStr"/>
      <c r="AP2404" s="13" t="inlineStr"/>
      <c r="AQ2404" s="13" t="inlineStr"/>
      <c r="AR2404" s="13" t="inlineStr"/>
      <c r="AS2404" s="13" t="inlineStr"/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7" t="n">
        <v>14984</v>
      </c>
      <c r="AK2405" s="8" t="n">
        <v>1292</v>
      </c>
      <c r="AL2405" s="8" t="n">
        <v>1254</v>
      </c>
      <c r="AM2405" s="11" t="inlineStr"/>
      <c r="AN2405" s="12" t="inlineStr"/>
      <c r="AO2405" s="12" t="inlineStr"/>
      <c r="AP2405" s="13" t="inlineStr"/>
      <c r="AQ2405" s="13" t="inlineStr"/>
      <c r="AR2405" s="13" t="inlineStr"/>
      <c r="AS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7" t="n">
        <v>18391</v>
      </c>
      <c r="AK2406" s="8" t="n">
        <v>747</v>
      </c>
      <c r="AL2406" s="8" t="n">
        <v>-112</v>
      </c>
      <c r="AM2406" s="11" t="inlineStr"/>
      <c r="AN2406" s="12" t="inlineStr"/>
      <c r="AO2406" s="12" t="inlineStr"/>
      <c r="AP2406" s="13" t="inlineStr"/>
      <c r="AQ2406" s="13" t="inlineStr"/>
      <c r="AR2406" s="13" t="inlineStr"/>
      <c r="AS2406" s="13" t="inlineStr"/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7" t="n">
        <v>120993</v>
      </c>
      <c r="AK2407" s="8" t="n">
        <v>6811</v>
      </c>
      <c r="AL2407" s="8" t="n">
        <v>6465</v>
      </c>
      <c r="AM2407" s="11" t="inlineStr"/>
      <c r="AN2407" s="12" t="inlineStr"/>
      <c r="AO2407" s="12" t="inlineStr"/>
      <c r="AP2407" s="13" t="inlineStr"/>
      <c r="AQ2407" s="13" t="inlineStr"/>
      <c r="AR2407" s="13" t="inlineStr"/>
      <c r="AS2407" s="13" t="inlineStr"/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7" t="n">
        <v>21705</v>
      </c>
      <c r="AK2408" s="8" t="n">
        <v>2657</v>
      </c>
      <c r="AL2408" s="8" t="n">
        <v>21542</v>
      </c>
      <c r="AM2408" s="11" t="inlineStr"/>
      <c r="AN2408" s="12" t="inlineStr"/>
      <c r="AO2408" s="12" t="inlineStr"/>
      <c r="AP2408" s="13" t="inlineStr"/>
      <c r="AQ2408" s="13" t="inlineStr"/>
      <c r="AR2408" s="13" t="inlineStr"/>
      <c r="AS2408" s="13" t="inlineStr"/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7" t="n">
        <v>46123</v>
      </c>
      <c r="AK2409" s="8" t="n">
        <v>28314</v>
      </c>
      <c r="AL2409" s="8" t="n">
        <v>24107</v>
      </c>
      <c r="AM2409" s="11" t="inlineStr"/>
      <c r="AN2409" s="12" t="inlineStr"/>
      <c r="AO2409" s="12" t="inlineStr"/>
      <c r="AP2409" s="13" t="inlineStr"/>
      <c r="AQ2409" s="13" t="inlineStr"/>
      <c r="AR2409" s="13" t="inlineStr"/>
      <c r="AS2409" s="13" t="inlineStr"/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7" t="n">
        <v>15532</v>
      </c>
      <c r="AK2410" s="8" t="n">
        <v>11334</v>
      </c>
      <c r="AL2410" s="8" t="n">
        <v>2995</v>
      </c>
      <c r="AM2410" s="11" t="inlineStr"/>
      <c r="AN2410" s="12" t="inlineStr"/>
      <c r="AO2410" s="12" t="inlineStr"/>
      <c r="AP2410" s="13" t="inlineStr"/>
      <c r="AQ2410" s="13" t="inlineStr"/>
      <c r="AR2410" s="13" t="inlineStr"/>
      <c r="AS2410" s="13" t="inlineStr"/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7" t="n">
        <v>2844</v>
      </c>
      <c r="AK2411" s="8" t="n">
        <v>-2286</v>
      </c>
      <c r="AL2411" s="8" t="n">
        <v>-2321</v>
      </c>
      <c r="AM2411" s="11" t="inlineStr"/>
      <c r="AN2411" s="12" t="inlineStr"/>
      <c r="AO2411" s="12" t="inlineStr"/>
      <c r="AP2411" s="13" t="inlineStr"/>
      <c r="AQ2411" s="13" t="inlineStr"/>
      <c r="AR2411" s="13" t="inlineStr"/>
      <c r="AS2411" s="13" t="inlineStr"/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7" t="n">
        <v>18496</v>
      </c>
      <c r="AK2412" s="8" t="n">
        <v>1226</v>
      </c>
      <c r="AL2412" s="8" t="n">
        <v>1105</v>
      </c>
      <c r="AM2412" s="11" t="inlineStr"/>
      <c r="AN2412" s="12" t="inlineStr"/>
      <c r="AO2412" s="12" t="inlineStr"/>
      <c r="AP2412" s="13" t="inlineStr"/>
      <c r="AQ2412" s="13" t="inlineStr"/>
      <c r="AR2412" s="13" t="inlineStr"/>
      <c r="AS2412" s="13" t="inlineStr"/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7" t="n">
        <v>21470</v>
      </c>
      <c r="AK2413" s="8" t="n">
        <v>205</v>
      </c>
      <c r="AL2413" s="8" t="n">
        <v>-904</v>
      </c>
      <c r="AM2413" s="11" t="inlineStr"/>
      <c r="AN2413" s="12" t="inlineStr"/>
      <c r="AO2413" s="12" t="inlineStr"/>
      <c r="AP2413" s="13" t="inlineStr"/>
      <c r="AQ2413" s="13" t="inlineStr"/>
      <c r="AR2413" s="13" t="inlineStr"/>
      <c r="AS2413" s="13" t="inlineStr"/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7" t="n">
        <v>17476</v>
      </c>
      <c r="AK2414" s="8" t="n">
        <v>413</v>
      </c>
      <c r="AL2414" s="8" t="n">
        <v>-2723</v>
      </c>
      <c r="AM2414" s="11" t="inlineStr"/>
      <c r="AN2414" s="12" t="inlineStr"/>
      <c r="AO2414" s="12" t="inlineStr"/>
      <c r="AP2414" s="13" t="inlineStr"/>
      <c r="AQ2414" s="13" t="inlineStr"/>
      <c r="AR2414" s="13" t="inlineStr"/>
      <c r="AS2414" s="13" t="inlineStr"/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7" t="n">
        <v>35839</v>
      </c>
      <c r="AK2415" s="8" t="n">
        <v>210</v>
      </c>
      <c r="AL2415" s="8" t="n">
        <v>4028</v>
      </c>
      <c r="AM2415" s="11" t="inlineStr"/>
      <c r="AN2415" s="12" t="inlineStr"/>
      <c r="AO2415" s="12" t="inlineStr"/>
      <c r="AP2415" s="13" t="inlineStr"/>
      <c r="AQ2415" s="13" t="inlineStr"/>
      <c r="AR2415" s="13" t="inlineStr"/>
      <c r="AS2415" s="13" t="inlineStr"/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7" t="n">
        <v>14416</v>
      </c>
      <c r="AK2416" s="8" t="n">
        <v>-3211</v>
      </c>
      <c r="AL2416" s="8" t="n">
        <v>-4878</v>
      </c>
      <c r="AM2416" s="11" t="inlineStr"/>
      <c r="AN2416" s="12" t="inlineStr"/>
      <c r="AO2416" s="12" t="inlineStr"/>
      <c r="AP2416" s="13" t="inlineStr"/>
      <c r="AQ2416" s="13" t="inlineStr"/>
      <c r="AR2416" s="13" t="inlineStr"/>
      <c r="AS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7" t="n">
        <v>3869</v>
      </c>
      <c r="AK2417" s="8" t="n">
        <v>-430</v>
      </c>
      <c r="AL2417" s="8" t="n">
        <v>-317</v>
      </c>
      <c r="AM2417" s="11" t="inlineStr"/>
      <c r="AN2417" s="12" t="inlineStr"/>
      <c r="AO2417" s="12" t="inlineStr"/>
      <c r="AP2417" s="13" t="inlineStr"/>
      <c r="AQ2417" s="13" t="inlineStr"/>
      <c r="AR2417" s="13" t="inlineStr"/>
      <c r="AS2417" s="13" t="inlineStr"/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7" t="n">
        <v>19383</v>
      </c>
      <c r="AK2418" s="8" t="n">
        <v>6651</v>
      </c>
      <c r="AL2418" s="8" t="n">
        <v>5432</v>
      </c>
      <c r="AM2418" s="11" t="inlineStr"/>
      <c r="AN2418" s="12" t="inlineStr"/>
      <c r="AO2418" s="12" t="inlineStr"/>
      <c r="AP2418" s="13" t="inlineStr"/>
      <c r="AQ2418" s="13" t="inlineStr"/>
      <c r="AR2418" s="13" t="inlineStr"/>
      <c r="AS2418" s="13" t="inlineStr"/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7" t="n">
        <v>1547</v>
      </c>
      <c r="AK2419" s="8" t="n">
        <v>-866</v>
      </c>
      <c r="AL2419" s="8" t="n">
        <v>-1861</v>
      </c>
      <c r="AM2419" s="11" t="inlineStr"/>
      <c r="AN2419" s="12" t="inlineStr"/>
      <c r="AO2419" s="12" t="inlineStr"/>
      <c r="AP2419" s="13" t="inlineStr"/>
      <c r="AQ2419" s="13" t="inlineStr"/>
      <c r="AR2419" s="13" t="inlineStr"/>
      <c r="AS2419" s="13" t="inlineStr"/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7" t="n">
        <v>2061</v>
      </c>
      <c r="AK2420" s="8" t="n">
        <v>-1051</v>
      </c>
      <c r="AL2420" s="8" t="n">
        <v>-3624</v>
      </c>
      <c r="AM2420" s="11" t="inlineStr"/>
      <c r="AN2420" s="12" t="inlineStr"/>
      <c r="AO2420" s="12" t="inlineStr"/>
      <c r="AP2420" s="13" t="inlineStr"/>
      <c r="AQ2420" s="13" t="inlineStr"/>
      <c r="AR2420" s="13" t="inlineStr"/>
      <c r="AS2420" s="13" t="inlineStr"/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7" t="n">
        <v>111617</v>
      </c>
      <c r="AK2421" s="8" t="n">
        <v>3753</v>
      </c>
      <c r="AL2421" s="8" t="n">
        <v>4138</v>
      </c>
      <c r="AM2421" s="11" t="inlineStr"/>
      <c r="AN2421" s="12" t="inlineStr"/>
      <c r="AO2421" s="12" t="inlineStr"/>
      <c r="AP2421" s="13" t="inlineStr"/>
      <c r="AQ2421" s="13" t="inlineStr"/>
      <c r="AR2421" s="13" t="inlineStr"/>
      <c r="AS2421" s="13" t="inlineStr"/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7" t="n">
        <v>31139</v>
      </c>
      <c r="AK2422" s="8" t="n">
        <v>1204</v>
      </c>
      <c r="AL2422" s="8" t="n">
        <v>1087</v>
      </c>
      <c r="AM2422" s="11" t="inlineStr"/>
      <c r="AN2422" s="12" t="inlineStr"/>
      <c r="AO2422" s="12" t="inlineStr"/>
      <c r="AP2422" s="13" t="inlineStr"/>
      <c r="AQ2422" s="13" t="inlineStr"/>
      <c r="AR2422" s="13" t="inlineStr"/>
      <c r="AS2422" s="13" t="inlineStr"/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7" t="n">
        <v>6847</v>
      </c>
      <c r="AK2423" s="8" t="n">
        <v>1873</v>
      </c>
      <c r="AL2423" s="8" t="n">
        <v>1788</v>
      </c>
      <c r="AM2423" s="11" t="inlineStr"/>
      <c r="AN2423" s="12" t="inlineStr"/>
      <c r="AO2423" s="12" t="inlineStr"/>
      <c r="AP2423" s="13" t="inlineStr"/>
      <c r="AQ2423" s="13" t="inlineStr"/>
      <c r="AR2423" s="13" t="inlineStr"/>
      <c r="AS2423" s="13" t="inlineStr"/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7" t="n">
        <v>7583</v>
      </c>
      <c r="AK2424" s="8" t="n">
        <v>-727</v>
      </c>
      <c r="AL2424" s="8" t="n">
        <v>-595</v>
      </c>
      <c r="AM2424" s="11" t="inlineStr"/>
      <c r="AN2424" s="12" t="inlineStr"/>
      <c r="AO2424" s="12" t="inlineStr"/>
      <c r="AP2424" s="13" t="inlineStr"/>
      <c r="AQ2424" s="13" t="inlineStr"/>
      <c r="AR2424" s="13" t="inlineStr"/>
      <c r="AS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7" t="n">
        <v>22304</v>
      </c>
      <c r="AK2425" s="8" t="n">
        <v>363</v>
      </c>
      <c r="AL2425" s="8" t="n">
        <v>415</v>
      </c>
      <c r="AM2425" s="11" t="inlineStr"/>
      <c r="AN2425" s="12" t="inlineStr"/>
      <c r="AO2425" s="12" t="inlineStr"/>
      <c r="AP2425" s="13" t="inlineStr"/>
      <c r="AQ2425" s="13" t="inlineStr"/>
      <c r="AR2425" s="13" t="inlineStr"/>
      <c r="AS2425" s="13" t="inlineStr"/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7" t="n">
        <v>59874</v>
      </c>
      <c r="AK2426" s="8" t="n">
        <v>1672</v>
      </c>
      <c r="AL2426" s="8" t="n">
        <v>1229</v>
      </c>
      <c r="AM2426" s="11" t="inlineStr"/>
      <c r="AN2426" s="12" t="inlineStr"/>
      <c r="AO2426" s="12" t="inlineStr"/>
      <c r="AP2426" s="13" t="inlineStr"/>
      <c r="AQ2426" s="13" t="inlineStr"/>
      <c r="AR2426" s="13" t="inlineStr"/>
      <c r="AS2426" s="13" t="inlineStr"/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7" t="n">
        <v>14178</v>
      </c>
      <c r="AK2427" s="8" t="n">
        <v>1414</v>
      </c>
      <c r="AL2427" s="8" t="n">
        <v>727</v>
      </c>
      <c r="AM2427" s="11" t="inlineStr"/>
      <c r="AN2427" s="12" t="inlineStr"/>
      <c r="AO2427" s="12" t="inlineStr"/>
      <c r="AP2427" s="13" t="inlineStr"/>
      <c r="AQ2427" s="13" t="inlineStr"/>
      <c r="AR2427" s="13" t="inlineStr"/>
      <c r="AS2427" s="13" t="inlineStr"/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7" t="n">
        <v>16922</v>
      </c>
      <c r="AK2428" s="8" t="n">
        <v>680</v>
      </c>
      <c r="AL2428" s="8" t="n">
        <v>-156</v>
      </c>
      <c r="AM2428" s="11" t="inlineStr"/>
      <c r="AN2428" s="12" t="inlineStr"/>
      <c r="AO2428" s="12" t="inlineStr"/>
      <c r="AP2428" s="13" t="inlineStr"/>
      <c r="AQ2428" s="13" t="inlineStr"/>
      <c r="AR2428" s="13" t="inlineStr"/>
      <c r="AS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7" t="n">
        <v>4769</v>
      </c>
      <c r="AK2429" s="8" t="n">
        <v>-345</v>
      </c>
      <c r="AL2429" s="8" t="n">
        <v>592</v>
      </c>
      <c r="AM2429" s="11" t="inlineStr"/>
      <c r="AN2429" s="12" t="inlineStr"/>
      <c r="AO2429" s="12" t="inlineStr"/>
      <c r="AP2429" s="13" t="inlineStr"/>
      <c r="AQ2429" s="13" t="inlineStr"/>
      <c r="AR2429" s="13" t="inlineStr"/>
      <c r="AS2429" s="13" t="inlineStr"/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7" t="n">
        <v>51298</v>
      </c>
      <c r="AK2430" s="8" t="n">
        <v>533</v>
      </c>
      <c r="AL2430" s="8" t="n">
        <v>-287</v>
      </c>
      <c r="AM2430" s="11" t="inlineStr"/>
      <c r="AN2430" s="12" t="inlineStr"/>
      <c r="AO2430" s="12" t="inlineStr"/>
      <c r="AP2430" s="13" t="inlineStr"/>
      <c r="AQ2430" s="13" t="inlineStr"/>
      <c r="AR2430" s="13" t="inlineStr"/>
      <c r="AS2430" s="13" t="inlineStr"/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7" t="n">
        <v>21882</v>
      </c>
      <c r="AK2431" s="8" t="n">
        <v>6341</v>
      </c>
      <c r="AL2431" s="8" t="n">
        <v>3917</v>
      </c>
      <c r="AM2431" s="11" t="inlineStr"/>
      <c r="AN2431" s="12" t="inlineStr"/>
      <c r="AO2431" s="12" t="inlineStr"/>
      <c r="AP2431" s="13" t="inlineStr"/>
      <c r="AQ2431" s="13" t="inlineStr"/>
      <c r="AR2431" s="13" t="inlineStr"/>
      <c r="AS2431" s="13" t="inlineStr"/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7" t="n">
        <v>16666</v>
      </c>
      <c r="AK2432" s="8" t="n">
        <v>4454</v>
      </c>
      <c r="AL2432" s="8" t="n">
        <v>4019</v>
      </c>
      <c r="AM2432" s="11" t="inlineStr"/>
      <c r="AN2432" s="12" t="inlineStr"/>
      <c r="AO2432" s="12" t="inlineStr"/>
      <c r="AP2432" s="13" t="inlineStr"/>
      <c r="AQ2432" s="13" t="inlineStr"/>
      <c r="AR2432" s="13" t="inlineStr"/>
      <c r="AS2432" s="13" t="inlineStr"/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7" t="n">
        <v>29324</v>
      </c>
      <c r="AK2433" s="8" t="n">
        <v>9276</v>
      </c>
      <c r="AL2433" s="8" t="n">
        <v>6790</v>
      </c>
      <c r="AM2433" s="11" t="inlineStr"/>
      <c r="AN2433" s="12" t="inlineStr"/>
      <c r="AO2433" s="12" t="inlineStr"/>
      <c r="AP2433" s="13" t="inlineStr"/>
      <c r="AQ2433" s="13" t="inlineStr"/>
      <c r="AR2433" s="13" t="inlineStr"/>
      <c r="AS2433" s="13" t="inlineStr"/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7" t="n">
        <v>12510</v>
      </c>
      <c r="AK2434" s="8" t="n">
        <v>-650</v>
      </c>
      <c r="AL2434" s="8" t="n">
        <v>4323</v>
      </c>
      <c r="AM2434" s="11" t="inlineStr"/>
      <c r="AN2434" s="12" t="inlineStr"/>
      <c r="AO2434" s="12" t="inlineStr"/>
      <c r="AP2434" s="13" t="inlineStr"/>
      <c r="AQ2434" s="13" t="inlineStr"/>
      <c r="AR2434" s="13" t="inlineStr"/>
      <c r="AS2434" s="13" t="inlineStr"/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7" t="n">
        <v>20043</v>
      </c>
      <c r="AK2435" s="8" t="n">
        <v>1786</v>
      </c>
      <c r="AL2435" s="8" t="n">
        <v>1730</v>
      </c>
      <c r="AM2435" s="11" t="inlineStr"/>
      <c r="AN2435" s="12" t="inlineStr"/>
      <c r="AO2435" s="12" t="inlineStr"/>
      <c r="AP2435" s="13" t="inlineStr"/>
      <c r="AQ2435" s="13" t="inlineStr"/>
      <c r="AR2435" s="13" t="inlineStr"/>
      <c r="AS2435" s="13" t="inlineStr"/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7" t="n">
        <v>1602</v>
      </c>
      <c r="AK2436" s="8" t="n">
        <v>-618</v>
      </c>
      <c r="AL2436" s="8" t="n">
        <v>-685</v>
      </c>
      <c r="AM2436" s="11" t="inlineStr"/>
      <c r="AN2436" s="12" t="inlineStr"/>
      <c r="AO2436" s="12" t="inlineStr"/>
      <c r="AP2436" s="13" t="inlineStr"/>
      <c r="AQ2436" s="13" t="inlineStr"/>
      <c r="AR2436" s="13" t="inlineStr"/>
      <c r="AS2436" s="13" t="inlineStr"/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7" t="n">
        <v>1462</v>
      </c>
      <c r="AK2437" s="8" t="n">
        <v>-2972</v>
      </c>
      <c r="AL2437" s="8" t="n">
        <v>-3272</v>
      </c>
      <c r="AM2437" s="11" t="inlineStr"/>
      <c r="AN2437" s="12" t="inlineStr"/>
      <c r="AO2437" s="12" t="inlineStr"/>
      <c r="AP2437" s="13" t="inlineStr"/>
      <c r="AQ2437" s="13" t="inlineStr"/>
      <c r="AR2437" s="13" t="inlineStr"/>
      <c r="AS2437" s="13" t="inlineStr"/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7" t="n">
        <v>23846</v>
      </c>
      <c r="AK2438" s="8" t="n">
        <v>3392</v>
      </c>
      <c r="AL2438" s="8" t="n">
        <v>2718</v>
      </c>
      <c r="AM2438" s="11" t="inlineStr"/>
      <c r="AN2438" s="12" t="inlineStr"/>
      <c r="AO2438" s="12" t="inlineStr"/>
      <c r="AP2438" s="13" t="inlineStr"/>
      <c r="AQ2438" s="13" t="inlineStr"/>
      <c r="AR2438" s="13" t="inlineStr"/>
      <c r="AS2438" s="13" t="inlineStr"/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7" t="n">
        <v>8935</v>
      </c>
      <c r="AK2439" s="8" t="n">
        <v>-1552</v>
      </c>
      <c r="AL2439" s="8" t="n">
        <v>-2476</v>
      </c>
      <c r="AM2439" s="11" t="inlineStr"/>
      <c r="AN2439" s="12" t="inlineStr"/>
      <c r="AO2439" s="12" t="inlineStr"/>
      <c r="AP2439" s="13" t="inlineStr"/>
      <c r="AQ2439" s="13" t="inlineStr"/>
      <c r="AR2439" s="13" t="inlineStr"/>
      <c r="AS2439" s="13" t="inlineStr"/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7" t="n">
        <v>793</v>
      </c>
      <c r="AK2440" s="8" t="n">
        <v>-2521</v>
      </c>
      <c r="AL2440" s="8" t="n">
        <v>-2606</v>
      </c>
      <c r="AM2440" s="11" t="inlineStr"/>
      <c r="AN2440" s="12" t="inlineStr"/>
      <c r="AO2440" s="12" t="inlineStr"/>
      <c r="AP2440" s="13" t="inlineStr"/>
      <c r="AQ2440" s="13" t="inlineStr"/>
      <c r="AR2440" s="13" t="inlineStr"/>
      <c r="AS2440" s="13" t="inlineStr"/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7" t="n">
        <v>64308</v>
      </c>
      <c r="AK2441" s="8" t="n">
        <v>3807</v>
      </c>
      <c r="AL2441" s="8" t="n">
        <v>4716</v>
      </c>
      <c r="AM2441" s="11" t="inlineStr"/>
      <c r="AN2441" s="12" t="inlineStr"/>
      <c r="AO2441" s="12" t="inlineStr"/>
      <c r="AP2441" s="13" t="inlineStr"/>
      <c r="AQ2441" s="13" t="inlineStr"/>
      <c r="AR2441" s="13" t="inlineStr"/>
      <c r="AS2441" s="13" t="inlineStr"/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7" t="n">
        <v>4074</v>
      </c>
      <c r="AK2442" s="8" t="n">
        <v>107</v>
      </c>
      <c r="AL2442" s="8" t="n">
        <v>-1204</v>
      </c>
      <c r="AM2442" s="11" t="inlineStr"/>
      <c r="AN2442" s="12" t="inlineStr"/>
      <c r="AO2442" s="12" t="inlineStr"/>
      <c r="AP2442" s="13" t="inlineStr"/>
      <c r="AQ2442" s="13" t="inlineStr"/>
      <c r="AR2442" s="13" t="inlineStr"/>
      <c r="AS2442" s="13" t="inlineStr"/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7" t="n">
        <v>4924</v>
      </c>
      <c r="AK2443" s="8" t="n">
        <v>1178</v>
      </c>
      <c r="AL2443" s="8" t="n">
        <v>610</v>
      </c>
      <c r="AM2443" s="11" t="inlineStr"/>
      <c r="AN2443" s="12" t="inlineStr"/>
      <c r="AO2443" s="12" t="inlineStr"/>
      <c r="AP2443" s="13" t="inlineStr"/>
      <c r="AQ2443" s="13" t="inlineStr"/>
      <c r="AR2443" s="13" t="inlineStr"/>
      <c r="AS2443" s="13" t="inlineStr"/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7" t="n">
        <v>37458</v>
      </c>
      <c r="AK2444" s="8" t="n">
        <v>2070</v>
      </c>
      <c r="AL2444" s="8" t="n">
        <v>-350</v>
      </c>
      <c r="AM2444" s="11" t="inlineStr"/>
      <c r="AN2444" s="12" t="inlineStr"/>
      <c r="AO2444" s="12" t="inlineStr"/>
      <c r="AP2444" s="13" t="inlineStr"/>
      <c r="AQ2444" s="13" t="inlineStr"/>
      <c r="AR2444" s="13" t="inlineStr"/>
      <c r="AS2444" s="13" t="inlineStr"/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7" t="n">
        <v>4196</v>
      </c>
      <c r="AK2445" s="8" t="n">
        <v>-856</v>
      </c>
      <c r="AL2445" s="8" t="n">
        <v>-536</v>
      </c>
      <c r="AM2445" s="11" t="inlineStr"/>
      <c r="AN2445" s="12" t="inlineStr"/>
      <c r="AO2445" s="12" t="inlineStr"/>
      <c r="AP2445" s="13" t="inlineStr"/>
      <c r="AQ2445" s="13" t="inlineStr"/>
      <c r="AR2445" s="13" t="inlineStr"/>
      <c r="AS2445" s="13" t="inlineStr"/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7" t="n">
        <v>15605</v>
      </c>
      <c r="AK2446" s="8" t="n">
        <v>2693</v>
      </c>
      <c r="AL2446" s="8" t="n">
        <v>2666</v>
      </c>
      <c r="AM2446" s="11" t="inlineStr"/>
      <c r="AN2446" s="12" t="inlineStr"/>
      <c r="AO2446" s="12" t="inlineStr"/>
      <c r="AP2446" s="13" t="inlineStr"/>
      <c r="AQ2446" s="13" t="inlineStr"/>
      <c r="AR2446" s="13" t="inlineStr"/>
      <c r="AS2446" s="13" t="inlineStr"/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7" t="n">
        <v>22307</v>
      </c>
      <c r="AK2447" s="8" t="n">
        <v>6611</v>
      </c>
      <c r="AL2447" s="8" t="n">
        <v>5997</v>
      </c>
      <c r="AM2447" s="11" t="inlineStr"/>
      <c r="AN2447" s="12" t="inlineStr"/>
      <c r="AO2447" s="12" t="inlineStr"/>
      <c r="AP2447" s="13" t="inlineStr"/>
      <c r="AQ2447" s="13" t="inlineStr"/>
      <c r="AR2447" s="13" t="inlineStr"/>
      <c r="AS2447" s="13" t="inlineStr"/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7" t="n">
        <v>6130</v>
      </c>
      <c r="AK2448" s="8" t="n">
        <v>-130</v>
      </c>
      <c r="AL2448" s="8" t="n">
        <v>1242</v>
      </c>
      <c r="AM2448" s="11" t="inlineStr"/>
      <c r="AN2448" s="12" t="inlineStr"/>
      <c r="AO2448" s="12" t="inlineStr"/>
      <c r="AP2448" s="13" t="inlineStr"/>
      <c r="AQ2448" s="13" t="inlineStr"/>
      <c r="AR2448" s="13" t="inlineStr"/>
      <c r="AS2448" s="13" t="inlineStr"/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7" t="n">
        <v>0</v>
      </c>
      <c r="AK2449" s="8" t="n">
        <v>-4274</v>
      </c>
      <c r="AL2449" s="8" t="n">
        <v>-3902</v>
      </c>
      <c r="AM2449" s="11" t="inlineStr"/>
      <c r="AN2449" s="12" t="inlineStr"/>
      <c r="AO2449" s="12" t="inlineStr"/>
      <c r="AP2449" s="13" t="inlineStr"/>
      <c r="AQ2449" s="13" t="inlineStr"/>
      <c r="AR2449" s="13" t="inlineStr"/>
      <c r="AS2449" s="13" t="inlineStr"/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7" t="n">
        <v>1944</v>
      </c>
      <c r="AK2450" s="8" t="n">
        <v>-1798</v>
      </c>
      <c r="AL2450" s="8" t="n">
        <v>-5116</v>
      </c>
      <c r="AM2450" s="11" t="inlineStr"/>
      <c r="AN2450" s="12" t="inlineStr"/>
      <c r="AO2450" s="12" t="inlineStr"/>
      <c r="AP2450" s="13" t="inlineStr"/>
      <c r="AQ2450" s="13" t="inlineStr"/>
      <c r="AR2450" s="13" t="inlineStr"/>
      <c r="AS2450" s="13" t="inlineStr"/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7" t="n">
        <v>11179</v>
      </c>
      <c r="AK2451" s="8" t="n">
        <v>1133</v>
      </c>
      <c r="AL2451" s="8" t="n">
        <v>921</v>
      </c>
      <c r="AM2451" s="11" t="inlineStr"/>
      <c r="AN2451" s="12" t="inlineStr"/>
      <c r="AO2451" s="12" t="inlineStr"/>
      <c r="AP2451" s="13" t="inlineStr"/>
      <c r="AQ2451" s="13" t="inlineStr"/>
      <c r="AR2451" s="13" t="inlineStr"/>
      <c r="AS2451" s="13" t="inlineStr"/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7" t="n">
        <v>86461</v>
      </c>
      <c r="AK2452" s="8" t="n">
        <v>5859</v>
      </c>
      <c r="AL2452" s="8" t="n">
        <v>5292</v>
      </c>
      <c r="AM2452" s="11" t="inlineStr"/>
      <c r="AN2452" s="12" t="inlineStr"/>
      <c r="AO2452" s="12" t="inlineStr"/>
      <c r="AP2452" s="13" t="inlineStr"/>
      <c r="AQ2452" s="13" t="inlineStr"/>
      <c r="AR2452" s="13" t="inlineStr"/>
      <c r="AS2452" s="13" t="inlineStr"/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7" t="n">
        <v>33609</v>
      </c>
      <c r="AK2453" s="8" t="n">
        <v>6082</v>
      </c>
      <c r="AL2453" s="8" t="n">
        <v>5947</v>
      </c>
      <c r="AM2453" s="11" t="inlineStr"/>
      <c r="AN2453" s="12" t="inlineStr"/>
      <c r="AO2453" s="12" t="inlineStr"/>
      <c r="AP2453" s="13" t="inlineStr"/>
      <c r="AQ2453" s="13" t="inlineStr"/>
      <c r="AR2453" s="13" t="inlineStr"/>
      <c r="AS2453" s="13" t="inlineStr"/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7" t="n">
        <v>3781</v>
      </c>
      <c r="AK2454" s="8" t="n">
        <v>-2137</v>
      </c>
      <c r="AL2454" s="8" t="n">
        <v>-2135</v>
      </c>
      <c r="AM2454" s="11" t="inlineStr"/>
      <c r="AN2454" s="12" t="inlineStr"/>
      <c r="AO2454" s="12" t="inlineStr"/>
      <c r="AP2454" s="13" t="inlineStr"/>
      <c r="AQ2454" s="13" t="inlineStr"/>
      <c r="AR2454" s="13" t="inlineStr"/>
      <c r="AS2454" s="13" t="inlineStr"/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7" t="n">
        <v>7574</v>
      </c>
      <c r="AK2455" s="8" t="n">
        <v>808</v>
      </c>
      <c r="AL2455" s="8" t="n">
        <v>802</v>
      </c>
      <c r="AM2455" s="11" t="inlineStr"/>
      <c r="AN2455" s="12" t="inlineStr"/>
      <c r="AO2455" s="12" t="inlineStr"/>
      <c r="AP2455" s="13" t="inlineStr"/>
      <c r="AQ2455" s="13" t="inlineStr"/>
      <c r="AR2455" s="13" t="inlineStr"/>
      <c r="AS2455" s="13" t="inlineStr"/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7" t="n">
        <v>3140</v>
      </c>
      <c r="AK2456" s="8" t="n">
        <v>-1606</v>
      </c>
      <c r="AL2456" s="8" t="n">
        <v>-1248</v>
      </c>
      <c r="AM2456" s="11" t="inlineStr"/>
      <c r="AN2456" s="12" t="inlineStr"/>
      <c r="AO2456" s="12" t="inlineStr"/>
      <c r="AP2456" s="13" t="inlineStr"/>
      <c r="AQ2456" s="13" t="inlineStr"/>
      <c r="AR2456" s="13" t="inlineStr"/>
      <c r="AS2456" s="13" t="inlineStr"/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7" t="n">
        <v>16331</v>
      </c>
      <c r="AK2457" s="8" t="n">
        <v>9958</v>
      </c>
      <c r="AL2457" s="8" t="n">
        <v>2574</v>
      </c>
      <c r="AM2457" s="11" t="inlineStr"/>
      <c r="AN2457" s="12" t="inlineStr"/>
      <c r="AO2457" s="12" t="inlineStr"/>
      <c r="AP2457" s="13" t="inlineStr"/>
      <c r="AQ2457" s="13" t="inlineStr"/>
      <c r="AR2457" s="13" t="inlineStr"/>
      <c r="AS2457" s="13" t="inlineStr"/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7" t="n">
        <v>20450</v>
      </c>
      <c r="AK2458" s="8" t="n">
        <v>-1978</v>
      </c>
      <c r="AL2458" s="8" t="n">
        <v>-2153</v>
      </c>
      <c r="AM2458" s="11" t="inlineStr"/>
      <c r="AN2458" s="12" t="inlineStr"/>
      <c r="AO2458" s="12" t="inlineStr"/>
      <c r="AP2458" s="13" t="inlineStr"/>
      <c r="AQ2458" s="13" t="inlineStr"/>
      <c r="AR2458" s="13" t="inlineStr"/>
      <c r="AS2458" s="13" t="inlineStr"/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7" t="n">
        <v>17234</v>
      </c>
      <c r="AK2459" s="8" t="n">
        <v>1716</v>
      </c>
      <c r="AL2459" s="8" t="n">
        <v>-21</v>
      </c>
      <c r="AM2459" s="11" t="inlineStr"/>
      <c r="AN2459" s="12" t="inlineStr"/>
      <c r="AO2459" s="12" t="inlineStr"/>
      <c r="AP2459" s="13" t="inlineStr"/>
      <c r="AQ2459" s="13" t="inlineStr"/>
      <c r="AR2459" s="13" t="inlineStr"/>
      <c r="AS2459" s="13" t="inlineStr"/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7" t="n">
        <v>6343</v>
      </c>
      <c r="AK2460" s="8" t="n">
        <v>-865</v>
      </c>
      <c r="AL2460" s="8" t="n">
        <v>-1800</v>
      </c>
      <c r="AM2460" s="11" t="inlineStr"/>
      <c r="AN2460" s="12" t="inlineStr"/>
      <c r="AO2460" s="12" t="inlineStr"/>
      <c r="AP2460" s="13" t="inlineStr"/>
      <c r="AQ2460" s="13" t="inlineStr"/>
      <c r="AR2460" s="13" t="inlineStr"/>
      <c r="AS2460" s="13" t="inlineStr"/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7" t="n">
        <v>5998</v>
      </c>
      <c r="AK2461" s="8" t="n">
        <v>239</v>
      </c>
      <c r="AL2461" s="8" t="n">
        <v>300</v>
      </c>
      <c r="AM2461" s="11" t="inlineStr"/>
      <c r="AN2461" s="12" t="inlineStr"/>
      <c r="AO2461" s="12" t="inlineStr"/>
      <c r="AP2461" s="13" t="inlineStr"/>
      <c r="AQ2461" s="13" t="inlineStr"/>
      <c r="AR2461" s="13" t="inlineStr"/>
      <c r="AS2461" s="13" t="inlineStr"/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7" t="n">
        <v>5629</v>
      </c>
      <c r="AK2462" s="8" t="n">
        <v>427</v>
      </c>
      <c r="AL2462" s="8" t="n">
        <v>988</v>
      </c>
      <c r="AM2462" s="11" t="inlineStr"/>
      <c r="AN2462" s="12" t="inlineStr"/>
      <c r="AO2462" s="12" t="inlineStr"/>
      <c r="AP2462" s="13" t="inlineStr"/>
      <c r="AQ2462" s="13" t="inlineStr"/>
      <c r="AR2462" s="13" t="inlineStr"/>
      <c r="AS2462" s="13" t="inlineStr"/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7" t="n">
        <v>10269</v>
      </c>
      <c r="AK2463" s="8" t="n">
        <v>-478</v>
      </c>
      <c r="AL2463" s="8" t="n">
        <v>-2579</v>
      </c>
      <c r="AM2463" s="11" t="inlineStr"/>
      <c r="AN2463" s="12" t="inlineStr"/>
      <c r="AO2463" s="12" t="inlineStr"/>
      <c r="AP2463" s="13" t="inlineStr"/>
      <c r="AQ2463" s="13" t="inlineStr"/>
      <c r="AR2463" s="13" t="inlineStr"/>
      <c r="AS2463" s="13" t="inlineStr"/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7" t="n">
        <v>20996</v>
      </c>
      <c r="AK2464" s="8" t="n">
        <v>-5389</v>
      </c>
      <c r="AL2464" s="8" t="n">
        <v>-7018</v>
      </c>
      <c r="AM2464" s="11" t="inlineStr"/>
      <c r="AN2464" s="12" t="inlineStr"/>
      <c r="AO2464" s="12" t="inlineStr"/>
      <c r="AP2464" s="13" t="inlineStr"/>
      <c r="AQ2464" s="13" t="inlineStr"/>
      <c r="AR2464" s="13" t="inlineStr"/>
      <c r="AS2464" s="13" t="inlineStr"/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7" t="n">
        <v>3459</v>
      </c>
      <c r="AK2465" s="8" t="n">
        <v>-1839</v>
      </c>
      <c r="AL2465" s="8" t="n">
        <v>-2091</v>
      </c>
      <c r="AM2465" s="11" t="inlineStr"/>
      <c r="AN2465" s="12" t="inlineStr"/>
      <c r="AO2465" s="12" t="inlineStr"/>
      <c r="AP2465" s="13" t="inlineStr"/>
      <c r="AQ2465" s="13" t="inlineStr"/>
      <c r="AR2465" s="13" t="inlineStr"/>
      <c r="AS2465" s="13" t="inlineStr"/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7" t="n">
        <v>25810</v>
      </c>
      <c r="AK2466" s="8" t="n">
        <v>2524</v>
      </c>
      <c r="AL2466" s="8" t="n">
        <v>2807</v>
      </c>
      <c r="AM2466" s="11" t="inlineStr"/>
      <c r="AN2466" s="12" t="inlineStr"/>
      <c r="AO2466" s="12" t="inlineStr"/>
      <c r="AP2466" s="13" t="inlineStr"/>
      <c r="AQ2466" s="13" t="inlineStr"/>
      <c r="AR2466" s="13" t="inlineStr"/>
      <c r="AS2466" s="13" t="inlineStr"/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7" t="n">
        <v>354435</v>
      </c>
      <c r="AK2467" s="8" t="n">
        <v>95248</v>
      </c>
      <c r="AL2467" s="8" t="n">
        <v>78724</v>
      </c>
      <c r="AM2467" s="11" t="inlineStr"/>
      <c r="AN2467" s="12" t="inlineStr"/>
      <c r="AO2467" s="12" t="inlineStr"/>
      <c r="AP2467" s="13" t="inlineStr"/>
      <c r="AQ2467" s="13" t="inlineStr"/>
      <c r="AR2467" s="13" t="inlineStr"/>
      <c r="AS2467" s="13" t="inlineStr"/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7" t="n">
        <v>54967</v>
      </c>
      <c r="AK2468" s="8" t="n">
        <v>182</v>
      </c>
      <c r="AL2468" s="8" t="n">
        <v>1976</v>
      </c>
      <c r="AM2468" s="11" t="inlineStr"/>
      <c r="AN2468" s="12" t="inlineStr"/>
      <c r="AO2468" s="12" t="inlineStr"/>
      <c r="AP2468" s="13" t="inlineStr"/>
      <c r="AQ2468" s="13" t="inlineStr"/>
      <c r="AR2468" s="13" t="inlineStr"/>
      <c r="AS2468" s="13" t="inlineStr"/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7" t="n">
        <v>1243</v>
      </c>
      <c r="AK2469" s="8" t="n">
        <v>-3317</v>
      </c>
      <c r="AL2469" s="8" t="n">
        <v>-7221</v>
      </c>
      <c r="AM2469" s="11" t="inlineStr"/>
      <c r="AN2469" s="12" t="inlineStr"/>
      <c r="AO2469" s="12" t="inlineStr"/>
      <c r="AP2469" s="13" t="inlineStr"/>
      <c r="AQ2469" s="13" t="inlineStr"/>
      <c r="AR2469" s="13" t="inlineStr"/>
      <c r="AS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2026Q3</t>
        </is>
      </c>
      <c r="E2470" s="6" t="inlineStr">
        <is>
          <t>2026Q3</t>
        </is>
      </c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7" t="n">
        <v>73174</v>
      </c>
      <c r="AK2470" s="8" t="n">
        <v>16224</v>
      </c>
      <c r="AL2470" s="8" t="n">
        <v>-60129</v>
      </c>
      <c r="AM2470" s="14" t="n">
        <v>143561</v>
      </c>
      <c r="AN2470" s="15" t="n">
        <v>36269</v>
      </c>
      <c r="AO2470" s="12" t="inlineStr"/>
      <c r="AP2470" s="13" t="n">
        <v>96.2</v>
      </c>
      <c r="AQ2470" s="13" t="n">
        <v>459.8</v>
      </c>
      <c r="AR2470" s="13" t="n">
        <v>123.6</v>
      </c>
      <c r="AS2470" s="13" t="n">
        <v>417.4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7" t="n">
        <v>4458</v>
      </c>
      <c r="AK2471" s="8" t="n">
        <v>2842</v>
      </c>
      <c r="AL2471" s="8" t="n">
        <v>2339</v>
      </c>
      <c r="AM2471" s="11" t="inlineStr"/>
      <c r="AN2471" s="12" t="inlineStr"/>
      <c r="AO2471" s="12" t="inlineStr"/>
      <c r="AP2471" s="13" t="inlineStr"/>
      <c r="AQ2471" s="13" t="inlineStr"/>
      <c r="AR2471" s="13" t="inlineStr"/>
      <c r="AS2471" s="13" t="inlineStr"/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7" t="n">
        <v>17718</v>
      </c>
      <c r="AK2472" s="8" t="n">
        <v>738</v>
      </c>
      <c r="AL2472" s="8" t="n">
        <v>-1400</v>
      </c>
      <c r="AM2472" s="11" t="inlineStr"/>
      <c r="AN2472" s="12" t="inlineStr"/>
      <c r="AO2472" s="12" t="inlineStr"/>
      <c r="AP2472" s="13" t="inlineStr"/>
      <c r="AQ2472" s="13" t="inlineStr"/>
      <c r="AR2472" s="13" t="inlineStr"/>
      <c r="AS2472" s="13" t="inlineStr"/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7" t="n">
        <v>95213</v>
      </c>
      <c r="AK2473" s="8" t="n">
        <v>7331</v>
      </c>
      <c r="AL2473" s="8" t="n">
        <v>-4850</v>
      </c>
      <c r="AM2473" s="11" t="inlineStr"/>
      <c r="AN2473" s="12" t="inlineStr"/>
      <c r="AO2473" s="12" t="inlineStr"/>
      <c r="AP2473" s="13" t="inlineStr"/>
      <c r="AQ2473" s="13" t="inlineStr"/>
      <c r="AR2473" s="13" t="inlineStr"/>
      <c r="AS2473" s="13" t="inlineStr"/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2026Q2</t>
        </is>
      </c>
      <c r="E2474" s="6" t="inlineStr">
        <is>
          <t>2024Q4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7" t="n">
        <v>580414</v>
      </c>
      <c r="AK2474" s="8" t="n">
        <v>97625</v>
      </c>
      <c r="AL2474" s="8" t="n">
        <v>83007</v>
      </c>
      <c r="AM2474" s="11" t="inlineStr"/>
      <c r="AN2474" s="12" t="inlineStr"/>
      <c r="AO2474" s="12" t="inlineStr"/>
      <c r="AP2474" s="13" t="inlineStr"/>
      <c r="AQ2474" s="13" t="inlineStr"/>
      <c r="AR2474" s="13" t="inlineStr"/>
      <c r="AS2474" s="13" t="inlineStr"/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7" t="n">
        <v>14793</v>
      </c>
      <c r="AK2475" s="8" t="n">
        <v>1993</v>
      </c>
      <c r="AL2475" s="8" t="n">
        <v>1176</v>
      </c>
      <c r="AM2475" s="11" t="inlineStr"/>
      <c r="AN2475" s="12" t="inlineStr"/>
      <c r="AO2475" s="12" t="inlineStr"/>
      <c r="AP2475" s="13" t="inlineStr"/>
      <c r="AQ2475" s="13" t="inlineStr"/>
      <c r="AR2475" s="13" t="inlineStr"/>
      <c r="AS2475" s="13" t="inlineStr"/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7" t="n">
        <v>13102</v>
      </c>
      <c r="AK2476" s="8" t="n">
        <v>852</v>
      </c>
      <c r="AL2476" s="8" t="n">
        <v>622</v>
      </c>
      <c r="AM2476" s="11" t="inlineStr"/>
      <c r="AN2476" s="12" t="inlineStr"/>
      <c r="AO2476" s="12" t="inlineStr"/>
      <c r="AP2476" s="13" t="inlineStr"/>
      <c r="AQ2476" s="13" t="inlineStr"/>
      <c r="AR2476" s="13" t="inlineStr"/>
      <c r="AS2476" s="13" t="inlineStr"/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7" t="n">
        <v>2245</v>
      </c>
      <c r="AK2477" s="8" t="n">
        <v>-1441</v>
      </c>
      <c r="AL2477" s="8" t="n">
        <v>-1395</v>
      </c>
      <c r="AM2477" s="11" t="inlineStr"/>
      <c r="AN2477" s="12" t="inlineStr"/>
      <c r="AO2477" s="12" t="inlineStr"/>
      <c r="AP2477" s="13" t="inlineStr"/>
      <c r="AQ2477" s="13" t="inlineStr"/>
      <c r="AR2477" s="13" t="inlineStr"/>
      <c r="AS2477" s="13" t="inlineStr"/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7" t="n">
        <v>59740</v>
      </c>
      <c r="AK2478" s="8" t="n">
        <v>7980</v>
      </c>
      <c r="AL2478" s="8" t="n">
        <v>9028</v>
      </c>
      <c r="AM2478" s="11" t="inlineStr"/>
      <c r="AN2478" s="12" t="inlineStr"/>
      <c r="AO2478" s="12" t="inlineStr"/>
      <c r="AP2478" s="13" t="inlineStr"/>
      <c r="AQ2478" s="13" t="inlineStr"/>
      <c r="AR2478" s="13" t="inlineStr"/>
      <c r="AS2478" s="13" t="inlineStr"/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7" t="n">
        <v>44880</v>
      </c>
      <c r="AK2479" s="8" t="n">
        <v>6489</v>
      </c>
      <c r="AL2479" s="8" t="n">
        <v>5258</v>
      </c>
      <c r="AM2479" s="11" t="inlineStr"/>
      <c r="AN2479" s="12" t="inlineStr"/>
      <c r="AO2479" s="12" t="inlineStr"/>
      <c r="AP2479" s="13" t="inlineStr"/>
      <c r="AQ2479" s="13" t="inlineStr"/>
      <c r="AR2479" s="13" t="inlineStr"/>
      <c r="AS2479" s="13" t="inlineStr"/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7" t="n">
        <v>1176</v>
      </c>
      <c r="AK2480" s="8" t="n">
        <v>-4457</v>
      </c>
      <c r="AL2480" s="8" t="n">
        <v>-4841</v>
      </c>
      <c r="AM2480" s="11" t="inlineStr"/>
      <c r="AN2480" s="12" t="inlineStr"/>
      <c r="AO2480" s="12" t="inlineStr"/>
      <c r="AP2480" s="13" t="inlineStr"/>
      <c r="AQ2480" s="13" t="inlineStr"/>
      <c r="AR2480" s="13" t="inlineStr"/>
      <c r="AS2480" s="13" t="inlineStr"/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7" t="n">
        <v>42965</v>
      </c>
      <c r="AK2481" s="8" t="n">
        <v>2019</v>
      </c>
      <c r="AL2481" s="8" t="n">
        <v>3128</v>
      </c>
      <c r="AM2481" s="11" t="inlineStr"/>
      <c r="AN2481" s="12" t="inlineStr"/>
      <c r="AO2481" s="12" t="inlineStr"/>
      <c r="AP2481" s="13" t="inlineStr"/>
      <c r="AQ2481" s="13" t="inlineStr"/>
      <c r="AR2481" s="13" t="inlineStr"/>
      <c r="AS2481" s="13" t="inlineStr"/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7" t="n">
        <v>25216</v>
      </c>
      <c r="AK2482" s="8" t="n">
        <v>4772</v>
      </c>
      <c r="AL2482" s="8" t="n">
        <v>4080</v>
      </c>
      <c r="AM2482" s="11" t="inlineStr"/>
      <c r="AN2482" s="12" t="inlineStr"/>
      <c r="AO2482" s="12" t="inlineStr"/>
      <c r="AP2482" s="13" t="inlineStr"/>
      <c r="AQ2482" s="13" t="inlineStr"/>
      <c r="AR2482" s="13" t="inlineStr"/>
      <c r="AS2482" s="13" t="inlineStr"/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7" t="n">
        <v>4898</v>
      </c>
      <c r="AK2483" s="8" t="n">
        <v>462</v>
      </c>
      <c r="AL2483" s="8" t="n">
        <v>389</v>
      </c>
      <c r="AM2483" s="11" t="inlineStr"/>
      <c r="AN2483" s="12" t="inlineStr"/>
      <c r="AO2483" s="12" t="inlineStr"/>
      <c r="AP2483" s="13" t="inlineStr"/>
      <c r="AQ2483" s="13" t="inlineStr"/>
      <c r="AR2483" s="13" t="inlineStr"/>
      <c r="AS2483" s="13" t="inlineStr"/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7" t="n">
        <v>17756</v>
      </c>
      <c r="AK2484" s="8" t="n">
        <v>6163</v>
      </c>
      <c r="AL2484" s="8" t="n">
        <v>5809</v>
      </c>
      <c r="AM2484" s="11" t="inlineStr"/>
      <c r="AN2484" s="12" t="inlineStr"/>
      <c r="AO2484" s="12" t="inlineStr"/>
      <c r="AP2484" s="13" t="inlineStr"/>
      <c r="AQ2484" s="13" t="inlineStr"/>
      <c r="AR2484" s="13" t="inlineStr"/>
      <c r="AS2484" s="13" t="inlineStr"/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7" t="n">
        <v>20748</v>
      </c>
      <c r="AK2485" s="8" t="n">
        <v>2480</v>
      </c>
      <c r="AL2485" s="8" t="n">
        <v>1909</v>
      </c>
      <c r="AM2485" s="11" t="inlineStr"/>
      <c r="AN2485" s="12" t="inlineStr"/>
      <c r="AO2485" s="12" t="inlineStr"/>
      <c r="AP2485" s="13" t="inlineStr"/>
      <c r="AQ2485" s="13" t="inlineStr"/>
      <c r="AR2485" s="13" t="inlineStr"/>
      <c r="AS2485" s="13" t="inlineStr"/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7" t="n">
        <v>10503</v>
      </c>
      <c r="AK2486" s="8" t="n">
        <v>180</v>
      </c>
      <c r="AL2486" s="8" t="n">
        <v>761</v>
      </c>
      <c r="AM2486" s="11" t="inlineStr"/>
      <c r="AN2486" s="12" t="inlineStr"/>
      <c r="AO2486" s="12" t="inlineStr"/>
      <c r="AP2486" s="13" t="inlineStr"/>
      <c r="AQ2486" s="13" t="inlineStr"/>
      <c r="AR2486" s="13" t="inlineStr"/>
      <c r="AS2486" s="13" t="inlineStr"/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7" t="n">
        <v>178788</v>
      </c>
      <c r="AK2487" s="8" t="n">
        <v>-10584</v>
      </c>
      <c r="AL2487" s="8" t="n">
        <v>-12449</v>
      </c>
      <c r="AM2487" s="11" t="inlineStr"/>
      <c r="AN2487" s="12" t="inlineStr"/>
      <c r="AO2487" s="12" t="inlineStr"/>
      <c r="AP2487" s="13" t="inlineStr"/>
      <c r="AQ2487" s="13" t="inlineStr"/>
      <c r="AR2487" s="13" t="inlineStr"/>
      <c r="AS2487" s="13" t="inlineStr"/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7" t="n">
        <v>4118</v>
      </c>
      <c r="AK2488" s="8" t="n">
        <v>-615</v>
      </c>
      <c r="AL2488" s="8" t="n">
        <v>-580</v>
      </c>
      <c r="AM2488" s="11" t="inlineStr"/>
      <c r="AN2488" s="12" t="inlineStr"/>
      <c r="AO2488" s="12" t="inlineStr"/>
      <c r="AP2488" s="13" t="inlineStr"/>
      <c r="AQ2488" s="13" t="inlineStr"/>
      <c r="AR2488" s="13" t="inlineStr"/>
      <c r="AS2488" s="13" t="inlineStr"/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7" t="n">
        <v>15326</v>
      </c>
      <c r="AK2489" s="8" t="n">
        <v>-128</v>
      </c>
      <c r="AL2489" s="8" t="n">
        <v>135</v>
      </c>
      <c r="AM2489" s="11" t="inlineStr"/>
      <c r="AN2489" s="12" t="inlineStr"/>
      <c r="AO2489" s="12" t="inlineStr"/>
      <c r="AP2489" s="13" t="inlineStr"/>
      <c r="AQ2489" s="13" t="inlineStr"/>
      <c r="AR2489" s="13" t="inlineStr"/>
      <c r="AS2489" s="13" t="inlineStr"/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7" t="n">
        <v>11222</v>
      </c>
      <c r="AK2490" s="8" t="n">
        <v>79</v>
      </c>
      <c r="AL2490" s="8" t="n">
        <v>1298</v>
      </c>
      <c r="AM2490" s="11" t="inlineStr"/>
      <c r="AN2490" s="12" t="inlineStr"/>
      <c r="AO2490" s="12" t="inlineStr"/>
      <c r="AP2490" s="13" t="inlineStr"/>
      <c r="AQ2490" s="13" t="inlineStr"/>
      <c r="AR2490" s="13" t="inlineStr"/>
      <c r="AS2490" s="13" t="inlineStr"/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7" t="n">
        <v>9347</v>
      </c>
      <c r="AK2491" s="8" t="n">
        <v>-163</v>
      </c>
      <c r="AL2491" s="8" t="n">
        <v>-407</v>
      </c>
      <c r="AM2491" s="11" t="inlineStr"/>
      <c r="AN2491" s="12" t="inlineStr"/>
      <c r="AO2491" s="12" t="inlineStr"/>
      <c r="AP2491" s="13" t="inlineStr"/>
      <c r="AQ2491" s="13" t="inlineStr"/>
      <c r="AR2491" s="13" t="inlineStr"/>
      <c r="AS2491" s="13" t="inlineStr"/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7" t="n">
        <v>21796</v>
      </c>
      <c r="AK2492" s="8" t="n">
        <v>1770</v>
      </c>
      <c r="AL2492" s="8" t="n">
        <v>1543</v>
      </c>
      <c r="AM2492" s="11" t="inlineStr"/>
      <c r="AN2492" s="12" t="inlineStr"/>
      <c r="AO2492" s="12" t="inlineStr"/>
      <c r="AP2492" s="13" t="inlineStr"/>
      <c r="AQ2492" s="13" t="inlineStr"/>
      <c r="AR2492" s="13" t="inlineStr"/>
      <c r="AS2492" s="13" t="inlineStr"/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7" t="n">
        <v>17981</v>
      </c>
      <c r="AK2493" s="8" t="n">
        <v>-7913</v>
      </c>
      <c r="AL2493" s="8" t="n">
        <v>4906</v>
      </c>
      <c r="AM2493" s="11" t="inlineStr"/>
      <c r="AN2493" s="12" t="inlineStr"/>
      <c r="AO2493" s="12" t="inlineStr"/>
      <c r="AP2493" s="13" t="inlineStr"/>
      <c r="AQ2493" s="13" t="inlineStr"/>
      <c r="AR2493" s="13" t="inlineStr"/>
      <c r="AS2493" s="13" t="inlineStr"/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7" t="n">
        <v>31440</v>
      </c>
      <c r="AK2494" s="8" t="n">
        <v>19458</v>
      </c>
      <c r="AL2494" s="8" t="n">
        <v>8531</v>
      </c>
      <c r="AM2494" s="11" t="inlineStr"/>
      <c r="AN2494" s="12" t="inlineStr"/>
      <c r="AO2494" s="12" t="inlineStr"/>
      <c r="AP2494" s="13" t="inlineStr"/>
      <c r="AQ2494" s="13" t="inlineStr"/>
      <c r="AR2494" s="13" t="inlineStr"/>
      <c r="AS2494" s="13" t="inlineStr"/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7" t="n">
        <v>4929</v>
      </c>
      <c r="AK2495" s="8" t="n">
        <v>265</v>
      </c>
      <c r="AL2495" s="8" t="n">
        <v>-166</v>
      </c>
      <c r="AM2495" s="11" t="inlineStr"/>
      <c r="AN2495" s="12" t="inlineStr"/>
      <c r="AO2495" s="12" t="inlineStr"/>
      <c r="AP2495" s="13" t="inlineStr"/>
      <c r="AQ2495" s="13" t="inlineStr"/>
      <c r="AR2495" s="13" t="inlineStr"/>
      <c r="AS2495" s="13" t="inlineStr"/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7" t="n">
        <v>4451</v>
      </c>
      <c r="AK2496" s="8" t="n">
        <v>509</v>
      </c>
      <c r="AL2496" s="8" t="n">
        <v>472</v>
      </c>
      <c r="AM2496" s="11" t="inlineStr"/>
      <c r="AN2496" s="12" t="inlineStr"/>
      <c r="AO2496" s="12" t="inlineStr"/>
      <c r="AP2496" s="13" t="inlineStr"/>
      <c r="AQ2496" s="13" t="inlineStr"/>
      <c r="AR2496" s="13" t="inlineStr"/>
      <c r="AS2496" s="13" t="inlineStr"/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7" t="n">
        <v>1540</v>
      </c>
      <c r="AK2497" s="8" t="n">
        <v>-2352</v>
      </c>
      <c r="AL2497" s="8" t="n">
        <v>-2554</v>
      </c>
      <c r="AM2497" s="11" t="inlineStr"/>
      <c r="AN2497" s="12" t="inlineStr"/>
      <c r="AO2497" s="12" t="inlineStr"/>
      <c r="AP2497" s="13" t="inlineStr"/>
      <c r="AQ2497" s="13" t="inlineStr"/>
      <c r="AR2497" s="13" t="inlineStr"/>
      <c r="AS2497" s="13" t="inlineStr"/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7" t="n">
        <v>150904</v>
      </c>
      <c r="AK2498" s="8" t="n">
        <v>15135</v>
      </c>
      <c r="AL2498" s="8" t="n">
        <v>5085</v>
      </c>
      <c r="AM2498" s="11" t="inlineStr"/>
      <c r="AN2498" s="12" t="inlineStr"/>
      <c r="AO2498" s="12" t="inlineStr"/>
      <c r="AP2498" s="13" t="inlineStr"/>
      <c r="AQ2498" s="13" t="inlineStr"/>
      <c r="AR2498" s="13" t="inlineStr"/>
      <c r="AS2498" s="13" t="inlineStr"/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7" t="n">
        <v>23645</v>
      </c>
      <c r="AK2499" s="8" t="n">
        <v>5603</v>
      </c>
      <c r="AL2499" s="8" t="n">
        <v>2031</v>
      </c>
      <c r="AM2499" s="11" t="inlineStr"/>
      <c r="AN2499" s="12" t="inlineStr"/>
      <c r="AO2499" s="12" t="inlineStr"/>
      <c r="AP2499" s="13" t="inlineStr"/>
      <c r="AQ2499" s="13" t="inlineStr"/>
      <c r="AR2499" s="13" t="inlineStr"/>
      <c r="AS2499" s="13" t="inlineStr"/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7" t="n">
        <v>2202</v>
      </c>
      <c r="AK2500" s="8" t="n">
        <v>1083</v>
      </c>
      <c r="AL2500" s="8" t="n">
        <v>828</v>
      </c>
      <c r="AM2500" s="11" t="inlineStr"/>
      <c r="AN2500" s="12" t="inlineStr"/>
      <c r="AO2500" s="12" t="inlineStr"/>
      <c r="AP2500" s="13" t="inlineStr"/>
      <c r="AQ2500" s="13" t="inlineStr"/>
      <c r="AR2500" s="13" t="inlineStr"/>
      <c r="AS2500" s="13" t="inlineStr"/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7" t="n">
        <v>29361</v>
      </c>
      <c r="AK2501" s="8" t="n">
        <v>98</v>
      </c>
      <c r="AL2501" s="8" t="n">
        <v>477</v>
      </c>
      <c r="AM2501" s="11" t="inlineStr"/>
      <c r="AN2501" s="12" t="inlineStr"/>
      <c r="AO2501" s="12" t="inlineStr"/>
      <c r="AP2501" s="13" t="inlineStr"/>
      <c r="AQ2501" s="13" t="inlineStr"/>
      <c r="AR2501" s="13" t="inlineStr"/>
      <c r="AS2501" s="13" t="inlineStr"/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7" t="n">
        <v>7215</v>
      </c>
      <c r="AK2502" s="8" t="n">
        <v>312</v>
      </c>
      <c r="AL2502" s="8" t="n">
        <v>104</v>
      </c>
      <c r="AM2502" s="11" t="inlineStr"/>
      <c r="AN2502" s="12" t="inlineStr"/>
      <c r="AO2502" s="12" t="inlineStr"/>
      <c r="AP2502" s="13" t="inlineStr"/>
      <c r="AQ2502" s="13" t="inlineStr"/>
      <c r="AR2502" s="13" t="inlineStr"/>
      <c r="AS2502" s="13" t="inlineStr"/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7" t="n">
        <v>11008</v>
      </c>
      <c r="AK2503" s="8" t="n">
        <v>-2980</v>
      </c>
      <c r="AL2503" s="8" t="n">
        <v>-10565</v>
      </c>
      <c r="AM2503" s="11" t="inlineStr"/>
      <c r="AN2503" s="12" t="inlineStr"/>
      <c r="AO2503" s="12" t="inlineStr"/>
      <c r="AP2503" s="13" t="inlineStr"/>
      <c r="AQ2503" s="13" t="inlineStr"/>
      <c r="AR2503" s="13" t="inlineStr"/>
      <c r="AS2503" s="13" t="inlineStr"/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7" t="n">
        <v>594973</v>
      </c>
      <c r="AK2504" s="8" t="n">
        <v>38127</v>
      </c>
      <c r="AL2504" s="8" t="n">
        <v>30574</v>
      </c>
      <c r="AM2504" s="11" t="inlineStr"/>
      <c r="AN2504" s="12" t="inlineStr"/>
      <c r="AO2504" s="12" t="inlineStr"/>
      <c r="AP2504" s="13" t="inlineStr"/>
      <c r="AQ2504" s="13" t="inlineStr"/>
      <c r="AR2504" s="13" t="inlineStr"/>
      <c r="AS2504" s="13" t="inlineStr"/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7" t="n">
        <v>20857</v>
      </c>
      <c r="AK2505" s="8" t="n">
        <v>-1652</v>
      </c>
      <c r="AL2505" s="8" t="n">
        <v>-946</v>
      </c>
      <c r="AM2505" s="11" t="inlineStr"/>
      <c r="AN2505" s="12" t="inlineStr"/>
      <c r="AO2505" s="12" t="inlineStr"/>
      <c r="AP2505" s="13" t="inlineStr"/>
      <c r="AQ2505" s="13" t="inlineStr"/>
      <c r="AR2505" s="13" t="inlineStr"/>
      <c r="AS2505" s="13" t="inlineStr"/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7" t="n">
        <v>4256</v>
      </c>
      <c r="AK2506" s="8" t="n">
        <v>-4893</v>
      </c>
      <c r="AL2506" s="8" t="n">
        <v>-5155</v>
      </c>
      <c r="AM2506" s="11" t="inlineStr"/>
      <c r="AN2506" s="12" t="inlineStr"/>
      <c r="AO2506" s="12" t="inlineStr"/>
      <c r="AP2506" s="13" t="inlineStr"/>
      <c r="AQ2506" s="13" t="inlineStr"/>
      <c r="AR2506" s="13" t="inlineStr"/>
      <c r="AS2506" s="13" t="inlineStr"/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7" t="n">
        <v>17674</v>
      </c>
      <c r="AK2507" s="8" t="n">
        <v>-14417</v>
      </c>
      <c r="AL2507" s="8" t="n">
        <v>-12792</v>
      </c>
      <c r="AM2507" s="11" t="inlineStr"/>
      <c r="AN2507" s="12" t="inlineStr"/>
      <c r="AO2507" s="12" t="inlineStr"/>
      <c r="AP2507" s="13" t="inlineStr"/>
      <c r="AQ2507" s="13" t="inlineStr"/>
      <c r="AR2507" s="13" t="inlineStr"/>
      <c r="AS2507" s="13" t="inlineStr"/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7" t="n">
        <v>1659</v>
      </c>
      <c r="AK2508" s="8" t="n">
        <v>-1923</v>
      </c>
      <c r="AL2508" s="8" t="n">
        <v>-1984</v>
      </c>
      <c r="AM2508" s="11" t="inlineStr"/>
      <c r="AN2508" s="12" t="inlineStr"/>
      <c r="AO2508" s="12" t="inlineStr"/>
      <c r="AP2508" s="13" t="inlineStr"/>
      <c r="AQ2508" s="13" t="inlineStr"/>
      <c r="AR2508" s="13" t="inlineStr"/>
      <c r="AS2508" s="13" t="inlineStr"/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7" t="n">
        <v>788</v>
      </c>
      <c r="AK2509" s="8" t="n">
        <v>-3486</v>
      </c>
      <c r="AL2509" s="8" t="n">
        <v>-1139</v>
      </c>
      <c r="AM2509" s="11" t="inlineStr"/>
      <c r="AN2509" s="12" t="inlineStr"/>
      <c r="AO2509" s="12" t="inlineStr"/>
      <c r="AP2509" s="13" t="inlineStr"/>
      <c r="AQ2509" s="13" t="inlineStr"/>
      <c r="AR2509" s="13" t="inlineStr"/>
      <c r="AS2509" s="13" t="inlineStr"/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7" t="n">
        <v>1724</v>
      </c>
      <c r="AK2510" s="8" t="n">
        <v>-1940</v>
      </c>
      <c r="AL2510" s="8" t="n">
        <v>-12813</v>
      </c>
      <c r="AM2510" s="11" t="inlineStr"/>
      <c r="AN2510" s="12" t="inlineStr"/>
      <c r="AO2510" s="12" t="inlineStr"/>
      <c r="AP2510" s="13" t="inlineStr"/>
      <c r="AQ2510" s="13" t="inlineStr"/>
      <c r="AR2510" s="13" t="inlineStr"/>
      <c r="AS2510" s="13" t="inlineStr"/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7" t="n">
        <v>535010</v>
      </c>
      <c r="AK2511" s="8" t="n">
        <v>43261</v>
      </c>
      <c r="AL2511" s="8" t="n">
        <v>29787</v>
      </c>
      <c r="AM2511" s="11" t="inlineStr"/>
      <c r="AN2511" s="12" t="inlineStr"/>
      <c r="AO2511" s="12" t="inlineStr"/>
      <c r="AP2511" s="13" t="inlineStr"/>
      <c r="AQ2511" s="13" t="inlineStr"/>
      <c r="AR2511" s="13" t="inlineStr"/>
      <c r="AS2511" s="13" t="inlineStr"/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7" t="n">
        <v>868</v>
      </c>
      <c r="AK2512" s="8" t="n">
        <v>-4679</v>
      </c>
      <c r="AL2512" s="8" t="n">
        <v>-7231</v>
      </c>
      <c r="AM2512" s="11" t="inlineStr"/>
      <c r="AN2512" s="12" t="inlineStr"/>
      <c r="AO2512" s="12" t="inlineStr"/>
      <c r="AP2512" s="13" t="inlineStr"/>
      <c r="AQ2512" s="13" t="inlineStr"/>
      <c r="AR2512" s="13" t="inlineStr"/>
      <c r="AS2512" s="13" t="inlineStr"/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7" t="n">
        <v>1603</v>
      </c>
      <c r="AK2513" s="8" t="n">
        <v>-2702</v>
      </c>
      <c r="AL2513" s="8" t="n">
        <v>-5710</v>
      </c>
      <c r="AM2513" s="11" t="inlineStr"/>
      <c r="AN2513" s="12" t="inlineStr"/>
      <c r="AO2513" s="12" t="inlineStr"/>
      <c r="AP2513" s="13" t="inlineStr"/>
      <c r="AQ2513" s="13" t="inlineStr"/>
      <c r="AR2513" s="13" t="inlineStr"/>
      <c r="AS2513" s="13" t="inlineStr"/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7" t="n">
        <v>108029</v>
      </c>
      <c r="AK2514" s="8" t="n">
        <v>7737</v>
      </c>
      <c r="AL2514" s="8" t="n">
        <v>3627</v>
      </c>
      <c r="AM2514" s="11" t="inlineStr"/>
      <c r="AN2514" s="12" t="inlineStr"/>
      <c r="AO2514" s="12" t="inlineStr"/>
      <c r="AP2514" s="13" t="inlineStr"/>
      <c r="AQ2514" s="13" t="inlineStr"/>
      <c r="AR2514" s="13" t="inlineStr"/>
      <c r="AS2514" s="13" t="inlineStr"/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7" t="n">
        <v>6658</v>
      </c>
      <c r="AK2515" s="8" t="n">
        <v>414</v>
      </c>
      <c r="AL2515" s="8" t="n">
        <v>417</v>
      </c>
      <c r="AM2515" s="11" t="inlineStr"/>
      <c r="AN2515" s="12" t="inlineStr"/>
      <c r="AO2515" s="12" t="inlineStr"/>
      <c r="AP2515" s="13" t="inlineStr"/>
      <c r="AQ2515" s="13" t="inlineStr"/>
      <c r="AR2515" s="13" t="inlineStr"/>
      <c r="AS2515" s="13" t="inlineStr"/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7" t="n">
        <v>11378</v>
      </c>
      <c r="AK2516" s="8" t="n">
        <v>1044</v>
      </c>
      <c r="AL2516" s="8" t="n">
        <v>984</v>
      </c>
      <c r="AM2516" s="11" t="inlineStr"/>
      <c r="AN2516" s="12" t="inlineStr"/>
      <c r="AO2516" s="12" t="inlineStr"/>
      <c r="AP2516" s="13" t="inlineStr"/>
      <c r="AQ2516" s="13" t="inlineStr"/>
      <c r="AR2516" s="13" t="inlineStr"/>
      <c r="AS2516" s="13" t="inlineStr"/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7" t="n">
        <v>6059</v>
      </c>
      <c r="AK2517" s="8" t="n">
        <v>-1714</v>
      </c>
      <c r="AL2517" s="8" t="n">
        <v>-1735</v>
      </c>
      <c r="AM2517" s="11" t="inlineStr"/>
      <c r="AN2517" s="12" t="inlineStr"/>
      <c r="AO2517" s="12" t="inlineStr"/>
      <c r="AP2517" s="13" t="inlineStr"/>
      <c r="AQ2517" s="13" t="inlineStr"/>
      <c r="AR2517" s="13" t="inlineStr"/>
      <c r="AS2517" s="13" t="inlineStr"/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7" t="n">
        <v>8640</v>
      </c>
      <c r="AK2518" s="8" t="n">
        <v>-100</v>
      </c>
      <c r="AL2518" s="8" t="n">
        <v>-370</v>
      </c>
      <c r="AM2518" s="11" t="inlineStr"/>
      <c r="AN2518" s="12" t="inlineStr"/>
      <c r="AO2518" s="12" t="inlineStr"/>
      <c r="AP2518" s="13" t="inlineStr"/>
      <c r="AQ2518" s="13" t="inlineStr"/>
      <c r="AR2518" s="13" t="inlineStr"/>
      <c r="AS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7" t="n">
        <v>24715</v>
      </c>
      <c r="AK2519" s="8" t="n">
        <v>764</v>
      </c>
      <c r="AL2519" s="8" t="n">
        <v>1939</v>
      </c>
      <c r="AM2519" s="11" t="inlineStr"/>
      <c r="AN2519" s="12" t="inlineStr"/>
      <c r="AO2519" s="12" t="inlineStr"/>
      <c r="AP2519" s="13" t="inlineStr"/>
      <c r="AQ2519" s="13" t="inlineStr"/>
      <c r="AR2519" s="13" t="inlineStr"/>
      <c r="AS2519" s="13" t="inlineStr"/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7" t="n">
        <v>28376</v>
      </c>
      <c r="AK2520" s="8" t="n">
        <v>12950</v>
      </c>
      <c r="AL2520" s="8" t="n">
        <v>12940</v>
      </c>
      <c r="AM2520" s="11" t="inlineStr"/>
      <c r="AN2520" s="12" t="inlineStr"/>
      <c r="AO2520" s="12" t="inlineStr"/>
      <c r="AP2520" s="13" t="inlineStr"/>
      <c r="AQ2520" s="13" t="inlineStr"/>
      <c r="AR2520" s="13" t="inlineStr"/>
      <c r="AS2520" s="13" t="inlineStr"/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7" t="n">
        <v>42713</v>
      </c>
      <c r="AK2521" s="8" t="n">
        <v>-1242</v>
      </c>
      <c r="AL2521" s="8" t="n">
        <v>-2107</v>
      </c>
      <c r="AM2521" s="11" t="inlineStr"/>
      <c r="AN2521" s="12" t="inlineStr"/>
      <c r="AO2521" s="12" t="inlineStr"/>
      <c r="AP2521" s="13" t="inlineStr"/>
      <c r="AQ2521" s="13" t="inlineStr"/>
      <c r="AR2521" s="13" t="inlineStr"/>
      <c r="AS2521" s="13" t="inlineStr"/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7" t="n">
        <v>6165</v>
      </c>
      <c r="AK2522" s="8" t="n">
        <v>-4155</v>
      </c>
      <c r="AL2522" s="8" t="n">
        <v>-8274</v>
      </c>
      <c r="AM2522" s="11" t="inlineStr"/>
      <c r="AN2522" s="12" t="inlineStr"/>
      <c r="AO2522" s="12" t="inlineStr"/>
      <c r="AP2522" s="13" t="inlineStr"/>
      <c r="AQ2522" s="13" t="inlineStr"/>
      <c r="AR2522" s="13" t="inlineStr"/>
      <c r="AS2522" s="13" t="inlineStr"/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7" t="n">
        <v>8291</v>
      </c>
      <c r="AK2523" s="8" t="n">
        <v>-448</v>
      </c>
      <c r="AL2523" s="8" t="n">
        <v>818</v>
      </c>
      <c r="AM2523" s="11" t="inlineStr"/>
      <c r="AN2523" s="12" t="inlineStr"/>
      <c r="AO2523" s="12" t="inlineStr"/>
      <c r="AP2523" s="13" t="inlineStr"/>
      <c r="AQ2523" s="13" t="inlineStr"/>
      <c r="AR2523" s="13" t="inlineStr"/>
      <c r="AS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7" t="n">
        <v>2977</v>
      </c>
      <c r="AK2524" s="8" t="n">
        <v>-195</v>
      </c>
      <c r="AL2524" s="8" t="n">
        <v>-114</v>
      </c>
      <c r="AM2524" s="11" t="inlineStr"/>
      <c r="AN2524" s="12" t="inlineStr"/>
      <c r="AO2524" s="12" t="inlineStr"/>
      <c r="AP2524" s="13" t="inlineStr"/>
      <c r="AQ2524" s="13" t="inlineStr"/>
      <c r="AR2524" s="13" t="inlineStr"/>
      <c r="AS2524" s="13" t="inlineStr"/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7" t="n">
        <v>773358</v>
      </c>
      <c r="AK2525" s="8" t="n">
        <v>22032</v>
      </c>
      <c r="AL2525" s="8" t="n">
        <v>5623</v>
      </c>
      <c r="AM2525" s="11" t="inlineStr"/>
      <c r="AN2525" s="12" t="inlineStr"/>
      <c r="AO2525" s="12" t="inlineStr"/>
      <c r="AP2525" s="13" t="inlineStr"/>
      <c r="AQ2525" s="13" t="inlineStr"/>
      <c r="AR2525" s="13" t="inlineStr"/>
      <c r="AS2525" s="13" t="inlineStr"/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7" t="n">
        <v>995515</v>
      </c>
      <c r="AK2526" s="8" t="n">
        <v>45563</v>
      </c>
      <c r="AL2526" s="8" t="n">
        <v>11645</v>
      </c>
      <c r="AM2526" s="11" t="inlineStr"/>
      <c r="AN2526" s="12" t="inlineStr"/>
      <c r="AO2526" s="12" t="inlineStr"/>
      <c r="AP2526" s="13" t="inlineStr"/>
      <c r="AQ2526" s="13" t="inlineStr"/>
      <c r="AR2526" s="13" t="inlineStr"/>
      <c r="AS2526" s="13" t="inlineStr"/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7" t="n">
        <v>17323</v>
      </c>
      <c r="AK2527" s="8" t="n">
        <v>1660</v>
      </c>
      <c r="AL2527" s="8" t="n">
        <v>1418</v>
      </c>
      <c r="AM2527" s="11" t="inlineStr"/>
      <c r="AN2527" s="12" t="inlineStr"/>
      <c r="AO2527" s="12" t="inlineStr"/>
      <c r="AP2527" s="13" t="inlineStr"/>
      <c r="AQ2527" s="13" t="inlineStr"/>
      <c r="AR2527" s="13" t="inlineStr"/>
      <c r="AS2527" s="13" t="inlineStr"/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7" t="n">
        <v>72768</v>
      </c>
      <c r="AK2528" s="8" t="n">
        <v>12183</v>
      </c>
      <c r="AL2528" s="8" t="n">
        <v>8714</v>
      </c>
      <c r="AM2528" s="11" t="inlineStr"/>
      <c r="AN2528" s="12" t="inlineStr"/>
      <c r="AO2528" s="12" t="inlineStr"/>
      <c r="AP2528" s="13" t="inlineStr"/>
      <c r="AQ2528" s="13" t="inlineStr"/>
      <c r="AR2528" s="13" t="inlineStr"/>
      <c r="AS2528" s="13" t="inlineStr"/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7" t="n">
        <v>1729</v>
      </c>
      <c r="AK2529" s="8" t="n">
        <v>-458</v>
      </c>
      <c r="AL2529" s="8" t="n">
        <v>218</v>
      </c>
      <c r="AM2529" s="11" t="inlineStr"/>
      <c r="AN2529" s="12" t="inlineStr"/>
      <c r="AO2529" s="12" t="inlineStr"/>
      <c r="AP2529" s="13" t="inlineStr"/>
      <c r="AQ2529" s="13" t="inlineStr"/>
      <c r="AR2529" s="13" t="inlineStr"/>
      <c r="AS2529" s="13" t="inlineStr"/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7" t="n">
        <v>1509</v>
      </c>
      <c r="AK2530" s="8" t="n">
        <v>-1407</v>
      </c>
      <c r="AL2530" s="8" t="n">
        <v>-1062</v>
      </c>
      <c r="AM2530" s="11" t="inlineStr"/>
      <c r="AN2530" s="12" t="inlineStr"/>
      <c r="AO2530" s="12" t="inlineStr"/>
      <c r="AP2530" s="13" t="inlineStr"/>
      <c r="AQ2530" s="13" t="inlineStr"/>
      <c r="AR2530" s="13" t="inlineStr"/>
      <c r="AS2530" s="13" t="inlineStr"/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7" t="n">
        <v>77184</v>
      </c>
      <c r="AK2531" s="8" t="n">
        <v>32329</v>
      </c>
      <c r="AL2531" s="8" t="n">
        <v>41806</v>
      </c>
      <c r="AM2531" s="11" t="inlineStr"/>
      <c r="AN2531" s="12" t="inlineStr"/>
      <c r="AO2531" s="12" t="inlineStr"/>
      <c r="AP2531" s="13" t="inlineStr"/>
      <c r="AQ2531" s="13" t="inlineStr"/>
      <c r="AR2531" s="13" t="inlineStr"/>
      <c r="AS2531" s="13" t="inlineStr"/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7" t="n">
        <v>16776</v>
      </c>
      <c r="AK2532" s="8" t="n">
        <v>1560</v>
      </c>
      <c r="AL2532" s="8" t="n">
        <v>1254</v>
      </c>
      <c r="AM2532" s="11" t="inlineStr"/>
      <c r="AN2532" s="12" t="inlineStr"/>
      <c r="AO2532" s="12" t="inlineStr"/>
      <c r="AP2532" s="13" t="inlineStr"/>
      <c r="AQ2532" s="13" t="inlineStr"/>
      <c r="AR2532" s="13" t="inlineStr"/>
      <c r="AS2532" s="13" t="inlineStr"/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7" t="n">
        <v>2472</v>
      </c>
      <c r="AK2533" s="8" t="n">
        <v>-15819</v>
      </c>
      <c r="AL2533" s="8" t="n">
        <v>-15967</v>
      </c>
      <c r="AM2533" s="11" t="inlineStr"/>
      <c r="AN2533" s="12" t="inlineStr"/>
      <c r="AO2533" s="12" t="inlineStr"/>
      <c r="AP2533" s="13" t="inlineStr"/>
      <c r="AQ2533" s="13" t="inlineStr"/>
      <c r="AR2533" s="13" t="inlineStr"/>
      <c r="AS2533" s="13" t="inlineStr"/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7" t="n">
        <v>1134</v>
      </c>
      <c r="AK2534" s="8" t="n">
        <v>-1694</v>
      </c>
      <c r="AL2534" s="8" t="n">
        <v>-829</v>
      </c>
      <c r="AM2534" s="11" t="inlineStr"/>
      <c r="AN2534" s="12" t="inlineStr"/>
      <c r="AO2534" s="12" t="inlineStr"/>
      <c r="AP2534" s="13" t="inlineStr"/>
      <c r="AQ2534" s="13" t="inlineStr"/>
      <c r="AR2534" s="13" t="inlineStr"/>
      <c r="AS2534" s="13" t="inlineStr"/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7" t="n">
        <v>126216</v>
      </c>
      <c r="AK2535" s="8" t="n">
        <v>1005</v>
      </c>
      <c r="AL2535" s="8" t="n">
        <v>-4560</v>
      </c>
      <c r="AM2535" s="11" t="inlineStr"/>
      <c r="AN2535" s="12" t="inlineStr"/>
      <c r="AO2535" s="12" t="inlineStr"/>
      <c r="AP2535" s="13" t="inlineStr"/>
      <c r="AQ2535" s="13" t="inlineStr"/>
      <c r="AR2535" s="13" t="inlineStr"/>
      <c r="AS2535" s="13" t="inlineStr"/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7" t="n">
        <v>15007</v>
      </c>
      <c r="AK2536" s="8" t="n">
        <v>3640</v>
      </c>
      <c r="AL2536" s="8" t="n">
        <v>2731</v>
      </c>
      <c r="AM2536" s="11" t="inlineStr"/>
      <c r="AN2536" s="12" t="inlineStr"/>
      <c r="AO2536" s="12" t="inlineStr"/>
      <c r="AP2536" s="13" t="inlineStr"/>
      <c r="AQ2536" s="13" t="inlineStr"/>
      <c r="AR2536" s="13" t="inlineStr"/>
      <c r="AS2536" s="13" t="inlineStr"/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7" t="n">
        <v>55724</v>
      </c>
      <c r="AK2537" s="8" t="n">
        <v>28118</v>
      </c>
      <c r="AL2537" s="8" t="n">
        <v>41736</v>
      </c>
      <c r="AM2537" s="11" t="inlineStr"/>
      <c r="AN2537" s="12" t="inlineStr"/>
      <c r="AO2537" s="12" t="inlineStr"/>
      <c r="AP2537" s="13" t="inlineStr"/>
      <c r="AQ2537" s="13" t="inlineStr"/>
      <c r="AR2537" s="13" t="inlineStr"/>
      <c r="AS2537" s="13" t="inlineStr"/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7" t="n">
        <v>9207</v>
      </c>
      <c r="AK2538" s="8" t="n">
        <v>1105</v>
      </c>
      <c r="AL2538" s="8" t="n">
        <v>859</v>
      </c>
      <c r="AM2538" s="11" t="inlineStr"/>
      <c r="AN2538" s="12" t="inlineStr"/>
      <c r="AO2538" s="12" t="inlineStr"/>
      <c r="AP2538" s="13" t="inlineStr"/>
      <c r="AQ2538" s="13" t="inlineStr"/>
      <c r="AR2538" s="13" t="inlineStr"/>
      <c r="AS2538" s="13" t="inlineStr"/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7" t="n">
        <v>5311</v>
      </c>
      <c r="AK2539" s="8" t="n">
        <v>227</v>
      </c>
      <c r="AL2539" s="8" t="n">
        <v>412</v>
      </c>
      <c r="AM2539" s="11" t="inlineStr"/>
      <c r="AN2539" s="12" t="inlineStr"/>
      <c r="AO2539" s="12" t="inlineStr"/>
      <c r="AP2539" s="13" t="inlineStr"/>
      <c r="AQ2539" s="13" t="inlineStr"/>
      <c r="AR2539" s="13" t="inlineStr"/>
      <c r="AS2539" s="13" t="inlineStr"/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7" t="n">
        <v>20223</v>
      </c>
      <c r="AK2540" s="8" t="n">
        <v>-1119</v>
      </c>
      <c r="AL2540" s="8" t="n">
        <v>-1117</v>
      </c>
      <c r="AM2540" s="11" t="inlineStr"/>
      <c r="AN2540" s="12" t="inlineStr"/>
      <c r="AO2540" s="12" t="inlineStr"/>
      <c r="AP2540" s="13" t="inlineStr"/>
      <c r="AQ2540" s="13" t="inlineStr"/>
      <c r="AR2540" s="13" t="inlineStr"/>
      <c r="AS2540" s="13" t="inlineStr"/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7" t="n">
        <v>456</v>
      </c>
      <c r="AK2541" s="8" t="n">
        <v>-5177</v>
      </c>
      <c r="AL2541" s="8" t="n">
        <v>-6243</v>
      </c>
      <c r="AM2541" s="11" t="inlineStr"/>
      <c r="AN2541" s="12" t="inlineStr"/>
      <c r="AO2541" s="12" t="inlineStr"/>
      <c r="AP2541" s="13" t="inlineStr"/>
      <c r="AQ2541" s="13" t="inlineStr"/>
      <c r="AR2541" s="13" t="inlineStr"/>
      <c r="AS2541" s="13" t="inlineStr"/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7" t="n">
        <v>8077</v>
      </c>
      <c r="AK2542" s="8" t="n">
        <v>1043</v>
      </c>
      <c r="AL2542" s="8" t="n">
        <v>959</v>
      </c>
      <c r="AM2542" s="11" t="inlineStr"/>
      <c r="AN2542" s="12" t="inlineStr"/>
      <c r="AO2542" s="12" t="inlineStr"/>
      <c r="AP2542" s="13" t="inlineStr"/>
      <c r="AQ2542" s="13" t="inlineStr"/>
      <c r="AR2542" s="13" t="inlineStr"/>
      <c r="AS2542" s="13" t="inlineStr"/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7" t="inlineStr"/>
      <c r="AK2543" s="8" t="n">
        <v>-2370</v>
      </c>
      <c r="AL2543" s="8" t="n">
        <v>-2349</v>
      </c>
      <c r="AM2543" s="11" t="inlineStr"/>
      <c r="AN2543" s="12" t="inlineStr"/>
      <c r="AO2543" s="12" t="inlineStr"/>
      <c r="AP2543" s="13" t="inlineStr"/>
      <c r="AQ2543" s="13" t="inlineStr"/>
      <c r="AR2543" s="13" t="inlineStr"/>
      <c r="AS2543" s="13" t="inlineStr"/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7" t="n">
        <v>5680</v>
      </c>
      <c r="AK2544" s="8" t="n">
        <v>-1326</v>
      </c>
      <c r="AL2544" s="8" t="n">
        <v>-1076</v>
      </c>
      <c r="AM2544" s="11" t="inlineStr"/>
      <c r="AN2544" s="12" t="inlineStr"/>
      <c r="AO2544" s="12" t="inlineStr"/>
      <c r="AP2544" s="13" t="inlineStr"/>
      <c r="AQ2544" s="13" t="inlineStr"/>
      <c r="AR2544" s="13" t="inlineStr"/>
      <c r="AS2544" s="13" t="inlineStr"/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7" t="n">
        <v>5205</v>
      </c>
      <c r="AK2545" s="8" t="n">
        <v>-1684</v>
      </c>
      <c r="AL2545" s="8" t="n">
        <v>-1692</v>
      </c>
      <c r="AM2545" s="11" t="inlineStr"/>
      <c r="AN2545" s="12" t="inlineStr"/>
      <c r="AO2545" s="12" t="inlineStr"/>
      <c r="AP2545" s="13" t="inlineStr"/>
      <c r="AQ2545" s="13" t="inlineStr"/>
      <c r="AR2545" s="13" t="inlineStr"/>
      <c r="AS2545" s="13" t="inlineStr"/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7" t="n">
        <v>0</v>
      </c>
      <c r="AK2546" s="8" t="n">
        <v>-6</v>
      </c>
      <c r="AL2546" s="8" t="n">
        <v>25</v>
      </c>
      <c r="AM2546" s="11" t="inlineStr"/>
      <c r="AN2546" s="12" t="inlineStr"/>
      <c r="AO2546" s="12" t="inlineStr"/>
      <c r="AP2546" s="13" t="inlineStr"/>
      <c r="AQ2546" s="13" t="inlineStr"/>
      <c r="AR2546" s="13" t="inlineStr"/>
      <c r="AS2546" s="13" t="inlineStr"/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7" t="n">
        <v>4760</v>
      </c>
      <c r="AK2547" s="8" t="n">
        <v>1050</v>
      </c>
      <c r="AL2547" s="8" t="n">
        <v>3879</v>
      </c>
      <c r="AM2547" s="11" t="inlineStr"/>
      <c r="AN2547" s="12" t="inlineStr"/>
      <c r="AO2547" s="12" t="inlineStr"/>
      <c r="AP2547" s="13" t="inlineStr"/>
      <c r="AQ2547" s="13" t="inlineStr"/>
      <c r="AR2547" s="13" t="inlineStr"/>
      <c r="AS2547" s="13" t="inlineStr"/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7" t="n">
        <v>14827</v>
      </c>
      <c r="AK2548" s="8" t="n">
        <v>-104</v>
      </c>
      <c r="AL2548" s="8" t="n">
        <v>13148</v>
      </c>
      <c r="AM2548" s="11" t="inlineStr"/>
      <c r="AN2548" s="12" t="inlineStr"/>
      <c r="AO2548" s="12" t="inlineStr"/>
      <c r="AP2548" s="13" t="inlineStr"/>
      <c r="AQ2548" s="13" t="inlineStr"/>
      <c r="AR2548" s="13" t="inlineStr"/>
      <c r="AS2548" s="13" t="inlineStr"/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7" t="n">
        <v>8859</v>
      </c>
      <c r="AK2549" s="8" t="n">
        <v>-2840</v>
      </c>
      <c r="AL2549" s="8" t="n">
        <v>-2633</v>
      </c>
      <c r="AM2549" s="11" t="inlineStr"/>
      <c r="AN2549" s="12" t="inlineStr"/>
      <c r="AO2549" s="12" t="inlineStr"/>
      <c r="AP2549" s="13" t="inlineStr"/>
      <c r="AQ2549" s="13" t="inlineStr"/>
      <c r="AR2549" s="13" t="inlineStr"/>
      <c r="AS2549" s="13" t="inlineStr"/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7" t="n">
        <v>2862</v>
      </c>
      <c r="AK2550" s="8" t="n">
        <v>489</v>
      </c>
      <c r="AL2550" s="8" t="n">
        <v>893</v>
      </c>
      <c r="AM2550" s="11" t="inlineStr"/>
      <c r="AN2550" s="12" t="inlineStr"/>
      <c r="AO2550" s="12" t="inlineStr"/>
      <c r="AP2550" s="13" t="inlineStr"/>
      <c r="AQ2550" s="13" t="inlineStr"/>
      <c r="AR2550" s="13" t="inlineStr"/>
      <c r="AS2550" s="13" t="inlineStr"/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7" t="n">
        <v>0</v>
      </c>
      <c r="AK2551" s="8" t="n">
        <v>-8</v>
      </c>
      <c r="AL2551" s="8" t="n">
        <v>43</v>
      </c>
      <c r="AM2551" s="11" t="inlineStr"/>
      <c r="AN2551" s="12" t="inlineStr"/>
      <c r="AO2551" s="12" t="inlineStr"/>
      <c r="AP2551" s="13" t="inlineStr"/>
      <c r="AQ2551" s="13" t="inlineStr"/>
      <c r="AR2551" s="13" t="inlineStr"/>
      <c r="AS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7" t="inlineStr"/>
      <c r="AK2552" s="8" t="inlineStr"/>
      <c r="AL2552" s="8" t="inlineStr"/>
      <c r="AM2552" s="11" t="inlineStr"/>
      <c r="AN2552" s="12" t="inlineStr"/>
      <c r="AO2552" s="12" t="inlineStr"/>
      <c r="AP2552" s="13" t="inlineStr"/>
      <c r="AQ2552" s="13" t="inlineStr"/>
      <c r="AR2552" s="13" t="inlineStr"/>
      <c r="AS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7" t="n">
        <v>349</v>
      </c>
      <c r="AK2553" s="8" t="n">
        <v>-3956</v>
      </c>
      <c r="AL2553" s="8" t="n">
        <v>-3112</v>
      </c>
      <c r="AM2553" s="11" t="inlineStr"/>
      <c r="AN2553" s="12" t="inlineStr"/>
      <c r="AO2553" s="12" t="inlineStr"/>
      <c r="AP2553" s="13" t="inlineStr"/>
      <c r="AQ2553" s="13" t="inlineStr"/>
      <c r="AR2553" s="13" t="inlineStr"/>
      <c r="AS2553" s="13" t="inlineStr"/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7" t="n">
        <v>0</v>
      </c>
      <c r="AK2554" s="8" t="n">
        <v>-46</v>
      </c>
      <c r="AL2554" s="8" t="n">
        <v>4</v>
      </c>
      <c r="AM2554" s="11" t="inlineStr"/>
      <c r="AN2554" s="12" t="inlineStr"/>
      <c r="AO2554" s="12" t="inlineStr"/>
      <c r="AP2554" s="13" t="inlineStr"/>
      <c r="AQ2554" s="13" t="inlineStr"/>
      <c r="AR2554" s="13" t="inlineStr"/>
      <c r="AS2554" s="13" t="inlineStr"/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7" t="inlineStr"/>
      <c r="AK2555" s="8" t="n">
        <v>-71</v>
      </c>
      <c r="AL2555" s="8" t="n">
        <v>-29</v>
      </c>
      <c r="AM2555" s="11" t="inlineStr"/>
      <c r="AN2555" s="12" t="inlineStr"/>
      <c r="AO2555" s="12" t="inlineStr"/>
      <c r="AP2555" s="13" t="inlineStr"/>
      <c r="AQ2555" s="13" t="inlineStr"/>
      <c r="AR2555" s="13" t="inlineStr"/>
      <c r="AS2555" s="13" t="inlineStr"/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7" t="n">
        <v>19559</v>
      </c>
      <c r="AK2556" s="8" t="n">
        <v>894</v>
      </c>
      <c r="AL2556" s="8" t="n">
        <v>3206</v>
      </c>
      <c r="AM2556" s="11" t="inlineStr"/>
      <c r="AN2556" s="12" t="inlineStr"/>
      <c r="AO2556" s="12" t="inlineStr"/>
      <c r="AP2556" s="13" t="inlineStr"/>
      <c r="AQ2556" s="13" t="inlineStr"/>
      <c r="AR2556" s="13" t="inlineStr"/>
      <c r="AS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7" t="n">
        <v>4760</v>
      </c>
      <c r="AK2557" s="8" t="n">
        <v>10</v>
      </c>
      <c r="AL2557" s="8" t="n">
        <v>275</v>
      </c>
      <c r="AM2557" s="11" t="inlineStr"/>
      <c r="AN2557" s="12" t="inlineStr"/>
      <c r="AO2557" s="12" t="inlineStr"/>
      <c r="AP2557" s="13" t="inlineStr"/>
      <c r="AQ2557" s="13" t="inlineStr"/>
      <c r="AR2557" s="13" t="inlineStr"/>
      <c r="AS2557" s="13" t="inlineStr"/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7" t="n">
        <v>0</v>
      </c>
      <c r="AK2558" s="8" t="n">
        <v>-11</v>
      </c>
      <c r="AL2558" s="8" t="n">
        <v>38</v>
      </c>
      <c r="AM2558" s="11" t="inlineStr"/>
      <c r="AN2558" s="12" t="inlineStr"/>
      <c r="AO2558" s="12" t="inlineStr"/>
      <c r="AP2558" s="13" t="inlineStr"/>
      <c r="AQ2558" s="13" t="inlineStr"/>
      <c r="AR2558" s="13" t="inlineStr"/>
      <c r="AS2558" s="13" t="inlineStr"/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7" t="inlineStr"/>
      <c r="AK2559" s="8" t="n">
        <v>-11</v>
      </c>
      <c r="AL2559" s="8" t="n">
        <v>54</v>
      </c>
      <c r="AM2559" s="11" t="inlineStr"/>
      <c r="AN2559" s="12" t="inlineStr"/>
      <c r="AO2559" s="12" t="inlineStr"/>
      <c r="AP2559" s="13" t="inlineStr"/>
      <c r="AQ2559" s="13" t="inlineStr"/>
      <c r="AR2559" s="13" t="inlineStr"/>
      <c r="AS2559" s="13" t="inlineStr"/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7" t="n">
        <v>0</v>
      </c>
      <c r="AK2560" s="8" t="n">
        <v>-10</v>
      </c>
      <c r="AL2560" s="8" t="n">
        <v>-62</v>
      </c>
      <c r="AM2560" s="11" t="inlineStr"/>
      <c r="AN2560" s="12" t="inlineStr"/>
      <c r="AO2560" s="12" t="inlineStr"/>
      <c r="AP2560" s="13" t="inlineStr"/>
      <c r="AQ2560" s="13" t="inlineStr"/>
      <c r="AR2560" s="13" t="inlineStr"/>
      <c r="AS2560" s="13" t="inlineStr"/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7" t="n">
        <v>5087</v>
      </c>
      <c r="AK2561" s="8" t="n">
        <v>981</v>
      </c>
      <c r="AL2561" s="8" t="n">
        <v>592</v>
      </c>
      <c r="AM2561" s="11" t="inlineStr"/>
      <c r="AN2561" s="12" t="inlineStr"/>
      <c r="AO2561" s="12" t="inlineStr"/>
      <c r="AP2561" s="13" t="inlineStr"/>
      <c r="AQ2561" s="13" t="inlineStr"/>
      <c r="AR2561" s="13" t="inlineStr"/>
      <c r="AS2561" s="13" t="inlineStr"/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7" t="n">
        <v>0</v>
      </c>
      <c r="AK2562" s="8" t="n">
        <v>-12</v>
      </c>
      <c r="AL2562" s="8" t="n">
        <v>27</v>
      </c>
      <c r="AM2562" s="11" t="inlineStr"/>
      <c r="AN2562" s="12" t="inlineStr"/>
      <c r="AO2562" s="12" t="inlineStr"/>
      <c r="AP2562" s="13" t="inlineStr"/>
      <c r="AQ2562" s="13" t="inlineStr"/>
      <c r="AR2562" s="13" t="inlineStr"/>
      <c r="AS2562" s="13" t="inlineStr"/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7" t="inlineStr"/>
      <c r="AK2563" s="8" t="n">
        <v>-8</v>
      </c>
      <c r="AL2563" s="8" t="n">
        <v>19</v>
      </c>
      <c r="AM2563" s="11" t="inlineStr"/>
      <c r="AN2563" s="12" t="inlineStr"/>
      <c r="AO2563" s="12" t="inlineStr"/>
      <c r="AP2563" s="13" t="inlineStr"/>
      <c r="AQ2563" s="13" t="inlineStr"/>
      <c r="AR2563" s="13" t="inlineStr"/>
      <c r="AS2563" s="13" t="inlineStr"/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7" t="n">
        <v>149183</v>
      </c>
      <c r="AK2564" s="8" t="n">
        <v>21711</v>
      </c>
      <c r="AL2564" s="8" t="n">
        <v>16282</v>
      </c>
      <c r="AM2564" s="11" t="inlineStr"/>
      <c r="AN2564" s="12" t="inlineStr"/>
      <c r="AO2564" s="12" t="inlineStr"/>
      <c r="AP2564" s="13" t="inlineStr"/>
      <c r="AQ2564" s="13" t="inlineStr"/>
      <c r="AR2564" s="13" t="inlineStr"/>
      <c r="AS2564" s="13" t="inlineStr"/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7" t="inlineStr"/>
      <c r="AK2565" s="8" t="n">
        <v>-8</v>
      </c>
      <c r="AL2565" s="8" t="n">
        <v>-2</v>
      </c>
      <c r="AM2565" s="11" t="inlineStr"/>
      <c r="AN2565" s="12" t="inlineStr"/>
      <c r="AO2565" s="12" t="inlineStr"/>
      <c r="AP2565" s="13" t="inlineStr"/>
      <c r="AQ2565" s="13" t="inlineStr"/>
      <c r="AR2565" s="13" t="inlineStr"/>
      <c r="AS2565" s="13" t="inlineStr"/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7" t="n">
        <v>0</v>
      </c>
      <c r="AK2566" s="8" t="n">
        <v>-10</v>
      </c>
      <c r="AL2566" s="8" t="n">
        <v>77</v>
      </c>
      <c r="AM2566" s="11" t="inlineStr"/>
      <c r="AN2566" s="12" t="inlineStr"/>
      <c r="AO2566" s="12" t="inlineStr"/>
      <c r="AP2566" s="13" t="inlineStr"/>
      <c r="AQ2566" s="13" t="inlineStr"/>
      <c r="AR2566" s="13" t="inlineStr"/>
      <c r="AS2566" s="13" t="inlineStr"/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7" t="inlineStr"/>
      <c r="AK2567" s="8" t="n">
        <v>-10</v>
      </c>
      <c r="AL2567" s="8" t="n">
        <v>9</v>
      </c>
      <c r="AM2567" s="11" t="inlineStr"/>
      <c r="AN2567" s="12" t="inlineStr"/>
      <c r="AO2567" s="12" t="inlineStr"/>
      <c r="AP2567" s="13" t="inlineStr"/>
      <c r="AQ2567" s="13" t="inlineStr"/>
      <c r="AR2567" s="13" t="inlineStr"/>
      <c r="AS2567" s="13" t="inlineStr"/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7" t="n">
        <v>16147</v>
      </c>
      <c r="AK2568" s="8" t="n">
        <v>3548</v>
      </c>
      <c r="AL2568" s="8" t="n">
        <v>4594</v>
      </c>
      <c r="AM2568" s="11" t="inlineStr"/>
      <c r="AN2568" s="12" t="inlineStr"/>
      <c r="AO2568" s="12" t="inlineStr"/>
      <c r="AP2568" s="13" t="inlineStr"/>
      <c r="AQ2568" s="13" t="inlineStr"/>
      <c r="AR2568" s="13" t="inlineStr"/>
      <c r="AS2568" s="13" t="inlineStr"/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7" t="n">
        <v>4235</v>
      </c>
      <c r="AK2569" s="8" t="n">
        <v>-1056</v>
      </c>
      <c r="AL2569" s="8" t="n">
        <v>-880</v>
      </c>
      <c r="AM2569" s="11" t="inlineStr"/>
      <c r="AN2569" s="12" t="inlineStr"/>
      <c r="AO2569" s="12" t="inlineStr"/>
      <c r="AP2569" s="13" t="inlineStr"/>
      <c r="AQ2569" s="13" t="inlineStr"/>
      <c r="AR2569" s="13" t="inlineStr"/>
      <c r="AS2569" s="13" t="inlineStr"/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7" t="n">
        <v>0</v>
      </c>
      <c r="AK2570" s="8" t="n">
        <v>-13</v>
      </c>
      <c r="AL2570" s="8" t="n">
        <v>49</v>
      </c>
      <c r="AM2570" s="11" t="inlineStr"/>
      <c r="AN2570" s="12" t="inlineStr"/>
      <c r="AO2570" s="12" t="inlineStr"/>
      <c r="AP2570" s="13" t="inlineStr"/>
      <c r="AQ2570" s="13" t="inlineStr"/>
      <c r="AR2570" s="13" t="inlineStr"/>
      <c r="AS2570" s="13" t="inlineStr"/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7" t="n">
        <v>11584</v>
      </c>
      <c r="AK2571" s="8" t="n">
        <v>1666</v>
      </c>
      <c r="AL2571" s="8" t="n">
        <v>2101</v>
      </c>
      <c r="AM2571" s="11" t="inlineStr"/>
      <c r="AN2571" s="12" t="inlineStr"/>
      <c r="AO2571" s="12" t="inlineStr"/>
      <c r="AP2571" s="13" t="inlineStr"/>
      <c r="AQ2571" s="13" t="inlineStr"/>
      <c r="AR2571" s="13" t="inlineStr"/>
      <c r="AS2571" s="13" t="inlineStr"/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7" t="n">
        <v>4269</v>
      </c>
      <c r="AK2572" s="8" t="n">
        <v>-4636</v>
      </c>
      <c r="AL2572" s="8" t="n">
        <v>57</v>
      </c>
      <c r="AM2572" s="11" t="inlineStr"/>
      <c r="AN2572" s="12" t="inlineStr"/>
      <c r="AO2572" s="12" t="inlineStr"/>
      <c r="AP2572" s="13" t="inlineStr"/>
      <c r="AQ2572" s="13" t="inlineStr"/>
      <c r="AR2572" s="13" t="inlineStr"/>
      <c r="AS2572" s="13" t="inlineStr"/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7" t="inlineStr"/>
      <c r="AK2573" s="8" t="n">
        <v>-9</v>
      </c>
      <c r="AL2573" s="8" t="n">
        <v>35</v>
      </c>
      <c r="AM2573" s="11" t="inlineStr"/>
      <c r="AN2573" s="12" t="inlineStr"/>
      <c r="AO2573" s="12" t="inlineStr"/>
      <c r="AP2573" s="13" t="inlineStr"/>
      <c r="AQ2573" s="13" t="inlineStr"/>
      <c r="AR2573" s="13" t="inlineStr"/>
      <c r="AS2573" s="13" t="inlineStr"/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7" t="n">
        <v>0</v>
      </c>
      <c r="AK2574" s="8" t="n">
        <v>-16</v>
      </c>
      <c r="AL2574" s="8" t="n">
        <v>36</v>
      </c>
      <c r="AM2574" s="11" t="inlineStr"/>
      <c r="AN2574" s="12" t="inlineStr"/>
      <c r="AO2574" s="12" t="inlineStr"/>
      <c r="AP2574" s="13" t="inlineStr"/>
      <c r="AQ2574" s="13" t="inlineStr"/>
      <c r="AR2574" s="13" t="inlineStr"/>
      <c r="AS2574" s="13" t="inlineStr"/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7" t="n">
        <v>6420</v>
      </c>
      <c r="AK2575" s="8" t="n">
        <v>-11149</v>
      </c>
      <c r="AL2575" s="8" t="n">
        <v>-11308</v>
      </c>
      <c r="AM2575" s="11" t="inlineStr"/>
      <c r="AN2575" s="12" t="inlineStr"/>
      <c r="AO2575" s="12" t="inlineStr"/>
      <c r="AP2575" s="13" t="inlineStr"/>
      <c r="AQ2575" s="13" t="inlineStr"/>
      <c r="AR2575" s="13" t="inlineStr"/>
      <c r="AS2575" s="13" t="inlineStr"/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7" t="n">
        <v>240892</v>
      </c>
      <c r="AK2576" s="8" t="n">
        <v>4683</v>
      </c>
      <c r="AL2576" s="8" t="n">
        <v>-2893</v>
      </c>
      <c r="AM2576" s="11" t="inlineStr"/>
      <c r="AN2576" s="12" t="inlineStr"/>
      <c r="AO2576" s="12" t="inlineStr"/>
      <c r="AP2576" s="13" t="inlineStr"/>
      <c r="AQ2576" s="13" t="inlineStr"/>
      <c r="AR2576" s="13" t="inlineStr"/>
      <c r="AS2576" s="13" t="inlineStr"/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7" t="n">
        <v>19853</v>
      </c>
      <c r="AK2577" s="8" t="n">
        <v>1875</v>
      </c>
      <c r="AL2577" s="8" t="n">
        <v>5975</v>
      </c>
      <c r="AM2577" s="11" t="inlineStr"/>
      <c r="AN2577" s="12" t="inlineStr"/>
      <c r="AO2577" s="12" t="inlineStr"/>
      <c r="AP2577" s="13" t="inlineStr"/>
      <c r="AQ2577" s="13" t="inlineStr"/>
      <c r="AR2577" s="13" t="inlineStr"/>
      <c r="AS2577" s="13" t="inlineStr"/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7" t="n">
        <v>0</v>
      </c>
      <c r="AK2578" s="8" t="n">
        <v>-12</v>
      </c>
      <c r="AL2578" s="8" t="n">
        <v>20</v>
      </c>
      <c r="AM2578" s="11" t="inlineStr"/>
      <c r="AN2578" s="12" t="inlineStr"/>
      <c r="AO2578" s="12" t="inlineStr"/>
      <c r="AP2578" s="13" t="inlineStr"/>
      <c r="AQ2578" s="13" t="inlineStr"/>
      <c r="AR2578" s="13" t="inlineStr"/>
      <c r="AS2578" s="13" t="inlineStr"/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7" t="inlineStr"/>
      <c r="AK2579" s="8" t="n">
        <v>-10</v>
      </c>
      <c r="AL2579" s="8" t="n">
        <v>44</v>
      </c>
      <c r="AM2579" s="11" t="inlineStr"/>
      <c r="AN2579" s="12" t="inlineStr"/>
      <c r="AO2579" s="12" t="inlineStr"/>
      <c r="AP2579" s="13" t="inlineStr"/>
      <c r="AQ2579" s="13" t="inlineStr"/>
      <c r="AR2579" s="13" t="inlineStr"/>
      <c r="AS2579" s="13" t="inlineStr"/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7" t="n">
        <v>3744</v>
      </c>
      <c r="AK2580" s="8" t="n">
        <v>-4771</v>
      </c>
      <c r="AL2580" s="8" t="n">
        <v>-4301</v>
      </c>
      <c r="AM2580" s="11" t="inlineStr"/>
      <c r="AN2580" s="12" t="inlineStr"/>
      <c r="AO2580" s="12" t="inlineStr"/>
      <c r="AP2580" s="13" t="inlineStr"/>
      <c r="AQ2580" s="13" t="inlineStr"/>
      <c r="AR2580" s="13" t="inlineStr"/>
      <c r="AS2580" s="13" t="inlineStr"/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7" t="n">
        <v>24848</v>
      </c>
      <c r="AK2581" s="8" t="n">
        <v>3277</v>
      </c>
      <c r="AL2581" s="8" t="n">
        <v>5814</v>
      </c>
      <c r="AM2581" s="11" t="inlineStr"/>
      <c r="AN2581" s="12" t="inlineStr"/>
      <c r="AO2581" s="12" t="inlineStr"/>
      <c r="AP2581" s="13" t="inlineStr"/>
      <c r="AQ2581" s="13" t="inlineStr"/>
      <c r="AR2581" s="13" t="inlineStr"/>
      <c r="AS2581" s="13" t="inlineStr"/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7" t="inlineStr"/>
      <c r="AK2582" s="8" t="n">
        <v>871</v>
      </c>
      <c r="AL2582" s="8" t="n">
        <v>324</v>
      </c>
      <c r="AM2582" s="11" t="inlineStr"/>
      <c r="AN2582" s="12" t="inlineStr"/>
      <c r="AO2582" s="12" t="inlineStr"/>
      <c r="AP2582" s="13" t="inlineStr"/>
      <c r="AQ2582" s="13" t="inlineStr"/>
      <c r="AR2582" s="13" t="inlineStr"/>
      <c r="AS2582" s="13" t="inlineStr"/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7" t="n">
        <v>83217</v>
      </c>
      <c r="AK2583" s="8" t="n">
        <v>-5562</v>
      </c>
      <c r="AL2583" s="8" t="n">
        <v>-4406</v>
      </c>
      <c r="AM2583" s="11" t="inlineStr"/>
      <c r="AN2583" s="12" t="inlineStr"/>
      <c r="AO2583" s="12" t="inlineStr"/>
      <c r="AP2583" s="13" t="inlineStr"/>
      <c r="AQ2583" s="13" t="inlineStr"/>
      <c r="AR2583" s="13" t="inlineStr"/>
      <c r="AS2583" s="13" t="inlineStr"/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7" t="n">
        <v>21913</v>
      </c>
      <c r="AK2584" s="8" t="n">
        <v>-1260</v>
      </c>
      <c r="AL2584" s="8" t="n">
        <v>-33</v>
      </c>
      <c r="AM2584" s="11" t="inlineStr"/>
      <c r="AN2584" s="12" t="inlineStr"/>
      <c r="AO2584" s="12" t="inlineStr"/>
      <c r="AP2584" s="13" t="inlineStr"/>
      <c r="AQ2584" s="13" t="inlineStr"/>
      <c r="AR2584" s="13" t="inlineStr"/>
      <c r="AS2584" s="13" t="inlineStr"/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7" t="n">
        <v>6527</v>
      </c>
      <c r="AK2585" s="8" t="n">
        <v>-1010</v>
      </c>
      <c r="AL2585" s="8" t="n">
        <v>-1088</v>
      </c>
      <c r="AM2585" s="11" t="inlineStr"/>
      <c r="AN2585" s="12" t="inlineStr"/>
      <c r="AO2585" s="12" t="inlineStr"/>
      <c r="AP2585" s="13" t="inlineStr"/>
      <c r="AQ2585" s="13" t="inlineStr"/>
      <c r="AR2585" s="13" t="inlineStr"/>
      <c r="AS2585" s="13" t="inlineStr"/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7" t="n">
        <v>24</v>
      </c>
      <c r="AK2586" s="8" t="n">
        <v>-15353</v>
      </c>
      <c r="AL2586" s="8" t="n">
        <v>63384</v>
      </c>
      <c r="AM2586" s="11" t="inlineStr"/>
      <c r="AN2586" s="12" t="inlineStr"/>
      <c r="AO2586" s="12" t="inlineStr"/>
      <c r="AP2586" s="13" t="inlineStr"/>
      <c r="AQ2586" s="13" t="inlineStr"/>
      <c r="AR2586" s="13" t="inlineStr"/>
      <c r="AS2586" s="13" t="inlineStr"/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7" t="n">
        <v>4964</v>
      </c>
      <c r="AK2587" s="8" t="n">
        <v>-587</v>
      </c>
      <c r="AL2587" s="8" t="n">
        <v>-203</v>
      </c>
      <c r="AM2587" s="11" t="inlineStr"/>
      <c r="AN2587" s="12" t="inlineStr"/>
      <c r="AO2587" s="12" t="inlineStr"/>
      <c r="AP2587" s="13" t="inlineStr"/>
      <c r="AQ2587" s="13" t="inlineStr"/>
      <c r="AR2587" s="13" t="inlineStr"/>
      <c r="AS2587" s="13" t="inlineStr"/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7" t="n">
        <v>598</v>
      </c>
      <c r="AK2588" s="8" t="n">
        <v>-4354</v>
      </c>
      <c r="AL2588" s="8" t="n">
        <v>-6953</v>
      </c>
      <c r="AM2588" s="11" t="inlineStr"/>
      <c r="AN2588" s="12" t="inlineStr"/>
      <c r="AO2588" s="12" t="inlineStr"/>
      <c r="AP2588" s="13" t="inlineStr"/>
      <c r="AQ2588" s="13" t="inlineStr"/>
      <c r="AR2588" s="13" t="inlineStr"/>
      <c r="AS2588" s="13" t="inlineStr"/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7" t="inlineStr"/>
      <c r="AK2589" s="8" t="n">
        <v>2789</v>
      </c>
      <c r="AL2589" s="8" t="n">
        <v>3768</v>
      </c>
      <c r="AM2589" s="11" t="inlineStr"/>
      <c r="AN2589" s="12" t="inlineStr"/>
      <c r="AO2589" s="12" t="inlineStr"/>
      <c r="AP2589" s="13" t="inlineStr"/>
      <c r="AQ2589" s="13" t="inlineStr"/>
      <c r="AR2589" s="13" t="inlineStr"/>
      <c r="AS2589" s="13" t="inlineStr"/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7" t="n">
        <v>48963</v>
      </c>
      <c r="AK2590" s="8" t="n">
        <v>1593</v>
      </c>
      <c r="AL2590" s="8" t="n">
        <v>1196</v>
      </c>
      <c r="AM2590" s="11" t="inlineStr"/>
      <c r="AN2590" s="12" t="inlineStr"/>
      <c r="AO2590" s="12" t="inlineStr"/>
      <c r="AP2590" s="13" t="inlineStr"/>
      <c r="AQ2590" s="13" t="inlineStr"/>
      <c r="AR2590" s="13" t="inlineStr"/>
      <c r="AS2590" s="13" t="inlineStr"/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7" t="n">
        <v>808</v>
      </c>
      <c r="AK2591" s="8" t="n">
        <v>-6852</v>
      </c>
      <c r="AL2591" s="8" t="n">
        <v>-6367</v>
      </c>
      <c r="AM2591" s="11" t="inlineStr"/>
      <c r="AN2591" s="12" t="inlineStr"/>
      <c r="AO2591" s="12" t="inlineStr"/>
      <c r="AP2591" s="13" t="inlineStr"/>
      <c r="AQ2591" s="13" t="inlineStr"/>
      <c r="AR2591" s="13" t="inlineStr"/>
      <c r="AS2591" s="13" t="inlineStr"/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7" t="n">
        <v>0</v>
      </c>
      <c r="AK2592" s="8" t="n">
        <v>-6</v>
      </c>
      <c r="AL2592" s="8" t="n">
        <v>68</v>
      </c>
      <c r="AM2592" s="11" t="inlineStr"/>
      <c r="AN2592" s="12" t="inlineStr"/>
      <c r="AO2592" s="12" t="inlineStr"/>
      <c r="AP2592" s="13" t="inlineStr"/>
      <c r="AQ2592" s="13" t="inlineStr"/>
      <c r="AR2592" s="13" t="inlineStr"/>
      <c r="AS2592" s="13" t="inlineStr"/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7" t="inlineStr"/>
      <c r="AK2593" s="8" t="n">
        <v>-6</v>
      </c>
      <c r="AL2593" s="8" t="n">
        <v>84</v>
      </c>
      <c r="AM2593" s="11" t="inlineStr"/>
      <c r="AN2593" s="12" t="inlineStr"/>
      <c r="AO2593" s="12" t="inlineStr"/>
      <c r="AP2593" s="13" t="inlineStr"/>
      <c r="AQ2593" s="13" t="inlineStr"/>
      <c r="AR2593" s="13" t="inlineStr"/>
      <c r="AS2593" s="13" t="inlineStr"/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7" t="inlineStr"/>
      <c r="AK2594" s="8" t="n">
        <v>-11</v>
      </c>
      <c r="AL2594" s="8" t="n">
        <v>45</v>
      </c>
      <c r="AM2594" s="11" t="inlineStr"/>
      <c r="AN2594" s="12" t="inlineStr"/>
      <c r="AO2594" s="12" t="inlineStr"/>
      <c r="AP2594" s="13" t="inlineStr"/>
      <c r="AQ2594" s="13" t="inlineStr"/>
      <c r="AR2594" s="13" t="inlineStr"/>
      <c r="AS2594" s="13" t="inlineStr"/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7" t="n">
        <v>0</v>
      </c>
      <c r="AK2595" s="8" t="n">
        <v>-7</v>
      </c>
      <c r="AL2595" s="8" t="n">
        <v>53</v>
      </c>
      <c r="AM2595" s="11" t="inlineStr"/>
      <c r="AN2595" s="12" t="inlineStr"/>
      <c r="AO2595" s="12" t="inlineStr"/>
      <c r="AP2595" s="13" t="inlineStr"/>
      <c r="AQ2595" s="13" t="inlineStr"/>
      <c r="AR2595" s="13" t="inlineStr"/>
      <c r="AS2595" s="13" t="inlineStr"/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7" t="n">
        <v>3992</v>
      </c>
      <c r="AK2596" s="8" t="n">
        <v>-1802</v>
      </c>
      <c r="AL2596" s="8" t="n">
        <v>-1547</v>
      </c>
      <c r="AM2596" s="11" t="inlineStr"/>
      <c r="AN2596" s="12" t="inlineStr"/>
      <c r="AO2596" s="12" t="inlineStr"/>
      <c r="AP2596" s="13" t="inlineStr"/>
      <c r="AQ2596" s="13" t="inlineStr"/>
      <c r="AR2596" s="13" t="inlineStr"/>
      <c r="AS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7" t="n">
        <v>0</v>
      </c>
      <c r="AK2597" s="8" t="n">
        <v>-13</v>
      </c>
      <c r="AL2597" s="8" t="n">
        <v>20</v>
      </c>
      <c r="AM2597" s="11" t="inlineStr"/>
      <c r="AN2597" s="12" t="inlineStr"/>
      <c r="AO2597" s="12" t="inlineStr"/>
      <c r="AP2597" s="13" t="inlineStr"/>
      <c r="AQ2597" s="13" t="inlineStr"/>
      <c r="AR2597" s="13" t="inlineStr"/>
      <c r="AS2597" s="13" t="inlineStr"/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7" t="n">
        <v>1947</v>
      </c>
      <c r="AK2598" s="8" t="n">
        <v>-3667</v>
      </c>
      <c r="AL2598" s="8" t="n">
        <v>-3509</v>
      </c>
      <c r="AM2598" s="11" t="inlineStr"/>
      <c r="AN2598" s="12" t="inlineStr"/>
      <c r="AO2598" s="12" t="inlineStr"/>
      <c r="AP2598" s="13" t="inlineStr"/>
      <c r="AQ2598" s="13" t="inlineStr"/>
      <c r="AR2598" s="13" t="inlineStr"/>
      <c r="AS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7" t="n">
        <v>0</v>
      </c>
      <c r="AK2599" s="8" t="n">
        <v>-18</v>
      </c>
      <c r="AL2599" s="8" t="n">
        <v>47</v>
      </c>
      <c r="AM2599" s="11" t="inlineStr"/>
      <c r="AN2599" s="12" t="inlineStr"/>
      <c r="AO2599" s="12" t="inlineStr"/>
      <c r="AP2599" s="13" t="inlineStr"/>
      <c r="AQ2599" s="13" t="inlineStr"/>
      <c r="AR2599" s="13" t="inlineStr"/>
      <c r="AS2599" s="13" t="inlineStr"/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7" t="n">
        <v>0</v>
      </c>
      <c r="AK2600" s="8" t="n">
        <v>-10</v>
      </c>
      <c r="AL2600" s="8" t="n">
        <v>55</v>
      </c>
      <c r="AM2600" s="11" t="inlineStr"/>
      <c r="AN2600" s="12" t="inlineStr"/>
      <c r="AO2600" s="12" t="inlineStr"/>
      <c r="AP2600" s="13" t="inlineStr"/>
      <c r="AQ2600" s="13" t="inlineStr"/>
      <c r="AR2600" s="13" t="inlineStr"/>
      <c r="AS2600" s="13" t="inlineStr"/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7" t="n">
        <v>24876</v>
      </c>
      <c r="AK2601" s="8" t="n">
        <v>5868</v>
      </c>
      <c r="AL2601" s="8" t="n">
        <v>4958</v>
      </c>
      <c r="AM2601" s="11" t="inlineStr"/>
      <c r="AN2601" s="12" t="inlineStr"/>
      <c r="AO2601" s="12" t="inlineStr"/>
      <c r="AP2601" s="13" t="inlineStr"/>
      <c r="AQ2601" s="13" t="inlineStr"/>
      <c r="AR2601" s="13" t="inlineStr"/>
      <c r="AS2601" s="13" t="inlineStr"/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7" t="inlineStr"/>
      <c r="AK2602" s="8" t="n">
        <v>-29</v>
      </c>
      <c r="AL2602" s="8" t="n">
        <v>-146</v>
      </c>
      <c r="AM2602" s="11" t="inlineStr"/>
      <c r="AN2602" s="12" t="inlineStr"/>
      <c r="AO2602" s="12" t="inlineStr"/>
      <c r="AP2602" s="13" t="inlineStr"/>
      <c r="AQ2602" s="13" t="inlineStr"/>
      <c r="AR2602" s="13" t="inlineStr"/>
      <c r="AS2602" s="13" t="inlineStr"/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7" t="n">
        <v>8157</v>
      </c>
      <c r="AK2603" s="8" t="n">
        <v>1146</v>
      </c>
      <c r="AL2603" s="8" t="n">
        <v>917</v>
      </c>
      <c r="AM2603" s="11" t="inlineStr"/>
      <c r="AN2603" s="12" t="inlineStr"/>
      <c r="AO2603" s="12" t="inlineStr"/>
      <c r="AP2603" s="13" t="inlineStr"/>
      <c r="AQ2603" s="13" t="inlineStr"/>
      <c r="AR2603" s="13" t="inlineStr"/>
      <c r="AS2603" s="13" t="inlineStr"/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7" t="n">
        <v>84960</v>
      </c>
      <c r="AK2604" s="8" t="n">
        <v>608</v>
      </c>
      <c r="AL2604" s="8" t="n">
        <v>-1171</v>
      </c>
      <c r="AM2604" s="11" t="inlineStr"/>
      <c r="AN2604" s="12" t="inlineStr"/>
      <c r="AO2604" s="12" t="inlineStr"/>
      <c r="AP2604" s="13" t="inlineStr"/>
      <c r="AQ2604" s="13" t="inlineStr"/>
      <c r="AR2604" s="13" t="inlineStr"/>
      <c r="AS2604" s="13" t="inlineStr"/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7" t="n">
        <v>30273</v>
      </c>
      <c r="AK2605" s="8" t="n">
        <v>6274</v>
      </c>
      <c r="AL2605" s="8" t="n">
        <v>4733</v>
      </c>
      <c r="AM2605" s="11" t="inlineStr"/>
      <c r="AN2605" s="12" t="inlineStr"/>
      <c r="AO2605" s="12" t="inlineStr"/>
      <c r="AP2605" s="13" t="inlineStr"/>
      <c r="AQ2605" s="13" t="inlineStr"/>
      <c r="AR2605" s="13" t="inlineStr"/>
      <c r="AS2605" s="13" t="inlineStr"/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7" t="n">
        <v>1300</v>
      </c>
      <c r="AK2606" s="8" t="n">
        <v>1154</v>
      </c>
      <c r="AL2606" s="8" t="n">
        <v>1150</v>
      </c>
      <c r="AM2606" s="11" t="inlineStr"/>
      <c r="AN2606" s="12" t="inlineStr"/>
      <c r="AO2606" s="12" t="inlineStr"/>
      <c r="AP2606" s="13" t="inlineStr"/>
      <c r="AQ2606" s="13" t="inlineStr"/>
      <c r="AR2606" s="13" t="inlineStr"/>
      <c r="AS2606" s="13" t="inlineStr"/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7" t="n">
        <v>0</v>
      </c>
      <c r="AK2607" s="8" t="n">
        <v>-17</v>
      </c>
      <c r="AL2607" s="8" t="n">
        <v>40</v>
      </c>
      <c r="AM2607" s="11" t="inlineStr"/>
      <c r="AN2607" s="12" t="inlineStr"/>
      <c r="AO2607" s="12" t="inlineStr"/>
      <c r="AP2607" s="13" t="inlineStr"/>
      <c r="AQ2607" s="13" t="inlineStr"/>
      <c r="AR2607" s="13" t="inlineStr"/>
      <c r="AS2607" s="13" t="inlineStr"/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7" t="n">
        <v>0</v>
      </c>
      <c r="AK2608" s="8" t="n">
        <v>-38</v>
      </c>
      <c r="AL2608" s="8" t="n">
        <v>3</v>
      </c>
      <c r="AM2608" s="11" t="inlineStr"/>
      <c r="AN2608" s="12" t="inlineStr"/>
      <c r="AO2608" s="12" t="inlineStr"/>
      <c r="AP2608" s="13" t="inlineStr"/>
      <c r="AQ2608" s="13" t="inlineStr"/>
      <c r="AR2608" s="13" t="inlineStr"/>
      <c r="AS2608" s="13" t="inlineStr"/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7" t="n">
        <v>38008</v>
      </c>
      <c r="AK2609" s="8" t="n">
        <v>5587</v>
      </c>
      <c r="AL2609" s="8" t="n">
        <v>7128</v>
      </c>
      <c r="AM2609" s="11" t="inlineStr"/>
      <c r="AN2609" s="12" t="inlineStr"/>
      <c r="AO2609" s="12" t="inlineStr"/>
      <c r="AP2609" s="13" t="inlineStr"/>
      <c r="AQ2609" s="13" t="inlineStr"/>
      <c r="AR2609" s="13" t="inlineStr"/>
      <c r="AS2609" s="13" t="inlineStr"/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7" t="n">
        <v>0</v>
      </c>
      <c r="AK2610" s="8" t="n">
        <v>-5</v>
      </c>
      <c r="AL2610" s="8" t="n">
        <v>43</v>
      </c>
      <c r="AM2610" s="11" t="inlineStr"/>
      <c r="AN2610" s="12" t="inlineStr"/>
      <c r="AO2610" s="12" t="inlineStr"/>
      <c r="AP2610" s="13" t="inlineStr"/>
      <c r="AQ2610" s="13" t="inlineStr"/>
      <c r="AR2610" s="13" t="inlineStr"/>
      <c r="AS2610" s="13" t="inlineStr"/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7" t="n">
        <v>0</v>
      </c>
      <c r="AK2611" s="8" t="n">
        <v>-8</v>
      </c>
      <c r="AL2611" s="8" t="n">
        <v>27</v>
      </c>
      <c r="AM2611" s="11" t="inlineStr"/>
      <c r="AN2611" s="12" t="inlineStr"/>
      <c r="AO2611" s="12" t="inlineStr"/>
      <c r="AP2611" s="13" t="inlineStr"/>
      <c r="AQ2611" s="13" t="inlineStr"/>
      <c r="AR2611" s="13" t="inlineStr"/>
      <c r="AS2611" s="13" t="inlineStr"/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7" t="n">
        <v>9751</v>
      </c>
      <c r="AK2612" s="8" t="n">
        <v>2558</v>
      </c>
      <c r="AL2612" s="8" t="n">
        <v>2651</v>
      </c>
      <c r="AM2612" s="11" t="inlineStr"/>
      <c r="AN2612" s="12" t="inlineStr"/>
      <c r="AO2612" s="12" t="inlineStr"/>
      <c r="AP2612" s="13" t="inlineStr"/>
      <c r="AQ2612" s="13" t="inlineStr"/>
      <c r="AR2612" s="13" t="inlineStr"/>
      <c r="AS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7" t="n">
        <v>186861</v>
      </c>
      <c r="AK2613" s="8" t="n">
        <v>47241</v>
      </c>
      <c r="AL2613" s="8" t="n">
        <v>38060</v>
      </c>
      <c r="AM2613" s="11" t="inlineStr"/>
      <c r="AN2613" s="12" t="inlineStr"/>
      <c r="AO2613" s="12" t="inlineStr"/>
      <c r="AP2613" s="13" t="inlineStr"/>
      <c r="AQ2613" s="13" t="inlineStr"/>
      <c r="AR2613" s="13" t="inlineStr"/>
      <c r="AS2613" s="13" t="inlineStr"/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7" t="n">
        <v>58892</v>
      </c>
      <c r="AK2614" s="8" t="n">
        <v>8200</v>
      </c>
      <c r="AL2614" s="8" t="n">
        <v>9822</v>
      </c>
      <c r="AM2614" s="11" t="inlineStr"/>
      <c r="AN2614" s="12" t="inlineStr"/>
      <c r="AO2614" s="12" t="inlineStr"/>
      <c r="AP2614" s="13" t="inlineStr"/>
      <c r="AQ2614" s="13" t="inlineStr"/>
      <c r="AR2614" s="13" t="inlineStr"/>
      <c r="AS2614" s="13" t="inlineStr"/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7" t="inlineStr"/>
      <c r="AK2615" s="8" t="n">
        <v>-14</v>
      </c>
      <c r="AL2615" s="8" t="n">
        <v>13</v>
      </c>
      <c r="AM2615" s="11" t="inlineStr"/>
      <c r="AN2615" s="12" t="inlineStr"/>
      <c r="AO2615" s="12" t="inlineStr"/>
      <c r="AP2615" s="13" t="inlineStr"/>
      <c r="AQ2615" s="13" t="inlineStr"/>
      <c r="AR2615" s="13" t="inlineStr"/>
      <c r="AS2615" s="13" t="inlineStr"/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7" t="n">
        <v>46790</v>
      </c>
      <c r="AK2616" s="8" t="n">
        <v>11483</v>
      </c>
      <c r="AL2616" s="8" t="n">
        <v>9292</v>
      </c>
      <c r="AM2616" s="11" t="inlineStr"/>
      <c r="AN2616" s="12" t="inlineStr"/>
      <c r="AO2616" s="12" t="inlineStr"/>
      <c r="AP2616" s="13" t="inlineStr"/>
      <c r="AQ2616" s="13" t="inlineStr"/>
      <c r="AR2616" s="13" t="inlineStr"/>
      <c r="AS2616" s="13" t="inlineStr"/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7" t="n">
        <v>10143</v>
      </c>
      <c r="AK2617" s="8" t="n">
        <v>-1561</v>
      </c>
      <c r="AL2617" s="8" t="n">
        <v>-1443</v>
      </c>
      <c r="AM2617" s="11" t="inlineStr"/>
      <c r="AN2617" s="12" t="inlineStr"/>
      <c r="AO2617" s="12" t="inlineStr"/>
      <c r="AP2617" s="13" t="inlineStr"/>
      <c r="AQ2617" s="13" t="inlineStr"/>
      <c r="AR2617" s="13" t="inlineStr"/>
      <c r="AS2617" s="13" t="inlineStr"/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7" t="n">
        <v>93509</v>
      </c>
      <c r="AK2618" s="8" t="n">
        <v>12509</v>
      </c>
      <c r="AL2618" s="8" t="n">
        <v>9897</v>
      </c>
      <c r="AM2618" s="11" t="inlineStr"/>
      <c r="AN2618" s="12" t="inlineStr"/>
      <c r="AO2618" s="12" t="inlineStr"/>
      <c r="AP2618" s="13" t="inlineStr"/>
      <c r="AQ2618" s="13" t="inlineStr"/>
      <c r="AR2618" s="13" t="inlineStr"/>
      <c r="AS2618" s="13" t="inlineStr"/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7" t="n">
        <v>0</v>
      </c>
      <c r="AK2619" s="8" t="n">
        <v>-12</v>
      </c>
      <c r="AL2619" s="8" t="n">
        <v>31</v>
      </c>
      <c r="AM2619" s="11" t="inlineStr"/>
      <c r="AN2619" s="12" t="inlineStr"/>
      <c r="AO2619" s="12" t="inlineStr"/>
      <c r="AP2619" s="13" t="inlineStr"/>
      <c r="AQ2619" s="13" t="inlineStr"/>
      <c r="AR2619" s="13" t="inlineStr"/>
      <c r="AS2619" s="13" t="inlineStr"/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7" t="n">
        <v>3823</v>
      </c>
      <c r="AK2620" s="8" t="n">
        <v>-6191</v>
      </c>
      <c r="AL2620" s="8" t="n">
        <v>-6196</v>
      </c>
      <c r="AM2620" s="11" t="inlineStr"/>
      <c r="AN2620" s="12" t="inlineStr"/>
      <c r="AO2620" s="12" t="inlineStr"/>
      <c r="AP2620" s="13" t="inlineStr"/>
      <c r="AQ2620" s="13" t="inlineStr"/>
      <c r="AR2620" s="13" t="inlineStr"/>
      <c r="AS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7" t="inlineStr"/>
      <c r="AK2621" s="8" t="n">
        <v>-12</v>
      </c>
      <c r="AL2621" s="8" t="n">
        <v>45</v>
      </c>
      <c r="AM2621" s="11" t="inlineStr"/>
      <c r="AN2621" s="12" t="inlineStr"/>
      <c r="AO2621" s="12" t="inlineStr"/>
      <c r="AP2621" s="13" t="inlineStr"/>
      <c r="AQ2621" s="13" t="inlineStr"/>
      <c r="AR2621" s="13" t="inlineStr"/>
      <c r="AS2621" s="13" t="inlineStr"/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7" t="n">
        <v>3795</v>
      </c>
      <c r="AK2622" s="8" t="n">
        <v>-1475</v>
      </c>
      <c r="AL2622" s="8" t="n">
        <v>-1536</v>
      </c>
      <c r="AM2622" s="11" t="inlineStr"/>
      <c r="AN2622" s="12" t="inlineStr"/>
      <c r="AO2622" s="12" t="inlineStr"/>
      <c r="AP2622" s="13" t="inlineStr"/>
      <c r="AQ2622" s="13" t="inlineStr"/>
      <c r="AR2622" s="13" t="inlineStr"/>
      <c r="AS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7" t="n">
        <v>430921</v>
      </c>
      <c r="AK2623" s="8" t="n">
        <v>35763</v>
      </c>
      <c r="AL2623" s="8" t="n">
        <v>27112</v>
      </c>
      <c r="AM2623" s="11" t="inlineStr"/>
      <c r="AN2623" s="12" t="inlineStr"/>
      <c r="AO2623" s="12" t="inlineStr"/>
      <c r="AP2623" s="13" t="inlineStr"/>
      <c r="AQ2623" s="13" t="inlineStr"/>
      <c r="AR2623" s="13" t="inlineStr"/>
      <c r="AS2623" s="13" t="inlineStr"/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7" t="n">
        <v>25266</v>
      </c>
      <c r="AK2624" s="8" t="n">
        <v>2064</v>
      </c>
      <c r="AL2624" s="8" t="n">
        <v>1667</v>
      </c>
      <c r="AM2624" s="11" t="inlineStr"/>
      <c r="AN2624" s="12" t="inlineStr"/>
      <c r="AO2624" s="12" t="inlineStr"/>
      <c r="AP2624" s="13" t="inlineStr"/>
      <c r="AQ2624" s="13" t="inlineStr"/>
      <c r="AR2624" s="13" t="inlineStr"/>
      <c r="AS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7" t="n">
        <v>0</v>
      </c>
      <c r="AK2625" s="8" t="n">
        <v>-12</v>
      </c>
      <c r="AL2625" s="8" t="n">
        <v>21</v>
      </c>
      <c r="AM2625" s="11" t="inlineStr"/>
      <c r="AN2625" s="12" t="inlineStr"/>
      <c r="AO2625" s="12" t="inlineStr"/>
      <c r="AP2625" s="13" t="inlineStr"/>
      <c r="AQ2625" s="13" t="inlineStr"/>
      <c r="AR2625" s="13" t="inlineStr"/>
      <c r="AS2625" s="13" t="inlineStr"/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7" t="n">
        <v>0</v>
      </c>
      <c r="AK2626" s="8" t="n">
        <v>-11</v>
      </c>
      <c r="AL2626" s="8" t="n">
        <v>30</v>
      </c>
      <c r="AM2626" s="11" t="inlineStr"/>
      <c r="AN2626" s="12" t="inlineStr"/>
      <c r="AO2626" s="12" t="inlineStr"/>
      <c r="AP2626" s="13" t="inlineStr"/>
      <c r="AQ2626" s="13" t="inlineStr"/>
      <c r="AR2626" s="13" t="inlineStr"/>
      <c r="AS2626" s="13" t="inlineStr"/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7" t="n">
        <v>0</v>
      </c>
      <c r="AK2627" s="8" t="n">
        <v>-7</v>
      </c>
      <c r="AL2627" s="8" t="n">
        <v>33</v>
      </c>
      <c r="AM2627" s="11" t="inlineStr"/>
      <c r="AN2627" s="12" t="inlineStr"/>
      <c r="AO2627" s="12" t="inlineStr"/>
      <c r="AP2627" s="13" t="inlineStr"/>
      <c r="AQ2627" s="13" t="inlineStr"/>
      <c r="AR2627" s="13" t="inlineStr"/>
      <c r="AS2627" s="13" t="inlineStr"/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7" t="n">
        <v>2085</v>
      </c>
      <c r="AK2628" s="8" t="n">
        <v>-3163</v>
      </c>
      <c r="AL2628" s="8" t="n">
        <v>-3069</v>
      </c>
      <c r="AM2628" s="11" t="inlineStr"/>
      <c r="AN2628" s="12" t="inlineStr"/>
      <c r="AO2628" s="12" t="inlineStr"/>
      <c r="AP2628" s="13" t="inlineStr"/>
      <c r="AQ2628" s="13" t="inlineStr"/>
      <c r="AR2628" s="13" t="inlineStr"/>
      <c r="AS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7" t="n">
        <v>6670</v>
      </c>
      <c r="AK2629" s="8" t="n">
        <v>-3120</v>
      </c>
      <c r="AL2629" s="8" t="n">
        <v>-2437</v>
      </c>
      <c r="AM2629" s="11" t="inlineStr"/>
      <c r="AN2629" s="12" t="inlineStr"/>
      <c r="AO2629" s="12" t="inlineStr"/>
      <c r="AP2629" s="13" t="inlineStr"/>
      <c r="AQ2629" s="13" t="inlineStr"/>
      <c r="AR2629" s="13" t="inlineStr"/>
      <c r="AS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7" t="n">
        <v>0</v>
      </c>
      <c r="AK2630" s="8" t="n">
        <v>-6</v>
      </c>
      <c r="AL2630" s="8" t="n">
        <v>45</v>
      </c>
      <c r="AM2630" s="11" t="inlineStr"/>
      <c r="AN2630" s="12" t="inlineStr"/>
      <c r="AO2630" s="12" t="inlineStr"/>
      <c r="AP2630" s="13" t="inlineStr"/>
      <c r="AQ2630" s="13" t="inlineStr"/>
      <c r="AR2630" s="13" t="inlineStr"/>
      <c r="AS2630" s="13" t="inlineStr"/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7" t="n">
        <v>9876</v>
      </c>
      <c r="AK2631" s="8" t="n">
        <v>2701</v>
      </c>
      <c r="AL2631" s="8" t="n">
        <v>2529</v>
      </c>
      <c r="AM2631" s="11" t="inlineStr"/>
      <c r="AN2631" s="12" t="inlineStr"/>
      <c r="AO2631" s="12" t="inlineStr"/>
      <c r="AP2631" s="13" t="inlineStr"/>
      <c r="AQ2631" s="13" t="inlineStr"/>
      <c r="AR2631" s="13" t="inlineStr"/>
      <c r="AS2631" s="13" t="inlineStr"/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7" t="n">
        <v>0</v>
      </c>
      <c r="AK2632" s="8" t="n">
        <v>-12</v>
      </c>
      <c r="AL2632" s="8" t="n">
        <v>44</v>
      </c>
      <c r="AM2632" s="11" t="inlineStr"/>
      <c r="AN2632" s="12" t="inlineStr"/>
      <c r="AO2632" s="12" t="inlineStr"/>
      <c r="AP2632" s="13" t="inlineStr"/>
      <c r="AQ2632" s="13" t="inlineStr"/>
      <c r="AR2632" s="13" t="inlineStr"/>
      <c r="AS2632" s="13" t="inlineStr"/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7" t="n">
        <v>7644</v>
      </c>
      <c r="AK2633" s="8" t="n">
        <v>1900</v>
      </c>
      <c r="AL2633" s="8" t="n">
        <v>1857</v>
      </c>
      <c r="AM2633" s="11" t="inlineStr"/>
      <c r="AN2633" s="12" t="inlineStr"/>
      <c r="AO2633" s="12" t="inlineStr"/>
      <c r="AP2633" s="13" t="inlineStr"/>
      <c r="AQ2633" s="13" t="inlineStr"/>
      <c r="AR2633" s="13" t="inlineStr"/>
      <c r="AS2633" s="13" t="inlineStr"/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7" t="n">
        <v>0</v>
      </c>
      <c r="AK2634" s="8" t="n">
        <v>-5</v>
      </c>
      <c r="AL2634" s="8" t="n">
        <v>51</v>
      </c>
      <c r="AM2634" s="11" t="inlineStr"/>
      <c r="AN2634" s="12" t="inlineStr"/>
      <c r="AO2634" s="12" t="inlineStr"/>
      <c r="AP2634" s="13" t="inlineStr"/>
      <c r="AQ2634" s="13" t="inlineStr"/>
      <c r="AR2634" s="13" t="inlineStr"/>
      <c r="AS2634" s="13" t="inlineStr"/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7" t="n">
        <v>542289</v>
      </c>
      <c r="AK2635" s="8" t="n">
        <v>65578</v>
      </c>
      <c r="AL2635" s="8" t="n">
        <v>75295</v>
      </c>
      <c r="AM2635" s="11" t="inlineStr"/>
      <c r="AN2635" s="12" t="inlineStr"/>
      <c r="AO2635" s="12" t="inlineStr"/>
      <c r="AP2635" s="13" t="inlineStr"/>
      <c r="AQ2635" s="13" t="inlineStr"/>
      <c r="AR2635" s="13" t="inlineStr"/>
      <c r="AS2635" s="13" t="inlineStr"/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7" t="n">
        <v>46802</v>
      </c>
      <c r="AK2636" s="8" t="n">
        <v>-11038</v>
      </c>
      <c r="AL2636" s="8" t="n">
        <v>-12232</v>
      </c>
      <c r="AM2636" s="11" t="inlineStr"/>
      <c r="AN2636" s="12" t="inlineStr"/>
      <c r="AO2636" s="12" t="inlineStr"/>
      <c r="AP2636" s="13" t="inlineStr"/>
      <c r="AQ2636" s="13" t="inlineStr"/>
      <c r="AR2636" s="13" t="inlineStr"/>
      <c r="AS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7" t="n">
        <v>12507</v>
      </c>
      <c r="AK2637" s="8" t="n">
        <v>-12190</v>
      </c>
      <c r="AL2637" s="8" t="n">
        <v>-11028</v>
      </c>
      <c r="AM2637" s="11" t="inlineStr"/>
      <c r="AN2637" s="12" t="inlineStr"/>
      <c r="AO2637" s="12" t="inlineStr"/>
      <c r="AP2637" s="13" t="inlineStr"/>
      <c r="AQ2637" s="13" t="inlineStr"/>
      <c r="AR2637" s="13" t="inlineStr"/>
      <c r="AS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7" t="n">
        <v>0</v>
      </c>
      <c r="AK2638" s="8" t="n">
        <v>-13</v>
      </c>
      <c r="AL2638" s="8" t="n">
        <v>45</v>
      </c>
      <c r="AM2638" s="11" t="inlineStr"/>
      <c r="AN2638" s="12" t="inlineStr"/>
      <c r="AO2638" s="12" t="inlineStr"/>
      <c r="AP2638" s="13" t="inlineStr"/>
      <c r="AQ2638" s="13" t="inlineStr"/>
      <c r="AR2638" s="13" t="inlineStr"/>
      <c r="AS2638" s="13" t="inlineStr"/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7" t="inlineStr"/>
      <c r="AK2639" s="8" t="n">
        <v>-2678</v>
      </c>
      <c r="AL2639" s="8" t="n">
        <v>-2122</v>
      </c>
      <c r="AM2639" s="11" t="inlineStr"/>
      <c r="AN2639" s="12" t="inlineStr"/>
      <c r="AO2639" s="12" t="inlineStr"/>
      <c r="AP2639" s="13" t="inlineStr"/>
      <c r="AQ2639" s="13" t="inlineStr"/>
      <c r="AR2639" s="13" t="inlineStr"/>
      <c r="AS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7" t="n">
        <v>15538</v>
      </c>
      <c r="AK2640" s="8" t="n">
        <v>2955</v>
      </c>
      <c r="AL2640" s="8" t="n">
        <v>2284</v>
      </c>
      <c r="AM2640" s="11" t="inlineStr"/>
      <c r="AN2640" s="12" t="inlineStr"/>
      <c r="AO2640" s="12" t="inlineStr"/>
      <c r="AP2640" s="13" t="inlineStr"/>
      <c r="AQ2640" s="13" t="inlineStr"/>
      <c r="AR2640" s="13" t="inlineStr"/>
      <c r="AS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7" t="n">
        <v>0</v>
      </c>
      <c r="AK2641" s="8" t="n">
        <v>-8</v>
      </c>
      <c r="AL2641" s="8" t="n">
        <v>41</v>
      </c>
      <c r="AM2641" s="11" t="inlineStr"/>
      <c r="AN2641" s="12" t="inlineStr"/>
      <c r="AO2641" s="12" t="inlineStr"/>
      <c r="AP2641" s="13" t="inlineStr"/>
      <c r="AQ2641" s="13" t="inlineStr"/>
      <c r="AR2641" s="13" t="inlineStr"/>
      <c r="AS2641" s="13" t="inlineStr"/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7" t="n">
        <v>3473</v>
      </c>
      <c r="AK2642" s="8" t="n">
        <v>-1869</v>
      </c>
      <c r="AL2642" s="8" t="n">
        <v>-2082</v>
      </c>
      <c r="AM2642" s="11" t="inlineStr"/>
      <c r="AN2642" s="12" t="inlineStr"/>
      <c r="AO2642" s="12" t="inlineStr"/>
      <c r="AP2642" s="13" t="inlineStr"/>
      <c r="AQ2642" s="13" t="inlineStr"/>
      <c r="AR2642" s="13" t="inlineStr"/>
      <c r="AS2642" s="13" t="inlineStr"/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7" t="inlineStr"/>
      <c r="AK2643" s="8" t="n">
        <v>-10</v>
      </c>
      <c r="AL2643" s="8" t="n">
        <v>60</v>
      </c>
      <c r="AM2643" s="11" t="inlineStr"/>
      <c r="AN2643" s="12" t="inlineStr"/>
      <c r="AO2643" s="12" t="inlineStr"/>
      <c r="AP2643" s="13" t="inlineStr"/>
      <c r="AQ2643" s="13" t="inlineStr"/>
      <c r="AR2643" s="13" t="inlineStr"/>
      <c r="AS2643" s="13" t="inlineStr"/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7" t="inlineStr"/>
      <c r="AK2644" s="8" t="n">
        <v>-56</v>
      </c>
      <c r="AL2644" s="8" t="n">
        <v>-73</v>
      </c>
      <c r="AM2644" s="11" t="inlineStr"/>
      <c r="AN2644" s="12" t="inlineStr"/>
      <c r="AO2644" s="12" t="inlineStr"/>
      <c r="AP2644" s="13" t="inlineStr"/>
      <c r="AQ2644" s="13" t="inlineStr"/>
      <c r="AR2644" s="13" t="inlineStr"/>
      <c r="AS2644" s="13" t="inlineStr"/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7" t="n">
        <v>158961</v>
      </c>
      <c r="AK2645" s="8" t="n">
        <v>29360</v>
      </c>
      <c r="AL2645" s="8" t="n">
        <v>19222</v>
      </c>
      <c r="AM2645" s="11" t="inlineStr"/>
      <c r="AN2645" s="12" t="inlineStr"/>
      <c r="AO2645" s="12" t="inlineStr"/>
      <c r="AP2645" s="13" t="inlineStr"/>
      <c r="AQ2645" s="13" t="inlineStr"/>
      <c r="AR2645" s="13" t="inlineStr"/>
      <c r="AS2645" s="13" t="inlineStr"/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7" t="n">
        <v>25</v>
      </c>
      <c r="AK2646" s="8" t="n">
        <v>2</v>
      </c>
      <c r="AL2646" s="8" t="n">
        <v>1</v>
      </c>
      <c r="AM2646" s="11" t="inlineStr"/>
      <c r="AN2646" s="12" t="inlineStr"/>
      <c r="AO2646" s="12" t="inlineStr"/>
      <c r="AP2646" s="13" t="inlineStr"/>
      <c r="AQ2646" s="13" t="inlineStr"/>
      <c r="AR2646" s="13" t="inlineStr"/>
      <c r="AS2646" s="13" t="inlineStr"/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7" t="n">
        <v>2</v>
      </c>
      <c r="AK2647" s="8" t="n">
        <v>-1</v>
      </c>
      <c r="AL2647" s="8" t="n">
        <v>-1</v>
      </c>
      <c r="AM2647" s="11" t="inlineStr"/>
      <c r="AN2647" s="12" t="inlineStr"/>
      <c r="AO2647" s="12" t="inlineStr"/>
      <c r="AP2647" s="13" t="inlineStr"/>
      <c r="AQ2647" s="13" t="inlineStr"/>
      <c r="AR2647" s="13" t="inlineStr"/>
      <c r="AS2647" s="13" t="inlineStr"/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7" t="n">
        <v>74</v>
      </c>
      <c r="AK2648" s="8" t="n">
        <v>12</v>
      </c>
      <c r="AL2648" s="8" t="n">
        <v>11</v>
      </c>
      <c r="AM2648" s="11" t="inlineStr"/>
      <c r="AN2648" s="12" t="inlineStr"/>
      <c r="AO2648" s="12" t="inlineStr"/>
      <c r="AP2648" s="13" t="inlineStr"/>
      <c r="AQ2648" s="13" t="inlineStr"/>
      <c r="AR2648" s="13" t="inlineStr"/>
      <c r="AS2648" s="13" t="inlineStr"/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2026Q3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7" t="inlineStr"/>
      <c r="AK2649" s="8" t="inlineStr"/>
      <c r="AL2649" s="8" t="inlineStr"/>
      <c r="AM2649" s="11" t="n">
        <v>37</v>
      </c>
      <c r="AN2649" s="12" t="n">
        <v>-12</v>
      </c>
      <c r="AO2649" s="12" t="n">
        <v>-13</v>
      </c>
      <c r="AP2649" s="13" t="inlineStr"/>
      <c r="AQ2649" s="13" t="n">
        <v>-30.2</v>
      </c>
      <c r="AR2649" s="13" t="inlineStr"/>
      <c r="AS2649" s="13" t="n">
        <v>-50</v>
      </c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7" t="n">
        <v>73</v>
      </c>
      <c r="AK2650" s="8" t="n">
        <v>12</v>
      </c>
      <c r="AL2650" s="8" t="n">
        <v>5</v>
      </c>
      <c r="AM2650" s="11" t="inlineStr"/>
      <c r="AN2650" s="12" t="inlineStr"/>
      <c r="AO2650" s="12" t="inlineStr"/>
      <c r="AP2650" s="13" t="inlineStr"/>
      <c r="AQ2650" s="13" t="inlineStr"/>
      <c r="AR2650" s="13" t="inlineStr"/>
      <c r="AS2650" s="13" t="inlineStr"/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7" t="n">
        <v>90</v>
      </c>
      <c r="AK2651" s="8" t="n">
        <v>12</v>
      </c>
      <c r="AL2651" s="8" t="n">
        <v>8</v>
      </c>
      <c r="AM2651" s="11" t="inlineStr"/>
      <c r="AN2651" s="12" t="inlineStr"/>
      <c r="AO2651" s="12" t="inlineStr"/>
      <c r="AP2651" s="13" t="inlineStr"/>
      <c r="AQ2651" s="13" t="inlineStr"/>
      <c r="AR2651" s="13" t="inlineStr"/>
      <c r="AS2651" s="13" t="inlineStr"/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7" t="n">
        <v>1083</v>
      </c>
      <c r="AK2652" s="8" t="n">
        <v>27</v>
      </c>
      <c r="AL2652" s="8" t="n">
        <v>34</v>
      </c>
      <c r="AM2652" s="11" t="inlineStr"/>
      <c r="AN2652" s="12" t="inlineStr"/>
      <c r="AO2652" s="12" t="inlineStr"/>
      <c r="AP2652" s="13" t="inlineStr"/>
      <c r="AQ2652" s="13" t="inlineStr"/>
      <c r="AR2652" s="13" t="inlineStr"/>
      <c r="AS2652" s="13" t="inlineStr"/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7" t="n">
        <v>134</v>
      </c>
      <c r="AK2653" s="8" t="n">
        <v>0</v>
      </c>
      <c r="AL2653" s="8" t="n">
        <v>8</v>
      </c>
      <c r="AM2653" s="11" t="inlineStr"/>
      <c r="AN2653" s="12" t="inlineStr"/>
      <c r="AO2653" s="12" t="inlineStr"/>
      <c r="AP2653" s="13" t="inlineStr"/>
      <c r="AQ2653" s="13" t="inlineStr"/>
      <c r="AR2653" s="13" t="inlineStr"/>
      <c r="AS2653" s="13" t="inlineStr"/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2026Q3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7" t="inlineStr"/>
      <c r="AK2654" s="8" t="inlineStr"/>
      <c r="AL2654" s="8" t="inlineStr"/>
      <c r="AM2654" s="11" t="n">
        <v>1367</v>
      </c>
      <c r="AN2654" s="12" t="n">
        <v>205</v>
      </c>
      <c r="AO2654" s="12" t="n">
        <v>140</v>
      </c>
      <c r="AP2654" s="13" t="inlineStr"/>
      <c r="AQ2654" s="13" t="n">
        <v>27.8</v>
      </c>
      <c r="AR2654" s="13" t="inlineStr"/>
      <c r="AS2654" s="13" t="n">
        <v>41.4</v>
      </c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7" t="n">
        <v>365</v>
      </c>
      <c r="AK2655" s="8" t="n">
        <v>65</v>
      </c>
      <c r="AL2655" s="8" t="n">
        <v>65</v>
      </c>
      <c r="AM2655" s="11" t="inlineStr"/>
      <c r="AN2655" s="12" t="inlineStr"/>
      <c r="AO2655" s="12" t="inlineStr"/>
      <c r="AP2655" s="13" t="inlineStr"/>
      <c r="AQ2655" s="13" t="inlineStr"/>
      <c r="AR2655" s="13" t="inlineStr"/>
      <c r="AS2655" s="13" t="inlineStr"/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7" t="n">
        <v>47</v>
      </c>
      <c r="AK2656" s="8" t="n">
        <v>3</v>
      </c>
      <c r="AL2656" s="8" t="n">
        <v>1</v>
      </c>
      <c r="AM2656" s="11" t="inlineStr"/>
      <c r="AN2656" s="12" t="inlineStr"/>
      <c r="AO2656" s="12" t="inlineStr"/>
      <c r="AP2656" s="13" t="inlineStr"/>
      <c r="AQ2656" s="13" t="inlineStr"/>
      <c r="AR2656" s="13" t="inlineStr"/>
      <c r="AS2656" s="13" t="inlineStr"/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7" t="n">
        <v>218</v>
      </c>
      <c r="AK2657" s="8" t="n">
        <v>27</v>
      </c>
      <c r="AL2657" s="8" t="n">
        <v>14</v>
      </c>
      <c r="AM2657" s="11" t="inlineStr"/>
      <c r="AN2657" s="12" t="inlineStr"/>
      <c r="AO2657" s="12" t="inlineStr"/>
      <c r="AP2657" s="13" t="inlineStr"/>
      <c r="AQ2657" s="13" t="inlineStr"/>
      <c r="AR2657" s="13" t="inlineStr"/>
      <c r="AS2657" s="13" t="inlineStr"/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7" t="n">
        <v>6</v>
      </c>
      <c r="AK2658" s="8" t="n">
        <v>-16</v>
      </c>
      <c r="AL2658" s="8" t="n">
        <v>-26</v>
      </c>
      <c r="AM2658" s="11" t="inlineStr"/>
      <c r="AN2658" s="12" t="inlineStr"/>
      <c r="AO2658" s="12" t="inlineStr"/>
      <c r="AP2658" s="13" t="inlineStr"/>
      <c r="AQ2658" s="13" t="inlineStr"/>
      <c r="AR2658" s="13" t="inlineStr"/>
      <c r="AS2658" s="13" t="inlineStr"/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7" t="n">
        <v>35</v>
      </c>
      <c r="AK2659" s="8" t="n">
        <v>6</v>
      </c>
      <c r="AL2659" s="8" t="n">
        <v>4</v>
      </c>
      <c r="AM2659" s="11" t="inlineStr"/>
      <c r="AN2659" s="12" t="inlineStr"/>
      <c r="AO2659" s="12" t="inlineStr"/>
      <c r="AP2659" s="13" t="inlineStr"/>
      <c r="AQ2659" s="13" t="inlineStr"/>
      <c r="AR2659" s="13" t="inlineStr"/>
      <c r="AS2659" s="13" t="inlineStr"/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7" t="n">
        <v>1</v>
      </c>
      <c r="AK2660" s="8" t="n">
        <v>-5</v>
      </c>
      <c r="AL2660" s="8" t="n">
        <v>33</v>
      </c>
      <c r="AM2660" s="11" t="inlineStr"/>
      <c r="AN2660" s="12" t="inlineStr"/>
      <c r="AO2660" s="12" t="inlineStr"/>
      <c r="AP2660" s="13" t="inlineStr"/>
      <c r="AQ2660" s="13" t="inlineStr"/>
      <c r="AR2660" s="13" t="inlineStr"/>
      <c r="AS2660" s="13" t="inlineStr"/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7" t="inlineStr"/>
      <c r="AK2661" s="8" t="inlineStr"/>
      <c r="AL2661" s="8" t="inlineStr"/>
      <c r="AM2661" s="11" t="inlineStr"/>
      <c r="AN2661" s="12" t="inlineStr"/>
      <c r="AO2661" s="12" t="inlineStr"/>
      <c r="AP2661" s="13" t="inlineStr"/>
      <c r="AQ2661" s="13" t="inlineStr"/>
      <c r="AR2661" s="13" t="inlineStr"/>
      <c r="AS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7" t="n">
        <v>15</v>
      </c>
      <c r="AK2662" s="8" t="n">
        <v>3</v>
      </c>
      <c r="AL2662" s="8" t="n">
        <v>3</v>
      </c>
      <c r="AM2662" s="11" t="inlineStr"/>
      <c r="AN2662" s="12" t="inlineStr"/>
      <c r="AO2662" s="12" t="inlineStr"/>
      <c r="AP2662" s="13" t="inlineStr"/>
      <c r="AQ2662" s="13" t="inlineStr"/>
      <c r="AR2662" s="13" t="inlineStr"/>
      <c r="AS2662" s="13" t="inlineStr"/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7" t="n">
        <v>8</v>
      </c>
      <c r="AK2663" s="8" t="n">
        <v>0</v>
      </c>
      <c r="AL2663" s="8" t="n">
        <v>2</v>
      </c>
      <c r="AM2663" s="11" t="inlineStr"/>
      <c r="AN2663" s="12" t="inlineStr"/>
      <c r="AO2663" s="12" t="inlineStr"/>
      <c r="AP2663" s="13" t="inlineStr"/>
      <c r="AQ2663" s="13" t="inlineStr"/>
      <c r="AR2663" s="13" t="inlineStr"/>
      <c r="AS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2026Q3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7" t="inlineStr"/>
      <c r="AK2664" s="8" t="inlineStr"/>
      <c r="AL2664" s="8" t="inlineStr"/>
      <c r="AM2664" s="11" t="n">
        <v>0</v>
      </c>
      <c r="AN2664" s="12" t="n">
        <v>-18</v>
      </c>
      <c r="AO2664" s="12" t="n">
        <v>-21</v>
      </c>
      <c r="AP2664" s="13" t="inlineStr"/>
      <c r="AQ2664" s="13" t="inlineStr"/>
      <c r="AR2664" s="13" t="inlineStr"/>
      <c r="AS2664" s="13" t="n">
        <v>-63.6</v>
      </c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7" t="n">
        <v>1</v>
      </c>
      <c r="AK2665" s="8" t="n">
        <v>-3</v>
      </c>
      <c r="AL2665" s="8" t="n">
        <v>0</v>
      </c>
      <c r="AM2665" s="11" t="inlineStr"/>
      <c r="AN2665" s="12" t="inlineStr"/>
      <c r="AO2665" s="12" t="inlineStr"/>
      <c r="AP2665" s="13" t="inlineStr"/>
      <c r="AQ2665" s="13" t="inlineStr"/>
      <c r="AR2665" s="13" t="inlineStr"/>
      <c r="AS2665" s="13" t="inlineStr"/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2026Q3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7" t="inlineStr"/>
      <c r="AK2666" s="8" t="inlineStr"/>
      <c r="AL2666" s="8" t="inlineStr"/>
      <c r="AM2666" s="11" t="n">
        <v>1</v>
      </c>
      <c r="AN2666" s="12" t="n">
        <v>-1</v>
      </c>
      <c r="AO2666" s="12" t="n">
        <v>-2</v>
      </c>
      <c r="AP2666" s="13" t="inlineStr"/>
      <c r="AQ2666" s="13" t="inlineStr"/>
      <c r="AR2666" s="13" t="inlineStr"/>
      <c r="AS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7" t="inlineStr"/>
      <c r="AK2667" s="8" t="n">
        <v>0</v>
      </c>
      <c r="AL2667" s="8" t="n">
        <v>0</v>
      </c>
      <c r="AM2667" s="11" t="inlineStr"/>
      <c r="AN2667" s="12" t="inlineStr"/>
      <c r="AO2667" s="12" t="inlineStr"/>
      <c r="AP2667" s="13" t="inlineStr"/>
      <c r="AQ2667" s="13" t="inlineStr"/>
      <c r="AR2667" s="13" t="inlineStr"/>
      <c r="AS2667" s="13" t="inlineStr"/>
    </row>
  </sheetData>
  <autoFilter ref="A1:AS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124633734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20261014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HYPERLINK("https://dart.fss.or.kr/dsaf001/main.do?rcpNo=20261014000290",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n">
        <v>16357347200</v>
      </c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20261019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HYPERLINK("https://dart.fss.or.kr/dsaf001/main.do?rcpNo=20261019000180",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594101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20261013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HYPERLINK("https://dart.fss.or.kr/dsaf001/main.do?rcpNo=20261013000145",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20261014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HYPERLINK("https://dart.fss.or.kr/dsaf001/main.do?rcpNo=20261014000320",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20261012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HYPERLINK("https://dart.fss.or.kr/dsaf001/main.do?rcpNo=20261012000291",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n">
        <v>414275</v>
      </c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20261022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HYPERLINK("https://dart.fss.or.kr/dsaf001/main.do?rcpNo=20261022000368",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20261008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HYPERLINK("https://dart.fss.or.kr/dsaf001/main.do?rcpNo=20261008000328",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n">
        <v>19351</v>
      </c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n">
        <v>295426</v>
      </c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n">
        <v>77650</v>
      </c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n">
        <v>77857</v>
      </c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20261013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HYPERLINK("https://dart.fss.or.kr/dsaf001/main.do?rcpNo=20261013000142",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20261012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HYPERLINK("https://dart.fss.or.kr/dsaf001/main.do?rcpNo=20261012000086",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20261019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HYPERLINK("https://dart.fss.or.kr/dsaf001/main.do?rcpNo=20261019000256",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덕산넵코어스</t>
        </is>
      </c>
      <c r="B693" s="6" t="inlineStr">
        <is>
          <t>266690</t>
        </is>
      </c>
      <c r="C693" s="6" t="inlineStr">
        <is>
          <t>2026Q2</t>
        </is>
      </c>
      <c r="D693" s="6" t="inlineStr">
        <is>
          <t>20260813</t>
        </is>
      </c>
      <c r="E693" s="16" t="n">
        <v>794</v>
      </c>
      <c r="F693" s="16" t="n">
        <v>237</v>
      </c>
      <c r="G693" s="16" t="n">
        <v>557</v>
      </c>
      <c r="H693" s="6" t="inlineStr">
        <is>
          <t>억원</t>
        </is>
      </c>
      <c r="I693" s="17" t="n">
        <v>-2.1</v>
      </c>
      <c r="J693" s="18" t="inlineStr"/>
      <c r="K693" s="19" t="inlineStr"/>
      <c r="L693" s="18" t="inlineStr"/>
      <c r="M693" s="19" t="inlineStr"/>
      <c r="N693" s="18" t="inlineStr"/>
      <c r="O693" s="19" t="inlineStr"/>
      <c r="P693" s="18" t="n">
        <v>654</v>
      </c>
      <c r="Q693" s="19" t="n">
        <v>649</v>
      </c>
      <c r="R693" s="18" t="n">
        <v>569</v>
      </c>
      <c r="S693" s="20" t="n">
        <v>557</v>
      </c>
      <c r="T693" s="6" t="n">
        <v>1</v>
      </c>
      <c r="U693" s="5" t="inlineStr">
        <is>
          <t>-</t>
        </is>
      </c>
      <c r="V693" s="21">
        <f>HYPERLINK("https://dart.fss.or.kr/dsaf001/main.do?rcpNo=20260813000889", "공시열람")</f>
        <v/>
      </c>
    </row>
    <row r="694">
      <c r="A694" s="5" t="inlineStr">
        <is>
          <t>HD현대</t>
        </is>
      </c>
      <c r="B694" s="6" t="inlineStr">
        <is>
          <t>267250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2243852713</v>
      </c>
      <c r="H694" s="6" t="inlineStr">
        <is>
          <t>천원,천USD,천JPY</t>
        </is>
      </c>
      <c r="I694" s="17" t="n">
        <v>2418.6</v>
      </c>
      <c r="J694" s="18" t="n">
        <v>77179596</v>
      </c>
      <c r="K694" s="19" t="n">
        <v>78510928</v>
      </c>
      <c r="L694" s="18" t="n">
        <v>77076074</v>
      </c>
      <c r="M694" s="19" t="n">
        <v>83508459</v>
      </c>
      <c r="N694" s="18" t="n">
        <v>84046817</v>
      </c>
      <c r="O694" s="19" t="n">
        <v>81442477</v>
      </c>
      <c r="P694" s="18" t="n">
        <v>79890507</v>
      </c>
      <c r="Q694" s="19" t="n">
        <v>82236880</v>
      </c>
      <c r="R694" s="18" t="n">
        <v>89093027</v>
      </c>
      <c r="S694" s="20" t="n">
        <v>2243852713</v>
      </c>
      <c r="T694" s="6" t="n">
        <v>3</v>
      </c>
      <c r="U694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4" s="21">
        <f>HYPERLINK("https://dart.fss.or.kr/dsaf001/main.do?rcpNo=20260814003420", "공시열람")</f>
        <v/>
      </c>
    </row>
    <row r="695">
      <c r="A695" s="5" t="inlineStr">
        <is>
          <t>HD현대일렉트릭</t>
        </is>
      </c>
      <c r="B695" s="6" t="inlineStr">
        <is>
          <t>267260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14488813</v>
      </c>
      <c r="F695" s="16" t="n">
        <v>2178313</v>
      </c>
      <c r="G695" s="16" t="n">
        <v>12310500</v>
      </c>
      <c r="H695" s="6" t="inlineStr">
        <is>
          <t>백만원</t>
        </is>
      </c>
      <c r="I695" s="17" t="n">
        <v>7.6</v>
      </c>
      <c r="J695" s="18" t="n">
        <v>6497280</v>
      </c>
      <c r="K695" s="19" t="n">
        <v>7090200</v>
      </c>
      <c r="L695" s="18" t="n">
        <v>7180670</v>
      </c>
      <c r="M695" s="19" t="n">
        <v>7646580</v>
      </c>
      <c r="N695" s="18" t="n">
        <v>8493900</v>
      </c>
      <c r="O695" s="19" t="n">
        <v>8711500</v>
      </c>
      <c r="P695" s="18" t="n">
        <v>9566710</v>
      </c>
      <c r="Q695" s="19" t="n">
        <v>9423400</v>
      </c>
      <c r="R695" s="18" t="n">
        <v>11437600</v>
      </c>
      <c r="S695" s="20" t="n">
        <v>12310500</v>
      </c>
      <c r="T695" s="6" t="n">
        <v>1</v>
      </c>
      <c r="U695" s="5" t="inlineStr">
        <is>
          <t>전기전자부문 / 변압기, 고압차단기회전기, 저압전동기배</t>
        </is>
      </c>
      <c r="V695" s="21">
        <f>HYPERLINK("https://dart.fss.or.kr/dsaf001/main.do?rcpNo=20260814003228", "공시열람")</f>
        <v/>
      </c>
    </row>
    <row r="696">
      <c r="A696" s="5" t="inlineStr">
        <is>
          <t>아시아나IDT</t>
        </is>
      </c>
      <c r="B696" s="6" t="inlineStr">
        <is>
          <t>267850</t>
        </is>
      </c>
      <c r="C696" s="6" t="inlineStr">
        <is>
          <t>2026Q2</t>
        </is>
      </c>
      <c r="D696" s="6" t="inlineStr">
        <is>
          <t>20260812</t>
        </is>
      </c>
      <c r="E696" s="16" t="n">
        <v>2526</v>
      </c>
      <c r="F696" s="16" t="n">
        <v>1418</v>
      </c>
      <c r="G696" s="16" t="n">
        <v>1108</v>
      </c>
      <c r="H696" s="6" t="inlineStr">
        <is>
          <t>억원</t>
        </is>
      </c>
      <c r="I696" s="17" t="n">
        <v>-19.1</v>
      </c>
      <c r="J696" s="18" t="n">
        <v>479</v>
      </c>
      <c r="K696" s="19" t="n">
        <v>502</v>
      </c>
      <c r="L696" s="18" t="n">
        <v>441</v>
      </c>
      <c r="M696" s="19" t="n">
        <v>551</v>
      </c>
      <c r="N696" s="18" t="n">
        <v>446</v>
      </c>
      <c r="O696" s="19" t="n">
        <v>324</v>
      </c>
      <c r="P696" s="18" t="n">
        <v>634</v>
      </c>
      <c r="Q696" s="19" t="n">
        <v>768</v>
      </c>
      <c r="R696" s="18" t="n">
        <v>1370</v>
      </c>
      <c r="S696" s="20" t="n">
        <v>1108</v>
      </c>
      <c r="T696" s="6" t="n">
        <v>2</v>
      </c>
      <c r="U696" s="5" t="inlineStr">
        <is>
          <t>운영유지보수 / - | 컨설팅/SI 등 / -</t>
        </is>
      </c>
      <c r="V696" s="21">
        <f>HYPERLINK("https://dart.fss.or.kr/dsaf001/main.do?rcpNo=20260812000800", "공시열람")</f>
        <v/>
      </c>
    </row>
    <row r="697">
      <c r="A697" s="5" t="inlineStr">
        <is>
          <t>에스알바이오텍</t>
        </is>
      </c>
      <c r="B697" s="6" t="inlineStr">
        <is>
          <t>270210</t>
        </is>
      </c>
      <c r="C697" s="6" t="inlineStr">
        <is>
          <t>2024Q4</t>
        </is>
      </c>
      <c r="D697" s="6" t="inlineStr">
        <is>
          <t>20250319</t>
        </is>
      </c>
      <c r="E697" s="16" t="n">
        <v>8125274</v>
      </c>
      <c r="F697" s="16" t="inlineStr"/>
      <c r="G697" s="16" t="n">
        <v>3735917</v>
      </c>
      <c r="H697" s="6" t="inlineStr"/>
      <c r="I697" s="17" t="n">
        <v>80.59999999999999</v>
      </c>
      <c r="J697" s="18" t="inlineStr"/>
      <c r="K697" s="19" t="inlineStr"/>
      <c r="L697" s="18" t="inlineStr"/>
      <c r="M697" s="19" t="n">
        <v>3735917</v>
      </c>
      <c r="N697" s="18" t="inlineStr"/>
      <c r="O697" s="19" t="inlineStr"/>
      <c r="P697" s="18" t="inlineStr"/>
      <c r="Q697" s="19" t="inlineStr"/>
      <c r="R697" s="18" t="inlineStr"/>
      <c r="S697" s="20" t="inlineStr"/>
      <c r="T697" s="6" t="n">
        <v>6</v>
      </c>
      <c r="U697" s="5" t="inlineStr">
        <is>
          <t>주식회사 스킨천사 / 제품 / 5월~12월 | (주)제이크리컴퍼니 / 제품 / 12월 | 엔비엘케이 / 제품 / 12월</t>
        </is>
      </c>
      <c r="V697" s="21">
        <f>HYPERLINK("https://dart.fss.or.kr/dsaf001/main.do?rcpNo=20250319000677", "공시열람")</f>
        <v/>
      </c>
    </row>
    <row r="698">
      <c r="A698" s="5" t="inlineStr">
        <is>
          <t>에브리봇</t>
        </is>
      </c>
      <c r="B698" s="6" t="inlineStr">
        <is>
          <t>270660</t>
        </is>
      </c>
      <c r="C698" s="6" t="inlineStr">
        <is>
          <t>2025Q3</t>
        </is>
      </c>
      <c r="D698" s="6" t="inlineStr">
        <is>
          <t>20251114</t>
        </is>
      </c>
      <c r="E698" s="16" t="n">
        <v>2066000000</v>
      </c>
      <c r="F698" s="16" t="n">
        <v>2066000000</v>
      </c>
      <c r="G698" s="16" t="n">
        <v>0</v>
      </c>
      <c r="H698" s="6" t="inlineStr">
        <is>
          <t>원</t>
        </is>
      </c>
      <c r="I698" s="17" t="inlineStr"/>
      <c r="J698" s="18" t="inlineStr"/>
      <c r="K698" s="19" t="inlineStr"/>
      <c r="L698" s="18" t="inlineStr"/>
      <c r="M698" s="19" t="inlineStr"/>
      <c r="N698" s="18" t="n">
        <v>1850000000</v>
      </c>
      <c r="O698" s="19" t="n">
        <v>0</v>
      </c>
      <c r="P698" s="18" t="n">
        <v>0</v>
      </c>
      <c r="Q698" s="19" t="inlineStr"/>
      <c r="R698" s="18" t="inlineStr"/>
      <c r="S698" s="20" t="inlineStr"/>
      <c r="T698" s="6" t="n">
        <v>2</v>
      </c>
      <c r="U698" s="5" t="inlineStr">
        <is>
          <t>AI 자율주행 공기청정기 개발용역 / 2025.3.31 | S/W 추가 개발용역 / 2025.7.24 / 2025</t>
        </is>
      </c>
      <c r="V698" s="21">
        <f>HYPERLINK("https://dart.fss.or.kr/dsaf001/main.do?rcpNo=20251114000204", "공시열람")</f>
        <v/>
      </c>
    </row>
    <row r="699">
      <c r="A699" s="5" t="inlineStr">
        <is>
          <t>팸텍</t>
        </is>
      </c>
      <c r="B699" s="6" t="inlineStr">
        <is>
          <t>271830</t>
        </is>
      </c>
      <c r="C699" s="6" t="inlineStr">
        <is>
          <t>2026Q2</t>
        </is>
      </c>
      <c r="D699" s="6" t="inlineStr">
        <is>
          <t>20260814</t>
        </is>
      </c>
      <c r="E699" s="16" t="n">
        <v>43295</v>
      </c>
      <c r="F699" s="16" t="n">
        <v>12569</v>
      </c>
      <c r="G699" s="16" t="n">
        <v>30727</v>
      </c>
      <c r="H699" s="6" t="inlineStr">
        <is>
          <t>백만원</t>
        </is>
      </c>
      <c r="I699" s="17" t="n">
        <v>85.2</v>
      </c>
      <c r="J699" s="18" t="n">
        <v>15082</v>
      </c>
      <c r="K699" s="19" t="n">
        <v>16199</v>
      </c>
      <c r="L699" s="18" t="n">
        <v>15198</v>
      </c>
      <c r="M699" s="19" t="n">
        <v>6392</v>
      </c>
      <c r="N699" s="18" t="n">
        <v>10791</v>
      </c>
      <c r="O699" s="19" t="n">
        <v>23451</v>
      </c>
      <c r="P699" s="18" t="n">
        <v>27024</v>
      </c>
      <c r="Q699" s="19" t="n">
        <v>10669</v>
      </c>
      <c r="R699" s="18" t="n">
        <v>16594</v>
      </c>
      <c r="S699" s="20" t="n">
        <v>30727</v>
      </c>
      <c r="T699" s="6" t="n">
        <v>4</v>
      </c>
      <c r="U699" s="5" t="inlineStr">
        <is>
          <t>카메라모듈 / 제품 | 반도체 / 제품 | 모빌리티 / 제품</t>
        </is>
      </c>
      <c r="V699" s="21">
        <f>HYPERLINK("https://dart.fss.or.kr/dsaf001/main.do?rcpNo=20260814002911", "공시열람")</f>
        <v/>
      </c>
    </row>
    <row r="700">
      <c r="A700" s="5" t="inlineStr">
        <is>
          <t>한화시스템</t>
        </is>
      </c>
      <c r="B700" s="6" t="inlineStr">
        <is>
          <t>272210</t>
        </is>
      </c>
      <c r="C700" s="6" t="inlineStr">
        <is>
          <t>2026Q2</t>
        </is>
      </c>
      <c r="D700" s="6" t="inlineStr">
        <is>
          <t>20260820</t>
        </is>
      </c>
      <c r="E700" s="16" t="n">
        <v>13245410</v>
      </c>
      <c r="F700" s="16" t="n">
        <v>1926822</v>
      </c>
      <c r="G700" s="16" t="n">
        <v>11318588</v>
      </c>
      <c r="H700" s="6" t="inlineStr">
        <is>
          <t>백만원</t>
        </is>
      </c>
      <c r="I700" s="17" t="n">
        <v>-7.2</v>
      </c>
      <c r="J700" s="18" t="n">
        <v>7049779</v>
      </c>
      <c r="K700" s="19" t="n">
        <v>6967870</v>
      </c>
      <c r="L700" s="18" t="n">
        <v>7923594</v>
      </c>
      <c r="M700" s="19" t="n">
        <v>10557886</v>
      </c>
      <c r="N700" s="18" t="n">
        <v>10498985</v>
      </c>
      <c r="O700" s="19" t="n">
        <v>10362144</v>
      </c>
      <c r="P700" s="18" t="n">
        <v>11175820</v>
      </c>
      <c r="Q700" s="19" t="n">
        <v>12216300</v>
      </c>
      <c r="R700" s="18" t="n">
        <v>12196397</v>
      </c>
      <c r="S700" s="20" t="n">
        <v>11318588</v>
      </c>
      <c r="T700" s="6" t="n">
        <v>3</v>
      </c>
      <c r="U700" s="5" t="inlineStr">
        <is>
          <t>방산 / 한화시스템 / 군수장비 | 기타 / H FOUNDATION PTE. LTD.Han | ICT / 한화시스템 / 전산시스템 설계 및 구축,전산</t>
        </is>
      </c>
      <c r="V700" s="21">
        <f>HYPERLINK("https://dart.fss.or.kr/dsaf001/main.do?rcpNo=20260820000123", "공시열람")</f>
        <v/>
      </c>
    </row>
    <row r="701">
      <c r="A701" s="5" t="inlineStr">
        <is>
          <t>와이엠텍</t>
        </is>
      </c>
      <c r="B701" s="6" t="inlineStr">
        <is>
          <t>273640</t>
        </is>
      </c>
      <c r="C701" s="6" t="inlineStr">
        <is>
          <t>2023Q4</t>
        </is>
      </c>
      <c r="D701" s="6" t="inlineStr">
        <is>
          <t>20240315</t>
        </is>
      </c>
      <c r="E701" s="16" t="n">
        <v>36701182</v>
      </c>
      <c r="F701" s="16" t="n">
        <v>34852927</v>
      </c>
      <c r="G701" s="16" t="n">
        <v>1848254</v>
      </c>
      <c r="H701" s="6" t="inlineStr">
        <is>
          <t>EA/천원</t>
        </is>
      </c>
      <c r="I701" s="17" t="inlineStr"/>
      <c r="J701" s="18" t="inlineStr"/>
      <c r="K701" s="19" t="inlineStr"/>
      <c r="L701" s="18" t="inlineStr"/>
      <c r="M701" s="19" t="inlineStr"/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1</v>
      </c>
      <c r="U701" s="5" t="inlineStr">
        <is>
          <t>EV Relay / 23.12.31 / 23.01~24</t>
        </is>
      </c>
      <c r="V701" s="21">
        <f>HYPERLINK("https://dart.fss.or.kr/dsaf001/main.do?rcpNo=20240315000026", "공시열람")</f>
        <v/>
      </c>
    </row>
    <row r="702">
      <c r="A702" s="5" t="inlineStr">
        <is>
          <t>이노시뮬레이션</t>
        </is>
      </c>
      <c r="B702" s="6" t="inlineStr">
        <is>
          <t>274400</t>
        </is>
      </c>
      <c r="C702" s="6" t="inlineStr">
        <is>
          <t>2026Q2</t>
        </is>
      </c>
      <c r="D702" s="6" t="inlineStr">
        <is>
          <t>20260814</t>
        </is>
      </c>
      <c r="E702" s="16" t="inlineStr"/>
      <c r="F702" s="16" t="inlineStr"/>
      <c r="G702" s="16" t="n">
        <v>27474718</v>
      </c>
      <c r="H702" s="6" t="inlineStr">
        <is>
          <t>천원</t>
        </is>
      </c>
      <c r="I702" s="17" t="n">
        <v>149073.2</v>
      </c>
      <c r="J702" s="18" t="n">
        <v>11025</v>
      </c>
      <c r="K702" s="19" t="n">
        <v>17251</v>
      </c>
      <c r="L702" s="18" t="n">
        <v>15840</v>
      </c>
      <c r="M702" s="19" t="n">
        <v>15401</v>
      </c>
      <c r="N702" s="18" t="n">
        <v>21465</v>
      </c>
      <c r="O702" s="19" t="n">
        <v>17996</v>
      </c>
      <c r="P702" s="18" t="n">
        <v>16114</v>
      </c>
      <c r="Q702" s="19" t="n">
        <v>15574</v>
      </c>
      <c r="R702" s="18" t="n">
        <v>18418</v>
      </c>
      <c r="S702" s="20" t="n">
        <v>27474718</v>
      </c>
      <c r="T702" s="6" t="n">
        <v>2</v>
      </c>
      <c r="U702" s="5" t="inlineStr">
        <is>
          <t>당반기 | 전반기</t>
        </is>
      </c>
      <c r="V702" s="21">
        <f>HYPERLINK("https://dart.fss.or.kr/dsaf001/main.do?rcpNo=20260814003512", "공시열람")</f>
        <v/>
      </c>
    </row>
    <row r="703">
      <c r="A703" s="5" t="inlineStr">
        <is>
          <t>스코넥</t>
        </is>
      </c>
      <c r="B703" s="6" t="inlineStr">
        <is>
          <t>276040</t>
        </is>
      </c>
      <c r="C703" s="6" t="inlineStr">
        <is>
          <t>2026Q2</t>
        </is>
      </c>
      <c r="D703" s="6" t="inlineStr">
        <is>
          <t>20260814</t>
        </is>
      </c>
      <c r="E703" s="16" t="n">
        <v>1433</v>
      </c>
      <c r="F703" s="16" t="n">
        <v>1433</v>
      </c>
      <c r="G703" s="16" t="n">
        <v>0</v>
      </c>
      <c r="H703" s="6" t="inlineStr">
        <is>
          <t>백만원</t>
        </is>
      </c>
      <c r="I703" s="17" t="n">
        <v>-100</v>
      </c>
      <c r="J703" s="18" t="n">
        <v>0</v>
      </c>
      <c r="K703" s="19" t="n">
        <v>1812</v>
      </c>
      <c r="L703" s="18" t="n">
        <v>2360</v>
      </c>
      <c r="M703" s="19" t="n">
        <v>1074</v>
      </c>
      <c r="N703" s="18" t="n">
        <v>3211</v>
      </c>
      <c r="O703" s="19" t="n">
        <v>3158</v>
      </c>
      <c r="P703" s="18" t="n">
        <v>2233</v>
      </c>
      <c r="Q703" s="19" t="n">
        <v>142</v>
      </c>
      <c r="R703" s="18" t="n">
        <v>431</v>
      </c>
      <c r="S703" s="20" t="n">
        <v>0</v>
      </c>
      <c r="T703" s="6" t="n">
        <v>3</v>
      </c>
      <c r="U703" s="5" t="inlineStr">
        <is>
          <t>XR 콘텐츠 개발 및 제작 / 2025-08-28 /  | XR 콘텐츠 개발 및 제작 / 2026-01-30 /  | 콘텐츠 개발 등</t>
        </is>
      </c>
      <c r="V703" s="21">
        <f>HYPERLINK("https://dart.fss.or.kr/dsaf001/main.do?rcpNo=20260814003564", "공시열람")</f>
        <v/>
      </c>
    </row>
    <row r="704">
      <c r="A704" s="5" t="inlineStr">
        <is>
          <t>엘리비젼</t>
        </is>
      </c>
      <c r="B704" s="6" t="inlineStr">
        <is>
          <t>276240</t>
        </is>
      </c>
      <c r="C704" s="6" t="inlineStr">
        <is>
          <t>2025Q4</t>
        </is>
      </c>
      <c r="D704" s="6" t="inlineStr">
        <is>
          <t>20260323</t>
        </is>
      </c>
      <c r="E704" s="16" t="n">
        <v>800500</v>
      </c>
      <c r="F704" s="16" t="inlineStr"/>
      <c r="G704" s="16" t="n">
        <v>800500</v>
      </c>
      <c r="H704" s="6" t="inlineStr">
        <is>
          <t>천원</t>
        </is>
      </c>
      <c r="I704" s="17" t="n">
        <v>369.5</v>
      </c>
      <c r="J704" s="18" t="inlineStr"/>
      <c r="K704" s="19" t="inlineStr"/>
      <c r="L704" s="18" t="inlineStr"/>
      <c r="M704" s="19" t="n">
        <v>170486</v>
      </c>
      <c r="N704" s="18" t="inlineStr"/>
      <c r="O704" s="19" t="inlineStr"/>
      <c r="P704" s="18" t="inlineStr"/>
      <c r="Q704" s="19" t="n">
        <v>800500</v>
      </c>
      <c r="R704" s="18" t="inlineStr"/>
      <c r="S704" s="20" t="inlineStr"/>
      <c r="T704" s="6" t="n">
        <v>6</v>
      </c>
      <c r="U704" s="5" t="inlineStr">
        <is>
          <t>Interactive KIOSK | Interactive KIOSK | Interactive KIOSK</t>
        </is>
      </c>
      <c r="V704" s="21">
        <f>HYPERLINK("https://dart.fss.or.kr/dsaf001/main.do?rcpNo=20260323000763", "공시열람")</f>
        <v/>
      </c>
    </row>
    <row r="705">
      <c r="A705" s="5" t="inlineStr">
        <is>
          <t>티에스아이</t>
        </is>
      </c>
      <c r="B705" s="6" t="inlineStr">
        <is>
          <t>277880</t>
        </is>
      </c>
      <c r="C705" s="6" t="inlineStr">
        <is>
          <t>2026Q2</t>
        </is>
      </c>
      <c r="D705" s="6" t="inlineStr">
        <is>
          <t>20260814</t>
        </is>
      </c>
      <c r="E705" s="16" t="n">
        <v>753663</v>
      </c>
      <c r="F705" s="16" t="n">
        <v>545504</v>
      </c>
      <c r="G705" s="16" t="n">
        <v>208160</v>
      </c>
      <c r="H705" s="6" t="inlineStr">
        <is>
          <t>백만원</t>
        </is>
      </c>
      <c r="I705" s="17" t="n">
        <v>-39.3</v>
      </c>
      <c r="J705" s="18" t="n">
        <v>465915</v>
      </c>
      <c r="K705" s="19" t="n">
        <v>103345</v>
      </c>
      <c r="L705" s="18" t="n">
        <v>507077</v>
      </c>
      <c r="M705" s="19" t="n">
        <v>492364</v>
      </c>
      <c r="N705" s="18" t="n">
        <v>465313</v>
      </c>
      <c r="O705" s="19" t="n">
        <v>274355</v>
      </c>
      <c r="P705" s="18" t="n">
        <v>208298</v>
      </c>
      <c r="Q705" s="19" t="n">
        <v>293628</v>
      </c>
      <c r="R705" s="18" t="n">
        <v>342659</v>
      </c>
      <c r="S705" s="20" t="n">
        <v>208160</v>
      </c>
      <c r="T705" s="6" t="n">
        <v>3</v>
      </c>
      <c r="U705" s="5" t="inlineStr">
        <is>
          <t>믹싱시스템 / - | 공사 / - | 제작품 / -</t>
        </is>
      </c>
      <c r="V705" s="21">
        <f>HYPERLINK("https://dart.fss.or.kr/dsaf001/main.do?rcpNo=20260814001782", "공시열람")</f>
        <v/>
      </c>
    </row>
    <row r="706">
      <c r="A706" s="5" t="inlineStr">
        <is>
          <t>HLB바이오스텝</t>
        </is>
      </c>
      <c r="B706" s="6" t="inlineStr">
        <is>
          <t>278650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34083</v>
      </c>
      <c r="H706" s="6" t="inlineStr">
        <is>
          <t>천원</t>
        </is>
      </c>
      <c r="I706" s="17" t="n">
        <v>-99.90000000000001</v>
      </c>
      <c r="J706" s="18" t="inlineStr"/>
      <c r="K706" s="19" t="inlineStr"/>
      <c r="L706" s="18" t="inlineStr"/>
      <c r="M706" s="19" t="inlineStr"/>
      <c r="N706" s="18" t="inlineStr"/>
      <c r="O706" s="19" t="inlineStr"/>
      <c r="P706" s="18" t="n">
        <v>31970718</v>
      </c>
      <c r="Q706" s="19" t="inlineStr"/>
      <c r="R706" s="18" t="n">
        <v>24648959</v>
      </c>
      <c r="S706" s="20" t="n">
        <v>34083</v>
      </c>
      <c r="T706" s="6" t="n">
        <v>3</v>
      </c>
      <c r="U706" s="5" t="inlineStr">
        <is>
          <t>CRO용역(독성) / - / 2026년 04월~2026 | CRO용역(유효성) / - / 2026년 04월~202 | 구축사업 / - / 2026년 04월~2026년 11월</t>
        </is>
      </c>
      <c r="V706" s="21">
        <f>HYPERLINK("https://dart.fss.or.kr/dsaf001/main.do?rcpNo=20260814003288", "공시열람")</f>
        <v/>
      </c>
    </row>
    <row r="707">
      <c r="A707" s="5" t="inlineStr">
        <is>
          <t>이노벡스</t>
        </is>
      </c>
      <c r="B707" s="6" t="inlineStr">
        <is>
          <t>279060</t>
        </is>
      </c>
      <c r="C707" s="6" t="inlineStr">
        <is>
          <t>2025Q4</t>
        </is>
      </c>
      <c r="D707" s="6" t="inlineStr">
        <is>
          <t>20260331</t>
        </is>
      </c>
      <c r="E707" s="16" t="n">
        <v>10452000</v>
      </c>
      <c r="F707" s="16" t="n">
        <v>7306900</v>
      </c>
      <c r="G707" s="16" t="n">
        <v>3145100</v>
      </c>
      <c r="H707" s="6" t="inlineStr">
        <is>
          <t>천원</t>
        </is>
      </c>
      <c r="I707" s="17" t="n">
        <v>-71</v>
      </c>
      <c r="J707" s="18" t="inlineStr"/>
      <c r="K707" s="19" t="inlineStr"/>
      <c r="L707" s="18" t="inlineStr"/>
      <c r="M707" s="19" t="n">
        <v>10860600</v>
      </c>
      <c r="N707" s="18" t="inlineStr"/>
      <c r="O707" s="19" t="inlineStr"/>
      <c r="P707" s="18" t="inlineStr"/>
      <c r="Q707" s="19" t="n">
        <v>3145100</v>
      </c>
      <c r="R707" s="18" t="inlineStr"/>
      <c r="S707" s="20" t="inlineStr"/>
      <c r="T707" s="6" t="n">
        <v>6</v>
      </c>
      <c r="U707" s="5" t="inlineStr">
        <is>
          <t>2차전지활성화공정장비 / 2024-12-05 / 202 | TAS사업 / 2025-12-26 / 2026-04-3 | 2차전지활성화공정장비 / 2024-12-13 / 202</t>
        </is>
      </c>
      <c r="V707" s="21">
        <f>HYPERLINK("https://dart.fss.or.kr/dsaf001/main.do?rcpNo=20260331004637", "공시열람")</f>
        <v/>
      </c>
    </row>
    <row r="708">
      <c r="A708" s="5" t="inlineStr">
        <is>
          <t>미디어젠</t>
        </is>
      </c>
      <c r="B708" s="6" t="inlineStr">
        <is>
          <t>279600</t>
        </is>
      </c>
      <c r="C708" s="6" t="inlineStr">
        <is>
          <t>2026Q2</t>
        </is>
      </c>
      <c r="D708" s="6" t="inlineStr">
        <is>
          <t>20260813</t>
        </is>
      </c>
      <c r="E708" s="16" t="n">
        <v>14368</v>
      </c>
      <c r="F708" s="16" t="n">
        <v>6159</v>
      </c>
      <c r="G708" s="16" t="n">
        <v>8210</v>
      </c>
      <c r="H708" s="6" t="inlineStr">
        <is>
          <t>백만원</t>
        </is>
      </c>
      <c r="I708" s="17" t="n">
        <v>3.4</v>
      </c>
      <c r="J708" s="18" t="n">
        <v>3337</v>
      </c>
      <c r="K708" s="19" t="n">
        <v>9729</v>
      </c>
      <c r="L708" s="18" t="n">
        <v>9627</v>
      </c>
      <c r="M708" s="19" t="n">
        <v>15285</v>
      </c>
      <c r="N708" s="18" t="n">
        <v>9319</v>
      </c>
      <c r="O708" s="19" t="n">
        <v>8581</v>
      </c>
      <c r="P708" s="18" t="n">
        <v>11503</v>
      </c>
      <c r="Q708" s="19" t="n">
        <v>7181</v>
      </c>
      <c r="R708" s="18" t="n">
        <v>7938</v>
      </c>
      <c r="S708" s="20" t="n">
        <v>8210</v>
      </c>
      <c r="T708" s="6" t="n">
        <v>6</v>
      </c>
      <c r="U708" s="5" t="inlineStr">
        <is>
          <t>음성인식용역 / 전년도 수주이월(주1) / - | 음성인식용역 / 2026.1~2026.6 / - | 기타개발용역 / 2026.1~2026.6 / -</t>
        </is>
      </c>
      <c r="V708" s="21">
        <f>HYPERLINK("https://dart.fss.or.kr/dsaf001/main.do?rcpNo=20260813001467", "공시열람")</f>
        <v/>
      </c>
    </row>
    <row r="709">
      <c r="A709" s="5" t="inlineStr">
        <is>
          <t>케이씨텍</t>
        </is>
      </c>
      <c r="B709" s="6" t="inlineStr">
        <is>
          <t>281820</t>
        </is>
      </c>
      <c r="C709" s="6" t="inlineStr">
        <is>
          <t>2024Q4</t>
        </is>
      </c>
      <c r="D709" s="6" t="inlineStr">
        <is>
          <t>20250318</t>
        </is>
      </c>
      <c r="E709" s="16" t="inlineStr"/>
      <c r="F709" s="16" t="inlineStr"/>
      <c r="G709" s="16" t="n">
        <v>40755952</v>
      </c>
      <c r="H709" s="6" t="inlineStr">
        <is>
          <t>천원</t>
        </is>
      </c>
      <c r="I709" s="17" t="n">
        <v>-4.6</v>
      </c>
      <c r="J709" s="18" t="n">
        <v>40755952</v>
      </c>
      <c r="K709" s="19" t="n">
        <v>40755952</v>
      </c>
      <c r="L709" s="18" t="n">
        <v>42728355</v>
      </c>
      <c r="M709" s="19" t="n">
        <v>40755952</v>
      </c>
      <c r="N709" s="18" t="inlineStr"/>
      <c r="O709" s="19" t="inlineStr"/>
      <c r="P709" s="18" t="inlineStr"/>
      <c r="Q709" s="19" t="inlineStr"/>
      <c r="R709" s="18" t="inlineStr"/>
      <c r="S709" s="20" t="inlineStr"/>
      <c r="T709" s="6" t="n">
        <v>2</v>
      </c>
      <c r="U709" s="5" t="inlineStr">
        <is>
          <t>디스플레이부문 | 반도체부문</t>
        </is>
      </c>
      <c r="V709" s="21">
        <f>HYPERLINK("https://dart.fss.or.kr/dsaf001/main.do?rcpNo=20250318001445", "공시열람")</f>
        <v/>
      </c>
    </row>
    <row r="710">
      <c r="A710" s="5" t="inlineStr">
        <is>
          <t>금양그린파워</t>
        </is>
      </c>
      <c r="B710" s="6" t="inlineStr">
        <is>
          <t>282720</t>
        </is>
      </c>
      <c r="C710" s="6" t="inlineStr">
        <is>
          <t>2026Q2</t>
        </is>
      </c>
      <c r="D710" s="6" t="inlineStr">
        <is>
          <t>20260813</t>
        </is>
      </c>
      <c r="E710" s="16" t="n">
        <v>955164337</v>
      </c>
      <c r="F710" s="16" t="n">
        <v>690688046</v>
      </c>
      <c r="G710" s="16" t="n">
        <v>264476291</v>
      </c>
      <c r="H710" s="6" t="inlineStr">
        <is>
          <t>천원</t>
        </is>
      </c>
      <c r="I710" s="17" t="n">
        <v>11.2</v>
      </c>
      <c r="J710" s="18" t="n">
        <v>114143303</v>
      </c>
      <c r="K710" s="19" t="n">
        <v>140437022</v>
      </c>
      <c r="L710" s="18" t="n">
        <v>238060040</v>
      </c>
      <c r="M710" s="19" t="n">
        <v>307278734</v>
      </c>
      <c r="N710" s="18" t="n">
        <v>340992707</v>
      </c>
      <c r="O710" s="19" t="n">
        <v>310093799</v>
      </c>
      <c r="P710" s="18" t="n">
        <v>276403054</v>
      </c>
      <c r="Q710" s="19" t="n">
        <v>293047761</v>
      </c>
      <c r="R710" s="18" t="n">
        <v>237793433</v>
      </c>
      <c r="S710" s="20" t="n">
        <v>264476291</v>
      </c>
      <c r="T710" s="6" t="n">
        <v>48</v>
      </c>
      <c r="U710" s="5" t="inlineStr">
        <is>
          <t>Saudi ARAMCO / 사우디 Amiral | 현대건설 / 신한울3,4호기 전기계장 | 동백마울풍력발전소 / 제주 동백마을 풍력발전</t>
        </is>
      </c>
      <c r="V710" s="21">
        <f>HYPERLINK("https://dart.fss.or.kr/dsaf001/main.do?rcpNo=20260813001497", "공시열람")</f>
        <v/>
      </c>
    </row>
    <row r="711">
      <c r="A711" s="5" t="inlineStr">
        <is>
          <t>코윈테크</t>
        </is>
      </c>
      <c r="B711" s="6" t="inlineStr">
        <is>
          <t>282880</t>
        </is>
      </c>
      <c r="C711" s="6" t="inlineStr">
        <is>
          <t>2026Q2</t>
        </is>
      </c>
      <c r="D711" s="6" t="inlineStr">
        <is>
          <t>20260814</t>
        </is>
      </c>
      <c r="E711" s="16" t="inlineStr"/>
      <c r="F711" s="16" t="inlineStr"/>
      <c r="G711" s="16" t="n">
        <v>281816</v>
      </c>
      <c r="H711" s="6" t="inlineStr">
        <is>
          <t>백만원</t>
        </is>
      </c>
      <c r="I711" s="17" t="n">
        <v>-4.9</v>
      </c>
      <c r="J711" s="18" t="n">
        <v>387003</v>
      </c>
      <c r="K711" s="19" t="n">
        <v>347996</v>
      </c>
      <c r="L711" s="18" t="n">
        <v>262705</v>
      </c>
      <c r="M711" s="19" t="n">
        <v>276601</v>
      </c>
      <c r="N711" s="18" t="n">
        <v>286189</v>
      </c>
      <c r="O711" s="19" t="n">
        <v>250320</v>
      </c>
      <c r="P711" s="18" t="n">
        <v>256779</v>
      </c>
      <c r="Q711" s="19" t="n">
        <v>243857</v>
      </c>
      <c r="R711" s="18" t="n">
        <v>296373</v>
      </c>
      <c r="S711" s="20" t="n">
        <v>281816</v>
      </c>
      <c r="T711" s="6" t="n">
        <v>2</v>
      </c>
      <c r="U711" s="5" t="inlineStr">
        <is>
          <t>로봇 자동화 | 2차전지 시스템엔지니어링</t>
        </is>
      </c>
      <c r="V711" s="21">
        <f>HYPERLINK("https://dart.fss.or.kr/dsaf001/main.do?rcpNo=20260814001249", "공시열람")</f>
        <v/>
      </c>
    </row>
    <row r="712">
      <c r="A712" s="5" t="inlineStr">
        <is>
          <t>SK케미칼</t>
        </is>
      </c>
      <c r="B712" s="6" t="inlineStr">
        <is>
          <t>285130</t>
        </is>
      </c>
      <c r="C712" s="6" t="inlineStr">
        <is>
          <t>2026Q2</t>
        </is>
      </c>
      <c r="D712" s="6" t="inlineStr">
        <is>
          <t>20260813</t>
        </is>
      </c>
      <c r="E712" s="16" t="n">
        <v>2511572</v>
      </c>
      <c r="F712" s="16" t="n">
        <v>1933255</v>
      </c>
      <c r="G712" s="16" t="n">
        <v>578317</v>
      </c>
      <c r="H712" s="6" t="inlineStr">
        <is>
          <t>백만원</t>
        </is>
      </c>
      <c r="I712" s="17" t="n">
        <v>-30.1</v>
      </c>
      <c r="J712" s="18" t="n">
        <v>114955</v>
      </c>
      <c r="K712" s="19" t="n">
        <v>141644</v>
      </c>
      <c r="L712" s="18" t="n">
        <v>107602</v>
      </c>
      <c r="M712" s="19" t="n">
        <v>979319</v>
      </c>
      <c r="N712" s="18" t="n">
        <v>882738</v>
      </c>
      <c r="O712" s="19" t="n">
        <v>804123</v>
      </c>
      <c r="P712" s="18" t="n">
        <v>720658</v>
      </c>
      <c r="Q712" s="19" t="n">
        <v>801010</v>
      </c>
      <c r="R712" s="18" t="n">
        <v>827917</v>
      </c>
      <c r="S712" s="20" t="n">
        <v>578317</v>
      </c>
      <c r="T712" s="6" t="n">
        <v>2</v>
      </c>
      <c r="U712" s="5" t="inlineStr">
        <is>
          <t>CDMO / 2015년~(계약별 상이) / ~2029년 | 백신 원액 및 완제 생산 / 2022년~(계약별 상이)</t>
        </is>
      </c>
      <c r="V712" s="21">
        <f>HYPERLINK("https://dart.fss.or.kr/dsaf001/main.do?rcpNo=20260813001371", "공시열람")</f>
        <v/>
      </c>
    </row>
    <row r="713">
      <c r="A713" s="5" t="inlineStr">
        <is>
          <t>나노실리칸첨단소재</t>
        </is>
      </c>
      <c r="B713" s="6" t="inlineStr">
        <is>
          <t>286750</t>
        </is>
      </c>
      <c r="C713" s="6" t="inlineStr">
        <is>
          <t>2026Q2</t>
        </is>
      </c>
      <c r="D713" s="6" t="inlineStr">
        <is>
          <t>20260814</t>
        </is>
      </c>
      <c r="E713" s="16" t="n">
        <v>3091515</v>
      </c>
      <c r="F713" s="16" t="n">
        <v>1933260</v>
      </c>
      <c r="G713" s="16" t="n">
        <v>1158255</v>
      </c>
      <c r="H713" s="6" t="inlineStr">
        <is>
          <t>EA,천원</t>
        </is>
      </c>
      <c r="I713" s="17" t="n">
        <v>-0.2</v>
      </c>
      <c r="J713" s="18" t="inlineStr"/>
      <c r="K713" s="19" t="inlineStr"/>
      <c r="L713" s="18" t="inlineStr"/>
      <c r="M713" s="19" t="n">
        <v>1959205</v>
      </c>
      <c r="N713" s="18" t="n">
        <v>1284649</v>
      </c>
      <c r="O713" s="19" t="n">
        <v>2812123</v>
      </c>
      <c r="P713" s="18" t="n">
        <v>438228</v>
      </c>
      <c r="Q713" s="19" t="n">
        <v>1519455</v>
      </c>
      <c r="R713" s="18" t="n">
        <v>1160381</v>
      </c>
      <c r="S713" s="20" t="n">
        <v>1158255</v>
      </c>
      <c r="T713" s="6" t="n">
        <v>2</v>
      </c>
      <c r="U713" s="5" t="inlineStr">
        <is>
          <t>M-Tag / 2026-04-22 / 2026-09-1 | M-Tag / 2025-11-26 / 2026-06-3</t>
        </is>
      </c>
      <c r="V713" s="21">
        <f>HYPERLINK("https://dart.fss.or.kr/dsaf001/main.do?rcpNo=20260814002695", "공시열람")</f>
        <v/>
      </c>
    </row>
    <row r="714">
      <c r="A714" s="5" t="inlineStr">
        <is>
          <t>롯데이노베이트</t>
        </is>
      </c>
      <c r="B714" s="6" t="inlineStr">
        <is>
          <t>286940</t>
        </is>
      </c>
      <c r="C714" s="6" t="inlineStr">
        <is>
          <t>2026Q2</t>
        </is>
      </c>
      <c r="D714" s="6" t="inlineStr">
        <is>
          <t>20260813</t>
        </is>
      </c>
      <c r="E714" s="16" t="n">
        <v>326973</v>
      </c>
      <c r="F714" s="16" t="n">
        <v>151834</v>
      </c>
      <c r="G714" s="16" t="n">
        <v>175140</v>
      </c>
      <c r="H714" s="6" t="inlineStr">
        <is>
          <t>백만원</t>
        </is>
      </c>
      <c r="I714" s="17" t="n">
        <v>5.5</v>
      </c>
      <c r="J714" s="18" t="n">
        <v>104192</v>
      </c>
      <c r="K714" s="19" t="n">
        <v>168416</v>
      </c>
      <c r="L714" s="18" t="n">
        <v>185820</v>
      </c>
      <c r="M714" s="19" t="n">
        <v>156942</v>
      </c>
      <c r="N714" s="18" t="n">
        <v>171681</v>
      </c>
      <c r="O714" s="19" t="n">
        <v>157710</v>
      </c>
      <c r="P714" s="18" t="n">
        <v>123869</v>
      </c>
      <c r="Q714" s="19" t="n">
        <v>97278</v>
      </c>
      <c r="R714" s="18" t="n">
        <v>165974</v>
      </c>
      <c r="S714" s="20" t="n">
        <v>175140</v>
      </c>
      <c r="T714" s="6" t="n">
        <v>1</v>
      </c>
      <c r="U714" s="5" t="inlineStr">
        <is>
          <t>시스템 구축 및 운영/유지보수 / -</t>
        </is>
      </c>
      <c r="V714" s="21">
        <f>HYPERLINK("https://dart.fss.or.kr/dsaf001/main.do?rcpNo=20260813001539", "공시열람")</f>
        <v/>
      </c>
    </row>
    <row r="715">
      <c r="A715" s="5" t="inlineStr">
        <is>
          <t>에스프리즘</t>
        </is>
      </c>
      <c r="B715" s="6" t="inlineStr">
        <is>
          <t>288620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19987</v>
      </c>
      <c r="F715" s="16" t="n">
        <v>6023</v>
      </c>
      <c r="G715" s="16" t="n">
        <v>13964</v>
      </c>
      <c r="H715" s="6" t="inlineStr">
        <is>
          <t>백만원</t>
        </is>
      </c>
      <c r="I715" s="17" t="n">
        <v>18.9</v>
      </c>
      <c r="J715" s="18" t="n">
        <v>18659958</v>
      </c>
      <c r="K715" s="19" t="n">
        <v>20171792</v>
      </c>
      <c r="L715" s="18" t="n">
        <v>20810552</v>
      </c>
      <c r="M715" s="19" t="n">
        <v>18869499</v>
      </c>
      <c r="N715" s="18" t="n">
        <v>15320</v>
      </c>
      <c r="O715" s="19" t="n">
        <v>13401</v>
      </c>
      <c r="P715" s="18" t="n">
        <v>10314</v>
      </c>
      <c r="Q715" s="19" t="n">
        <v>5212</v>
      </c>
      <c r="R715" s="18" t="n">
        <v>11741</v>
      </c>
      <c r="S715" s="20" t="n">
        <v>13964</v>
      </c>
      <c r="T715" s="6" t="n">
        <v>2</v>
      </c>
      <c r="U715" s="5" t="inlineStr">
        <is>
          <t>건물용 연료전지 / ~2026.06.30 / ~2026 | 발전용 연료전지 / ~2026.06.30 / ~2033</t>
        </is>
      </c>
      <c r="V715" s="21">
        <f>HYPERLINK("https://dart.fss.or.kr/dsaf001/main.do?rcpNo=20260814003226", "공시열람")</f>
        <v/>
      </c>
    </row>
    <row r="716">
      <c r="A716" s="5" t="inlineStr">
        <is>
          <t>모아데이타</t>
        </is>
      </c>
      <c r="B716" s="6" t="inlineStr">
        <is>
          <t>288980</t>
        </is>
      </c>
      <c r="C716" s="6" t="inlineStr">
        <is>
          <t>2026Q2</t>
        </is>
      </c>
      <c r="D716" s="6" t="inlineStr">
        <is>
          <t>20260814</t>
        </is>
      </c>
      <c r="E716" s="16" t="n">
        <v>2392870</v>
      </c>
      <c r="F716" s="16" t="inlineStr"/>
      <c r="G716" s="16" t="n">
        <v>2392870</v>
      </c>
      <c r="H716" s="6" t="inlineStr">
        <is>
          <t>천원</t>
        </is>
      </c>
      <c r="I716" s="17" t="n">
        <v>0</v>
      </c>
      <c r="J716" s="18" t="n">
        <v>2392870</v>
      </c>
      <c r="K716" s="19" t="n">
        <v>2392870</v>
      </c>
      <c r="L716" s="18" t="n">
        <v>2392870</v>
      </c>
      <c r="M716" s="19" t="n">
        <v>4847938</v>
      </c>
      <c r="N716" s="18" t="n">
        <v>4132870</v>
      </c>
      <c r="O716" s="19" t="n">
        <v>3791226</v>
      </c>
      <c r="P716" s="18" t="n">
        <v>3791226</v>
      </c>
      <c r="Q716" s="19" t="n">
        <v>2392870</v>
      </c>
      <c r="R716" s="18" t="n">
        <v>2392870</v>
      </c>
      <c r="S716" s="20" t="n">
        <v>2392870</v>
      </c>
      <c r="T716" s="6" t="n">
        <v>1</v>
      </c>
      <c r="U716" s="5" t="inlineStr">
        <is>
          <t>AI 탄소중립 융복합구축(주1) / 2024-02-28</t>
        </is>
      </c>
      <c r="V716" s="21">
        <f>HYPERLINK("https://dart.fss.or.kr/dsaf001/main.do?rcpNo=20260814002441", "공시열람")</f>
        <v/>
      </c>
    </row>
    <row r="717">
      <c r="A717" s="5" t="inlineStr">
        <is>
          <t>자이언트스텝</t>
        </is>
      </c>
      <c r="B717" s="6" t="inlineStr">
        <is>
          <t>289220</t>
        </is>
      </c>
      <c r="C717" s="6" t="inlineStr">
        <is>
          <t>2026Q2</t>
        </is>
      </c>
      <c r="D717" s="6" t="inlineStr">
        <is>
          <t>20260814</t>
        </is>
      </c>
      <c r="E717" s="16" t="n">
        <v>48</v>
      </c>
      <c r="F717" s="16" t="n">
        <v>3.6</v>
      </c>
      <c r="G717" s="16" t="n">
        <v>44.4</v>
      </c>
      <c r="H717" s="6" t="inlineStr">
        <is>
          <t>억원</t>
        </is>
      </c>
      <c r="I717" s="17" t="n">
        <v>0</v>
      </c>
      <c r="J717" s="18" t="n">
        <v>44.4</v>
      </c>
      <c r="K717" s="19" t="n">
        <v>44.4</v>
      </c>
      <c r="L717" s="18" t="n">
        <v>44.4</v>
      </c>
      <c r="M717" s="19" t="n">
        <v>44</v>
      </c>
      <c r="N717" s="18" t="n">
        <v>44.4</v>
      </c>
      <c r="O717" s="19" t="n">
        <v>44.4</v>
      </c>
      <c r="P717" s="18" t="n">
        <v>44.4</v>
      </c>
      <c r="Q717" s="19" t="n">
        <v>44.4</v>
      </c>
      <c r="R717" s="18" t="n">
        <v>44.4</v>
      </c>
      <c r="S717" s="20" t="n">
        <v>44.4</v>
      </c>
      <c r="T717" s="6" t="n">
        <v>1</v>
      </c>
      <c r="U717" s="5" t="inlineStr">
        <is>
          <t xml:space="preserve">영화 "하이브(HIVE)" VFX 계약 / 2021년 </t>
        </is>
      </c>
      <c r="V717" s="21">
        <f>HYPERLINK("https://dart.fss.or.kr/dsaf001/main.do?rcpNo=20260814002501", "공시열람")</f>
        <v/>
      </c>
    </row>
    <row r="718">
      <c r="A718" s="5" t="inlineStr">
        <is>
          <t>웨이비스</t>
        </is>
      </c>
      <c r="B718" s="6" t="inlineStr">
        <is>
          <t>289930</t>
        </is>
      </c>
      <c r="C718" s="6" t="inlineStr">
        <is>
          <t>2026Q2</t>
        </is>
      </c>
      <c r="D718" s="6" t="inlineStr">
        <is>
          <t>20260813</t>
        </is>
      </c>
      <c r="E718" s="16" t="n">
        <v>16629129536</v>
      </c>
      <c r="F718" s="16" t="inlineStr"/>
      <c r="G718" s="16" t="n">
        <v>94135747</v>
      </c>
      <c r="H718" s="6" t="inlineStr">
        <is>
          <t>원</t>
        </is>
      </c>
      <c r="I718" s="17" t="n">
        <v>0</v>
      </c>
      <c r="J718" s="18" t="inlineStr"/>
      <c r="K718" s="19" t="inlineStr"/>
      <c r="L718" s="18" t="inlineStr"/>
      <c r="M718" s="19" t="n">
        <v>4393222104</v>
      </c>
      <c r="N718" s="18" t="n">
        <v>3117911353</v>
      </c>
      <c r="O718" s="19" t="n">
        <v>2936596693</v>
      </c>
      <c r="P718" s="18" t="n">
        <v>1235472408</v>
      </c>
      <c r="Q718" s="19" t="n">
        <v>94135747</v>
      </c>
      <c r="R718" s="18" t="n">
        <v>94135747</v>
      </c>
      <c r="S718" s="20" t="n">
        <v>94135747</v>
      </c>
      <c r="T718" s="6" t="n">
        <v>1</v>
      </c>
      <c r="U718" s="5" t="inlineStr">
        <is>
          <t>프로젝트A / 2021.05.24 / 2030.12.3</t>
        </is>
      </c>
      <c r="V718" s="21">
        <f>HYPERLINK("https://dart.fss.or.kr/dsaf001/main.do?rcpNo=20260813000472", "공시열람")</f>
        <v/>
      </c>
    </row>
    <row r="719">
      <c r="A719" s="5" t="inlineStr">
        <is>
          <t>트윔</t>
        </is>
      </c>
      <c r="B719" s="6" t="inlineStr">
        <is>
          <t>290090</t>
        </is>
      </c>
      <c r="C719" s="6" t="inlineStr">
        <is>
          <t>2026Q2</t>
        </is>
      </c>
      <c r="D719" s="6" t="inlineStr">
        <is>
          <t>20260814</t>
        </is>
      </c>
      <c r="E719" s="16" t="n">
        <v>17975</v>
      </c>
      <c r="F719" s="16" t="n">
        <v>4945</v>
      </c>
      <c r="G719" s="16" t="n">
        <v>13030</v>
      </c>
      <c r="H719" s="6" t="inlineStr">
        <is>
          <t>건수,백만원</t>
        </is>
      </c>
      <c r="I719" s="17" t="n">
        <v>14.2</v>
      </c>
      <c r="J719" s="18" t="n">
        <v>18491</v>
      </c>
      <c r="K719" s="19" t="n">
        <v>9884</v>
      </c>
      <c r="L719" s="18" t="n">
        <v>4385</v>
      </c>
      <c r="M719" s="19" t="n">
        <v>6713</v>
      </c>
      <c r="N719" s="18" t="n">
        <v>8383</v>
      </c>
      <c r="O719" s="19" t="n">
        <v>8427</v>
      </c>
      <c r="P719" s="18" t="n">
        <v>9381</v>
      </c>
      <c r="Q719" s="19" t="n">
        <v>10019</v>
      </c>
      <c r="R719" s="18" t="n">
        <v>11409</v>
      </c>
      <c r="S719" s="20" t="n">
        <v>13030</v>
      </c>
      <c r="T719" s="6" t="n">
        <v>1</v>
      </c>
      <c r="U719" s="5" t="inlineStr"/>
      <c r="V719" s="21">
        <f>HYPERLINK("https://dart.fss.or.kr/dsaf001/main.do?rcpNo=20260814002271", "공시열람")</f>
        <v/>
      </c>
    </row>
    <row r="720">
      <c r="A720" s="5" t="inlineStr">
        <is>
          <t>신도기연</t>
        </is>
      </c>
      <c r="B720" s="6" t="inlineStr">
        <is>
          <t>290520</t>
        </is>
      </c>
      <c r="C720" s="6" t="inlineStr">
        <is>
          <t>2026Q2</t>
        </is>
      </c>
      <c r="D720" s="6" t="inlineStr">
        <is>
          <t>20260814</t>
        </is>
      </c>
      <c r="E720" s="16" t="n">
        <v>12801</v>
      </c>
      <c r="F720" s="16" t="n">
        <v>9313</v>
      </c>
      <c r="G720" s="16" t="n">
        <v>3488</v>
      </c>
      <c r="H720" s="6" t="inlineStr">
        <is>
          <t>백만원</t>
        </is>
      </c>
      <c r="I720" s="17" t="n">
        <v>-67.8</v>
      </c>
      <c r="J720" s="18" t="n">
        <v>6245</v>
      </c>
      <c r="K720" s="19" t="n">
        <v>4822</v>
      </c>
      <c r="L720" s="18" t="n">
        <v>3689</v>
      </c>
      <c r="M720" s="19" t="n">
        <v>28340</v>
      </c>
      <c r="N720" s="18" t="n">
        <v>33622</v>
      </c>
      <c r="O720" s="19" t="n">
        <v>31132</v>
      </c>
      <c r="P720" s="18" t="n">
        <v>28968</v>
      </c>
      <c r="Q720" s="19" t="n">
        <v>11004</v>
      </c>
      <c r="R720" s="18" t="n">
        <v>10829</v>
      </c>
      <c r="S720" s="20" t="n">
        <v>3488</v>
      </c>
      <c r="T720" s="6" t="n">
        <v>1</v>
      </c>
      <c r="U720" s="5" t="inlineStr">
        <is>
          <t>디스플레이제조 장비등 / -</t>
        </is>
      </c>
      <c r="V720" s="21">
        <f>HYPERLINK("https://dart.fss.or.kr/dsaf001/main.do?rcpNo=20260814001825", "공시열람")</f>
        <v/>
      </c>
    </row>
    <row r="721">
      <c r="A721" s="5" t="inlineStr">
        <is>
          <t>소룩스</t>
        </is>
      </c>
      <c r="B721" s="6" t="inlineStr">
        <is>
          <t>290690</t>
        </is>
      </c>
      <c r="C721" s="6" t="inlineStr">
        <is>
          <t>2026Q2</t>
        </is>
      </c>
      <c r="D721" s="6" t="inlineStr">
        <is>
          <t>20260930</t>
        </is>
      </c>
      <c r="E721" s="16" t="n">
        <v>110446192920</v>
      </c>
      <c r="F721" s="16" t="n">
        <v>42509644828</v>
      </c>
      <c r="G721" s="16" t="n">
        <v>67936548093</v>
      </c>
      <c r="H721" s="6" t="inlineStr">
        <is>
          <t>천원</t>
        </is>
      </c>
      <c r="I721" s="17" t="n">
        <v>234905.4</v>
      </c>
      <c r="J721" s="18" t="n">
        <v>40841979</v>
      </c>
      <c r="K721" s="19" t="n">
        <v>37891649</v>
      </c>
      <c r="L721" s="18" t="n">
        <v>33661170</v>
      </c>
      <c r="M721" s="19" t="n">
        <v>26456926</v>
      </c>
      <c r="N721" s="18" t="n">
        <v>42972889</v>
      </c>
      <c r="O721" s="19" t="n">
        <v>39828481</v>
      </c>
      <c r="P721" s="18" t="n">
        <v>41723721</v>
      </c>
      <c r="Q721" s="19" t="n">
        <v>33751941</v>
      </c>
      <c r="R721" s="18" t="n">
        <v>28908499</v>
      </c>
      <c r="S721" s="20" t="n">
        <v>67936548093</v>
      </c>
      <c r="T721" s="6" t="n">
        <v>11</v>
      </c>
      <c r="U721" s="5" t="inlineStr">
        <is>
          <t>괴정동 지역주택조합 전기소방통신설비공사 / 2026-0 | 부산 에코2차(13BL) 통신공사 2단계(공사) / 2 | 기타 201개 현장 / -</t>
        </is>
      </c>
      <c r="V721" s="21">
        <f>HYPERLINK("https://dart.fss.or.kr/dsaf001/main.do?rcpNo=20260930000794", "공시열람")</f>
        <v/>
      </c>
    </row>
    <row r="722">
      <c r="A722" s="5" t="inlineStr">
        <is>
          <t>엔피</t>
        </is>
      </c>
      <c r="B722" s="6" t="inlineStr">
        <is>
          <t>291230</t>
        </is>
      </c>
      <c r="C722" s="6" t="inlineStr">
        <is>
          <t>2022Q4</t>
        </is>
      </c>
      <c r="D722" s="6" t="inlineStr">
        <is>
          <t>20240126</t>
        </is>
      </c>
      <c r="E722" s="16" t="inlineStr"/>
      <c r="F722" s="16" t="inlineStr"/>
      <c r="G722" s="16" t="n">
        <v>1321959</v>
      </c>
      <c r="H722" s="6" t="inlineStr">
        <is>
          <t>천원</t>
        </is>
      </c>
      <c r="I722" s="17" t="n">
        <v>-9.5</v>
      </c>
      <c r="J722" s="18" t="inlineStr"/>
      <c r="K722" s="19" t="inlineStr"/>
      <c r="L722" s="18" t="inlineStr"/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/>
      <c r="V722" s="21">
        <f>HYPERLINK("https://dart.fss.or.kr/dsaf001/main.do?rcpNo=20240126000505", "공시열람")</f>
        <v/>
      </c>
    </row>
    <row r="723">
      <c r="A723" s="5" t="inlineStr">
        <is>
          <t>츌립앤사이언스</t>
        </is>
      </c>
      <c r="B723" s="6" t="inlineStr">
        <is>
          <t>291650</t>
        </is>
      </c>
      <c r="C723" s="6" t="inlineStr">
        <is>
          <t>2026Q2</t>
        </is>
      </c>
      <c r="D723" s="6" t="inlineStr">
        <is>
          <t>20260814</t>
        </is>
      </c>
      <c r="E723" s="16" t="n">
        <v>3596929</v>
      </c>
      <c r="F723" s="16" t="inlineStr"/>
      <c r="G723" s="16" t="n">
        <v>771524</v>
      </c>
      <c r="H723" s="6" t="inlineStr">
        <is>
          <t>천원</t>
        </is>
      </c>
      <c r="I723" s="17" t="n">
        <v>-49.4</v>
      </c>
      <c r="J723" s="18" t="inlineStr"/>
      <c r="K723" s="19" t="inlineStr"/>
      <c r="L723" s="18" t="inlineStr"/>
      <c r="M723" s="19" t="n">
        <v>382965</v>
      </c>
      <c r="N723" s="18" t="n">
        <v>690495</v>
      </c>
      <c r="O723" s="19" t="n">
        <v>774456405</v>
      </c>
      <c r="P723" s="18" t="n">
        <v>1108606</v>
      </c>
      <c r="Q723" s="19" t="n">
        <v>1527765</v>
      </c>
      <c r="R723" s="18" t="n">
        <v>1525438</v>
      </c>
      <c r="S723" s="20" t="n">
        <v>771524</v>
      </c>
      <c r="T723" s="6" t="n">
        <v>3</v>
      </c>
      <c r="U723" s="5" t="inlineStr">
        <is>
          <t>임상시험 검체분석 / 국내 | 허가목적이 아닌 검체분석 / 국내 | 비임상시험 검체분석 / 국내</t>
        </is>
      </c>
      <c r="V723" s="21">
        <f>HYPERLINK("https://dart.fss.or.kr/dsaf001/main.do?rcpNo=20260814003116", "공시열람")</f>
        <v/>
      </c>
    </row>
    <row r="724">
      <c r="A724" s="5" t="inlineStr">
        <is>
          <t>핀텔</t>
        </is>
      </c>
      <c r="B724" s="6" t="inlineStr">
        <is>
          <t>291810</t>
        </is>
      </c>
      <c r="C724" s="6" t="inlineStr">
        <is>
          <t>2026Q2</t>
        </is>
      </c>
      <c r="D724" s="6" t="inlineStr">
        <is>
          <t>20260812</t>
        </is>
      </c>
      <c r="E724" s="16" t="n">
        <v>7140</v>
      </c>
      <c r="F724" s="16" t="n">
        <v>4385</v>
      </c>
      <c r="G724" s="16" t="n">
        <v>2755</v>
      </c>
      <c r="H724" s="6" t="inlineStr">
        <is>
          <t>백만원</t>
        </is>
      </c>
      <c r="I724" s="17" t="n">
        <v>11.1</v>
      </c>
      <c r="J724" s="18" t="n">
        <v>4320</v>
      </c>
      <c r="K724" s="19" t="n">
        <v>4501</v>
      </c>
      <c r="L724" s="18" t="n">
        <v>4088</v>
      </c>
      <c r="M724" s="19" t="n">
        <v>2819</v>
      </c>
      <c r="N724" s="18" t="n">
        <v>2010</v>
      </c>
      <c r="O724" s="19" t="n">
        <v>5106</v>
      </c>
      <c r="P724" s="18" t="n">
        <v>4767</v>
      </c>
      <c r="Q724" s="19" t="n">
        <v>4507</v>
      </c>
      <c r="R724" s="18" t="n">
        <v>2480</v>
      </c>
      <c r="S724" s="20" t="n">
        <v>2755</v>
      </c>
      <c r="T724" s="6" t="n">
        <v>2</v>
      </c>
      <c r="U724" s="5" t="inlineStr">
        <is>
          <t>보안분야 / - | 교통분야 / -</t>
        </is>
      </c>
      <c r="V724" s="21">
        <f>HYPERLINK("https://dart.fss.or.kr/dsaf001/main.do?rcpNo=20260812000620", "공시열람")</f>
        <v/>
      </c>
    </row>
    <row r="725">
      <c r="A725" s="5" t="inlineStr">
        <is>
          <t>하나제약</t>
        </is>
      </c>
      <c r="B725" s="6" t="inlineStr">
        <is>
          <t>293480</t>
        </is>
      </c>
      <c r="C725" s="6" t="inlineStr">
        <is>
          <t>2026Q2</t>
        </is>
      </c>
      <c r="D725" s="6" t="inlineStr">
        <is>
          <t>20260814</t>
        </is>
      </c>
      <c r="E725" s="16" t="n">
        <v>57378</v>
      </c>
      <c r="F725" s="16" t="n">
        <v>4932</v>
      </c>
      <c r="G725" s="16" t="n">
        <v>52446</v>
      </c>
      <c r="H725" s="6" t="inlineStr">
        <is>
          <t>백만원</t>
        </is>
      </c>
      <c r="I725" s="17" t="n">
        <v>-5.5</v>
      </c>
      <c r="J725" s="18" t="n">
        <v>757</v>
      </c>
      <c r="K725" s="19" t="n">
        <v>9</v>
      </c>
      <c r="L725" s="18" t="inlineStr"/>
      <c r="M725" s="19" t="inlineStr"/>
      <c r="N725" s="18" t="n">
        <v>595</v>
      </c>
      <c r="O725" s="19" t="n">
        <v>57378</v>
      </c>
      <c r="P725" s="18" t="n">
        <v>55966</v>
      </c>
      <c r="Q725" s="19" t="n">
        <v>55524</v>
      </c>
      <c r="R725" s="18" t="n">
        <v>55524</v>
      </c>
      <c r="S725" s="20" t="n">
        <v>52446</v>
      </c>
      <c r="T725" s="6" t="n">
        <v>1</v>
      </c>
      <c r="U725" s="5" t="inlineStr">
        <is>
          <t>CMO</t>
        </is>
      </c>
      <c r="V725" s="21">
        <f>HYPERLINK("https://dart.fss.or.kr/dsaf001/main.do?rcpNo=20260814001371", "공시열람")</f>
        <v/>
      </c>
    </row>
    <row r="726">
      <c r="A726" s="5" t="inlineStr">
        <is>
          <t>이오플로우</t>
        </is>
      </c>
      <c r="B726" s="6" t="inlineStr">
        <is>
          <t>294090</t>
        </is>
      </c>
      <c r="C726" s="6" t="inlineStr">
        <is>
          <t>2025Q3</t>
        </is>
      </c>
      <c r="D726" s="6" t="inlineStr">
        <is>
          <t>20251114</t>
        </is>
      </c>
      <c r="E726" s="16" t="n">
        <v>1157</v>
      </c>
      <c r="F726" s="16" t="n">
        <v>355</v>
      </c>
      <c r="G726" s="16" t="n">
        <v>802</v>
      </c>
      <c r="H726" s="6" t="inlineStr">
        <is>
          <t>백만원,천개</t>
        </is>
      </c>
      <c r="I726" s="17" t="n">
        <v>0</v>
      </c>
      <c r="J726" s="18" t="n">
        <v>150</v>
      </c>
      <c r="K726" s="19" t="n">
        <v>860</v>
      </c>
      <c r="L726" s="18" t="n">
        <v>118</v>
      </c>
      <c r="M726" s="19" t="n">
        <v>413</v>
      </c>
      <c r="N726" s="18" t="n">
        <v>802</v>
      </c>
      <c r="O726" s="19" t="n">
        <v>802</v>
      </c>
      <c r="P726" s="18" t="n">
        <v>802</v>
      </c>
      <c r="Q726" s="19" t="inlineStr"/>
      <c r="R726" s="18" t="inlineStr"/>
      <c r="S726" s="20" t="inlineStr"/>
      <c r="T726" s="6" t="n">
        <v>6</v>
      </c>
      <c r="U726" s="5" t="inlineStr">
        <is>
          <t>EOPatch / 2025.03.18 / 2025.05 | EOPatch / 2025.03.28 / 2025.05 | EOPatch / 2025.01.21 / 2025.03</t>
        </is>
      </c>
      <c r="V726" s="21">
        <f>HYPERLINK("https://dart.fss.or.kr/dsaf001/main.do?rcpNo=20251114000863", "공시열람")</f>
        <v/>
      </c>
    </row>
    <row r="727">
      <c r="A727" s="5" t="inlineStr">
        <is>
          <t>레몬</t>
        </is>
      </c>
      <c r="B727" s="6" t="inlineStr">
        <is>
          <t>294140</t>
        </is>
      </c>
      <c r="C727" s="6" t="inlineStr">
        <is>
          <t>2026Q2</t>
        </is>
      </c>
      <c r="D727" s="6" t="inlineStr">
        <is>
          <t>20260814</t>
        </is>
      </c>
      <c r="E727" s="16" t="n">
        <v>11024</v>
      </c>
      <c r="F727" s="16" t="n">
        <v>9321</v>
      </c>
      <c r="G727" s="16" t="n">
        <v>1703</v>
      </c>
      <c r="H727" s="6" t="inlineStr">
        <is>
          <t>백만원</t>
        </is>
      </c>
      <c r="I727" s="17" t="n">
        <v>-19.2</v>
      </c>
      <c r="J727" s="18" t="n">
        <v>120</v>
      </c>
      <c r="K727" s="19" t="n">
        <v>143</v>
      </c>
      <c r="L727" s="18" t="n">
        <v>45</v>
      </c>
      <c r="M727" s="19" t="n">
        <v>225</v>
      </c>
      <c r="N727" s="18" t="n">
        <v>269</v>
      </c>
      <c r="O727" s="19" t="n">
        <v>168</v>
      </c>
      <c r="P727" s="18" t="n">
        <v>1001</v>
      </c>
      <c r="Q727" s="19" t="n">
        <v>1556</v>
      </c>
      <c r="R727" s="18" t="n">
        <v>2107</v>
      </c>
      <c r="S727" s="20" t="n">
        <v>1703</v>
      </c>
      <c r="T727" s="6" t="n">
        <v>2</v>
      </c>
      <c r="U727" s="5" t="inlineStr">
        <is>
          <t>나노관련 | 기타</t>
        </is>
      </c>
      <c r="V727" s="21">
        <f>HYPERLINK("https://dart.fss.or.kr/dsaf001/main.do?rcpNo=20260814002294", "공시열람")</f>
        <v/>
      </c>
    </row>
    <row r="728">
      <c r="A728" s="5" t="inlineStr">
        <is>
          <t>쿠콘</t>
        </is>
      </c>
      <c r="B728" s="6" t="inlineStr">
        <is>
          <t>294570</t>
        </is>
      </c>
      <c r="C728" s="6" t="inlineStr">
        <is>
          <t>2024Q3</t>
        </is>
      </c>
      <c r="D728" s="6" t="inlineStr">
        <is>
          <t>20241114</t>
        </is>
      </c>
      <c r="E728" s="16" t="n">
        <v>4375</v>
      </c>
      <c r="F728" s="16" t="n">
        <v>4375</v>
      </c>
      <c r="G728" s="16" t="n">
        <v>0</v>
      </c>
      <c r="H728" s="6" t="inlineStr">
        <is>
          <t>백만원</t>
        </is>
      </c>
      <c r="I728" s="17" t="n">
        <v>-100</v>
      </c>
      <c r="J728" s="18" t="n">
        <v>26</v>
      </c>
      <c r="K728" s="19" t="n">
        <v>26</v>
      </c>
      <c r="L728" s="18" t="n">
        <v>0</v>
      </c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플랫폼 고도화 / 2023년 4월 / 2024년 5월</t>
        </is>
      </c>
      <c r="V728" s="21">
        <f>HYPERLINK("https://dart.fss.or.kr/dsaf001/main.do?rcpNo=20241114002883", "공시열람")</f>
        <v/>
      </c>
    </row>
    <row r="729">
      <c r="A729" s="5" t="inlineStr">
        <is>
          <t>서남</t>
        </is>
      </c>
      <c r="B729" s="6" t="inlineStr">
        <is>
          <t>294630</t>
        </is>
      </c>
      <c r="C729" s="6" t="inlineStr">
        <is>
          <t>2026Q2</t>
        </is>
      </c>
      <c r="D729" s="6" t="inlineStr">
        <is>
          <t>20260813</t>
        </is>
      </c>
      <c r="E729" s="16" t="inlineStr"/>
      <c r="F729" s="16" t="inlineStr"/>
      <c r="G729" s="16" t="n">
        <v>2590588360</v>
      </c>
      <c r="H729" s="6" t="inlineStr">
        <is>
          <t>원</t>
        </is>
      </c>
      <c r="I729" s="17" t="n">
        <v>171039.5</v>
      </c>
      <c r="J729" s="18" t="n">
        <v>2544425651</v>
      </c>
      <c r="K729" s="19" t="n">
        <v>499236303</v>
      </c>
      <c r="L729" s="18" t="n">
        <v>3577431</v>
      </c>
      <c r="M729" s="19" t="n">
        <v>3577431</v>
      </c>
      <c r="N729" s="18" t="n">
        <v>3198302</v>
      </c>
      <c r="O729" s="19" t="n">
        <v>2590588</v>
      </c>
      <c r="P729" s="18" t="n">
        <v>2216452</v>
      </c>
      <c r="Q729" s="19" t="n">
        <v>1828877</v>
      </c>
      <c r="R729" s="18" t="n">
        <v>1513729</v>
      </c>
      <c r="S729" s="20" t="n">
        <v>2590588360</v>
      </c>
      <c r="T729" s="6" t="n">
        <v>1</v>
      </c>
      <c r="U729" s="5" t="inlineStr">
        <is>
          <t>A Reel to Reel PVD system / -</t>
        </is>
      </c>
      <c r="V729" s="21">
        <f>HYPERLINK("https://dart.fss.or.kr/dsaf001/main.do?rcpNo=20260813001650", "공시열람")</f>
        <v/>
      </c>
    </row>
    <row r="730">
      <c r="A730" s="5" t="inlineStr">
        <is>
          <t>IPARK현대산업개발</t>
        </is>
      </c>
      <c r="B730" s="6" t="inlineStr">
        <is>
          <t>294870</t>
        </is>
      </c>
      <c r="C730" s="6" t="inlineStr">
        <is>
          <t>2026Q2</t>
        </is>
      </c>
      <c r="D730" s="6" t="inlineStr">
        <is>
          <t>20260818</t>
        </is>
      </c>
      <c r="E730" s="16" t="n">
        <v>26519376</v>
      </c>
      <c r="F730" s="16" t="n">
        <v>4225760</v>
      </c>
      <c r="G730" s="16" t="n">
        <v>22293615</v>
      </c>
      <c r="H730" s="6" t="inlineStr">
        <is>
          <t>백만원</t>
        </is>
      </c>
      <c r="I730" s="17" t="n">
        <v>2.8</v>
      </c>
      <c r="J730" s="18" t="n">
        <v>20870598</v>
      </c>
      <c r="K730" s="19" t="n">
        <v>19565207</v>
      </c>
      <c r="L730" s="18" t="n">
        <v>19215968</v>
      </c>
      <c r="M730" s="19" t="n">
        <v>19942970</v>
      </c>
      <c r="N730" s="18" t="n">
        <v>19528498</v>
      </c>
      <c r="O730" s="19" t="n">
        <v>19472415</v>
      </c>
      <c r="P730" s="18" t="n">
        <v>20661544</v>
      </c>
      <c r="Q730" s="19" t="n">
        <v>20955039</v>
      </c>
      <c r="R730" s="18" t="n">
        <v>21681977</v>
      </c>
      <c r="S730" s="20" t="n">
        <v>22293615</v>
      </c>
      <c r="T730" s="6" t="n">
        <v>2</v>
      </c>
      <c r="U730" s="5" t="inlineStr">
        <is>
          <t>민간공사 | 관급공사</t>
        </is>
      </c>
      <c r="V730" s="21">
        <f>HYPERLINK("https://dart.fss.or.kr/dsaf001/main.do?rcpNo=20260818000088", "공시열람")</f>
        <v/>
      </c>
    </row>
    <row r="731">
      <c r="A731" s="5" t="inlineStr">
        <is>
          <t>에이치브이엠</t>
        </is>
      </c>
      <c r="B731" s="6" t="inlineStr">
        <is>
          <t>295310</t>
        </is>
      </c>
      <c r="C731" s="6" t="inlineStr">
        <is>
          <t>2026Q2</t>
        </is>
      </c>
      <c r="D731" s="6" t="inlineStr">
        <is>
          <t>20260814</t>
        </is>
      </c>
      <c r="E731" s="16" t="inlineStr"/>
      <c r="F731" s="16" t="inlineStr"/>
      <c r="G731" s="16" t="n">
        <v>63078</v>
      </c>
      <c r="H731" s="6" t="inlineStr">
        <is>
          <t>백만원</t>
        </is>
      </c>
      <c r="I731" s="17" t="n">
        <v>29.8</v>
      </c>
      <c r="J731" s="18" t="inlineStr"/>
      <c r="K731" s="19" t="n">
        <v>21979</v>
      </c>
      <c r="L731" s="18" t="n">
        <v>24738</v>
      </c>
      <c r="M731" s="19" t="n">
        <v>23450</v>
      </c>
      <c r="N731" s="18" t="n">
        <v>19830</v>
      </c>
      <c r="O731" s="19" t="n">
        <v>31960</v>
      </c>
      <c r="P731" s="18" t="n">
        <v>35395</v>
      </c>
      <c r="Q731" s="19" t="n">
        <v>31102</v>
      </c>
      <c r="R731" s="18" t="n">
        <v>48593</v>
      </c>
      <c r="S731" s="20" t="n">
        <v>63078</v>
      </c>
      <c r="T731" s="6" t="n">
        <v>0</v>
      </c>
      <c r="U731" s="5" t="inlineStr"/>
      <c r="V731" s="21">
        <f>HYPERLINK("https://dart.fss.or.kr/dsaf001/main.do?rcpNo=20260814004157", "공시열람")</f>
        <v/>
      </c>
    </row>
    <row r="732">
      <c r="A732" s="5" t="inlineStr">
        <is>
          <t>이노에이엑스</t>
        </is>
      </c>
      <c r="B732" s="6" t="inlineStr">
        <is>
          <t>296640</t>
        </is>
      </c>
      <c r="C732" s="6" t="inlineStr">
        <is>
          <t>2026Q2</t>
        </is>
      </c>
      <c r="D732" s="6" t="inlineStr">
        <is>
          <t>20260814</t>
        </is>
      </c>
      <c r="E732" s="16" t="n">
        <v>40192</v>
      </c>
      <c r="F732" s="16" t="n">
        <v>22341</v>
      </c>
      <c r="G732" s="16" t="n">
        <v>17856</v>
      </c>
      <c r="H732" s="6" t="inlineStr">
        <is>
          <t>백만원</t>
        </is>
      </c>
      <c r="I732" s="17" t="n">
        <v>-1.4</v>
      </c>
      <c r="J732" s="18" t="n">
        <v>17100</v>
      </c>
      <c r="K732" s="19" t="n">
        <v>16965</v>
      </c>
      <c r="L732" s="18" t="n">
        <v>13105</v>
      </c>
      <c r="M732" s="19" t="n">
        <v>18549</v>
      </c>
      <c r="N732" s="18" t="n">
        <v>16541</v>
      </c>
      <c r="O732" s="19" t="n">
        <v>15792</v>
      </c>
      <c r="P732" s="18" t="n">
        <v>16183</v>
      </c>
      <c r="Q732" s="19" t="n">
        <v>18159</v>
      </c>
      <c r="R732" s="18" t="n">
        <v>18111</v>
      </c>
      <c r="S732" s="20" t="n">
        <v>17856</v>
      </c>
      <c r="T732" s="6" t="n">
        <v>3</v>
      </c>
      <c r="U732" s="5" t="inlineStr">
        <is>
          <t>프로페셔널 서비스 | 기술료 | 라이선스</t>
        </is>
      </c>
      <c r="V732" s="21">
        <f>HYPERLINK("https://dart.fss.or.kr/dsaf001/main.do?rcpNo=20260814001685", "공시열람")</f>
        <v/>
      </c>
    </row>
    <row r="733">
      <c r="A733" s="5" t="inlineStr">
        <is>
          <t>HB솔루션</t>
        </is>
      </c>
      <c r="B733" s="6" t="inlineStr">
        <is>
          <t>297890</t>
        </is>
      </c>
      <c r="C733" s="6" t="inlineStr">
        <is>
          <t>2026Q2</t>
        </is>
      </c>
      <c r="D733" s="6" t="inlineStr">
        <is>
          <t>20260814</t>
        </is>
      </c>
      <c r="E733" s="16" t="n">
        <v>51959</v>
      </c>
      <c r="F733" s="16" t="n">
        <v>24863</v>
      </c>
      <c r="G733" s="16" t="n">
        <v>27096</v>
      </c>
      <c r="H733" s="6" t="inlineStr">
        <is>
          <t>백만원</t>
        </is>
      </c>
      <c r="I733" s="17" t="n">
        <v>47.9</v>
      </c>
      <c r="J733" s="18" t="n">
        <v>87927</v>
      </c>
      <c r="K733" s="19" t="n">
        <v>44871</v>
      </c>
      <c r="L733" s="18" t="n">
        <v>64852</v>
      </c>
      <c r="M733" s="19" t="n">
        <v>54824</v>
      </c>
      <c r="N733" s="18" t="n">
        <v>40929</v>
      </c>
      <c r="O733" s="19" t="n">
        <v>13965</v>
      </c>
      <c r="P733" s="18" t="n">
        <v>19717</v>
      </c>
      <c r="Q733" s="19" t="n">
        <v>16793</v>
      </c>
      <c r="R733" s="18" t="n">
        <v>18319</v>
      </c>
      <c r="S733" s="20" t="n">
        <v>27096</v>
      </c>
      <c r="T733" s="6" t="n">
        <v>1</v>
      </c>
      <c r="U733" s="5" t="inlineStr">
        <is>
          <t>디스플레이, 반도체,이차전지 설비 / -</t>
        </is>
      </c>
      <c r="V733" s="21">
        <f>HYPERLINK("https://dart.fss.or.kr/dsaf001/main.do?rcpNo=20260814002863", "공시열람")</f>
        <v/>
      </c>
    </row>
    <row r="734">
      <c r="A734" s="5" t="inlineStr">
        <is>
          <t>효성중공업</t>
        </is>
      </c>
      <c r="B734" s="6" t="inlineStr">
        <is>
          <t>298040</t>
        </is>
      </c>
      <c r="C734" s="6" t="inlineStr">
        <is>
          <t>2026Q2</t>
        </is>
      </c>
      <c r="D734" s="6" t="inlineStr">
        <is>
          <t>20260813</t>
        </is>
      </c>
      <c r="E734" s="16" t="n">
        <v>12131411</v>
      </c>
      <c r="F734" s="16" t="n">
        <v>3971095</v>
      </c>
      <c r="G734" s="16" t="n">
        <v>32958249</v>
      </c>
      <c r="H734" s="6" t="inlineStr">
        <is>
          <t>백만원</t>
        </is>
      </c>
      <c r="I734" s="17" t="n">
        <v>11.8</v>
      </c>
      <c r="J734" s="18" t="n">
        <v>39741022</v>
      </c>
      <c r="K734" s="19" t="n">
        <v>40867602</v>
      </c>
      <c r="L734" s="18" t="n">
        <v>44210450</v>
      </c>
      <c r="M734" s="19" t="n">
        <v>49657494</v>
      </c>
      <c r="N734" s="18" t="n">
        <v>20976755</v>
      </c>
      <c r="O734" s="19" t="n">
        <v>21920840</v>
      </c>
      <c r="P734" s="18" t="n">
        <v>22245977</v>
      </c>
      <c r="Q734" s="19" t="n">
        <v>24389683</v>
      </c>
      <c r="R734" s="18" t="n">
        <v>29489574</v>
      </c>
      <c r="S734" s="20" t="n">
        <v>32958249</v>
      </c>
      <c r="T734" s="6" t="n">
        <v>3</v>
      </c>
      <c r="U734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4" s="21">
        <f>HYPERLINK("https://dart.fss.or.kr/dsaf001/main.do?rcpNo=20260813001554", "공시열람")</f>
        <v/>
      </c>
    </row>
    <row r="735">
      <c r="A735" s="5" t="inlineStr">
        <is>
          <t>하나기술</t>
        </is>
      </c>
      <c r="B735" s="6" t="inlineStr">
        <is>
          <t>299030</t>
        </is>
      </c>
      <c r="C735" s="6" t="inlineStr">
        <is>
          <t>2026Q2</t>
        </is>
      </c>
      <c r="D735" s="6" t="inlineStr">
        <is>
          <t>20260814</t>
        </is>
      </c>
      <c r="E735" s="16" t="n">
        <v>577804</v>
      </c>
      <c r="F735" s="16" t="n">
        <v>95266</v>
      </c>
      <c r="G735" s="16" t="n">
        <v>482537</v>
      </c>
      <c r="H735" s="6" t="inlineStr">
        <is>
          <t>백만원</t>
        </is>
      </c>
      <c r="I735" s="17" t="n">
        <v>42.2</v>
      </c>
      <c r="J735" s="18" t="n">
        <v>372236</v>
      </c>
      <c r="K735" s="19" t="n">
        <v>221947</v>
      </c>
      <c r="L735" s="18" t="n">
        <v>146924</v>
      </c>
      <c r="M735" s="19" t="n">
        <v>153465</v>
      </c>
      <c r="N735" s="18" t="n">
        <v>195962</v>
      </c>
      <c r="O735" s="19" t="n">
        <v>203611</v>
      </c>
      <c r="P735" s="18" t="inlineStr"/>
      <c r="Q735" s="19" t="n">
        <v>326212</v>
      </c>
      <c r="R735" s="18" t="n">
        <v>339342</v>
      </c>
      <c r="S735" s="20" t="n">
        <v>482537</v>
      </c>
      <c r="T735" s="6" t="n">
        <v>1</v>
      </c>
      <c r="U735" s="5" t="inlineStr">
        <is>
          <t>이차전지 제조장비 / -</t>
        </is>
      </c>
      <c r="V735" s="21">
        <f>HYPERLINK("https://dart.fss.or.kr/dsaf001/main.do?rcpNo=20260814003482", "공시열람")</f>
        <v/>
      </c>
    </row>
    <row r="736">
      <c r="A736" s="5" t="inlineStr">
        <is>
          <t>셀리드</t>
        </is>
      </c>
      <c r="B736" s="6" t="inlineStr">
        <is>
          <t>299660</t>
        </is>
      </c>
      <c r="C736" s="6" t="inlineStr">
        <is>
          <t>2026Q2</t>
        </is>
      </c>
      <c r="D736" s="6" t="inlineStr">
        <is>
          <t>20260814</t>
        </is>
      </c>
      <c r="E736" s="16" t="n">
        <v>4888000</v>
      </c>
      <c r="F736" s="16" t="n">
        <v>496000</v>
      </c>
      <c r="G736" s="16" t="n">
        <v>4392000</v>
      </c>
      <c r="H736" s="6" t="inlineStr">
        <is>
          <t>천원</t>
        </is>
      </c>
      <c r="I736" s="17" t="n">
        <v>0</v>
      </c>
      <c r="J736" s="18" t="n">
        <v>4888000</v>
      </c>
      <c r="K736" s="19" t="n">
        <v>4484000</v>
      </c>
      <c r="L736" s="18" t="n">
        <v>4392000</v>
      </c>
      <c r="M736" s="19" t="n">
        <v>4576000</v>
      </c>
      <c r="N736" s="18" t="n">
        <v>4576000</v>
      </c>
      <c r="O736" s="19" t="n">
        <v>4576000</v>
      </c>
      <c r="P736" s="18" t="n">
        <v>4392000</v>
      </c>
      <c r="Q736" s="19" t="n">
        <v>4392000</v>
      </c>
      <c r="R736" s="18" t="n">
        <v>4392000</v>
      </c>
      <c r="S736" s="20" t="n">
        <v>4392000</v>
      </c>
      <c r="T736" s="6" t="n">
        <v>1</v>
      </c>
      <c r="U736" s="5" t="inlineStr">
        <is>
          <t>세포유전자치료제 / 2023.03.16 / (주)</t>
        </is>
      </c>
      <c r="V736" s="21">
        <f>HYPERLINK("https://dart.fss.or.kr/dsaf001/main.do?rcpNo=20260814004146", "공시열람")</f>
        <v/>
      </c>
    </row>
    <row r="737">
      <c r="A737" s="5" t="inlineStr">
        <is>
          <t>위지윅스튜디오</t>
        </is>
      </c>
      <c r="B737" s="6" t="inlineStr">
        <is>
          <t>299900</t>
        </is>
      </c>
      <c r="C737" s="6" t="inlineStr">
        <is>
          <t>2023Q4</t>
        </is>
      </c>
      <c r="D737" s="6" t="inlineStr">
        <is>
          <t>20240724</t>
        </is>
      </c>
      <c r="E737" s="16" t="inlineStr"/>
      <c r="F737" s="16" t="inlineStr"/>
      <c r="G737" s="16" t="n">
        <v>1402977</v>
      </c>
      <c r="H737" s="6" t="inlineStr">
        <is>
          <t>천원</t>
        </is>
      </c>
      <c r="I737" s="17" t="inlineStr"/>
      <c r="J737" s="18" t="inlineStr"/>
      <c r="K737" s="19" t="inlineStr"/>
      <c r="L737" s="18" t="inlineStr"/>
      <c r="M737" s="19" t="inlineStr"/>
      <c r="N737" s="18" t="inlineStr"/>
      <c r="O737" s="19" t="inlineStr"/>
      <c r="P737" s="18" t="inlineStr"/>
      <c r="Q737" s="19" t="inlineStr"/>
      <c r="R737" s="18" t="inlineStr"/>
      <c r="S737" s="20" t="inlineStr"/>
      <c r="T737" s="6" t="n">
        <v>1</v>
      </c>
      <c r="U737" s="5" t="inlineStr">
        <is>
          <t>취득원가</t>
        </is>
      </c>
      <c r="V737" s="21">
        <f>HYPERLINK("https://dart.fss.or.kr/dsaf001/main.do?rcpNo=20240724000502", "공시열람")</f>
        <v/>
      </c>
    </row>
    <row r="738">
      <c r="A738" s="5" t="inlineStr">
        <is>
          <t>라온피플</t>
        </is>
      </c>
      <c r="B738" s="6" t="inlineStr">
        <is>
          <t>300120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385704</v>
      </c>
      <c r="F738" s="16" t="n">
        <v>103956</v>
      </c>
      <c r="G738" s="16" t="n">
        <v>281748</v>
      </c>
      <c r="H738" s="6" t="inlineStr">
        <is>
          <t>백만원</t>
        </is>
      </c>
      <c r="I738" s="17" t="n">
        <v>-4.5</v>
      </c>
      <c r="J738" s="18" t="n">
        <v>39777</v>
      </c>
      <c r="K738" s="19" t="n">
        <v>205291</v>
      </c>
      <c r="L738" s="18" t="n">
        <v>193742</v>
      </c>
      <c r="M738" s="19" t="n">
        <v>7682</v>
      </c>
      <c r="N738" s="18" t="inlineStr"/>
      <c r="O738" s="19" t="n">
        <v>280089</v>
      </c>
      <c r="P738" s="18" t="n">
        <v>275363</v>
      </c>
      <c r="Q738" s="19" t="n">
        <v>316153</v>
      </c>
      <c r="R738" s="18" t="n">
        <v>294879</v>
      </c>
      <c r="S738" s="20" t="n">
        <v>281748</v>
      </c>
      <c r="T738" s="6" t="n">
        <v>3</v>
      </c>
      <c r="U738" s="5" t="inlineStr">
        <is>
          <t>클라우드 등 | AI 비전생성형 AIPlatform | 카메라모듈검사</t>
        </is>
      </c>
      <c r="V738" s="21">
        <f>HYPERLINK("https://dart.fss.or.kr/dsaf001/main.do?rcpNo=20260814002571", "공시열람")</f>
        <v/>
      </c>
    </row>
    <row r="739">
      <c r="A739" s="5" t="inlineStr">
        <is>
          <t>한일시멘트</t>
        </is>
      </c>
      <c r="B739" s="6" t="inlineStr">
        <is>
          <t>300720</t>
        </is>
      </c>
      <c r="C739" s="6" t="inlineStr">
        <is>
          <t>2026Q2</t>
        </is>
      </c>
      <c r="D739" s="6" t="inlineStr">
        <is>
          <t>20260814</t>
        </is>
      </c>
      <c r="E739" s="16" t="n">
        <v>363217</v>
      </c>
      <c r="F739" s="16" t="n">
        <v>180146</v>
      </c>
      <c r="G739" s="16" t="n">
        <v>183071</v>
      </c>
      <c r="H739" s="6" t="inlineStr">
        <is>
          <t>백만원</t>
        </is>
      </c>
      <c r="I739" s="17" t="n">
        <v>2.7</v>
      </c>
      <c r="J739" s="18" t="n">
        <v>259193100290</v>
      </c>
      <c r="K739" s="19" t="n">
        <v>220013996173</v>
      </c>
      <c r="L739" s="18" t="n">
        <v>204122</v>
      </c>
      <c r="M739" s="19" t="n">
        <v>226837</v>
      </c>
      <c r="N739" s="18" t="n">
        <v>214066</v>
      </c>
      <c r="O739" s="19" t="n">
        <v>215258</v>
      </c>
      <c r="P739" s="18" t="n">
        <v>195065</v>
      </c>
      <c r="Q739" s="19" t="n">
        <v>193955</v>
      </c>
      <c r="R739" s="18" t="n">
        <v>178189</v>
      </c>
      <c r="S739" s="20" t="n">
        <v>183071</v>
      </c>
      <c r="T739" s="6" t="n">
        <v>22</v>
      </c>
      <c r="U739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9" s="21">
        <f>HYPERLINK("https://dart.fss.or.kr/dsaf001/main.do?rcpNo=20260814003685", "공시열람")</f>
        <v/>
      </c>
    </row>
    <row r="740">
      <c r="A740" s="5" t="inlineStr">
        <is>
          <t>바이브컴퍼니</t>
        </is>
      </c>
      <c r="B740" s="6" t="inlineStr">
        <is>
          <t>301300</t>
        </is>
      </c>
      <c r="C740" s="6" t="inlineStr">
        <is>
          <t>2026Q2</t>
        </is>
      </c>
      <c r="D740" s="6" t="inlineStr">
        <is>
          <t>20261012</t>
        </is>
      </c>
      <c r="E740" s="16" t="n">
        <v>18792106</v>
      </c>
      <c r="F740" s="16" t="n">
        <v>10901280</v>
      </c>
      <c r="G740" s="16" t="n">
        <v>7890826</v>
      </c>
      <c r="H740" s="6" t="inlineStr">
        <is>
          <t>천원</t>
        </is>
      </c>
      <c r="I740" s="17" t="n">
        <v>3.6</v>
      </c>
      <c r="J740" s="18" t="n">
        <v>5453850</v>
      </c>
      <c r="K740" s="19" t="inlineStr"/>
      <c r="L740" s="18" t="n">
        <v>7344196</v>
      </c>
      <c r="M740" s="19" t="n">
        <v>2404113</v>
      </c>
      <c r="N740" s="18" t="n">
        <v>5172613</v>
      </c>
      <c r="O740" s="19" t="n">
        <v>9112885</v>
      </c>
      <c r="P740" s="18" t="n">
        <v>7032627</v>
      </c>
      <c r="Q740" s="19" t="n">
        <v>2655025</v>
      </c>
      <c r="R740" s="18" t="n">
        <v>7620023</v>
      </c>
      <c r="S740" s="20" t="n">
        <v>7890826</v>
      </c>
      <c r="T740" s="6" t="n">
        <v>21</v>
      </c>
      <c r="U740" s="5" t="inlineStr">
        <is>
          <t>AI솔루션 | SI/SM | AI솔루션</t>
        </is>
      </c>
      <c r="V740" s="21">
        <f>HYPERLINK("https://dart.fss.or.kr/dsaf001/main.do?rcpNo=20261012000289", "공시열람")</f>
        <v/>
      </c>
    </row>
    <row r="741">
      <c r="A741" s="5" t="inlineStr">
        <is>
          <t>이노메트리</t>
        </is>
      </c>
      <c r="B741" s="6" t="inlineStr">
        <is>
          <t>302430</t>
        </is>
      </c>
      <c r="C741" s="6" t="inlineStr">
        <is>
          <t>2024Q1</t>
        </is>
      </c>
      <c r="D741" s="6" t="inlineStr">
        <is>
          <t>20240516</t>
        </is>
      </c>
      <c r="E741" s="16" t="n">
        <v>71769339</v>
      </c>
      <c r="F741" s="16" t="n">
        <v>48635690</v>
      </c>
      <c r="G741" s="16" t="n">
        <v>23133649</v>
      </c>
      <c r="H741" s="6" t="inlineStr">
        <is>
          <t>천원</t>
        </is>
      </c>
      <c r="I741" s="17" t="n">
        <v>-8.800000000000001</v>
      </c>
      <c r="J741" s="18" t="n">
        <v>23133649</v>
      </c>
      <c r="K741" s="19" t="inlineStr"/>
      <c r="L741" s="18" t="inlineStr"/>
      <c r="M741" s="19" t="inlineStr"/>
      <c r="N741" s="18" t="inlineStr"/>
      <c r="O741" s="19" t="inlineStr"/>
      <c r="P741" s="18" t="inlineStr"/>
      <c r="Q741" s="19" t="inlineStr"/>
      <c r="R741" s="18" t="inlineStr"/>
      <c r="S741" s="20" t="inlineStr"/>
      <c r="T741" s="6" t="n">
        <v>13</v>
      </c>
      <c r="U741" s="5" t="inlineStr">
        <is>
          <t>2차전지검사장비 / 2023-11-04 / 2025-0 | 2차전지검사장비 / 2022-12-22 / 2024-0 | 2차전지검사장비 / 2022-12-22 / 2024-0</t>
        </is>
      </c>
      <c r="V741" s="21">
        <f>HYPERLINK("https://dart.fss.or.kr/dsaf001/main.do?rcpNo=20240516000062", "공시열람")</f>
        <v/>
      </c>
    </row>
    <row r="742">
      <c r="A742" s="5" t="inlineStr">
        <is>
          <t>SK바이오사이언스</t>
        </is>
      </c>
      <c r="B742" s="6" t="inlineStr">
        <is>
          <t>302440</t>
        </is>
      </c>
      <c r="C742" s="6" t="inlineStr">
        <is>
          <t>2026Q2</t>
        </is>
      </c>
      <c r="D742" s="6" t="inlineStr">
        <is>
          <t>20260813</t>
        </is>
      </c>
      <c r="E742" s="16" t="n">
        <v>2511572</v>
      </c>
      <c r="F742" s="16" t="n">
        <v>1933255</v>
      </c>
      <c r="G742" s="16" t="n">
        <v>578317</v>
      </c>
      <c r="H742" s="6" t="inlineStr">
        <is>
          <t>백만원</t>
        </is>
      </c>
      <c r="I742" s="17" t="n">
        <v>-30.1</v>
      </c>
      <c r="J742" s="18" t="n">
        <v>114955</v>
      </c>
      <c r="K742" s="19" t="n">
        <v>141644</v>
      </c>
      <c r="L742" s="18" t="n">
        <v>107602</v>
      </c>
      <c r="M742" s="19" t="n">
        <v>979319</v>
      </c>
      <c r="N742" s="18" t="n">
        <v>882738</v>
      </c>
      <c r="O742" s="19" t="n">
        <v>804123</v>
      </c>
      <c r="P742" s="18" t="n">
        <v>720658</v>
      </c>
      <c r="Q742" s="19" t="n">
        <v>801010</v>
      </c>
      <c r="R742" s="18" t="n">
        <v>827917</v>
      </c>
      <c r="S742" s="20" t="n">
        <v>578317</v>
      </c>
      <c r="T742" s="6" t="n">
        <v>2</v>
      </c>
      <c r="U742" s="5" t="inlineStr">
        <is>
          <t>CDMO / 2015년~(계약별 상이) / ~2029년 | 백신 원액 및 완제 생산 / 2022년~(계약별 상이)</t>
        </is>
      </c>
      <c r="V742" s="21">
        <f>HYPERLINK("https://dart.fss.or.kr/dsaf001/main.do?rcpNo=20260813001292", "공시열람")</f>
        <v/>
      </c>
    </row>
    <row r="743">
      <c r="A743" s="5" t="inlineStr">
        <is>
          <t>리메드</t>
        </is>
      </c>
      <c r="B743" s="6" t="inlineStr">
        <is>
          <t>302550</t>
        </is>
      </c>
      <c r="C743" s="6" t="inlineStr">
        <is>
          <t>2026Q2</t>
        </is>
      </c>
      <c r="D743" s="6" t="inlineStr">
        <is>
          <t>20260812</t>
        </is>
      </c>
      <c r="E743" s="16" t="n">
        <v>23436000</v>
      </c>
      <c r="F743" s="16" t="n">
        <v>1922088</v>
      </c>
      <c r="G743" s="16" t="n">
        <v>21513912</v>
      </c>
      <c r="H743" s="6" t="inlineStr">
        <is>
          <t>대,천원</t>
        </is>
      </c>
      <c r="I743" s="17" t="n">
        <v>0</v>
      </c>
      <c r="J743" s="18" t="n">
        <v>21538520</v>
      </c>
      <c r="K743" s="19" t="n">
        <v>21538520</v>
      </c>
      <c r="L743" s="18" t="n">
        <v>21538520</v>
      </c>
      <c r="M743" s="19" t="n">
        <v>21513912</v>
      </c>
      <c r="N743" s="18" t="n">
        <v>21513912</v>
      </c>
      <c r="O743" s="19" t="n">
        <v>21513912</v>
      </c>
      <c r="P743" s="18" t="n">
        <v>21513912</v>
      </c>
      <c r="Q743" s="19" t="n">
        <v>21513912</v>
      </c>
      <c r="R743" s="18" t="n">
        <v>21513912</v>
      </c>
      <c r="S743" s="20" t="n">
        <v>21513912</v>
      </c>
      <c r="T743" s="6" t="n">
        <v>13</v>
      </c>
      <c r="U743" s="5" t="inlineStr">
        <is>
          <t>ZTone plus / 2023.11.02 / 2023 | ZTone plus / 2021.09.27 / 2021 | ZTone plus / 2024.01.16 / 2024</t>
        </is>
      </c>
      <c r="V743" s="21">
        <f>HYPERLINK("https://dart.fss.or.kr/dsaf001/main.do?rcpNo=20260812000883", "공시열람")</f>
        <v/>
      </c>
    </row>
    <row r="744">
      <c r="A744" s="5" t="inlineStr">
        <is>
          <t>동국생명과학</t>
        </is>
      </c>
      <c r="B744" s="6" t="inlineStr">
        <is>
          <t>303810</t>
        </is>
      </c>
      <c r="C744" s="6" t="inlineStr">
        <is>
          <t>2026Q2</t>
        </is>
      </c>
      <c r="D744" s="6" t="inlineStr">
        <is>
          <t>20260814</t>
        </is>
      </c>
      <c r="E744" s="16" t="n">
        <v>1532255</v>
      </c>
      <c r="F744" s="16" t="inlineStr"/>
      <c r="G744" s="16" t="n">
        <v>1532255</v>
      </c>
      <c r="H744" s="6" t="inlineStr">
        <is>
          <t>천원</t>
        </is>
      </c>
      <c r="I744" s="17" t="n">
        <v>-33.4</v>
      </c>
      <c r="J744" s="18" t="inlineStr"/>
      <c r="K744" s="19" t="inlineStr"/>
      <c r="L744" s="18" t="inlineStr"/>
      <c r="M744" s="19" t="n">
        <v>4699240</v>
      </c>
      <c r="N744" s="18" t="n">
        <v>4699240</v>
      </c>
      <c r="O744" s="19" t="n">
        <v>1305331</v>
      </c>
      <c r="P744" s="18" t="n">
        <v>2062558</v>
      </c>
      <c r="Q744" s="19" t="n">
        <v>1399658</v>
      </c>
      <c r="R744" s="18" t="n">
        <v>2301490</v>
      </c>
      <c r="S744" s="20" t="n">
        <v>1532255</v>
      </c>
      <c r="T744" s="6" t="n">
        <v>3</v>
      </c>
      <c r="U744" s="5" t="inlineStr">
        <is>
          <t>C사 / 조영제 / Vial | B사 / 조영제 API / Kg | A사 / 조영제 / Vial</t>
        </is>
      </c>
      <c r="V744" s="21">
        <f>HYPERLINK("https://dart.fss.or.kr/dsaf001/main.do?rcpNo=20260814002097", "공시열람")</f>
        <v/>
      </c>
    </row>
    <row r="745">
      <c r="A745" s="5" t="inlineStr">
        <is>
          <t>솔트룩스</t>
        </is>
      </c>
      <c r="B745" s="6" t="inlineStr">
        <is>
          <t>304100</t>
        </is>
      </c>
      <c r="C745" s="6" t="inlineStr">
        <is>
          <t>2026Q2</t>
        </is>
      </c>
      <c r="D745" s="6" t="inlineStr">
        <is>
          <t>20260814</t>
        </is>
      </c>
      <c r="E745" s="16" t="n">
        <v>19855414</v>
      </c>
      <c r="F745" s="16" t="n">
        <v>6935031</v>
      </c>
      <c r="G745" s="16" t="n">
        <v>12920384</v>
      </c>
      <c r="H745" s="6" t="inlineStr">
        <is>
          <t>천원</t>
        </is>
      </c>
      <c r="I745" s="17" t="n">
        <v>309.5</v>
      </c>
      <c r="J745" s="18" t="n">
        <v>1249055</v>
      </c>
      <c r="K745" s="19" t="n">
        <v>25163</v>
      </c>
      <c r="L745" s="18" t="n">
        <v>19371</v>
      </c>
      <c r="M745" s="19" t="n">
        <v>595897</v>
      </c>
      <c r="N745" s="18" t="n">
        <v>391003</v>
      </c>
      <c r="O745" s="19" t="n">
        <v>3729941</v>
      </c>
      <c r="P745" s="18" t="n">
        <v>4080403</v>
      </c>
      <c r="Q745" s="19" t="n">
        <v>3860077</v>
      </c>
      <c r="R745" s="18" t="n">
        <v>3155538</v>
      </c>
      <c r="S745" s="20" t="n">
        <v>12920384</v>
      </c>
      <c r="T745" s="6" t="n">
        <v>15</v>
      </c>
      <c r="U745" s="5" t="inlineStr">
        <is>
          <t>AI Suite / 삼성에스디에스(주) / 2026-0 | AI Suite / 한전원자력연료 / 2026-06-0 | AI Suite / 동양생명보험(주) / 2026-05</t>
        </is>
      </c>
      <c r="V745" s="21">
        <f>HYPERLINK("https://dart.fss.or.kr/dsaf001/main.do?rcpNo=20260814001518", "공시열람")</f>
        <v/>
      </c>
    </row>
    <row r="746">
      <c r="A746" s="5" t="inlineStr">
        <is>
          <t>세아제강</t>
        </is>
      </c>
      <c r="B746" s="6" t="inlineStr">
        <is>
          <t>306200</t>
        </is>
      </c>
      <c r="C746" s="6" t="inlineStr">
        <is>
          <t>2026Q2</t>
        </is>
      </c>
      <c r="D746" s="6" t="inlineStr">
        <is>
          <t>20260814</t>
        </is>
      </c>
      <c r="E746" s="16" t="n">
        <v>270602</v>
      </c>
      <c r="F746" s="16" t="n">
        <v>202482</v>
      </c>
      <c r="G746" s="16" t="n">
        <v>57760</v>
      </c>
      <c r="H746" s="6" t="inlineStr">
        <is>
          <t>백만원</t>
        </is>
      </c>
      <c r="I746" s="17" t="n">
        <v>-41.9</v>
      </c>
      <c r="J746" s="18" t="n">
        <v>59518</v>
      </c>
      <c r="K746" s="19" t="n">
        <v>39297</v>
      </c>
      <c r="L746" s="18" t="n">
        <v>28941</v>
      </c>
      <c r="M746" s="19" t="n">
        <v>28312</v>
      </c>
      <c r="N746" s="18" t="n">
        <v>22063</v>
      </c>
      <c r="O746" s="19" t="n">
        <v>13697</v>
      </c>
      <c r="P746" s="18" t="n">
        <v>11118</v>
      </c>
      <c r="Q746" s="19" t="n">
        <v>108537</v>
      </c>
      <c r="R746" s="18" t="n">
        <v>99347</v>
      </c>
      <c r="S746" s="20" t="n">
        <v>57760</v>
      </c>
      <c r="T746" s="6" t="n">
        <v>2</v>
      </c>
      <c r="U746" s="5" t="inlineStr">
        <is>
          <t xml:space="preserve">천연가스 이송용 PIPE 공급 계약 / 2025.12. | 카타르 LNG 북부 가스전 프로젝트(STS PIPE) </t>
        </is>
      </c>
      <c r="V746" s="21">
        <f>HYPERLINK("https://dart.fss.or.kr/dsaf001/main.do?rcpNo=20260814003277", "공시열람")</f>
        <v/>
      </c>
    </row>
    <row r="747">
      <c r="A747" s="5" t="inlineStr">
        <is>
          <t>아이엘</t>
        </is>
      </c>
      <c r="B747" s="6" t="inlineStr">
        <is>
          <t>307180</t>
        </is>
      </c>
      <c r="C747" s="6" t="inlineStr">
        <is>
          <t>2026Q2</t>
        </is>
      </c>
      <c r="D747" s="6" t="inlineStr">
        <is>
          <t>20260812</t>
        </is>
      </c>
      <c r="E747" s="16" t="n">
        <v>125025045</v>
      </c>
      <c r="F747" s="16" t="n">
        <v>38197706</v>
      </c>
      <c r="G747" s="16" t="n">
        <v>86817339</v>
      </c>
      <c r="H747" s="6" t="inlineStr">
        <is>
          <t>천원</t>
        </is>
      </c>
      <c r="I747" s="17" t="n">
        <v>0</v>
      </c>
      <c r="J747" s="18" t="n">
        <v>71459722</v>
      </c>
      <c r="K747" s="19" t="n">
        <v>72042712</v>
      </c>
      <c r="L747" s="18" t="n">
        <v>72042712</v>
      </c>
      <c r="M747" s="19" t="n">
        <v>72185570</v>
      </c>
      <c r="N747" s="18" t="n">
        <v>95977954</v>
      </c>
      <c r="O747" s="19" t="n">
        <v>67643548</v>
      </c>
      <c r="P747" s="18" t="n">
        <v>68417593</v>
      </c>
      <c r="Q747" s="19" t="n">
        <v>76025371</v>
      </c>
      <c r="R747" s="18" t="n">
        <v>86817339</v>
      </c>
      <c r="S747" s="20" t="n">
        <v>86817339</v>
      </c>
      <c r="T747" s="6" t="n">
        <v>5</v>
      </c>
      <c r="U747" s="5" t="inlineStr">
        <is>
          <t>전장/조명외 | LED조명/시스템 / - | 모듈 및 램프</t>
        </is>
      </c>
      <c r="V747" s="21">
        <f>HYPERLINK("https://dart.fss.or.kr/dsaf001/main.do?rcpNo=20260812000513", "공시열람")</f>
        <v/>
      </c>
    </row>
    <row r="748">
      <c r="A748" s="5" t="inlineStr">
        <is>
          <t>비투엔</t>
        </is>
      </c>
      <c r="B748" s="6" t="inlineStr">
        <is>
          <t>307870</t>
        </is>
      </c>
      <c r="C748" s="6" t="inlineStr">
        <is>
          <t>2026Q2</t>
        </is>
      </c>
      <c r="D748" s="6" t="inlineStr">
        <is>
          <t>20260813</t>
        </is>
      </c>
      <c r="E748" s="16" t="inlineStr"/>
      <c r="F748" s="16" t="inlineStr"/>
      <c r="G748" s="16" t="n">
        <v>5279</v>
      </c>
      <c r="H748" s="6" t="inlineStr">
        <is>
          <t>백만원</t>
        </is>
      </c>
      <c r="I748" s="17" t="n">
        <v>25.3</v>
      </c>
      <c r="J748" s="18" t="n">
        <v>11610</v>
      </c>
      <c r="K748" s="19" t="n">
        <v>9405</v>
      </c>
      <c r="L748" s="18" t="n">
        <v>9761</v>
      </c>
      <c r="M748" s="19" t="n">
        <v>5934</v>
      </c>
      <c r="N748" s="18" t="n">
        <v>8238</v>
      </c>
      <c r="O748" s="19" t="n">
        <v>4515</v>
      </c>
      <c r="P748" s="18" t="n">
        <v>6208</v>
      </c>
      <c r="Q748" s="19" t="n">
        <v>4579</v>
      </c>
      <c r="R748" s="18" t="n">
        <v>4214</v>
      </c>
      <c r="S748" s="20" t="n">
        <v>5279</v>
      </c>
      <c r="T748" s="6" t="n">
        <v>4</v>
      </c>
      <c r="U748" s="5" t="inlineStr">
        <is>
          <t xml:space="preserve">기타 / - | K사 / 융자차세대시스템 구축_정보계, 데이터관리전환  | 공공 / 차세대 상장공시시스템 구축을 위한 개발 용역 </t>
        </is>
      </c>
      <c r="V748" s="21">
        <f>HYPERLINK("https://dart.fss.or.kr/dsaf001/main.do?rcpNo=20260813000458", "공시열람")</f>
        <v/>
      </c>
    </row>
    <row r="749">
      <c r="A749" s="5" t="inlineStr">
        <is>
          <t>현대오토에버</t>
        </is>
      </c>
      <c r="B749" s="6" t="inlineStr">
        <is>
          <t>307950</t>
        </is>
      </c>
      <c r="C749" s="6" t="inlineStr">
        <is>
          <t>2026Q2</t>
        </is>
      </c>
      <c r="D749" s="6" t="inlineStr">
        <is>
          <t>20260814</t>
        </is>
      </c>
      <c r="E749" s="16" t="n">
        <v>18896</v>
      </c>
      <c r="F749" s="16" t="n">
        <v>6155</v>
      </c>
      <c r="G749" s="16" t="n">
        <v>12741</v>
      </c>
      <c r="H749" s="6" t="inlineStr">
        <is>
          <t>억원</t>
        </is>
      </c>
      <c r="I749" s="17" t="n">
        <v>13.8</v>
      </c>
      <c r="J749" s="18" t="n">
        <v>8031</v>
      </c>
      <c r="K749" s="19" t="n">
        <v>8660</v>
      </c>
      <c r="L749" s="18" t="n">
        <v>10167</v>
      </c>
      <c r="M749" s="19" t="n">
        <v>2888</v>
      </c>
      <c r="N749" s="18" t="n">
        <v>10743</v>
      </c>
      <c r="O749" s="19" t="n">
        <v>14200</v>
      </c>
      <c r="P749" s="18" t="n">
        <v>10072</v>
      </c>
      <c r="Q749" s="19" t="n">
        <v>10775</v>
      </c>
      <c r="R749" s="18" t="n">
        <v>11200</v>
      </c>
      <c r="S749" s="20" t="n">
        <v>12741</v>
      </c>
      <c r="T749" s="6" t="n">
        <v>1</v>
      </c>
      <c r="U749" s="5" t="inlineStr">
        <is>
          <t>시스템 구축 / -</t>
        </is>
      </c>
      <c r="V749" s="21">
        <f>HYPERLINK("https://dart.fss.or.kr/dsaf001/main.do?rcpNo=20260814003571", "공시열람")</f>
        <v/>
      </c>
    </row>
    <row r="750">
      <c r="A750" s="5" t="inlineStr">
        <is>
          <t>아이티켐</t>
        </is>
      </c>
      <c r="B750" s="6" t="inlineStr">
        <is>
          <t>309710</t>
        </is>
      </c>
      <c r="C750" s="6" t="inlineStr">
        <is>
          <t>2026Q1</t>
        </is>
      </c>
      <c r="D750" s="6" t="inlineStr">
        <is>
          <t>20260601</t>
        </is>
      </c>
      <c r="E750" s="16" t="n">
        <v>19921</v>
      </c>
      <c r="F750" s="16" t="n">
        <v>1519</v>
      </c>
      <c r="G750" s="16" t="n">
        <v>18402</v>
      </c>
      <c r="H750" s="6" t="inlineStr">
        <is>
          <t>Kg,백만원</t>
        </is>
      </c>
      <c r="I750" s="17" t="n">
        <v>8.800000000000001</v>
      </c>
      <c r="J750" s="18" t="inlineStr"/>
      <c r="K750" s="19" t="inlineStr"/>
      <c r="L750" s="18" t="inlineStr"/>
      <c r="M750" s="19" t="inlineStr"/>
      <c r="N750" s="18" t="inlineStr"/>
      <c r="O750" s="19" t="n">
        <v>11301</v>
      </c>
      <c r="P750" s="18" t="n">
        <v>9821</v>
      </c>
      <c r="Q750" s="19" t="n">
        <v>16918</v>
      </c>
      <c r="R750" s="18" t="n">
        <v>18402</v>
      </c>
      <c r="S750" s="20" t="inlineStr"/>
      <c r="T750" s="6" t="n">
        <v>14</v>
      </c>
      <c r="U750" s="5" t="inlineStr">
        <is>
          <t>BCBB / 2025-12-04 / 2027-05-31 | SK-BMK / 2026-02-28 / 2026-07- | TPB-100T / 2026-03-20 / 2027-0</t>
        </is>
      </c>
      <c r="V750" s="21">
        <f>HYPERLINK("https://dart.fss.or.kr/dsaf001/main.do?rcpNo=20260601001979", "공시열람")</f>
        <v/>
      </c>
    </row>
    <row r="751">
      <c r="A751" s="5" t="inlineStr">
        <is>
          <t>엘에이티</t>
        </is>
      </c>
      <c r="B751" s="6" t="inlineStr">
        <is>
          <t>311060</t>
        </is>
      </c>
      <c r="C751" s="6" t="inlineStr">
        <is>
          <t>2023Q4</t>
        </is>
      </c>
      <c r="D751" s="6" t="inlineStr">
        <is>
          <t>20240320</t>
        </is>
      </c>
      <c r="E751" s="16" t="n">
        <v>43849725</v>
      </c>
      <c r="F751" s="16" t="n">
        <v>7560166</v>
      </c>
      <c r="G751" s="16" t="n">
        <v>36289559</v>
      </c>
      <c r="H751" s="6" t="inlineStr">
        <is>
          <t>천원</t>
        </is>
      </c>
      <c r="I751" s="17" t="inlineStr"/>
      <c r="J751" s="18" t="inlineStr"/>
      <c r="K751" s="19" t="inlineStr"/>
      <c r="L751" s="18" t="inlineStr"/>
      <c r="M751" s="19" t="inlineStr"/>
      <c r="N751" s="18" t="inlineStr"/>
      <c r="O751" s="19" t="inlineStr"/>
      <c r="P751" s="18" t="inlineStr"/>
      <c r="Q751" s="19" t="inlineStr"/>
      <c r="R751" s="18" t="inlineStr"/>
      <c r="S751" s="20" t="inlineStr"/>
      <c r="T751" s="6" t="n">
        <v>1</v>
      </c>
      <c r="U751" s="5" t="inlineStr">
        <is>
          <t>반도체/Display 장비 등 / 2023년 / 202</t>
        </is>
      </c>
      <c r="V751" s="21">
        <f>HYPERLINK("https://dart.fss.or.kr/dsaf001/main.do?rcpNo=20240320001509", "공시열람")</f>
        <v/>
      </c>
    </row>
    <row r="752">
      <c r="A752" s="5" t="inlineStr">
        <is>
          <t>인터로이드</t>
        </is>
      </c>
      <c r="B752" s="6" t="inlineStr">
        <is>
          <t>311960</t>
        </is>
      </c>
      <c r="C752" s="6" t="inlineStr">
        <is>
          <t>2025Q4</t>
        </is>
      </c>
      <c r="D752" s="6" t="inlineStr">
        <is>
          <t>20260326</t>
        </is>
      </c>
      <c r="E752" s="16" t="inlineStr"/>
      <c r="F752" s="16" t="inlineStr"/>
      <c r="G752" s="16" t="n">
        <v>328458</v>
      </c>
      <c r="H752" s="6" t="inlineStr">
        <is>
          <t>천원</t>
        </is>
      </c>
      <c r="I752" s="17" t="n">
        <v>-65.40000000000001</v>
      </c>
      <c r="J752" s="18" t="inlineStr"/>
      <c r="K752" s="19" t="inlineStr"/>
      <c r="L752" s="18" t="inlineStr"/>
      <c r="M752" s="19" t="n">
        <v>948339</v>
      </c>
      <c r="N752" s="18" t="inlineStr"/>
      <c r="O752" s="19" t="inlineStr"/>
      <c r="P752" s="18" t="inlineStr"/>
      <c r="Q752" s="19" t="n">
        <v>328458</v>
      </c>
      <c r="R752" s="18" t="inlineStr"/>
      <c r="S752" s="20" t="inlineStr"/>
      <c r="T752" s="6" t="n">
        <v>2</v>
      </c>
      <c r="U752" s="5" t="inlineStr">
        <is>
          <t xml:space="preserve">공장설립인허가사전진단서비스시범구축 / 한국산업단지공단  | 24년 사회보장정보시스템 확대개편 사업 / 보건복지부 </t>
        </is>
      </c>
      <c r="V752" s="21">
        <f>HYPERLINK("https://dart.fss.or.kr/dsaf001/main.do?rcpNo=20260326000677", "공시열람")</f>
        <v/>
      </c>
    </row>
    <row r="753">
      <c r="A753" s="5" t="inlineStr">
        <is>
          <t>캐리</t>
        </is>
      </c>
      <c r="B753" s="6" t="inlineStr">
        <is>
          <t>313760</t>
        </is>
      </c>
      <c r="C753" s="6" t="inlineStr">
        <is>
          <t>2024Q4</t>
        </is>
      </c>
      <c r="D753" s="6" t="inlineStr">
        <is>
          <t>20250326</t>
        </is>
      </c>
      <c r="E753" s="16" t="inlineStr"/>
      <c r="F753" s="16" t="inlineStr"/>
      <c r="G753" s="16" t="n">
        <v>125654</v>
      </c>
      <c r="H753" s="6" t="inlineStr">
        <is>
          <t>천원</t>
        </is>
      </c>
      <c r="I753" s="17" t="n">
        <v>-96</v>
      </c>
      <c r="J753" s="18" t="inlineStr"/>
      <c r="K753" s="19" t="inlineStr"/>
      <c r="L753" s="18" t="inlineStr"/>
      <c r="M753" s="19" t="n">
        <v>125654</v>
      </c>
      <c r="N753" s="18" t="inlineStr"/>
      <c r="O753" s="19" t="inlineStr"/>
      <c r="P753" s="18" t="inlineStr"/>
      <c r="Q753" s="19" t="inlineStr"/>
      <c r="R753" s="18" t="inlineStr"/>
      <c r="S753" s="20" t="inlineStr"/>
      <c r="T753" s="6" t="n">
        <v>1</v>
      </c>
      <c r="U753" s="5" t="inlineStr">
        <is>
          <t>효성광양금호1호 태양광발전소 건설 공사</t>
        </is>
      </c>
      <c r="V753" s="21">
        <f>HYPERLINK("https://dart.fss.or.kr/dsaf001/main.do?rcpNo=20250326000865", "공시열람")</f>
        <v/>
      </c>
    </row>
    <row r="754">
      <c r="A754" s="5" t="inlineStr">
        <is>
          <t>지놈앤컴퍼니</t>
        </is>
      </c>
      <c r="B754" s="6" t="inlineStr">
        <is>
          <t>314130</t>
        </is>
      </c>
      <c r="C754" s="6" t="inlineStr">
        <is>
          <t>2026Q2</t>
        </is>
      </c>
      <c r="D754" s="6" t="inlineStr">
        <is>
          <t>20260814</t>
        </is>
      </c>
      <c r="E754" s="16" t="n">
        <v>4916</v>
      </c>
      <c r="F754" s="16" t="n">
        <v>-1484</v>
      </c>
      <c r="G754" s="16" t="n">
        <v>6400</v>
      </c>
      <c r="H754" s="6" t="inlineStr">
        <is>
          <t>백만원</t>
        </is>
      </c>
      <c r="I754" s="17" t="n">
        <v>102.1</v>
      </c>
      <c r="J754" s="18" t="n">
        <v>3298</v>
      </c>
      <c r="K754" s="19" t="n">
        <v>5178</v>
      </c>
      <c r="L754" s="18" t="n">
        <v>7935</v>
      </c>
      <c r="M754" s="19" t="n">
        <v>8000</v>
      </c>
      <c r="N754" s="18" t="n">
        <v>2270</v>
      </c>
      <c r="O754" s="19" t="n">
        <v>5006</v>
      </c>
      <c r="P754" s="18" t="n">
        <v>3501</v>
      </c>
      <c r="Q754" s="19" t="n">
        <v>3488</v>
      </c>
      <c r="R754" s="18" t="n">
        <v>3167</v>
      </c>
      <c r="S754" s="20" t="n">
        <v>6400</v>
      </c>
      <c r="T754" s="6" t="n">
        <v>1</v>
      </c>
      <c r="U754" s="5" t="inlineStr">
        <is>
          <t>CDMO / 2023~ / ~2026</t>
        </is>
      </c>
      <c r="V754" s="21">
        <f>HYPERLINK("https://dart.fss.or.kr/dsaf001/main.do?rcpNo=20260814003059", "공시열람")</f>
        <v/>
      </c>
    </row>
    <row r="755">
      <c r="A755" s="5" t="inlineStr">
        <is>
          <t>딥노이드</t>
        </is>
      </c>
      <c r="B755" s="6" t="inlineStr">
        <is>
          <t>315640</t>
        </is>
      </c>
      <c r="C755" s="6" t="inlineStr">
        <is>
          <t>2026Q2</t>
        </is>
      </c>
      <c r="D755" s="6" t="inlineStr">
        <is>
          <t>20260814</t>
        </is>
      </c>
      <c r="E755" s="16" t="n">
        <v>11954197</v>
      </c>
      <c r="F755" s="16" t="n">
        <v>9390406</v>
      </c>
      <c r="G755" s="16" t="n">
        <v>2563791</v>
      </c>
      <c r="H755" s="6" t="inlineStr">
        <is>
          <t>천원</t>
        </is>
      </c>
      <c r="I755" s="17" t="n">
        <v>-25.8</v>
      </c>
      <c r="J755" s="18" t="n">
        <v>9641359</v>
      </c>
      <c r="K755" s="19" t="n">
        <v>7863159</v>
      </c>
      <c r="L755" s="18" t="n">
        <v>6105915</v>
      </c>
      <c r="M755" s="19" t="n">
        <v>4071022</v>
      </c>
      <c r="N755" s="18" t="n">
        <v>3414278</v>
      </c>
      <c r="O755" s="19" t="n">
        <v>4293914</v>
      </c>
      <c r="P755" s="18" t="n">
        <v>2891025</v>
      </c>
      <c r="Q755" s="19" t="n">
        <v>3303459</v>
      </c>
      <c r="R755" s="18" t="n">
        <v>3455588</v>
      </c>
      <c r="S755" s="20" t="n">
        <v>2563791</v>
      </c>
      <c r="T755" s="6" t="n">
        <v>1</v>
      </c>
      <c r="U755" s="5" t="inlineStr">
        <is>
          <t>인공지능 솔루션 외</t>
        </is>
      </c>
      <c r="V755" s="21">
        <f>HYPERLINK("https://dart.fss.or.kr/dsaf001/main.do?rcpNo=20260814003155", "공시열람")</f>
        <v/>
      </c>
    </row>
    <row r="756">
      <c r="A756" s="5" t="inlineStr">
        <is>
          <t>자이에스앤디</t>
        </is>
      </c>
      <c r="B756" s="6" t="inlineStr">
        <is>
          <t>317400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n">
        <v>455806</v>
      </c>
      <c r="G756" s="16" t="n">
        <v>3222374</v>
      </c>
      <c r="H756" s="6" t="inlineStr">
        <is>
          <t>백만원</t>
        </is>
      </c>
      <c r="I756" s="17" t="n">
        <v>3.5</v>
      </c>
      <c r="J756" s="18" t="n">
        <v>1959428</v>
      </c>
      <c r="K756" s="19" t="n">
        <v>2163936</v>
      </c>
      <c r="L756" s="18" t="n">
        <v>2138083</v>
      </c>
      <c r="M756" s="19" t="n">
        <v>2096342</v>
      </c>
      <c r="N756" s="18" t="n">
        <v>893468</v>
      </c>
      <c r="O756" s="19" t="n">
        <v>1070282</v>
      </c>
      <c r="P756" s="18" t="n">
        <v>888890</v>
      </c>
      <c r="Q756" s="19" t="n">
        <v>3046867</v>
      </c>
      <c r="R756" s="18" t="n">
        <v>3111951</v>
      </c>
      <c r="S756" s="20" t="n">
        <v>3222374</v>
      </c>
      <c r="T756" s="6" t="n">
        <v>14</v>
      </c>
      <c r="U756" s="5" t="inlineStr">
        <is>
          <t>주택사업 / 기타 | Home Solution 사업 / 광주원주고속도로_BT | 주택사업 / 상주자이르네 / 고은건설</t>
        </is>
      </c>
      <c r="V756" s="21">
        <f>HYPERLINK("https://dart.fss.or.kr/dsaf001/main.do?rcpNo=20260814000451", "공시열람")</f>
        <v/>
      </c>
    </row>
    <row r="757">
      <c r="A757" s="5" t="inlineStr">
        <is>
          <t>에스피시스템스</t>
        </is>
      </c>
      <c r="B757" s="6" t="inlineStr">
        <is>
          <t>317830</t>
        </is>
      </c>
      <c r="C757" s="6" t="inlineStr">
        <is>
          <t>2026Q2</t>
        </is>
      </c>
      <c r="D757" s="6" t="inlineStr">
        <is>
          <t>20260930</t>
        </is>
      </c>
      <c r="E757" s="16" t="n">
        <v>107924386</v>
      </c>
      <c r="F757" s="16" t="n">
        <v>83301732</v>
      </c>
      <c r="G757" s="16" t="n">
        <v>24622654</v>
      </c>
      <c r="H757" s="6" t="inlineStr">
        <is>
          <t>천원</t>
        </is>
      </c>
      <c r="I757" s="17" t="n">
        <v>18.8</v>
      </c>
      <c r="J757" s="18" t="n">
        <v>36764409</v>
      </c>
      <c r="K757" s="19" t="n">
        <v>30105272</v>
      </c>
      <c r="L757" s="18" t="n">
        <v>27100452</v>
      </c>
      <c r="M757" s="19" t="n">
        <v>24782556</v>
      </c>
      <c r="N757" s="18" t="n">
        <v>23521045</v>
      </c>
      <c r="O757" s="19" t="n">
        <v>20825020</v>
      </c>
      <c r="P757" s="18" t="n">
        <v>22517781</v>
      </c>
      <c r="Q757" s="19" t="n">
        <v>16924168</v>
      </c>
      <c r="R757" s="18" t="n">
        <v>20718497</v>
      </c>
      <c r="S757" s="20" t="n">
        <v>24622654</v>
      </c>
      <c r="T757" s="6" t="n">
        <v>2</v>
      </c>
      <c r="U757" s="5" t="inlineStr">
        <is>
          <t>자동화시스템 / - | 스마트팩토리솔루션 / -</t>
        </is>
      </c>
      <c r="V757" s="21">
        <f>HYPERLINK("https://dart.fss.or.kr/dsaf001/main.do?rcpNo=20260930000593", "공시열람")</f>
        <v/>
      </c>
    </row>
    <row r="758">
      <c r="A758" s="5" t="inlineStr">
        <is>
          <t>대모</t>
        </is>
      </c>
      <c r="B758" s="6" t="inlineStr">
        <is>
          <t>317850</t>
        </is>
      </c>
      <c r="C758" s="6" t="inlineStr">
        <is>
          <t>2026Q2</t>
        </is>
      </c>
      <c r="D758" s="6" t="inlineStr">
        <is>
          <t>20260814</t>
        </is>
      </c>
      <c r="E758" s="16" t="n">
        <v>29056237</v>
      </c>
      <c r="F758" s="16" t="n">
        <v>22831190</v>
      </c>
      <c r="G758" s="16" t="n">
        <v>6225047</v>
      </c>
      <c r="H758" s="6" t="inlineStr">
        <is>
          <t>천원</t>
        </is>
      </c>
      <c r="I758" s="17" t="n">
        <v>30.9</v>
      </c>
      <c r="J758" s="18" t="n">
        <v>4880287</v>
      </c>
      <c r="K758" s="19" t="n">
        <v>5695854</v>
      </c>
      <c r="L758" s="18" t="n">
        <v>5343881</v>
      </c>
      <c r="M758" s="19" t="n">
        <v>4808916</v>
      </c>
      <c r="N758" s="18" t="n">
        <v>4520733</v>
      </c>
      <c r="O758" s="19" t="n">
        <v>4262696</v>
      </c>
      <c r="P758" s="18" t="n">
        <v>2846846</v>
      </c>
      <c r="Q758" s="19" t="n">
        <v>5646003</v>
      </c>
      <c r="R758" s="18" t="n">
        <v>4757243</v>
      </c>
      <c r="S758" s="20" t="n">
        <v>6225047</v>
      </c>
      <c r="T758" s="6" t="n">
        <v>1</v>
      </c>
      <c r="U758" s="5" t="inlineStr">
        <is>
          <t>유압브레이커 외 / 2026년 1월 ~ 현재 / 202</t>
        </is>
      </c>
      <c r="V758" s="21">
        <f>HYPERLINK("https://dart.fss.or.kr/dsaf001/main.do?rcpNo=20260814001352", "공시열람")</f>
        <v/>
      </c>
    </row>
    <row r="759">
      <c r="A759" s="5" t="inlineStr">
        <is>
          <t>타임기술</t>
        </is>
      </c>
      <c r="B759" s="6" t="inlineStr">
        <is>
          <t>318660</t>
        </is>
      </c>
      <c r="C759" s="6" t="inlineStr">
        <is>
          <t>2025Q4</t>
        </is>
      </c>
      <c r="D759" s="6" t="inlineStr">
        <is>
          <t>20260323</t>
        </is>
      </c>
      <c r="E759" s="16" t="n">
        <v>12050414</v>
      </c>
      <c r="F759" s="16" t="n">
        <v>6658852</v>
      </c>
      <c r="G759" s="16" t="n">
        <v>5391558</v>
      </c>
      <c r="H759" s="6" t="inlineStr">
        <is>
          <t>천원</t>
        </is>
      </c>
      <c r="I759" s="17" t="n">
        <v>-16.3</v>
      </c>
      <c r="J759" s="18" t="inlineStr"/>
      <c r="K759" s="19" t="inlineStr"/>
      <c r="L759" s="18" t="inlineStr"/>
      <c r="M759" s="19" t="n">
        <v>6438018</v>
      </c>
      <c r="N759" s="18" t="inlineStr"/>
      <c r="O759" s="19" t="inlineStr"/>
      <c r="P759" s="18" t="inlineStr"/>
      <c r="Q759" s="19" t="n">
        <v>5391558</v>
      </c>
      <c r="R759" s="18" t="inlineStr"/>
      <c r="S759" s="20" t="inlineStr"/>
      <c r="T759" s="6" t="n">
        <v>26</v>
      </c>
      <c r="U759" s="5" t="inlineStr">
        <is>
          <t>IPS / 한국항공우주산업 / 2025-01-01 | IPS / 한국항공우주산업 / 2024-09-10 | 콘텐츠 / 현대로템 / 2025-08-08</t>
        </is>
      </c>
      <c r="V759" s="21">
        <f>HYPERLINK("https://dart.fss.or.kr/dsaf001/main.do?rcpNo=20260323000081", "공시열람")</f>
        <v/>
      </c>
    </row>
    <row r="760">
      <c r="A760" s="5" t="inlineStr">
        <is>
          <t>현대무벡스</t>
        </is>
      </c>
      <c r="B760" s="6" t="inlineStr">
        <is>
          <t>319400</t>
        </is>
      </c>
      <c r="C760" s="6" t="inlineStr">
        <is>
          <t>2026Q2</t>
        </is>
      </c>
      <c r="D760" s="6" t="inlineStr">
        <is>
          <t>20260814</t>
        </is>
      </c>
      <c r="E760" s="16" t="n">
        <v>548128800</v>
      </c>
      <c r="F760" s="16" t="n">
        <v>166327510</v>
      </c>
      <c r="G760" s="16" t="n">
        <v>381801290</v>
      </c>
      <c r="H760" s="6" t="inlineStr">
        <is>
          <t>천원</t>
        </is>
      </c>
      <c r="I760" s="17" t="n">
        <v>3.9</v>
      </c>
      <c r="J760" s="18" t="n">
        <v>15268789</v>
      </c>
      <c r="K760" s="19" t="n">
        <v>540418228</v>
      </c>
      <c r="L760" s="18" t="n">
        <v>486486816</v>
      </c>
      <c r="M760" s="19" t="n">
        <v>426861169</v>
      </c>
      <c r="N760" s="18" t="n">
        <v>466303912</v>
      </c>
      <c r="O760" s="19" t="n">
        <v>421481842</v>
      </c>
      <c r="P760" s="18" t="n">
        <v>363174184</v>
      </c>
      <c r="Q760" s="19" t="n">
        <v>373176713</v>
      </c>
      <c r="R760" s="18" t="n">
        <v>367420774</v>
      </c>
      <c r="S760" s="20" t="n">
        <v>381801290</v>
      </c>
      <c r="T760" s="6" t="n">
        <v>3</v>
      </c>
      <c r="U760" s="5" t="inlineStr">
        <is>
          <t>물류자동화 / 2026.06.30. 까지 | 승강장 안전문 / 2026.06.30. 까지 | IT서비스 / 2026.06.30. 까지</t>
        </is>
      </c>
      <c r="V760" s="21">
        <f>HYPERLINK("https://dart.fss.or.kr/dsaf001/main.do?rcpNo=20260814003499", "공시열람")</f>
        <v/>
      </c>
    </row>
    <row r="761">
      <c r="A761" s="5" t="inlineStr">
        <is>
          <t>한울반도체</t>
        </is>
      </c>
      <c r="B761" s="6" t="inlineStr">
        <is>
          <t>320000</t>
        </is>
      </c>
      <c r="C761" s="6" t="inlineStr">
        <is>
          <t>2026Q2</t>
        </is>
      </c>
      <c r="D761" s="6" t="inlineStr">
        <is>
          <t>20260814</t>
        </is>
      </c>
      <c r="E761" s="16" t="n">
        <v>9908436</v>
      </c>
      <c r="F761" s="16" t="n">
        <v>4976149</v>
      </c>
      <c r="G761" s="16" t="n">
        <v>4932288</v>
      </c>
      <c r="H761" s="6" t="inlineStr">
        <is>
          <t>천원</t>
        </is>
      </c>
      <c r="I761" s="17" t="n">
        <v>-1.8</v>
      </c>
      <c r="J761" s="18" t="n">
        <v>8322663</v>
      </c>
      <c r="K761" s="19" t="n">
        <v>6124561</v>
      </c>
      <c r="L761" s="18" t="n">
        <v>6804608</v>
      </c>
      <c r="M761" s="19" t="n">
        <v>7629493</v>
      </c>
      <c r="N761" s="18" t="n">
        <v>8734250</v>
      </c>
      <c r="O761" s="19" t="n">
        <v>8959316</v>
      </c>
      <c r="P761" s="18" t="n">
        <v>9579565</v>
      </c>
      <c r="Q761" s="19" t="n">
        <v>6363585</v>
      </c>
      <c r="R761" s="18" t="n">
        <v>5020482</v>
      </c>
      <c r="S761" s="20" t="n">
        <v>4932288</v>
      </c>
      <c r="T761" s="6" t="n">
        <v>3</v>
      </c>
      <c r="U761" s="5" t="inlineStr">
        <is>
          <t>머신비전(주1) / Chip 검사장비 / - | 머신비전(주1) / Display 검사장비 / - | 머신비전(주1) / Film 검사장비 / -</t>
        </is>
      </c>
      <c r="V761" s="21">
        <f>HYPERLINK("https://dart.fss.or.kr/dsaf001/main.do?rcpNo=20260814003668", "공시열람")</f>
        <v/>
      </c>
    </row>
    <row r="762">
      <c r="A762" s="5" t="inlineStr">
        <is>
          <t>프로이천</t>
        </is>
      </c>
      <c r="B762" s="6" t="inlineStr">
        <is>
          <t>321260</t>
        </is>
      </c>
      <c r="C762" s="6" t="inlineStr">
        <is>
          <t>2026Q2</t>
        </is>
      </c>
      <c r="D762" s="6" t="inlineStr">
        <is>
          <t>20260813</t>
        </is>
      </c>
      <c r="E762" s="16" t="n">
        <v>15482</v>
      </c>
      <c r="F762" s="16" t="n">
        <v>15482</v>
      </c>
      <c r="G762" s="16" t="n">
        <v>0</v>
      </c>
      <c r="H762" s="6" t="inlineStr">
        <is>
          <t>백만원</t>
        </is>
      </c>
      <c r="I762" s="17" t="n">
        <v>-100</v>
      </c>
      <c r="J762" s="18" t="n">
        <v>9626</v>
      </c>
      <c r="K762" s="19" t="n">
        <v>4205</v>
      </c>
      <c r="L762" s="18" t="n">
        <v>2500</v>
      </c>
      <c r="M762" s="19" t="n">
        <v>4836</v>
      </c>
      <c r="N762" s="18" t="n">
        <v>2485</v>
      </c>
      <c r="O762" s="19" t="n">
        <v>2781</v>
      </c>
      <c r="P762" s="18" t="n">
        <v>4046</v>
      </c>
      <c r="Q762" s="19" t="n">
        <v>3069</v>
      </c>
      <c r="R762" s="18" t="n">
        <v>5221</v>
      </c>
      <c r="S762" s="20" t="n">
        <v>0</v>
      </c>
      <c r="T762" s="6" t="n">
        <v>2</v>
      </c>
      <c r="U762" s="5" t="inlineStr">
        <is>
          <t>디스플레이 검사장치 / - | 반도체 검사장치 / -</t>
        </is>
      </c>
      <c r="V762" s="21">
        <f>HYPERLINK("https://dart.fss.or.kr/dsaf001/main.do?rcpNo=20260813000508", "공시열람")</f>
        <v/>
      </c>
    </row>
    <row r="763">
      <c r="A763" s="5" t="inlineStr">
        <is>
          <t>센서뷰</t>
        </is>
      </c>
      <c r="B763" s="6" t="inlineStr">
        <is>
          <t>321370</t>
        </is>
      </c>
      <c r="C763" s="6" t="inlineStr">
        <is>
          <t>2026Q2</t>
        </is>
      </c>
      <c r="D763" s="6" t="inlineStr">
        <is>
          <t>20260814</t>
        </is>
      </c>
      <c r="E763" s="16" t="inlineStr"/>
      <c r="F763" s="16" t="inlineStr"/>
      <c r="G763" s="16" t="n">
        <v>22089913</v>
      </c>
      <c r="H763" s="6" t="inlineStr">
        <is>
          <t>천원</t>
        </is>
      </c>
      <c r="I763" s="17" t="n">
        <v>33.9</v>
      </c>
      <c r="J763" s="18" t="inlineStr"/>
      <c r="K763" s="19" t="inlineStr"/>
      <c r="L763" s="18" t="n">
        <v>945562</v>
      </c>
      <c r="M763" s="19" t="n">
        <v>4577353</v>
      </c>
      <c r="N763" s="18" t="n">
        <v>5679754</v>
      </c>
      <c r="O763" s="19" t="n">
        <v>10415701</v>
      </c>
      <c r="P763" s="18" t="n">
        <v>10449728</v>
      </c>
      <c r="Q763" s="19" t="n">
        <v>8177397</v>
      </c>
      <c r="R763" s="18" t="n">
        <v>16496947</v>
      </c>
      <c r="S763" s="20" t="n">
        <v>22089913</v>
      </c>
      <c r="T763" s="6" t="n">
        <v>0</v>
      </c>
      <c r="U763" s="5" t="inlineStr"/>
      <c r="V763" s="21">
        <f>HYPERLINK("https://dart.fss.or.kr/dsaf001/main.do?rcpNo=20260814002382", "공시열람")</f>
        <v/>
      </c>
    </row>
    <row r="764">
      <c r="A764" s="5" t="inlineStr">
        <is>
          <t>티움바이오</t>
        </is>
      </c>
      <c r="B764" s="6" t="inlineStr">
        <is>
          <t>321550</t>
        </is>
      </c>
      <c r="C764" s="6" t="inlineStr">
        <is>
          <t>2026Q2</t>
        </is>
      </c>
      <c r="D764" s="6" t="inlineStr">
        <is>
          <t>20260814</t>
        </is>
      </c>
      <c r="E764" s="16" t="n">
        <v>41513346</v>
      </c>
      <c r="F764" s="16" t="n">
        <v>16193935</v>
      </c>
      <c r="G764" s="16" t="n">
        <v>25319411</v>
      </c>
      <c r="H764" s="6" t="inlineStr">
        <is>
          <t>천원</t>
        </is>
      </c>
      <c r="I764" s="17" t="n">
        <v>3</v>
      </c>
      <c r="J764" s="18" t="n">
        <v>6459279</v>
      </c>
      <c r="K764" s="19" t="n">
        <v>6352419</v>
      </c>
      <c r="L764" s="18" t="n">
        <v>5391920</v>
      </c>
      <c r="M764" s="19" t="n">
        <v>4426646</v>
      </c>
      <c r="N764" s="18" t="n">
        <v>5494042</v>
      </c>
      <c r="O764" s="19" t="n">
        <v>14990431</v>
      </c>
      <c r="P764" s="18" t="n">
        <v>23035137</v>
      </c>
      <c r="Q764" s="19" t="n">
        <v>20577295</v>
      </c>
      <c r="R764" s="18" t="n">
        <v>24583961</v>
      </c>
      <c r="S764" s="20" t="n">
        <v>25319411</v>
      </c>
      <c r="T764" s="6" t="n">
        <v>2</v>
      </c>
      <c r="U764" s="5" t="inlineStr">
        <is>
          <t>위탁개발 및 분석 | 천연화장품 OEM/ODM</t>
        </is>
      </c>
      <c r="V764" s="21">
        <f>HYPERLINK("https://dart.fss.or.kr/dsaf001/main.do?rcpNo=20260814001441", "공시열람")</f>
        <v/>
      </c>
    </row>
    <row r="765">
      <c r="A765" s="5" t="inlineStr">
        <is>
          <t>HD현대에너지솔루션</t>
        </is>
      </c>
      <c r="B765" s="6" t="inlineStr">
        <is>
          <t>322000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14303229</v>
      </c>
      <c r="H765" s="6" t="inlineStr">
        <is>
          <t>천원</t>
        </is>
      </c>
      <c r="I765" s="17" t="n">
        <v>35.8</v>
      </c>
      <c r="J765" s="18" t="n">
        <v>27217550</v>
      </c>
      <c r="K765" s="19" t="n">
        <v>15399084</v>
      </c>
      <c r="L765" s="18" t="n">
        <v>19232675</v>
      </c>
      <c r="M765" s="19" t="n">
        <v>23807433</v>
      </c>
      <c r="N765" s="18" t="n">
        <v>23807433</v>
      </c>
      <c r="O765" s="19" t="n">
        <v>4927681</v>
      </c>
      <c r="P765" s="18" t="n">
        <v>4324569</v>
      </c>
      <c r="Q765" s="19" t="n">
        <v>5379590</v>
      </c>
      <c r="R765" s="18" t="n">
        <v>10529250</v>
      </c>
      <c r="S765" s="20" t="n">
        <v>14303229</v>
      </c>
      <c r="T765" s="6" t="n">
        <v>1</v>
      </c>
      <c r="U765" s="5" t="inlineStr">
        <is>
          <t>모듈설치 공사 / '26.06.30 까지 / -</t>
        </is>
      </c>
      <c r="V765" s="21">
        <f>HYPERLINK("https://dart.fss.or.kr/dsaf001/main.do?rcpNo=20260814002295", "공시열람")</f>
        <v/>
      </c>
    </row>
    <row r="766">
      <c r="A766" s="5" t="inlineStr">
        <is>
          <t>LS티라유텍</t>
        </is>
      </c>
      <c r="B766" s="6" t="inlineStr">
        <is>
          <t>322180</t>
        </is>
      </c>
      <c r="C766" s="6" t="inlineStr">
        <is>
          <t>2026Q2</t>
        </is>
      </c>
      <c r="D766" s="6" t="inlineStr">
        <is>
          <t>20260814</t>
        </is>
      </c>
      <c r="E766" s="16" t="n">
        <v>50590</v>
      </c>
      <c r="F766" s="16" t="n">
        <v>37187</v>
      </c>
      <c r="G766" s="16" t="n">
        <v>13404</v>
      </c>
      <c r="H766" s="6" t="inlineStr">
        <is>
          <t>백만원</t>
        </is>
      </c>
      <c r="I766" s="17" t="n">
        <v>-13.2</v>
      </c>
      <c r="J766" s="18" t="n">
        <v>17017</v>
      </c>
      <c r="K766" s="19" t="n">
        <v>16240</v>
      </c>
      <c r="L766" s="18" t="n">
        <v>11441</v>
      </c>
      <c r="M766" s="19" t="n">
        <v>1098</v>
      </c>
      <c r="N766" s="18" t="n">
        <v>14792</v>
      </c>
      <c r="O766" s="19" t="n">
        <v>581</v>
      </c>
      <c r="P766" s="18" t="n">
        <v>14469</v>
      </c>
      <c r="Q766" s="19" t="n">
        <v>309</v>
      </c>
      <c r="R766" s="18" t="n">
        <v>15445</v>
      </c>
      <c r="S766" s="20" t="n">
        <v>13404</v>
      </c>
      <c r="T766" s="6" t="n">
        <v>5</v>
      </c>
      <c r="U766" s="5" t="inlineStr">
        <is>
          <t>IT서비스 및 SW매출 / - | 파우치형 이차전지 스마트팩토리 구축 / 2024-05- | 물류자동화 공급 / 2025-07-28 / 2026-1</t>
        </is>
      </c>
      <c r="V766" s="21">
        <f>HYPERLINK("https://dart.fss.or.kr/dsaf001/main.do?rcpNo=20260814002493", "공시열람")</f>
        <v/>
      </c>
    </row>
    <row r="767">
      <c r="A767" s="5" t="inlineStr">
        <is>
          <t>제이엘케이</t>
        </is>
      </c>
      <c r="B767" s="6" t="inlineStr">
        <is>
          <t>322510</t>
        </is>
      </c>
      <c r="C767" s="6" t="inlineStr">
        <is>
          <t>2026Q2</t>
        </is>
      </c>
      <c r="D767" s="6" t="inlineStr">
        <is>
          <t>20260814</t>
        </is>
      </c>
      <c r="E767" s="16" t="n">
        <v>1000</v>
      </c>
      <c r="F767" s="16" t="n">
        <v>750</v>
      </c>
      <c r="G767" s="16" t="n">
        <v>250</v>
      </c>
      <c r="H767" s="6" t="inlineStr">
        <is>
          <t>백만원</t>
        </is>
      </c>
      <c r="I767" s="17" t="n">
        <v>0</v>
      </c>
      <c r="J767" s="18" t="n">
        <v>1360</v>
      </c>
      <c r="K767" s="19" t="n">
        <v>1360</v>
      </c>
      <c r="L767" s="18" t="n">
        <v>1360</v>
      </c>
      <c r="M767" s="19" t="n">
        <v>1360</v>
      </c>
      <c r="N767" s="18" t="n">
        <v>700</v>
      </c>
      <c r="O767" s="19" t="n">
        <v>500</v>
      </c>
      <c r="P767" s="18" t="n">
        <v>500</v>
      </c>
      <c r="Q767" s="19" t="n">
        <v>250</v>
      </c>
      <c r="R767" s="18" t="n">
        <v>250</v>
      </c>
      <c r="S767" s="20" t="n">
        <v>250</v>
      </c>
      <c r="T767" s="6" t="n">
        <v>1</v>
      </c>
      <c r="U767" s="5" t="inlineStr">
        <is>
          <t>JVIEWER-X(AI 기반 흉부 X-ray 폐영상 분</t>
        </is>
      </c>
      <c r="V767" s="21">
        <f>HYPERLINK("https://dart.fss.or.kr/dsaf001/main.do?rcpNo=20260814002418", "공시열람")</f>
        <v/>
      </c>
    </row>
    <row r="768">
      <c r="A768" s="5" t="inlineStr">
        <is>
          <t>태성</t>
        </is>
      </c>
      <c r="B768" s="6" t="inlineStr">
        <is>
          <t>323280</t>
        </is>
      </c>
      <c r="C768" s="6" t="inlineStr">
        <is>
          <t>2026Q2</t>
        </is>
      </c>
      <c r="D768" s="6" t="inlineStr">
        <is>
          <t>20260812</t>
        </is>
      </c>
      <c r="E768" s="16" t="n">
        <v>68975</v>
      </c>
      <c r="F768" s="16" t="n">
        <v>23382</v>
      </c>
      <c r="G768" s="16" t="n">
        <v>45593</v>
      </c>
      <c r="H768" s="6" t="inlineStr">
        <is>
          <t>백만원</t>
        </is>
      </c>
      <c r="I768" s="17" t="n">
        <v>43</v>
      </c>
      <c r="J768" s="18" t="n">
        <v>22375</v>
      </c>
      <c r="K768" s="19" t="n">
        <v>16537</v>
      </c>
      <c r="L768" s="18" t="n">
        <v>8512</v>
      </c>
      <c r="M768" s="19" t="n">
        <v>7468</v>
      </c>
      <c r="N768" s="18" t="n">
        <v>7737</v>
      </c>
      <c r="O768" s="19" t="n">
        <v>7076</v>
      </c>
      <c r="P768" s="18" t="n">
        <v>13999</v>
      </c>
      <c r="Q768" s="19" t="n">
        <v>38453</v>
      </c>
      <c r="R768" s="18" t="n">
        <v>31891</v>
      </c>
      <c r="S768" s="20" t="n">
        <v>45593</v>
      </c>
      <c r="T768" s="6" t="n">
        <v>9</v>
      </c>
      <c r="U768" s="5" t="inlineStr">
        <is>
          <t>제품 / - | 제품 / - | 제품 / -</t>
        </is>
      </c>
      <c r="V768" s="21">
        <f>HYPERLINK("https://dart.fss.or.kr/dsaf001/main.do?rcpNo=20260812000203", "공시열람")</f>
        <v/>
      </c>
    </row>
    <row r="769">
      <c r="A769" s="5" t="inlineStr">
        <is>
          <t>다원넥스뷰</t>
        </is>
      </c>
      <c r="B769" s="6" t="inlineStr">
        <is>
          <t>323350</t>
        </is>
      </c>
      <c r="C769" s="6" t="inlineStr">
        <is>
          <t>2023Q4</t>
        </is>
      </c>
      <c r="D769" s="6" t="inlineStr">
        <is>
          <t>20240314</t>
        </is>
      </c>
      <c r="E769" s="16" t="n">
        <v>20729</v>
      </c>
      <c r="F769" s="16" t="n">
        <v>6556</v>
      </c>
      <c r="G769" s="16" t="n">
        <v>14173</v>
      </c>
      <c r="H769" s="6" t="inlineStr"/>
      <c r="I769" s="17" t="inlineStr"/>
      <c r="J769" s="18" t="inlineStr"/>
      <c r="K769" s="19" t="inlineStr"/>
      <c r="L769" s="18" t="inlineStr"/>
      <c r="M769" s="19" t="inlineStr"/>
      <c r="N769" s="18" t="inlineStr"/>
      <c r="O769" s="19" t="inlineStr"/>
      <c r="P769" s="18" t="inlineStr"/>
      <c r="Q769" s="19" t="inlineStr"/>
      <c r="R769" s="18" t="inlineStr"/>
      <c r="S769" s="20" t="inlineStr"/>
      <c r="T769" s="6" t="n">
        <v>1</v>
      </c>
      <c r="U769" s="5" t="inlineStr">
        <is>
          <t>LSMB / 23.01.01 ~ 23.12.31 / 2</t>
        </is>
      </c>
      <c r="V769" s="21">
        <f>HYPERLINK("https://dart.fss.or.kr/dsaf001/main.do?rcpNo=20240314000984", "공시열람")</f>
        <v/>
      </c>
    </row>
    <row r="770">
      <c r="A770" s="5" t="inlineStr">
        <is>
          <t>루닛</t>
        </is>
      </c>
      <c r="B770" s="6" t="inlineStr">
        <is>
          <t>328130</t>
        </is>
      </c>
      <c r="C770" s="6" t="inlineStr">
        <is>
          <t>2026Q2</t>
        </is>
      </c>
      <c r="D770" s="6" t="inlineStr">
        <is>
          <t>20260811</t>
        </is>
      </c>
      <c r="E770" s="16" t="inlineStr"/>
      <c r="F770" s="16" t="inlineStr"/>
      <c r="G770" s="16" t="n">
        <v>20000000</v>
      </c>
      <c r="H770" s="6" t="inlineStr">
        <is>
          <t>USD</t>
        </is>
      </c>
      <c r="I770" s="17" t="n">
        <v>1846.5</v>
      </c>
      <c r="J770" s="18" t="n">
        <v>75903</v>
      </c>
      <c r="K770" s="19" t="n">
        <v>30473</v>
      </c>
      <c r="L770" s="18" t="n">
        <v>70894</v>
      </c>
      <c r="M770" s="19" t="n">
        <v>20650000</v>
      </c>
      <c r="N770" s="18" t="n">
        <v>870689</v>
      </c>
      <c r="O770" s="19" t="n">
        <v>96424</v>
      </c>
      <c r="P770" s="18" t="n">
        <v>23000000</v>
      </c>
      <c r="Q770" s="19" t="n">
        <v>490463</v>
      </c>
      <c r="R770" s="18" t="n">
        <v>1027482</v>
      </c>
      <c r="S770" s="20" t="n">
        <v>20000000</v>
      </c>
      <c r="T770" s="6" t="n">
        <v>1</v>
      </c>
      <c r="U770" s="5" t="inlineStr">
        <is>
          <t>통화선도 / USD</t>
        </is>
      </c>
      <c r="V770" s="21">
        <f>HYPERLINK("https://dart.fss.or.kr/dsaf001/main.do?rcpNo=20260811000657", "공시열람")</f>
        <v/>
      </c>
    </row>
    <row r="771">
      <c r="A771" s="5" t="inlineStr">
        <is>
          <t>HD현대중공업</t>
        </is>
      </c>
      <c r="B771" s="6" t="inlineStr">
        <is>
          <t>329180</t>
        </is>
      </c>
      <c r="C771" s="6" t="inlineStr">
        <is>
          <t>2026Q2</t>
        </is>
      </c>
      <c r="D771" s="6" t="inlineStr">
        <is>
          <t>20260814</t>
        </is>
      </c>
      <c r="E771" s="16" t="inlineStr"/>
      <c r="F771" s="16" t="inlineStr"/>
      <c r="G771" s="16" t="n">
        <v>69514154</v>
      </c>
      <c r="H771" s="6" t="inlineStr">
        <is>
          <t>백만원</t>
        </is>
      </c>
      <c r="I771" s="17" t="n">
        <v>11.8</v>
      </c>
      <c r="J771" s="18" t="n">
        <v>45978622</v>
      </c>
      <c r="K771" s="19" t="n">
        <v>46328902</v>
      </c>
      <c r="L771" s="18" t="n">
        <v>43957480</v>
      </c>
      <c r="M771" s="19" t="n">
        <v>46931768</v>
      </c>
      <c r="N771" s="18" t="n">
        <v>49633635</v>
      </c>
      <c r="O771" s="19" t="n">
        <v>46344247</v>
      </c>
      <c r="P771" s="18" t="n">
        <v>45018051</v>
      </c>
      <c r="Q771" s="19" t="n">
        <v>56384472</v>
      </c>
      <c r="R771" s="18" t="n">
        <v>62170777</v>
      </c>
      <c r="S771" s="20" t="n">
        <v>69514154</v>
      </c>
      <c r="T771" s="6" t="n">
        <v>3</v>
      </c>
      <c r="U771" s="5" t="inlineStr">
        <is>
          <t>조 선 / '26.06.30일까지 / - | 기 타 / '26.06.30일까지 / - | 해양플랜트 / '26.06.30일까지 / -</t>
        </is>
      </c>
      <c r="V771" s="21">
        <f>HYPERLINK("https://dart.fss.or.kr/dsaf001/main.do?rcpNo=20260814002879", "공시열람")</f>
        <v/>
      </c>
    </row>
    <row r="772">
      <c r="A772" s="5" t="inlineStr">
        <is>
          <t>아우토크립트</t>
        </is>
      </c>
      <c r="B772" s="6" t="inlineStr">
        <is>
          <t>331740</t>
        </is>
      </c>
      <c r="C772" s="6" t="inlineStr">
        <is>
          <t>2026Q2</t>
        </is>
      </c>
      <c r="D772" s="6" t="inlineStr">
        <is>
          <t>20260814</t>
        </is>
      </c>
      <c r="E772" s="16" t="n">
        <v>17521589</v>
      </c>
      <c r="F772" s="16" t="inlineStr"/>
      <c r="G772" s="16" t="n">
        <v>8919273</v>
      </c>
      <c r="H772" s="6" t="inlineStr">
        <is>
          <t>천원</t>
        </is>
      </c>
      <c r="I772" s="17" t="n">
        <v>-0.6</v>
      </c>
      <c r="J772" s="18" t="inlineStr"/>
      <c r="K772" s="19" t="inlineStr"/>
      <c r="L772" s="18" t="inlineStr"/>
      <c r="M772" s="19" t="inlineStr"/>
      <c r="N772" s="18" t="inlineStr"/>
      <c r="O772" s="19" t="n">
        <v>8837124</v>
      </c>
      <c r="P772" s="18" t="inlineStr"/>
      <c r="Q772" s="19" t="n">
        <v>8853891</v>
      </c>
      <c r="R772" s="18" t="n">
        <v>8969064</v>
      </c>
      <c r="S772" s="20" t="n">
        <v>8919273</v>
      </c>
      <c r="T772" s="6" t="n">
        <v>16</v>
      </c>
      <c r="U772" s="5" t="inlineStr">
        <is>
          <t xml:space="preserve">기타 | CryptoDev(IVS 사업) / 차량 제어기 보안  | CryptoComm (V2X 사업) / 차량통신 보안 </t>
        </is>
      </c>
      <c r="V772" s="21">
        <f>HYPERLINK("https://dart.fss.or.kr/dsaf001/main.do?rcpNo=20260814003908", "공시열람")</f>
        <v/>
      </c>
    </row>
    <row r="773">
      <c r="A773" s="5" t="inlineStr">
        <is>
          <t>누보</t>
        </is>
      </c>
      <c r="B773" s="6" t="inlineStr">
        <is>
          <t>332290</t>
        </is>
      </c>
      <c r="C773" s="6" t="inlineStr">
        <is>
          <t>2026Q2</t>
        </is>
      </c>
      <c r="D773" s="6" t="inlineStr">
        <is>
          <t>20260929</t>
        </is>
      </c>
      <c r="E773" s="16" t="n">
        <v>8267</v>
      </c>
      <c r="F773" s="16" t="n">
        <v>8153</v>
      </c>
      <c r="G773" s="16" t="n">
        <v>114</v>
      </c>
      <c r="H773" s="6" t="inlineStr">
        <is>
          <t>천KG,천USD</t>
        </is>
      </c>
      <c r="I773" s="17" t="n">
        <v>850</v>
      </c>
      <c r="J773" s="18" t="n">
        <v>794</v>
      </c>
      <c r="K773" s="19" t="n">
        <v>395</v>
      </c>
      <c r="L773" s="18" t="n">
        <v>22217</v>
      </c>
      <c r="M773" s="19" t="n">
        <v>6661</v>
      </c>
      <c r="N773" s="18" t="n">
        <v>2320</v>
      </c>
      <c r="O773" s="19" t="n">
        <v>4790</v>
      </c>
      <c r="P773" s="18" t="n">
        <v>5642</v>
      </c>
      <c r="Q773" s="19" t="n">
        <v>12956</v>
      </c>
      <c r="R773" s="18" t="n">
        <v>12</v>
      </c>
      <c r="S773" s="20" t="n">
        <v>114</v>
      </c>
      <c r="T773" s="6" t="n">
        <v>3</v>
      </c>
      <c r="U773" s="5" t="inlineStr">
        <is>
          <t>비료류 / 2025년~ / 2026년내 | 녹차류 / 2025년~ / 2026년내 | 기타 / 2025년~ / 2026년내</t>
        </is>
      </c>
      <c r="V773" s="21">
        <f>HYPERLINK("https://dart.fss.or.kr/dsaf001/main.do?rcpNo=20260929000100", "공시열람")</f>
        <v/>
      </c>
    </row>
    <row r="774">
      <c r="A774" s="5" t="inlineStr">
        <is>
          <t>이노테나</t>
        </is>
      </c>
      <c r="B774" s="6" t="inlineStr">
        <is>
          <t>333050</t>
        </is>
      </c>
      <c r="C774" s="6" t="inlineStr">
        <is>
          <t>2026Q2</t>
        </is>
      </c>
      <c r="D774" s="6" t="inlineStr">
        <is>
          <t>20260814</t>
        </is>
      </c>
      <c r="E774" s="16" t="n">
        <v>11495022</v>
      </c>
      <c r="F774" s="16" t="inlineStr"/>
      <c r="G774" s="16" t="n">
        <v>17339878</v>
      </c>
      <c r="H774" s="6" t="inlineStr">
        <is>
          <t>천원</t>
        </is>
      </c>
      <c r="I774" s="17" t="n">
        <v>-0.6</v>
      </c>
      <c r="J774" s="18" t="n">
        <v>25008165</v>
      </c>
      <c r="K774" s="19" t="n">
        <v>26825963</v>
      </c>
      <c r="L774" s="18" t="n">
        <v>16915661</v>
      </c>
      <c r="M774" s="19" t="n">
        <v>20391974</v>
      </c>
      <c r="N774" s="18" t="n">
        <v>19518222</v>
      </c>
      <c r="O774" s="19" t="n">
        <v>20026973</v>
      </c>
      <c r="P774" s="18" t="n">
        <v>16303465</v>
      </c>
      <c r="Q774" s="19" t="n">
        <v>18248026</v>
      </c>
      <c r="R774" s="18" t="n">
        <v>17450213</v>
      </c>
      <c r="S774" s="20" t="n">
        <v>17339878</v>
      </c>
      <c r="T774" s="6" t="n">
        <v>3</v>
      </c>
      <c r="U774" s="5" t="inlineStr">
        <is>
          <t>연계솔루션사업 | 클라우드솔루션사업 (APM솔루션 포함) | 보안솔루션사업</t>
        </is>
      </c>
      <c r="V774" s="21">
        <f>HYPERLINK("https://dart.fss.or.kr/dsaf001/main.do?rcpNo=20260814001122", "공시열람")</f>
        <v/>
      </c>
    </row>
    <row r="775">
      <c r="A775" s="5" t="inlineStr">
        <is>
          <t>일승</t>
        </is>
      </c>
      <c r="B775" s="6" t="inlineStr">
        <is>
          <t>333430</t>
        </is>
      </c>
      <c r="C775" s="6" t="inlineStr">
        <is>
          <t>2026Q2</t>
        </is>
      </c>
      <c r="D775" s="6" t="inlineStr">
        <is>
          <t>20260814</t>
        </is>
      </c>
      <c r="E775" s="16" t="n">
        <v>59575</v>
      </c>
      <c r="F775" s="16" t="n">
        <v>28308</v>
      </c>
      <c r="G775" s="16" t="n">
        <v>31267</v>
      </c>
      <c r="H775" s="6" t="inlineStr">
        <is>
          <t>백만원</t>
        </is>
      </c>
      <c r="I775" s="17" t="n">
        <v>10.2</v>
      </c>
      <c r="J775" s="18" t="n">
        <v>24571</v>
      </c>
      <c r="K775" s="19" t="n">
        <v>22487</v>
      </c>
      <c r="L775" s="18" t="n">
        <v>23948</v>
      </c>
      <c r="M775" s="19" t="n">
        <v>20527</v>
      </c>
      <c r="N775" s="18" t="n">
        <v>22835</v>
      </c>
      <c r="O775" s="19" t="n">
        <v>20899</v>
      </c>
      <c r="P775" s="18" t="n">
        <v>27380</v>
      </c>
      <c r="Q775" s="19" t="n">
        <v>27136</v>
      </c>
      <c r="R775" s="18" t="n">
        <v>28376</v>
      </c>
      <c r="S775" s="20" t="n">
        <v>31267</v>
      </c>
      <c r="T775" s="6" t="n">
        <v>1</v>
      </c>
      <c r="U775" s="5" t="inlineStr"/>
      <c r="V775" s="21">
        <f>HYPERLINK("https://dart.fss.or.kr/dsaf001/main.do?rcpNo=20260814000008", "공시열람")</f>
        <v/>
      </c>
    </row>
    <row r="776">
      <c r="A776" s="5" t="inlineStr">
        <is>
          <t>엔시스</t>
        </is>
      </c>
      <c r="B776" s="6" t="inlineStr">
        <is>
          <t>333620</t>
        </is>
      </c>
      <c r="C776" s="6" t="inlineStr">
        <is>
          <t>2026Q2</t>
        </is>
      </c>
      <c r="D776" s="6" t="inlineStr">
        <is>
          <t>20260814</t>
        </is>
      </c>
      <c r="E776" s="16" t="n">
        <v>45384</v>
      </c>
      <c r="F776" s="16" t="n">
        <v>26287</v>
      </c>
      <c r="G776" s="16" t="n">
        <v>61834</v>
      </c>
      <c r="H776" s="6" t="inlineStr">
        <is>
          <t>백만원</t>
        </is>
      </c>
      <c r="I776" s="17" t="n">
        <v>-8.800000000000001</v>
      </c>
      <c r="J776" s="18" t="n">
        <v>80195</v>
      </c>
      <c r="K776" s="19" t="n">
        <v>72779</v>
      </c>
      <c r="L776" s="18" t="n">
        <v>66953</v>
      </c>
      <c r="M776" s="19" t="n">
        <v>60589</v>
      </c>
      <c r="N776" s="18" t="n">
        <v>54683</v>
      </c>
      <c r="O776" s="19" t="n">
        <v>50059</v>
      </c>
      <c r="P776" s="18" t="n">
        <v>47821</v>
      </c>
      <c r="Q776" s="19" t="n">
        <v>53212</v>
      </c>
      <c r="R776" s="18" t="n">
        <v>67794</v>
      </c>
      <c r="S776" s="20" t="n">
        <v>61834</v>
      </c>
      <c r="T776" s="6" t="n">
        <v>1</v>
      </c>
      <c r="U776" s="5" t="inlineStr">
        <is>
          <t>2차전지 검사장비</t>
        </is>
      </c>
      <c r="V776" s="21">
        <f>HYPERLINK("https://dart.fss.or.kr/dsaf001/main.do?rcpNo=20260814000383", "공시열람")</f>
        <v/>
      </c>
    </row>
    <row r="777">
      <c r="A777" s="5" t="inlineStr">
        <is>
          <t>프레스티지바이오로직스</t>
        </is>
      </c>
      <c r="B777" s="6" t="inlineStr">
        <is>
          <t>334970</t>
        </is>
      </c>
      <c r="C777" s="6" t="inlineStr">
        <is>
          <t>2026Q2</t>
        </is>
      </c>
      <c r="D777" s="6" t="inlineStr">
        <is>
          <t>20260928</t>
        </is>
      </c>
      <c r="E777" s="16" t="n">
        <v>75363</v>
      </c>
      <c r="F777" s="16" t="n">
        <v>14890</v>
      </c>
      <c r="G777" s="16" t="n">
        <v>60473</v>
      </c>
      <c r="H777" s="6" t="inlineStr">
        <is>
          <t>천$,백만원</t>
        </is>
      </c>
      <c r="I777" s="17" t="n">
        <v>21.3</v>
      </c>
      <c r="J777" s="18" t="n">
        <v>11000</v>
      </c>
      <c r="K777" s="19" t="n">
        <v>88863</v>
      </c>
      <c r="L777" s="18" t="n">
        <v>11000</v>
      </c>
      <c r="M777" s="19" t="n">
        <v>19071047</v>
      </c>
      <c r="N777" s="18" t="n">
        <v>19320937</v>
      </c>
      <c r="O777" s="19" t="n">
        <v>21282648</v>
      </c>
      <c r="P777" s="18" t="n">
        <v>15074696</v>
      </c>
      <c r="Q777" s="19" t="n">
        <v>48008</v>
      </c>
      <c r="R777" s="18" t="n">
        <v>49863</v>
      </c>
      <c r="S777" s="20" t="n">
        <v>60473</v>
      </c>
      <c r="T777" s="6" t="n">
        <v>2</v>
      </c>
      <c r="U777" s="5" t="inlineStr">
        <is>
          <t>CDMO(CMO, CDO, QC분석서비스 등) / 바이 | CDMO(CMO, CDO, QC분석서비스 등) / 바이</t>
        </is>
      </c>
      <c r="V777" s="21">
        <f>HYPERLINK("https://dart.fss.or.kr/dsaf001/main.do?rcpNo=20260928000204", "공시열람")</f>
        <v/>
      </c>
    </row>
    <row r="778">
      <c r="A778" s="5" t="inlineStr">
        <is>
          <t>웨이버스</t>
        </is>
      </c>
      <c r="B778" s="6" t="inlineStr">
        <is>
          <t>336060</t>
        </is>
      </c>
      <c r="C778" s="6" t="inlineStr">
        <is>
          <t>2026Q2</t>
        </is>
      </c>
      <c r="D778" s="6" t="inlineStr">
        <is>
          <t>20260814</t>
        </is>
      </c>
      <c r="E778" s="16" t="n">
        <v>53408129</v>
      </c>
      <c r="F778" s="16" t="inlineStr"/>
      <c r="G778" s="16" t="n">
        <v>35117803</v>
      </c>
      <c r="H778" s="6" t="inlineStr">
        <is>
          <t>천원</t>
        </is>
      </c>
      <c r="I778" s="17" t="n">
        <v>36.1</v>
      </c>
      <c r="J778" s="18" t="n">
        <v>30551891</v>
      </c>
      <c r="K778" s="19" t="n">
        <v>39835879</v>
      </c>
      <c r="L778" s="18" t="n">
        <v>32261188</v>
      </c>
      <c r="M778" s="19" t="n">
        <v>31857383</v>
      </c>
      <c r="N778" s="18" t="n">
        <v>31807449</v>
      </c>
      <c r="O778" s="19" t="n">
        <v>33122474</v>
      </c>
      <c r="P778" s="18" t="n">
        <v>24962084</v>
      </c>
      <c r="Q778" s="19" t="n">
        <v>16944148</v>
      </c>
      <c r="R778" s="18" t="n">
        <v>25797203</v>
      </c>
      <c r="S778" s="20" t="n">
        <v>35117803</v>
      </c>
      <c r="T778" s="6" t="n">
        <v>9</v>
      </c>
      <c r="U778" s="5" t="inlineStr">
        <is>
          <t>공공기관 / 공간정보 SM / 2026-06-01 | 공공기관 / 공간정보 SM / 2026-01-01 | 공공기관 / 공간정보 SI / 2023-11-30</t>
        </is>
      </c>
      <c r="V778" s="21">
        <f>HYPERLINK("https://dart.fss.or.kr/dsaf001/main.do?rcpNo=20260814001981", "공시열람")</f>
        <v/>
      </c>
    </row>
    <row r="779">
      <c r="A779" s="5" t="inlineStr">
        <is>
          <t>뷰노</t>
        </is>
      </c>
      <c r="B779" s="6" t="inlineStr">
        <is>
          <t>338220</t>
        </is>
      </c>
      <c r="C779" s="6" t="inlineStr">
        <is>
          <t>2026Q2</t>
        </is>
      </c>
      <c r="D779" s="6" t="inlineStr">
        <is>
          <t>20260814</t>
        </is>
      </c>
      <c r="E779" s="16" t="n">
        <v>507</v>
      </c>
      <c r="F779" s="16" t="n">
        <v>487</v>
      </c>
      <c r="G779" s="16" t="n">
        <v>20</v>
      </c>
      <c r="H779" s="6" t="inlineStr">
        <is>
          <t>백만원</t>
        </is>
      </c>
      <c r="I779" s="17" t="n">
        <v>0</v>
      </c>
      <c r="J779" s="18" t="n">
        <v>1021</v>
      </c>
      <c r="K779" s="19" t="n">
        <v>1010</v>
      </c>
      <c r="L779" s="18" t="n">
        <v>962</v>
      </c>
      <c r="M779" s="19" t="n">
        <v>694</v>
      </c>
      <c r="N779" s="18" t="n">
        <v>615</v>
      </c>
      <c r="O779" s="19" t="n">
        <v>345</v>
      </c>
      <c r="P779" s="18" t="n">
        <v>40</v>
      </c>
      <c r="Q779" s="19" t="n">
        <v>40</v>
      </c>
      <c r="R779" s="18" t="n">
        <v>20</v>
      </c>
      <c r="S779" s="20" t="n">
        <v>20</v>
      </c>
      <c r="T779" s="6" t="n">
        <v>1</v>
      </c>
      <c r="U779" s="5" t="inlineStr">
        <is>
          <t>인공지능기반 희귀질환 스크리닝 솔루션 / 2021-11</t>
        </is>
      </c>
      <c r="V779" s="21">
        <f>HYPERLINK("https://dart.fss.or.kr/dsaf001/main.do?rcpNo=20260814002777", "공시열람")</f>
        <v/>
      </c>
    </row>
    <row r="780">
      <c r="A780" s="5" t="inlineStr">
        <is>
          <t>티앤엘</t>
        </is>
      </c>
      <c r="B780" s="6" t="inlineStr">
        <is>
          <t>340570</t>
        </is>
      </c>
      <c r="C780" s="6" t="inlineStr">
        <is>
          <t>2025Q1</t>
        </is>
      </c>
      <c r="D780" s="6" t="inlineStr">
        <is>
          <t>20250514</t>
        </is>
      </c>
      <c r="E780" s="16" t="n">
        <v>7679525</v>
      </c>
      <c r="F780" s="16" t="inlineStr"/>
      <c r="G780" s="16" t="n">
        <v>7679525</v>
      </c>
      <c r="H780" s="6" t="inlineStr">
        <is>
          <t>천원</t>
        </is>
      </c>
      <c r="I780" s="17" t="n">
        <v>-27.2</v>
      </c>
      <c r="J780" s="18" t="n">
        <v>41196255</v>
      </c>
      <c r="K780" s="19" t="n">
        <v>40239752</v>
      </c>
      <c r="L780" s="18" t="n">
        <v>35932640</v>
      </c>
      <c r="M780" s="19" t="n">
        <v>10545983</v>
      </c>
      <c r="N780" s="18" t="n">
        <v>7679525</v>
      </c>
      <c r="O780" s="19" t="inlineStr"/>
      <c r="P780" s="18" t="inlineStr"/>
      <c r="Q780" s="19" t="inlineStr"/>
      <c r="R780" s="18" t="inlineStr"/>
      <c r="S780" s="20" t="inlineStr"/>
      <c r="T780" s="6" t="n">
        <v>6</v>
      </c>
      <c r="U780" s="5" t="inlineStr">
        <is>
          <t>창상피복재 | 창상피복재 | 창상피복재</t>
        </is>
      </c>
      <c r="V780" s="21">
        <f>HYPERLINK("https://dart.fss.or.kr/dsaf001/main.do?rcpNo=20250514001008", "공시열람")</f>
        <v/>
      </c>
    </row>
    <row r="781">
      <c r="A781" s="5" t="inlineStr">
        <is>
          <t>시선AI</t>
        </is>
      </c>
      <c r="B781" s="6" t="inlineStr">
        <is>
          <t>340810</t>
        </is>
      </c>
      <c r="C781" s="6" t="inlineStr">
        <is>
          <t>2026Q2</t>
        </is>
      </c>
      <c r="D781" s="6" t="inlineStr">
        <is>
          <t>20260814</t>
        </is>
      </c>
      <c r="E781" s="16" t="n">
        <v>34780</v>
      </c>
      <c r="F781" s="16" t="n">
        <v>22514</v>
      </c>
      <c r="G781" s="16" t="n">
        <v>12266</v>
      </c>
      <c r="H781" s="6" t="inlineStr">
        <is>
          <t>백만원</t>
        </is>
      </c>
      <c r="I781" s="17" t="n">
        <v>9.4</v>
      </c>
      <c r="J781" s="18" t="n">
        <v>9313</v>
      </c>
      <c r="K781" s="19" t="n">
        <v>12286</v>
      </c>
      <c r="L781" s="18" t="n">
        <v>8608</v>
      </c>
      <c r="M781" s="19" t="n">
        <v>6071</v>
      </c>
      <c r="N781" s="18" t="n">
        <v>5469</v>
      </c>
      <c r="O781" s="19" t="n">
        <v>5180</v>
      </c>
      <c r="P781" s="18" t="n">
        <v>6798</v>
      </c>
      <c r="Q781" s="19" t="n">
        <v>12185</v>
      </c>
      <c r="R781" s="18" t="n">
        <v>11207</v>
      </c>
      <c r="S781" s="20" t="n">
        <v>12266</v>
      </c>
      <c r="T781" s="6" t="n">
        <v>12</v>
      </c>
      <c r="U781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1" s="21">
        <f>HYPERLINK("https://dart.fss.or.kr/dsaf001/main.do?rcpNo=20260814001583", "공시열람")</f>
        <v/>
      </c>
    </row>
    <row r="782">
      <c r="A782" s="5" t="inlineStr">
        <is>
          <t>케이씨씨글라스</t>
        </is>
      </c>
      <c r="B782" s="6" t="inlineStr">
        <is>
          <t>344820</t>
        </is>
      </c>
      <c r="C782" s="6" t="inlineStr">
        <is>
          <t>2026Q2</t>
        </is>
      </c>
      <c r="D782" s="6" t="inlineStr">
        <is>
          <t>20260820</t>
        </is>
      </c>
      <c r="E782" s="16" t="n">
        <v>175723</v>
      </c>
      <c r="F782" s="16" t="n">
        <v>63051</v>
      </c>
      <c r="G782" s="16" t="n">
        <v>112672</v>
      </c>
      <c r="H782" s="6" t="inlineStr">
        <is>
          <t>백만원</t>
        </is>
      </c>
      <c r="I782" s="17" t="n">
        <v>2.3</v>
      </c>
      <c r="J782" s="18" t="n">
        <v>127373</v>
      </c>
      <c r="K782" s="19" t="n">
        <v>96723</v>
      </c>
      <c r="L782" s="18" t="n">
        <v>79466</v>
      </c>
      <c r="M782" s="19" t="n">
        <v>93562</v>
      </c>
      <c r="N782" s="18" t="n">
        <v>49344</v>
      </c>
      <c r="O782" s="19" t="n">
        <v>75007</v>
      </c>
      <c r="P782" s="18" t="n">
        <v>87069</v>
      </c>
      <c r="Q782" s="19" t="n">
        <v>100686</v>
      </c>
      <c r="R782" s="18" t="n">
        <v>110139</v>
      </c>
      <c r="S782" s="20" t="n">
        <v>112672</v>
      </c>
      <c r="T782" s="6" t="n">
        <v>3</v>
      </c>
      <c r="U782" s="5" t="inlineStr">
        <is>
          <t>유리 / ~ 2026.06.30 / - | 인테리어 및 유통 / ~ 2026.06.30 / - | 파일사업 / ~ 2026.06.30 / -</t>
        </is>
      </c>
      <c r="V782" s="21">
        <f>HYPERLINK("https://dart.fss.or.kr/dsaf001/main.do?rcpNo=20260820000314", "공시열람")</f>
        <v/>
      </c>
    </row>
    <row r="783">
      <c r="A783" s="5" t="inlineStr">
        <is>
          <t>타이드</t>
        </is>
      </c>
      <c r="B783" s="6" t="inlineStr">
        <is>
          <t>346010</t>
        </is>
      </c>
      <c r="C783" s="6" t="inlineStr">
        <is>
          <t>2025Q4</t>
        </is>
      </c>
      <c r="D783" s="6" t="inlineStr">
        <is>
          <t>20260407</t>
        </is>
      </c>
      <c r="E783" s="16" t="n">
        <v>674925</v>
      </c>
      <c r="F783" s="16" t="inlineStr"/>
      <c r="G783" s="16" t="n">
        <v>674925</v>
      </c>
      <c r="H783" s="6" t="inlineStr">
        <is>
          <t>천원</t>
        </is>
      </c>
      <c r="I783" s="17" t="n">
        <v>-60.9</v>
      </c>
      <c r="J783" s="18" t="inlineStr"/>
      <c r="K783" s="19" t="inlineStr"/>
      <c r="L783" s="18" t="inlineStr"/>
      <c r="M783" s="19" t="n">
        <v>1728000</v>
      </c>
      <c r="N783" s="18" t="inlineStr"/>
      <c r="O783" s="19" t="inlineStr"/>
      <c r="P783" s="18" t="inlineStr"/>
      <c r="Q783" s="19" t="n">
        <v>674925</v>
      </c>
      <c r="R783" s="18" t="inlineStr"/>
      <c r="S783" s="20" t="inlineStr"/>
      <c r="T783" s="6" t="n">
        <v>1</v>
      </c>
      <c r="U783" s="5" t="inlineStr">
        <is>
          <t>PLC</t>
        </is>
      </c>
      <c r="V783" s="21">
        <f>HYPERLINK("https://dart.fss.or.kr/dsaf001/main.do?rcpNo=20260407000793", "공시열람")</f>
        <v/>
      </c>
    </row>
    <row r="784">
      <c r="A784" s="5" t="inlineStr">
        <is>
          <t>센코</t>
        </is>
      </c>
      <c r="B784" s="6" t="inlineStr">
        <is>
          <t>347000</t>
        </is>
      </c>
      <c r="C784" s="6" t="inlineStr">
        <is>
          <t>2026Q2</t>
        </is>
      </c>
      <c r="D784" s="6" t="inlineStr">
        <is>
          <t>20260814</t>
        </is>
      </c>
      <c r="E784" s="16" t="n">
        <v>6793472855</v>
      </c>
      <c r="F784" s="16" t="n">
        <v>4743282395</v>
      </c>
      <c r="G784" s="16" t="n">
        <v>2050190460</v>
      </c>
      <c r="H784" s="6" t="inlineStr">
        <is>
          <t>원</t>
        </is>
      </c>
      <c r="I784" s="17" t="n">
        <v>45.5</v>
      </c>
      <c r="J784" s="18" t="n">
        <v>2108055554</v>
      </c>
      <c r="K784" s="19" t="n">
        <v>2108055554</v>
      </c>
      <c r="L784" s="18" t="n">
        <v>4784929449</v>
      </c>
      <c r="M784" s="19" t="n">
        <v>3350630000</v>
      </c>
      <c r="N784" s="18" t="n">
        <v>10323012000</v>
      </c>
      <c r="O784" s="19" t="n">
        <v>10323012000</v>
      </c>
      <c r="P784" s="18" t="n">
        <v>10323012000</v>
      </c>
      <c r="Q784" s="19" t="n">
        <v>1409428095</v>
      </c>
      <c r="R784" s="18" t="n">
        <v>1409428095</v>
      </c>
      <c r="S784" s="20" t="n">
        <v>2050190460</v>
      </c>
      <c r="T784" s="6" t="n">
        <v>4</v>
      </c>
      <c r="U784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4" s="21">
        <f>HYPERLINK("https://dart.fss.or.kr/dsaf001/main.do?rcpNo=20260814001161", "공시열람")</f>
        <v/>
      </c>
    </row>
    <row r="785">
      <c r="A785" s="5" t="inlineStr">
        <is>
          <t>스피어</t>
        </is>
      </c>
      <c r="B785" s="6" t="inlineStr">
        <is>
          <t>347700</t>
        </is>
      </c>
      <c r="C785" s="6" t="inlineStr">
        <is>
          <t>2026Q2</t>
        </is>
      </c>
      <c r="D785" s="6" t="inlineStr">
        <is>
          <t>20260814</t>
        </is>
      </c>
      <c r="E785" s="16" t="n">
        <v>204787048</v>
      </c>
      <c r="F785" s="16" t="n">
        <v>89052955</v>
      </c>
      <c r="G785" s="16" t="n">
        <v>115734093</v>
      </c>
      <c r="H785" s="6" t="inlineStr">
        <is>
          <t>USD</t>
        </is>
      </c>
      <c r="I785" s="17" t="n">
        <v>20.8</v>
      </c>
      <c r="J785" s="18" t="inlineStr"/>
      <c r="K785" s="19" t="inlineStr"/>
      <c r="L785" s="18" t="inlineStr"/>
      <c r="M785" s="19" t="inlineStr"/>
      <c r="N785" s="18" t="inlineStr"/>
      <c r="O785" s="19" t="n">
        <v>30280260</v>
      </c>
      <c r="P785" s="18" t="n">
        <v>43545655</v>
      </c>
      <c r="Q785" s="19" t="n">
        <v>57635487</v>
      </c>
      <c r="R785" s="18" t="n">
        <v>95772506</v>
      </c>
      <c r="S785" s="20" t="n">
        <v>115734093</v>
      </c>
      <c r="T785" s="6" t="n">
        <v>31</v>
      </c>
      <c r="U785" s="5" t="inlineStr">
        <is>
          <t>특수합금 공급 / 2025-09-27 / 2027-02 | 특수합금 공급 / 2026-06-08 / 2026-12 | 특수합금 공급 / 2026-06-15 / 2026-07</t>
        </is>
      </c>
      <c r="V785" s="21">
        <f>HYPERLINK("https://dart.fss.or.kr/dsaf001/main.do?rcpNo=20260814003121", "공시열람")</f>
        <v/>
      </c>
    </row>
    <row r="786">
      <c r="A786" s="5" t="inlineStr">
        <is>
          <t>피엔케이피부임상연구센타</t>
        </is>
      </c>
      <c r="B786" s="6" t="inlineStr">
        <is>
          <t>347740</t>
        </is>
      </c>
      <c r="C786" s="6" t="inlineStr">
        <is>
          <t>2026Q2</t>
        </is>
      </c>
      <c r="D786" s="6" t="inlineStr">
        <is>
          <t>20260814</t>
        </is>
      </c>
      <c r="E786" s="16" t="n">
        <v>9261</v>
      </c>
      <c r="F786" s="16" t="n">
        <v>1017</v>
      </c>
      <c r="G786" s="16" t="n">
        <v>8244</v>
      </c>
      <c r="H786" s="6" t="inlineStr">
        <is>
          <t>백만원</t>
        </is>
      </c>
      <c r="I786" s="17" t="n">
        <v>36.9</v>
      </c>
      <c r="J786" s="18" t="n">
        <v>3049</v>
      </c>
      <c r="K786" s="19" t="n">
        <v>4757</v>
      </c>
      <c r="L786" s="18" t="n">
        <v>5786</v>
      </c>
      <c r="M786" s="19" t="n">
        <v>6148</v>
      </c>
      <c r="N786" s="18" t="n">
        <v>5009</v>
      </c>
      <c r="O786" s="19" t="n">
        <v>5216</v>
      </c>
      <c r="P786" s="18" t="n">
        <v>5389</v>
      </c>
      <c r="Q786" s="19" t="n">
        <v>6085</v>
      </c>
      <c r="R786" s="18" t="n">
        <v>6020</v>
      </c>
      <c r="S786" s="20" t="n">
        <v>8244</v>
      </c>
      <c r="T786" s="6" t="n">
        <v>1</v>
      </c>
      <c r="U786" s="5" t="inlineStr">
        <is>
          <t>화장품 인체적용시험외 / -</t>
        </is>
      </c>
      <c r="V786" s="21">
        <f>HYPERLINK("https://dart.fss.or.kr/dsaf001/main.do?rcpNo=20260814002845", "공시열람")</f>
        <v/>
      </c>
    </row>
    <row r="787">
      <c r="A787" s="5" t="inlineStr">
        <is>
          <t>알체라</t>
        </is>
      </c>
      <c r="B787" s="6" t="inlineStr">
        <is>
          <t>347860</t>
        </is>
      </c>
      <c r="C787" s="6" t="inlineStr">
        <is>
          <t>2026Q2</t>
        </is>
      </c>
      <c r="D787" s="6" t="inlineStr">
        <is>
          <t>20260814</t>
        </is>
      </c>
      <c r="E787" s="16" t="n">
        <v>16140</v>
      </c>
      <c r="F787" s="16" t="n">
        <v>3780</v>
      </c>
      <c r="G787" s="16" t="n">
        <v>12360</v>
      </c>
      <c r="H787" s="6" t="inlineStr">
        <is>
          <t>백만원</t>
        </is>
      </c>
      <c r="I787" s="17" t="n">
        <v>6.7</v>
      </c>
      <c r="J787" s="18" t="n">
        <v>9764</v>
      </c>
      <c r="K787" s="19" t="n">
        <v>13821</v>
      </c>
      <c r="L787" s="18" t="n">
        <v>14153</v>
      </c>
      <c r="M787" s="19" t="n">
        <v>9004</v>
      </c>
      <c r="N787" s="18" t="n">
        <v>9801</v>
      </c>
      <c r="O787" s="19" t="n">
        <v>12110</v>
      </c>
      <c r="P787" s="18" t="n">
        <v>12131</v>
      </c>
      <c r="Q787" s="19" t="n">
        <v>9630</v>
      </c>
      <c r="R787" s="18" t="n">
        <v>11583</v>
      </c>
      <c r="S787" s="20" t="n">
        <v>12360</v>
      </c>
      <c r="T787" s="6" t="n">
        <v>6</v>
      </c>
      <c r="U787" s="5" t="inlineStr">
        <is>
          <t>AI 학습 데이타구축 서비스 / ~ 2025년 | 안면인식 AI솔루션 등 / ~ 2025년 | AI 학습 데이타구축 서비스 / 2026년 1월 ~ 6</t>
        </is>
      </c>
      <c r="V787" s="21">
        <f>HYPERLINK("https://dart.fss.or.kr/dsaf001/main.do?rcpNo=20260814001661", "공시열람")</f>
        <v/>
      </c>
    </row>
    <row r="788">
      <c r="A788" s="5" t="inlineStr">
        <is>
          <t>엠엑스온</t>
        </is>
      </c>
      <c r="B788" s="6" t="inlineStr">
        <is>
          <t>347890</t>
        </is>
      </c>
      <c r="C788" s="6" t="inlineStr">
        <is>
          <t>2026Q2</t>
        </is>
      </c>
      <c r="D788" s="6" t="inlineStr">
        <is>
          <t>20260814</t>
        </is>
      </c>
      <c r="E788" s="16" t="n">
        <v>235918460</v>
      </c>
      <c r="F788" s="16" t="n">
        <v>46028966</v>
      </c>
      <c r="G788" s="16" t="n">
        <v>189889494</v>
      </c>
      <c r="H788" s="6" t="inlineStr">
        <is>
          <t>천원</t>
        </is>
      </c>
      <c r="I788" s="17" t="n">
        <v>3.9</v>
      </c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n">
        <v>164329344</v>
      </c>
      <c r="R788" s="18" t="n">
        <v>182779407</v>
      </c>
      <c r="S788" s="20" t="n">
        <v>189889494</v>
      </c>
      <c r="T788" s="6" t="n">
        <v>2</v>
      </c>
      <c r="U788" s="5" t="inlineStr">
        <is>
          <t xml:space="preserve">해외 자동화 물류시스템 외 / ~ 2026.06.30  | 국내 자동화 물류시스템 외 / ~ 2026.06.30 </t>
        </is>
      </c>
      <c r="V788" s="21">
        <f>HYPERLINK("https://dart.fss.or.kr/dsaf001/main.do?rcpNo=20260814004040", "공시열람")</f>
        <v/>
      </c>
    </row>
    <row r="789">
      <c r="A789" s="5" t="inlineStr">
        <is>
          <t>큐라티스</t>
        </is>
      </c>
      <c r="B789" s="6" t="inlineStr">
        <is>
          <t>348080</t>
        </is>
      </c>
      <c r="C789" s="6" t="inlineStr">
        <is>
          <t>2022Q4</t>
        </is>
      </c>
      <c r="D789" s="6" t="inlineStr">
        <is>
          <t>20250325</t>
        </is>
      </c>
      <c r="E789" s="16" t="n">
        <v>1851000</v>
      </c>
      <c r="F789" s="16" t="n">
        <v>1287314</v>
      </c>
      <c r="G789" s="16" t="n">
        <v>563686</v>
      </c>
      <c r="H789" s="6" t="inlineStr">
        <is>
          <t>천원</t>
        </is>
      </c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9</v>
      </c>
      <c r="U789" s="5" t="inlineStr">
        <is>
          <t>프로앱텍 / 2021.03.01 | 에이비온 / 2022.03.03 | 펩진 / 2022.09.21</t>
        </is>
      </c>
      <c r="V789" s="21">
        <f>HYPERLINK("https://dart.fss.or.kr/dsaf001/main.do?rcpNo=20250325000150", "공시열람")</f>
        <v/>
      </c>
    </row>
    <row r="790">
      <c r="A790" s="5" t="inlineStr">
        <is>
          <t>넥스틴</t>
        </is>
      </c>
      <c r="B790" s="6" t="inlineStr">
        <is>
          <t>348210</t>
        </is>
      </c>
      <c r="C790" s="6" t="inlineStr">
        <is>
          <t>2026Q2</t>
        </is>
      </c>
      <c r="D790" s="6" t="inlineStr">
        <is>
          <t>20260814</t>
        </is>
      </c>
      <c r="E790" s="16" t="n">
        <v>21012</v>
      </c>
      <c r="F790" s="16" t="n">
        <v>19770</v>
      </c>
      <c r="G790" s="16" t="n">
        <v>8978</v>
      </c>
      <c r="H790" s="6" t="inlineStr">
        <is>
          <t>백만원</t>
        </is>
      </c>
      <c r="I790" s="17" t="n">
        <v>-65.09999999999999</v>
      </c>
      <c r="J790" s="18" t="n">
        <v>22474</v>
      </c>
      <c r="K790" s="19" t="n">
        <v>25435</v>
      </c>
      <c r="L790" s="18" t="n">
        <v>27272</v>
      </c>
      <c r="M790" s="19" t="n">
        <v>11670</v>
      </c>
      <c r="N790" s="18" t="inlineStr"/>
      <c r="O790" s="19" t="n">
        <v>11855</v>
      </c>
      <c r="P790" s="18" t="n">
        <v>15214</v>
      </c>
      <c r="Q790" s="19" t="n">
        <v>7736</v>
      </c>
      <c r="R790" s="18" t="n">
        <v>25748</v>
      </c>
      <c r="S790" s="20" t="n">
        <v>8978</v>
      </c>
      <c r="T790" s="6" t="n">
        <v>1</v>
      </c>
      <c r="U790" s="5" t="inlineStr">
        <is>
          <t>Wafer InspectionSystem</t>
        </is>
      </c>
      <c r="V790" s="21">
        <f>HYPERLINK("https://dart.fss.or.kr/dsaf001/main.do?rcpNo=20260814003931", "공시열람")</f>
        <v/>
      </c>
    </row>
    <row r="791">
      <c r="A791" s="5" t="inlineStr">
        <is>
          <t>위드텍</t>
        </is>
      </c>
      <c r="B791" s="6" t="inlineStr">
        <is>
          <t>348350</t>
        </is>
      </c>
      <c r="C791" s="6" t="inlineStr">
        <is>
          <t>2026Q2</t>
        </is>
      </c>
      <c r="D791" s="6" t="inlineStr">
        <is>
          <t>20260814</t>
        </is>
      </c>
      <c r="E791" s="16" t="n">
        <v>54187</v>
      </c>
      <c r="F791" s="16" t="n">
        <v>23559</v>
      </c>
      <c r="G791" s="16" t="n">
        <v>30628</v>
      </c>
      <c r="H791" s="6" t="inlineStr">
        <is>
          <t>백만원</t>
        </is>
      </c>
      <c r="I791" s="17" t="n">
        <v>27.4</v>
      </c>
      <c r="J791" s="18" t="n">
        <v>7881</v>
      </c>
      <c r="K791" s="19" t="n">
        <v>7784</v>
      </c>
      <c r="L791" s="18" t="n">
        <v>8558</v>
      </c>
      <c r="M791" s="19" t="n">
        <v>7953</v>
      </c>
      <c r="N791" s="18" t="n">
        <v>14858</v>
      </c>
      <c r="O791" s="19" t="n">
        <v>22390</v>
      </c>
      <c r="P791" s="18" t="n">
        <v>16598</v>
      </c>
      <c r="Q791" s="19" t="n">
        <v>19428</v>
      </c>
      <c r="R791" s="18" t="n">
        <v>24042</v>
      </c>
      <c r="S791" s="20" t="n">
        <v>30628</v>
      </c>
      <c r="T791" s="6" t="n">
        <v>3</v>
      </c>
      <c r="U791" s="5" t="inlineStr">
        <is>
          <t>대기 / - | 공정 / - | 환경(TMS) / -</t>
        </is>
      </c>
      <c r="V791" s="21">
        <f>HYPERLINK("https://dart.fss.or.kr/dsaf001/main.do?rcpNo=20260814001848", "공시열람")</f>
        <v/>
      </c>
    </row>
    <row r="792">
      <c r="A792" s="5" t="inlineStr">
        <is>
          <t>넥사다이내믹스</t>
        </is>
      </c>
      <c r="B792" s="6" t="inlineStr">
        <is>
          <t>351320</t>
        </is>
      </c>
      <c r="C792" s="6" t="inlineStr">
        <is>
          <t>2026Q2</t>
        </is>
      </c>
      <c r="D792" s="6" t="inlineStr">
        <is>
          <t>20260814</t>
        </is>
      </c>
      <c r="E792" s="16" t="n">
        <v>6431</v>
      </c>
      <c r="F792" s="16" t="n">
        <v>627</v>
      </c>
      <c r="G792" s="16" t="n">
        <v>5804</v>
      </c>
      <c r="H792" s="6" t="inlineStr">
        <is>
          <t>백만원</t>
        </is>
      </c>
      <c r="I792" s="17" t="n">
        <v>267.8</v>
      </c>
      <c r="J792" s="18" t="n">
        <v>7652</v>
      </c>
      <c r="K792" s="19" t="n">
        <v>5427</v>
      </c>
      <c r="L792" s="18" t="n">
        <v>13849</v>
      </c>
      <c r="M792" s="19" t="n">
        <v>11413</v>
      </c>
      <c r="N792" s="18" t="n">
        <v>2676</v>
      </c>
      <c r="O792" s="19" t="n">
        <v>1721</v>
      </c>
      <c r="P792" s="18" t="n">
        <v>1409</v>
      </c>
      <c r="Q792" s="19" t="n">
        <v>1588</v>
      </c>
      <c r="R792" s="18" t="n">
        <v>1578</v>
      </c>
      <c r="S792" s="20" t="n">
        <v>5804</v>
      </c>
      <c r="T792" s="6" t="n">
        <v>1</v>
      </c>
      <c r="U792" s="5" t="inlineStr">
        <is>
          <t>제조장비 / -</t>
        </is>
      </c>
      <c r="V792" s="21">
        <f>HYPERLINK("https://dart.fss.or.kr/dsaf001/main.do?rcpNo=20260814003563", "공시열람")</f>
        <v/>
      </c>
    </row>
    <row r="793">
      <c r="A793" s="5" t="inlineStr">
        <is>
          <t>오비고</t>
        </is>
      </c>
      <c r="B793" s="6" t="inlineStr">
        <is>
          <t>352910</t>
        </is>
      </c>
      <c r="C793" s="6" t="inlineStr">
        <is>
          <t>2026Q2</t>
        </is>
      </c>
      <c r="D793" s="6" t="inlineStr">
        <is>
          <t>20260814</t>
        </is>
      </c>
      <c r="E793" s="16" t="n">
        <v>11914285</v>
      </c>
      <c r="F793" s="16" t="n">
        <v>5344424</v>
      </c>
      <c r="G793" s="16" t="n">
        <v>6569860</v>
      </c>
      <c r="H793" s="6" t="inlineStr">
        <is>
          <t>천원</t>
        </is>
      </c>
      <c r="I793" s="17" t="n">
        <v>108636.5</v>
      </c>
      <c r="J793" s="18" t="n">
        <v>5902815</v>
      </c>
      <c r="K793" s="19" t="n">
        <v>4950245</v>
      </c>
      <c r="L793" s="18" t="n">
        <v>4506260</v>
      </c>
      <c r="M793" s="19" t="n">
        <v>5251100</v>
      </c>
      <c r="N793" s="18" t="n">
        <v>5650308</v>
      </c>
      <c r="O793" s="19" t="n">
        <v>5641</v>
      </c>
      <c r="P793" s="18" t="n">
        <v>5545</v>
      </c>
      <c r="Q793" s="19" t="n">
        <v>2646</v>
      </c>
      <c r="R793" s="18" t="n">
        <v>6042</v>
      </c>
      <c r="S793" s="20" t="n">
        <v>6569860</v>
      </c>
      <c r="T793" s="6" t="n">
        <v>3</v>
      </c>
      <c r="U793" s="5" t="inlineStr">
        <is>
          <t>AI 콘텐츠 | AI 카케어 | 피지컬 AI 솔루션</t>
        </is>
      </c>
      <c r="V793" s="21">
        <f>HYPERLINK("https://dart.fss.or.kr/dsaf001/main.do?rcpNo=20260814002505", "공시열람")</f>
        <v/>
      </c>
    </row>
    <row r="794">
      <c r="A794" s="5" t="inlineStr">
        <is>
          <t>인바이오</t>
        </is>
      </c>
      <c r="B794" s="6" t="inlineStr">
        <is>
          <t>352940</t>
        </is>
      </c>
      <c r="C794" s="6" t="inlineStr">
        <is>
          <t>2026Q2</t>
        </is>
      </c>
      <c r="D794" s="6" t="inlineStr">
        <is>
          <t>20260813</t>
        </is>
      </c>
      <c r="E794" s="16" t="n">
        <v>9310088</v>
      </c>
      <c r="F794" s="16" t="n">
        <v>5720301</v>
      </c>
      <c r="G794" s="16" t="n">
        <v>3589787</v>
      </c>
      <c r="H794" s="6" t="inlineStr">
        <is>
          <t>병/봉,천원</t>
        </is>
      </c>
      <c r="I794" s="17" t="n">
        <v>-41</v>
      </c>
      <c r="J794" s="18" t="n">
        <v>3938317</v>
      </c>
      <c r="K794" s="19" t="n">
        <v>3376638</v>
      </c>
      <c r="L794" s="18" t="n">
        <v>1408326</v>
      </c>
      <c r="M794" s="19" t="n">
        <v>2389562</v>
      </c>
      <c r="N794" s="18" t="n">
        <v>1843689</v>
      </c>
      <c r="O794" s="19" t="n">
        <v>867162</v>
      </c>
      <c r="P794" s="18" t="n">
        <v>273113</v>
      </c>
      <c r="Q794" s="19" t="n">
        <v>544106</v>
      </c>
      <c r="R794" s="18" t="n">
        <v>6080203</v>
      </c>
      <c r="S794" s="20" t="n">
        <v>3589787</v>
      </c>
      <c r="T794" s="6" t="n">
        <v>1</v>
      </c>
      <c r="U794" s="5" t="inlineStr">
        <is>
          <t>농약 / 2026.01.31 / 2026.01.31~2</t>
        </is>
      </c>
      <c r="V794" s="21">
        <f>HYPERLINK("https://dart.fss.or.kr/dsaf001/main.do?rcpNo=20260813000903", "공시열람")</f>
        <v/>
      </c>
    </row>
    <row r="795">
      <c r="A795" s="5" t="inlineStr">
        <is>
          <t>대덕전자</t>
        </is>
      </c>
      <c r="B795" s="6" t="inlineStr">
        <is>
          <t>353200</t>
        </is>
      </c>
      <c r="C795" s="6" t="inlineStr">
        <is>
          <t>2026Q2</t>
        </is>
      </c>
      <c r="D795" s="6" t="inlineStr">
        <is>
          <t>20260813</t>
        </is>
      </c>
      <c r="E795" s="16" t="n">
        <v>10777</v>
      </c>
      <c r="F795" s="16" t="n">
        <v>7449</v>
      </c>
      <c r="G795" s="16" t="n">
        <v>3328</v>
      </c>
      <c r="H795" s="6" t="inlineStr">
        <is>
          <t>천㎡,억원</t>
        </is>
      </c>
      <c r="I795" s="17" t="n">
        <v>40.2</v>
      </c>
      <c r="J795" s="18" t="n">
        <v>723</v>
      </c>
      <c r="K795" s="19" t="n">
        <v>682</v>
      </c>
      <c r="L795" s="18" t="n">
        <v>776</v>
      </c>
      <c r="M795" s="19" t="n">
        <v>357</v>
      </c>
      <c r="N795" s="18" t="n">
        <v>792</v>
      </c>
      <c r="O795" s="19" t="n">
        <v>1283</v>
      </c>
      <c r="P795" s="18" t="n">
        <v>3110</v>
      </c>
      <c r="Q795" s="19" t="n">
        <v>2168</v>
      </c>
      <c r="R795" s="18" t="n">
        <v>2374</v>
      </c>
      <c r="S795" s="20" t="n">
        <v>3328</v>
      </c>
      <c r="T795" s="6" t="n">
        <v>1</v>
      </c>
      <c r="U795" s="5" t="inlineStr">
        <is>
          <t>PCB / 2026.01.01~ 2026.06.30</t>
        </is>
      </c>
      <c r="V795" s="21">
        <f>HYPERLINK("https://dart.fss.or.kr/dsaf001/main.do?rcpNo=20260813001620", "공시열람")</f>
        <v/>
      </c>
    </row>
    <row r="796">
      <c r="A796" s="5" t="inlineStr">
        <is>
          <t>바스칸바이오제약</t>
        </is>
      </c>
      <c r="B796" s="6" t="inlineStr">
        <is>
          <t>354390</t>
        </is>
      </c>
      <c r="C796" s="6" t="inlineStr">
        <is>
          <t>2023Q4</t>
        </is>
      </c>
      <c r="D796" s="6" t="inlineStr">
        <is>
          <t>20240318</t>
        </is>
      </c>
      <c r="E796" s="16" t="inlineStr"/>
      <c r="F796" s="16" t="inlineStr"/>
      <c r="G796" s="16" t="n">
        <v>6623811</v>
      </c>
      <c r="H796" s="6" t="inlineStr"/>
      <c r="I796" s="17" t="inlineStr"/>
      <c r="J796" s="18" t="inlineStr"/>
      <c r="K796" s="19" t="inlineStr"/>
      <c r="L796" s="18" t="inlineStr"/>
      <c r="M796" s="19" t="inlineStr"/>
      <c r="N796" s="18" t="inlineStr"/>
      <c r="O796" s="19" t="inlineStr"/>
      <c r="P796" s="18" t="inlineStr"/>
      <c r="Q796" s="19" t="inlineStr"/>
      <c r="R796" s="18" t="inlineStr"/>
      <c r="S796" s="20" t="inlineStr"/>
      <c r="T796" s="6" t="n">
        <v>69</v>
      </c>
      <c r="U796" s="5" t="inlineStr">
        <is>
          <t>마더스제약 / 메모엠연질캡슐 | 씨엠지제약 / 엘카르닌정 | 알리코제약 / 다이제틴정</t>
        </is>
      </c>
      <c r="V796" s="21">
        <f>HYPERLINK("https://dart.fss.or.kr/dsaf001/main.do?rcpNo=20240318000263", "공시열람")</f>
        <v/>
      </c>
    </row>
    <row r="797">
      <c r="A797" s="5" t="inlineStr">
        <is>
          <t>코스텍시스</t>
        </is>
      </c>
      <c r="B797" s="6" t="inlineStr">
        <is>
          <t>355150</t>
        </is>
      </c>
      <c r="C797" s="6" t="inlineStr">
        <is>
          <t>2025Q4</t>
        </is>
      </c>
      <c r="D797" s="6" t="inlineStr">
        <is>
          <t>20260318</t>
        </is>
      </c>
      <c r="E797" s="16" t="n">
        <v>7396</v>
      </c>
      <c r="F797" s="16" t="n">
        <v>6169</v>
      </c>
      <c r="G797" s="16" t="n">
        <v>1227</v>
      </c>
      <c r="H797" s="6" t="inlineStr"/>
      <c r="I797" s="17" t="n">
        <v>-63.8</v>
      </c>
      <c r="J797" s="18" t="n">
        <v>8953</v>
      </c>
      <c r="K797" s="19" t="n">
        <v>10252</v>
      </c>
      <c r="L797" s="18" t="n">
        <v>11707</v>
      </c>
      <c r="M797" s="19" t="n">
        <v>6418</v>
      </c>
      <c r="N797" s="18" t="n">
        <v>2079</v>
      </c>
      <c r="O797" s="19" t="n">
        <v>755</v>
      </c>
      <c r="P797" s="18" t="n">
        <v>3385</v>
      </c>
      <c r="Q797" s="19" t="n">
        <v>1227</v>
      </c>
      <c r="R797" s="18" t="inlineStr"/>
      <c r="S797" s="20" t="inlineStr"/>
      <c r="T797" s="6" t="n">
        <v>4</v>
      </c>
      <c r="U797" s="5" t="inlineStr">
        <is>
          <t>OM780 / 2025.09.23 / 2026.03.1 | OM780 / 2025.07.07 / 2026.03.1 | OM780 / 2025.02.10 / 2026.03.1</t>
        </is>
      </c>
      <c r="V797" s="21">
        <f>HYPERLINK("https://dart.fss.or.kr/dsaf001/main.do?rcpNo=20260318000866", "공시열람")</f>
        <v/>
      </c>
    </row>
    <row r="798">
      <c r="A798" s="5" t="inlineStr">
        <is>
          <t>크라우드웍스</t>
        </is>
      </c>
      <c r="B798" s="6" t="inlineStr">
        <is>
          <t>355390</t>
        </is>
      </c>
      <c r="C798" s="6" t="inlineStr">
        <is>
          <t>2026Q2</t>
        </is>
      </c>
      <c r="D798" s="6" t="inlineStr">
        <is>
          <t>20260814</t>
        </is>
      </c>
      <c r="E798" s="16" t="n">
        <v>10636</v>
      </c>
      <c r="F798" s="16" t="n">
        <v>7344</v>
      </c>
      <c r="G798" s="16" t="n">
        <v>3292</v>
      </c>
      <c r="H798" s="6" t="inlineStr">
        <is>
          <t>개,백만원</t>
        </is>
      </c>
      <c r="I798" s="17" t="n">
        <v>2.5</v>
      </c>
      <c r="J798" s="18" t="n">
        <v>6226</v>
      </c>
      <c r="K798" s="19" t="n">
        <v>7914</v>
      </c>
      <c r="L798" s="18" t="n">
        <v>7577</v>
      </c>
      <c r="M798" s="19" t="n">
        <v>3221</v>
      </c>
      <c r="N798" s="18" t="n">
        <v>3445</v>
      </c>
      <c r="O798" s="19" t="n">
        <v>3943</v>
      </c>
      <c r="P798" s="18" t="n">
        <v>5911</v>
      </c>
      <c r="Q798" s="19" t="n">
        <v>3212</v>
      </c>
      <c r="R798" s="18" t="n">
        <v>3212</v>
      </c>
      <c r="S798" s="20" t="n">
        <v>3292</v>
      </c>
      <c r="T798" s="6" t="n">
        <v>7</v>
      </c>
      <c r="U798" s="5" t="inlineStr">
        <is>
          <t>Enterprise AI Solution / 주1) | LLM Data / 주1) | AI Data / 주1)</t>
        </is>
      </c>
      <c r="V798" s="21">
        <f>HYPERLINK("https://dart.fss.or.kr/dsaf001/main.do?rcpNo=20260814001178", "공시열람")</f>
        <v/>
      </c>
    </row>
    <row r="799">
      <c r="A799" s="5" t="inlineStr">
        <is>
          <t>티엘비</t>
        </is>
      </c>
      <c r="B799" s="6" t="inlineStr">
        <is>
          <t>356860</t>
        </is>
      </c>
      <c r="C799" s="6" t="inlineStr">
        <is>
          <t>2026Q2</t>
        </is>
      </c>
      <c r="D799" s="6" t="inlineStr">
        <is>
          <t>20260814</t>
        </is>
      </c>
      <c r="E799" s="16" t="n">
        <v>2959</v>
      </c>
      <c r="F799" s="16" t="n">
        <v>1641</v>
      </c>
      <c r="G799" s="16" t="n">
        <v>1318</v>
      </c>
      <c r="H799" s="6" t="inlineStr">
        <is>
          <t>억원</t>
        </is>
      </c>
      <c r="I799" s="17" t="n">
        <v>144.5</v>
      </c>
      <c r="J799" s="18" t="n">
        <v>140</v>
      </c>
      <c r="K799" s="19" t="n">
        <v>178</v>
      </c>
      <c r="L799" s="18" t="n">
        <v>158</v>
      </c>
      <c r="M799" s="19" t="n">
        <v>130</v>
      </c>
      <c r="N799" s="18" t="n">
        <v>362</v>
      </c>
      <c r="O799" s="19" t="n">
        <v>442</v>
      </c>
      <c r="P799" s="18" t="n">
        <v>445</v>
      </c>
      <c r="Q799" s="19" t="n">
        <v>526</v>
      </c>
      <c r="R799" s="18" t="n">
        <v>539</v>
      </c>
      <c r="S799" s="20" t="n">
        <v>1318</v>
      </c>
      <c r="T799" s="6" t="n">
        <v>1</v>
      </c>
      <c r="U799" s="5" t="inlineStr">
        <is>
          <t>인쇄회로기판 / 2026.01.01~2026.06.30</t>
        </is>
      </c>
      <c r="V799" s="21">
        <f>HYPERLINK("https://dart.fss.or.kr/dsaf001/main.do?rcpNo=20260814000485", "공시열람")</f>
        <v/>
      </c>
    </row>
    <row r="800">
      <c r="A800" s="5" t="inlineStr">
        <is>
          <t>싸이버원</t>
        </is>
      </c>
      <c r="B800" s="6" t="inlineStr">
        <is>
          <t>356890</t>
        </is>
      </c>
      <c r="C800" s="6" t="inlineStr">
        <is>
          <t>2025Q1</t>
        </is>
      </c>
      <c r="D800" s="6" t="inlineStr">
        <is>
          <t>20250514</t>
        </is>
      </c>
      <c r="E800" s="16" t="n">
        <v>13849</v>
      </c>
      <c r="F800" s="16" t="n">
        <v>4368</v>
      </c>
      <c r="G800" s="16" t="n">
        <v>9481</v>
      </c>
      <c r="H800" s="6" t="inlineStr">
        <is>
          <t>백만원</t>
        </is>
      </c>
      <c r="I800" s="17" t="n">
        <v>33.4</v>
      </c>
      <c r="J800" s="18" t="n">
        <v>8235</v>
      </c>
      <c r="K800" s="19" t="n">
        <v>10145</v>
      </c>
      <c r="L800" s="18" t="n">
        <v>8608</v>
      </c>
      <c r="M800" s="19" t="n">
        <v>7108</v>
      </c>
      <c r="N800" s="18" t="n">
        <v>9481</v>
      </c>
      <c r="O800" s="19" t="inlineStr"/>
      <c r="P800" s="18" t="inlineStr"/>
      <c r="Q800" s="19" t="inlineStr"/>
      <c r="R800" s="18" t="inlineStr"/>
      <c r="S800" s="20" t="inlineStr"/>
      <c r="T800" s="6" t="n">
        <v>3</v>
      </c>
      <c r="U800" s="5" t="inlineStr">
        <is>
          <t>보안컨설팅 용역 / 2025.03.07 / 2025.1 | 클라우드 운영 / 2024.04.01 / 2027.03 | 보안컨설팅 용역 / 2024.01.01 / 2026.1</t>
        </is>
      </c>
      <c r="V800" s="21">
        <f>HYPERLINK("https://dart.fss.or.kr/dsaf001/main.do?rcpNo=20250514001216", "공시열람")</f>
        <v/>
      </c>
    </row>
    <row r="801">
      <c r="A801" s="5" t="inlineStr">
        <is>
          <t>씨엔알리서치</t>
        </is>
      </c>
      <c r="B801" s="6" t="inlineStr">
        <is>
          <t>359090</t>
        </is>
      </c>
      <c r="C801" s="6" t="inlineStr">
        <is>
          <t>2026Q2</t>
        </is>
      </c>
      <c r="D801" s="6" t="inlineStr">
        <is>
          <t>20260814</t>
        </is>
      </c>
      <c r="E801" s="16" t="n">
        <v>370486</v>
      </c>
      <c r="F801" s="16" t="n">
        <v>210425</v>
      </c>
      <c r="G801" s="16" t="n">
        <v>160061</v>
      </c>
      <c r="H801" s="6" t="inlineStr">
        <is>
          <t>백만원</t>
        </is>
      </c>
      <c r="I801" s="17" t="n">
        <v>7.1</v>
      </c>
      <c r="J801" s="18" t="n">
        <v>145157</v>
      </c>
      <c r="K801" s="19" t="n">
        <v>152409</v>
      </c>
      <c r="L801" s="18" t="n">
        <v>151856</v>
      </c>
      <c r="M801" s="19" t="n">
        <v>154569</v>
      </c>
      <c r="N801" s="18" t="n">
        <v>160868</v>
      </c>
      <c r="O801" s="19" t="n">
        <v>153206</v>
      </c>
      <c r="P801" s="18" t="n">
        <v>148944</v>
      </c>
      <c r="Q801" s="19" t="n">
        <v>151038</v>
      </c>
      <c r="R801" s="18" t="n">
        <v>149422</v>
      </c>
      <c r="S801" s="20" t="n">
        <v>160061</v>
      </c>
      <c r="T801" s="6" t="n">
        <v>0</v>
      </c>
      <c r="U801" s="5" t="inlineStr"/>
      <c r="V801" s="21">
        <f>HYPERLINK("https://dart.fss.or.kr/dsaf001/main.do?rcpNo=20260814001641", "공시열람")</f>
        <v/>
      </c>
    </row>
    <row r="802">
      <c r="A802" s="5" t="inlineStr">
        <is>
          <t>탑머티리얼</t>
        </is>
      </c>
      <c r="B802" s="6" t="inlineStr">
        <is>
          <t>360070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240113958</v>
      </c>
      <c r="F802" s="16" t="n">
        <v>195334760</v>
      </c>
      <c r="G802" s="16" t="n">
        <v>55223846</v>
      </c>
      <c r="H802" s="6" t="inlineStr">
        <is>
          <t>천원</t>
        </is>
      </c>
      <c r="I802" s="17" t="n">
        <v>15.7</v>
      </c>
      <c r="J802" s="18" t="n">
        <v>75108043</v>
      </c>
      <c r="K802" s="19" t="n">
        <v>98673944</v>
      </c>
      <c r="L802" s="18" t="n">
        <v>59906801</v>
      </c>
      <c r="M802" s="19" t="n">
        <v>38902313</v>
      </c>
      <c r="N802" s="18" t="n">
        <v>39469802</v>
      </c>
      <c r="O802" s="19" t="n">
        <v>37185938</v>
      </c>
      <c r="P802" s="18" t="n">
        <v>30863438</v>
      </c>
      <c r="Q802" s="19" t="n">
        <v>37222316</v>
      </c>
      <c r="R802" s="18" t="n">
        <v>47741532</v>
      </c>
      <c r="S802" s="20" t="n">
        <v>55223846</v>
      </c>
      <c r="T802" s="6" t="n">
        <v>1</v>
      </c>
      <c r="U802" s="5" t="inlineStr">
        <is>
          <t>2차전지시스템엔지니어링 / -</t>
        </is>
      </c>
      <c r="V802" s="21">
        <f>HYPERLINK("https://dart.fss.or.kr/dsaf001/main.do?rcpNo=20260814004277", "공시열람")</f>
        <v/>
      </c>
    </row>
    <row r="803">
      <c r="A803" s="5" t="inlineStr">
        <is>
          <t>코셈</t>
        </is>
      </c>
      <c r="B803" s="6" t="inlineStr">
        <is>
          <t>360350</t>
        </is>
      </c>
      <c r="C803" s="6" t="inlineStr">
        <is>
          <t>2026Q2</t>
        </is>
      </c>
      <c r="D803" s="6" t="inlineStr">
        <is>
          <t>20260814</t>
        </is>
      </c>
      <c r="E803" s="16" t="inlineStr"/>
      <c r="F803" s="16" t="inlineStr"/>
      <c r="G803" s="16" t="n">
        <v>1776.2</v>
      </c>
      <c r="H803" s="6" t="inlineStr">
        <is>
          <t>백만원</t>
        </is>
      </c>
      <c r="I803" s="17" t="n">
        <v>54.6</v>
      </c>
      <c r="J803" s="18" t="n">
        <v>1463.1</v>
      </c>
      <c r="K803" s="19" t="n">
        <v>1467.5</v>
      </c>
      <c r="L803" s="18" t="n">
        <v>2643.3</v>
      </c>
      <c r="M803" s="19" t="n">
        <v>1278.5</v>
      </c>
      <c r="N803" s="18" t="n">
        <v>1261.4</v>
      </c>
      <c r="O803" s="19" t="n">
        <v>726.6</v>
      </c>
      <c r="P803" s="18" t="n">
        <v>1535.4</v>
      </c>
      <c r="Q803" s="19" t="n">
        <v>972.9</v>
      </c>
      <c r="R803" s="18" t="n">
        <v>1148.9</v>
      </c>
      <c r="S803" s="20" t="n">
        <v>1776.2</v>
      </c>
      <c r="T803" s="6" t="n">
        <v>19</v>
      </c>
      <c r="U803" s="5" t="inlineStr">
        <is>
          <t>IJ사 / CX시리즈 / 2026-05-20 | SB사 / EM시리즈 / 2026-06-16 | TR대학교 / EM시리즈 / 2026-05-25</t>
        </is>
      </c>
      <c r="V803" s="21">
        <f>HYPERLINK("https://dart.fss.or.kr/dsaf001/main.do?rcpNo=20260814001928", "공시열람")</f>
        <v/>
      </c>
    </row>
    <row r="804">
      <c r="A804" s="5" t="inlineStr">
        <is>
          <t>제노코</t>
        </is>
      </c>
      <c r="B804" s="6" t="inlineStr">
        <is>
          <t>361390</t>
        </is>
      </c>
      <c r="C804" s="6" t="inlineStr">
        <is>
          <t>2026Q2</t>
        </is>
      </c>
      <c r="D804" s="6" t="inlineStr">
        <is>
          <t>20260814</t>
        </is>
      </c>
      <c r="E804" s="16" t="n">
        <v>183312</v>
      </c>
      <c r="F804" s="16" t="n">
        <v>118819</v>
      </c>
      <c r="G804" s="16" t="n">
        <v>64492</v>
      </c>
      <c r="H804" s="6" t="inlineStr">
        <is>
          <t>백만원</t>
        </is>
      </c>
      <c r="I804" s="17" t="n">
        <v>-5.8</v>
      </c>
      <c r="J804" s="18" t="n">
        <v>97312790</v>
      </c>
      <c r="K804" s="19" t="n">
        <v>98527556</v>
      </c>
      <c r="L804" s="18" t="n">
        <v>105139348</v>
      </c>
      <c r="M804" s="19" t="n">
        <v>93242557</v>
      </c>
      <c r="N804" s="18" t="n">
        <v>93673409</v>
      </c>
      <c r="O804" s="19" t="n">
        <v>89997</v>
      </c>
      <c r="P804" s="18" t="n">
        <v>82149293</v>
      </c>
      <c r="Q804" s="19" t="n">
        <v>63572</v>
      </c>
      <c r="R804" s="18" t="n">
        <v>68487</v>
      </c>
      <c r="S804" s="20" t="n">
        <v>64492</v>
      </c>
      <c r="T804" s="6" t="n">
        <v>4</v>
      </c>
      <c r="U804" s="5" t="inlineStr">
        <is>
          <t>위성통신 / 2016년 / ~2028년 | 핵심부품 등 / 2021년 / ~2030년 | 항공전자 등 / 2019년 / ~2031년</t>
        </is>
      </c>
      <c r="V804" s="21">
        <f>HYPERLINK("https://dart.fss.or.kr/dsaf001/main.do?rcpNo=20260814000659", "공시열람")</f>
        <v/>
      </c>
    </row>
    <row r="805">
      <c r="A805" s="5" t="inlineStr">
        <is>
          <t>티와이홀딩스</t>
        </is>
      </c>
      <c r="B805" s="6" t="inlineStr">
        <is>
          <t>363280</t>
        </is>
      </c>
      <c r="C805" s="6" t="inlineStr">
        <is>
          <t>2024Q3</t>
        </is>
      </c>
      <c r="D805" s="6" t="inlineStr">
        <is>
          <t>20241114</t>
        </is>
      </c>
      <c r="E805" s="16" t="inlineStr"/>
      <c r="F805" s="16" t="n">
        <v>24483448702</v>
      </c>
      <c r="G805" s="16" t="n">
        <v>16332763222</v>
      </c>
      <c r="H805" s="6" t="inlineStr">
        <is>
          <t>천원</t>
        </is>
      </c>
      <c r="I805" s="17" t="n">
        <v>-7.8</v>
      </c>
      <c r="J805" s="18" t="n">
        <v>18879296934</v>
      </c>
      <c r="K805" s="19" t="n">
        <v>17707786106</v>
      </c>
      <c r="L805" s="18" t="n">
        <v>16332763222</v>
      </c>
      <c r="M805" s="19" t="inlineStr"/>
      <c r="N805" s="18" t="inlineStr"/>
      <c r="O805" s="19" t="inlineStr"/>
      <c r="P805" s="18" t="inlineStr"/>
      <c r="Q805" s="19" t="inlineStr"/>
      <c r="R805" s="18" t="inlineStr"/>
      <c r="S805" s="20" t="inlineStr"/>
      <c r="T805" s="6" t="n">
        <v>135</v>
      </c>
      <c r="U805" s="5" t="inlineStr">
        <is>
          <t>합계 - 전체 | 건축사업본부 - 국내 | 토목환경사업본부-전체</t>
        </is>
      </c>
      <c r="V805" s="21">
        <f>HYPERLINK("https://dart.fss.or.kr/dsaf001/main.do?rcpNo=20241114002955", "공시열람")</f>
        <v/>
      </c>
    </row>
    <row r="806">
      <c r="A806" s="5" t="inlineStr">
        <is>
          <t>에이아이코리아</t>
        </is>
      </c>
      <c r="B806" s="6" t="inlineStr">
        <is>
          <t>364950</t>
        </is>
      </c>
      <c r="C806" s="6" t="inlineStr">
        <is>
          <t>2025Q4</t>
        </is>
      </c>
      <c r="D806" s="6" t="inlineStr">
        <is>
          <t>20260313</t>
        </is>
      </c>
      <c r="E806" s="16" t="inlineStr"/>
      <c r="F806" s="16" t="inlineStr"/>
      <c r="G806" s="16" t="n">
        <v>634446</v>
      </c>
      <c r="H806" s="6" t="inlineStr">
        <is>
          <t>천원</t>
        </is>
      </c>
      <c r="I806" s="17" t="n">
        <v>-95.09999999999999</v>
      </c>
      <c r="J806" s="18" t="inlineStr"/>
      <c r="K806" s="19" t="inlineStr"/>
      <c r="L806" s="18" t="inlineStr"/>
      <c r="M806" s="19" t="inlineStr"/>
      <c r="N806" s="18" t="inlineStr"/>
      <c r="O806" s="19" t="n">
        <v>16606163</v>
      </c>
      <c r="P806" s="18" t="n">
        <v>12900287</v>
      </c>
      <c r="Q806" s="19" t="n">
        <v>634446</v>
      </c>
      <c r="R806" s="18" t="inlineStr"/>
      <c r="S806" s="20" t="inlineStr"/>
      <c r="T806" s="6" t="n">
        <v>1</v>
      </c>
      <c r="U806" s="5" t="inlineStr">
        <is>
          <t>동일알루미늄 청주공장 신축공사(소방) / 2025-07</t>
        </is>
      </c>
      <c r="V806" s="21">
        <f>HYPERLINK("https://dart.fss.or.kr/dsaf001/main.do?rcpNo=20260313001213", "공시열람")</f>
        <v/>
      </c>
    </row>
    <row r="807">
      <c r="A807" s="5" t="inlineStr">
        <is>
          <t>에스와이스틸텍</t>
        </is>
      </c>
      <c r="B807" s="6" t="inlineStr">
        <is>
          <t>365330</t>
        </is>
      </c>
      <c r="C807" s="6" t="inlineStr">
        <is>
          <t>2026Q2</t>
        </is>
      </c>
      <c r="D807" s="6" t="inlineStr">
        <is>
          <t>20260814</t>
        </is>
      </c>
      <c r="E807" s="16" t="n">
        <v>84986415</v>
      </c>
      <c r="F807" s="16" t="inlineStr"/>
      <c r="G807" s="16" t="n">
        <v>58149665</v>
      </c>
      <c r="H807" s="6" t="inlineStr">
        <is>
          <t>천㎡,천원</t>
        </is>
      </c>
      <c r="I807" s="17" t="n">
        <v>43.9</v>
      </c>
      <c r="J807" s="18" t="n">
        <v>64512846</v>
      </c>
      <c r="K807" s="19" t="n">
        <v>56887936</v>
      </c>
      <c r="L807" s="18" t="n">
        <v>56091469</v>
      </c>
      <c r="M807" s="19" t="n">
        <v>32436031</v>
      </c>
      <c r="N807" s="18" t="n">
        <v>39422856</v>
      </c>
      <c r="O807" s="19" t="n">
        <v>40863398</v>
      </c>
      <c r="P807" s="18" t="n">
        <v>28886919</v>
      </c>
      <c r="Q807" s="19" t="n">
        <v>37433656</v>
      </c>
      <c r="R807" s="18" t="n">
        <v>40398240</v>
      </c>
      <c r="S807" s="20" t="n">
        <v>58149665</v>
      </c>
      <c r="T807" s="6" t="n">
        <v>22</v>
      </c>
      <c r="U807" s="5" t="inlineStr">
        <is>
          <t>기타 / - | 현대건설(주) / 더현대광주 신축공사 / 2026년7월 | 한화건설 / (1-2공구)서울역북부 1-2공구 / 20</t>
        </is>
      </c>
      <c r="V807" s="21">
        <f>HYPERLINK("https://dart.fss.or.kr/dsaf001/main.do?rcpNo=20260814003676", "공시열람")</f>
        <v/>
      </c>
    </row>
    <row r="808">
      <c r="A808" s="5" t="inlineStr">
        <is>
          <t>레몬헬스케어</t>
        </is>
      </c>
      <c r="B808" s="6" t="inlineStr">
        <is>
          <t>365660</t>
        </is>
      </c>
      <c r="C808" s="6" t="inlineStr">
        <is>
          <t>2026Q2</t>
        </is>
      </c>
      <c r="D808" s="6" t="inlineStr">
        <is>
          <t>20260814</t>
        </is>
      </c>
      <c r="E808" s="16" t="n">
        <v>16424453</v>
      </c>
      <c r="F808" s="16" t="n">
        <v>4959383</v>
      </c>
      <c r="G808" s="16" t="n">
        <v>11465069</v>
      </c>
      <c r="H808" s="6" t="inlineStr">
        <is>
          <t>천원</t>
        </is>
      </c>
      <c r="I808" s="17" t="inlineStr"/>
      <c r="J808" s="18" t="inlineStr"/>
      <c r="K808" s="19" t="inlineStr"/>
      <c r="L808" s="18" t="inlineStr"/>
      <c r="M808" s="19" t="inlineStr"/>
      <c r="N808" s="18" t="inlineStr"/>
      <c r="O808" s="19" t="inlineStr"/>
      <c r="P808" s="18" t="inlineStr"/>
      <c r="Q808" s="19" t="inlineStr"/>
      <c r="R808" s="18" t="inlineStr"/>
      <c r="S808" s="20" t="n">
        <v>11465069</v>
      </c>
      <c r="T808" s="6" t="n">
        <v>2</v>
      </c>
      <c r="U808" s="5" t="inlineStr">
        <is>
          <t>LDB-E | LDB-H</t>
        </is>
      </c>
      <c r="V808" s="21">
        <f>HYPERLINK("https://dart.fss.or.kr/dsaf001/main.do?rcpNo=20260814002913", "공시열람")</f>
        <v/>
      </c>
    </row>
    <row r="809">
      <c r="A809" s="5" t="inlineStr">
        <is>
          <t>플래티어</t>
        </is>
      </c>
      <c r="B809" s="6" t="inlineStr">
        <is>
          <t>367000</t>
        </is>
      </c>
      <c r="C809" s="6" t="inlineStr">
        <is>
          <t>2026Q2</t>
        </is>
      </c>
      <c r="D809" s="6" t="inlineStr">
        <is>
          <t>20260814</t>
        </is>
      </c>
      <c r="E809" s="16" t="inlineStr"/>
      <c r="F809" s="16" t="n">
        <v>18976</v>
      </c>
      <c r="G809" s="16" t="n">
        <v>10453</v>
      </c>
      <c r="H809" s="6" t="inlineStr">
        <is>
          <t>백만원</t>
        </is>
      </c>
      <c r="I809" s="17" t="n">
        <v>41</v>
      </c>
      <c r="J809" s="18" t="n">
        <v>5746</v>
      </c>
      <c r="K809" s="19" t="n">
        <v>5245</v>
      </c>
      <c r="L809" s="18" t="n">
        <v>5720</v>
      </c>
      <c r="M809" s="19" t="n">
        <v>2597</v>
      </c>
      <c r="N809" s="18" t="n">
        <v>19782</v>
      </c>
      <c r="O809" s="19" t="n">
        <v>13739</v>
      </c>
      <c r="P809" s="18" t="n">
        <v>8309</v>
      </c>
      <c r="Q809" s="19" t="n">
        <v>5657</v>
      </c>
      <c r="R809" s="18" t="n">
        <v>7412</v>
      </c>
      <c r="S809" s="20" t="n">
        <v>10453</v>
      </c>
      <c r="T809" s="6" t="n">
        <v>3</v>
      </c>
      <c r="U809" s="5" t="inlineStr">
        <is>
          <t>AI 커머스 | 디지털 전환 | AI CX</t>
        </is>
      </c>
      <c r="V809" s="21">
        <f>HYPERLINK("https://dart.fss.or.kr/dsaf001/main.do?rcpNo=20260814002629", "공시열람")</f>
        <v/>
      </c>
    </row>
    <row r="810">
      <c r="A810" s="5" t="inlineStr">
        <is>
          <t>파이버프로</t>
        </is>
      </c>
      <c r="B810" s="6" t="inlineStr">
        <is>
          <t>368770</t>
        </is>
      </c>
      <c r="C810" s="6" t="inlineStr">
        <is>
          <t>2026Q1</t>
        </is>
      </c>
      <c r="D810" s="6" t="inlineStr">
        <is>
          <t>20260511</t>
        </is>
      </c>
      <c r="E810" s="16" t="n">
        <v>55707</v>
      </c>
      <c r="F810" s="16" t="n">
        <v>22078</v>
      </c>
      <c r="G810" s="16" t="n">
        <v>33629</v>
      </c>
      <c r="H810" s="6" t="inlineStr">
        <is>
          <t>백만원,천$</t>
        </is>
      </c>
      <c r="I810" s="17" t="n">
        <v>-7.2</v>
      </c>
      <c r="J810" s="18" t="n">
        <v>27354</v>
      </c>
      <c r="K810" s="19" t="n">
        <v>44043</v>
      </c>
      <c r="L810" s="18" t="n">
        <v>43306</v>
      </c>
      <c r="M810" s="19" t="n">
        <v>43306</v>
      </c>
      <c r="N810" s="18" t="n">
        <v>36629</v>
      </c>
      <c r="O810" s="19" t="n">
        <v>42788</v>
      </c>
      <c r="P810" s="18" t="n">
        <v>38257</v>
      </c>
      <c r="Q810" s="19" t="n">
        <v>36249</v>
      </c>
      <c r="R810" s="18" t="n">
        <v>33629</v>
      </c>
      <c r="S810" s="20" t="inlineStr"/>
      <c r="T810" s="6" t="n">
        <v>1</v>
      </c>
      <c r="U810" s="5" t="inlineStr">
        <is>
          <t>관성측정기 외 / '23년~ '26년. / -</t>
        </is>
      </c>
      <c r="V810" s="21">
        <f>HYPERLINK("https://dart.fss.or.kr/dsaf001/main.do?rcpNo=20260511000209", "공시열람")</f>
        <v/>
      </c>
    </row>
    <row r="811">
      <c r="A811" s="5" t="inlineStr">
        <is>
          <t>퓨런티어</t>
        </is>
      </c>
      <c r="B811" s="6" t="inlineStr">
        <is>
          <t>370090</t>
        </is>
      </c>
      <c r="C811" s="6" t="inlineStr">
        <is>
          <t>2026Q2</t>
        </is>
      </c>
      <c r="D811" s="6" t="inlineStr">
        <is>
          <t>20260813</t>
        </is>
      </c>
      <c r="E811" s="16" t="n">
        <v>18396303080</v>
      </c>
      <c r="F811" s="16" t="n">
        <v>12009554809</v>
      </c>
      <c r="G811" s="16" t="n">
        <v>6386748271</v>
      </c>
      <c r="H811" s="6" t="inlineStr">
        <is>
          <t>원</t>
        </is>
      </c>
      <c r="I811" s="17" t="n">
        <v>81194258.90000001</v>
      </c>
      <c r="J811" s="18" t="n">
        <v>8966</v>
      </c>
      <c r="K811" s="19" t="n">
        <v>4614</v>
      </c>
      <c r="L811" s="18" t="n">
        <v>3665</v>
      </c>
      <c r="M811" s="19" t="n">
        <v>5995</v>
      </c>
      <c r="N811" s="18" t="n">
        <v>5990</v>
      </c>
      <c r="O811" s="19" t="n">
        <v>5992</v>
      </c>
      <c r="P811" s="18" t="n">
        <v>6155</v>
      </c>
      <c r="Q811" s="19" t="n">
        <v>7872</v>
      </c>
      <c r="R811" s="18" t="n">
        <v>7866</v>
      </c>
      <c r="S811" s="20" t="n">
        <v>6386748271</v>
      </c>
      <c r="T811" s="6" t="n">
        <v>3</v>
      </c>
      <c r="U811" s="5" t="inlineStr">
        <is>
          <t>기타 장비 / 2025~ / 2026~ | 전장용 장비 / 2025~ / 2026~ | PC,광원등 / 2025~ / 2026~</t>
        </is>
      </c>
      <c r="V811" s="21">
        <f>HYPERLINK("https://dart.fss.or.kr/dsaf001/main.do?rcpNo=20260813001157", "공시열람")</f>
        <v/>
      </c>
    </row>
    <row r="812">
      <c r="A812" s="5" t="inlineStr">
        <is>
          <t>윤성에프앤씨</t>
        </is>
      </c>
      <c r="B812" s="6" t="inlineStr">
        <is>
          <t>372170</t>
        </is>
      </c>
      <c r="C812" s="6" t="inlineStr">
        <is>
          <t>2026Q2</t>
        </is>
      </c>
      <c r="D812" s="6" t="inlineStr">
        <is>
          <t>20260814</t>
        </is>
      </c>
      <c r="E812" s="16" t="n">
        <v>274420</v>
      </c>
      <c r="F812" s="16" t="n">
        <v>81735</v>
      </c>
      <c r="G812" s="16" t="n">
        <v>192685</v>
      </c>
      <c r="H812" s="6" t="inlineStr">
        <is>
          <t>백만원</t>
        </is>
      </c>
      <c r="I812" s="17" t="n">
        <v>-8.1</v>
      </c>
      <c r="J812" s="18" t="n">
        <v>252626</v>
      </c>
      <c r="K812" s="19" t="n">
        <v>300161</v>
      </c>
      <c r="L812" s="18" t="n">
        <v>286681</v>
      </c>
      <c r="M812" s="19" t="n">
        <v>238188</v>
      </c>
      <c r="N812" s="18" t="n">
        <v>228592</v>
      </c>
      <c r="O812" s="19" t="n">
        <v>194682</v>
      </c>
      <c r="P812" s="18" t="n">
        <v>189016</v>
      </c>
      <c r="Q812" s="19" t="n">
        <v>218676</v>
      </c>
      <c r="R812" s="18" t="n">
        <v>209671</v>
      </c>
      <c r="S812" s="20" t="n">
        <v>192685</v>
      </c>
      <c r="T812" s="6" t="n">
        <v>1</v>
      </c>
      <c r="U812" s="5" t="inlineStr">
        <is>
          <t>믹싱장비 및 시스템 / -</t>
        </is>
      </c>
      <c r="V812" s="21">
        <f>HYPERLINK("https://dart.fss.or.kr/dsaf001/main.do?rcpNo=20260814000641", "공시열람")</f>
        <v/>
      </c>
    </row>
    <row r="813">
      <c r="A813" s="5" t="inlineStr">
        <is>
          <t>아이티아이즈</t>
        </is>
      </c>
      <c r="B813" s="6" t="inlineStr">
        <is>
          <t>372800</t>
        </is>
      </c>
      <c r="C813" s="6" t="inlineStr">
        <is>
          <t>2026Q2</t>
        </is>
      </c>
      <c r="D813" s="6" t="inlineStr">
        <is>
          <t>20260814</t>
        </is>
      </c>
      <c r="E813" s="16" t="n">
        <v>116472</v>
      </c>
      <c r="F813" s="16" t="n">
        <v>64638</v>
      </c>
      <c r="G813" s="16" t="n">
        <v>51834</v>
      </c>
      <c r="H813" s="6" t="inlineStr">
        <is>
          <t>백만원</t>
        </is>
      </c>
      <c r="I813" s="17" t="n">
        <v>67.59999999999999</v>
      </c>
      <c r="J813" s="18" t="n">
        <v>49616</v>
      </c>
      <c r="K813" s="19" t="n">
        <v>47487</v>
      </c>
      <c r="L813" s="18" t="n">
        <v>48765</v>
      </c>
      <c r="M813" s="19" t="n">
        <v>66734</v>
      </c>
      <c r="N813" s="18" t="n">
        <v>55729</v>
      </c>
      <c r="O813" s="19" t="n">
        <v>44280</v>
      </c>
      <c r="P813" s="18" t="n">
        <v>35435</v>
      </c>
      <c r="Q813" s="19" t="n">
        <v>34711</v>
      </c>
      <c r="R813" s="18" t="n">
        <v>30929</v>
      </c>
      <c r="S813" s="20" t="n">
        <v>51834</v>
      </c>
      <c r="T813" s="6" t="n">
        <v>21</v>
      </c>
      <c r="U813" s="5" t="inlineStr">
        <is>
          <t>2026~2029년도 전력시장운영시스템 유지관리 위탁용 | 신용보증재단 및 신보중앙회 정보시스템 통합유지보수 /  | 기타 / 2022.06.01 / 2029.12.04</t>
        </is>
      </c>
      <c r="V813" s="21">
        <f>HYPERLINK("https://dart.fss.or.kr/dsaf001/main.do?rcpNo=20260814003419", "공시열람")</f>
        <v/>
      </c>
    </row>
    <row r="814">
      <c r="A814" s="5" t="inlineStr">
        <is>
          <t>한컴라이프케어</t>
        </is>
      </c>
      <c r="B814" s="6" t="inlineStr">
        <is>
          <t>372910</t>
        </is>
      </c>
      <c r="C814" s="6" t="inlineStr">
        <is>
          <t>2025Q1</t>
        </is>
      </c>
      <c r="D814" s="6" t="inlineStr">
        <is>
          <t>20250512</t>
        </is>
      </c>
      <c r="E814" s="16" t="n">
        <v>93929</v>
      </c>
      <c r="F814" s="16" t="inlineStr"/>
      <c r="G814" s="16" t="n">
        <v>93929</v>
      </c>
      <c r="H814" s="6" t="inlineStr">
        <is>
          <t>개,백만원</t>
        </is>
      </c>
      <c r="I814" s="17" t="n">
        <v>7.2</v>
      </c>
      <c r="J814" s="18" t="n">
        <v>116585</v>
      </c>
      <c r="K814" s="19" t="n">
        <v>108259</v>
      </c>
      <c r="L814" s="18" t="n">
        <v>98588</v>
      </c>
      <c r="M814" s="19" t="n">
        <v>87636</v>
      </c>
      <c r="N814" s="18" t="n">
        <v>93929</v>
      </c>
      <c r="O814" s="19" t="inlineStr"/>
      <c r="P814" s="18" t="inlineStr"/>
      <c r="Q814" s="19" t="inlineStr"/>
      <c r="R814" s="18" t="inlineStr"/>
      <c r="S814" s="20" t="inlineStr"/>
      <c r="T814" s="6" t="n">
        <v>5</v>
      </c>
      <c r="U814" s="5" t="inlineStr">
        <is>
          <t>지상레이저 표적지시기 2차 사업 / 2023.06.23 | 23년 예비군 교전훈련장비체계 / 2023.07.12  | 기갑/기계화 중대급 교전훈련체계 연구개발 / 2024.</t>
        </is>
      </c>
      <c r="V814" s="21">
        <f>HYPERLINK("https://dart.fss.or.kr/dsaf001/main.do?rcpNo=20250512000052", "공시열람")</f>
        <v/>
      </c>
    </row>
    <row r="815">
      <c r="A815" s="5" t="inlineStr">
        <is>
          <t>엠아이큐브솔루션</t>
        </is>
      </c>
      <c r="B815" s="6" t="inlineStr">
        <is>
          <t>373170</t>
        </is>
      </c>
      <c r="C815" s="6" t="inlineStr">
        <is>
          <t>2026Q2</t>
        </is>
      </c>
      <c r="D815" s="6" t="inlineStr">
        <is>
          <t>20260814</t>
        </is>
      </c>
      <c r="E815" s="16" t="n">
        <v>36684348</v>
      </c>
      <c r="F815" s="16" t="n">
        <v>24959327</v>
      </c>
      <c r="G815" s="16" t="n">
        <v>11725021</v>
      </c>
      <c r="H815" s="6" t="inlineStr">
        <is>
          <t>천원</t>
        </is>
      </c>
      <c r="I815" s="17" t="n">
        <v>2.3</v>
      </c>
      <c r="J815" s="18" t="n">
        <v>13718864</v>
      </c>
      <c r="K815" s="19" t="n">
        <v>11491924</v>
      </c>
      <c r="L815" s="18" t="n">
        <v>10636548</v>
      </c>
      <c r="M815" s="19" t="n">
        <v>7716711</v>
      </c>
      <c r="N815" s="18" t="n">
        <v>11923582</v>
      </c>
      <c r="O815" s="19" t="n">
        <v>11834</v>
      </c>
      <c r="P815" s="18" t="n">
        <v>9573750</v>
      </c>
      <c r="Q815" s="19" t="n">
        <v>5866654</v>
      </c>
      <c r="R815" s="18" t="n">
        <v>11462098</v>
      </c>
      <c r="S815" s="20" t="n">
        <v>11725021</v>
      </c>
      <c r="T815" s="6" t="n">
        <v>1</v>
      </c>
      <c r="U815" s="5" t="inlineStr">
        <is>
          <t>IT서비스 및 SW매출 / -</t>
        </is>
      </c>
      <c r="V815" s="21">
        <f>HYPERLINK("https://dart.fss.or.kr/dsaf001/main.do?rcpNo=20260814003216", "공시열람")</f>
        <v/>
      </c>
    </row>
    <row r="816">
      <c r="A816" s="5" t="inlineStr">
        <is>
          <t>DL이앤씨</t>
        </is>
      </c>
      <c r="B816" s="6" t="inlineStr">
        <is>
          <t>375500</t>
        </is>
      </c>
      <c r="C816" s="6" t="inlineStr">
        <is>
          <t>2026Q2</t>
        </is>
      </c>
      <c r="D816" s="6" t="inlineStr">
        <is>
          <t>20260814</t>
        </is>
      </c>
      <c r="E816" s="16" t="n">
        <v>40867535</v>
      </c>
      <c r="F816" s="16" t="n">
        <v>15227906</v>
      </c>
      <c r="G816" s="16" t="n">
        <v>25639629</v>
      </c>
      <c r="H816" s="6" t="inlineStr">
        <is>
          <t>백만원</t>
        </is>
      </c>
      <c r="I816" s="17" t="n">
        <v>15.4</v>
      </c>
      <c r="J816" s="18" t="n">
        <v>21748252</v>
      </c>
      <c r="K816" s="19" t="n">
        <v>21553212</v>
      </c>
      <c r="L816" s="18" t="n">
        <v>21322311</v>
      </c>
      <c r="M816" s="19" t="n">
        <v>21872078</v>
      </c>
      <c r="N816" s="18" t="n">
        <v>21652989</v>
      </c>
      <c r="O816" s="19" t="n">
        <v>20621363</v>
      </c>
      <c r="P816" s="18" t="n">
        <v>20570366</v>
      </c>
      <c r="Q816" s="19" t="n">
        <v>22436982</v>
      </c>
      <c r="R816" s="18" t="n">
        <v>22225195</v>
      </c>
      <c r="S816" s="20" t="n">
        <v>25639629</v>
      </c>
      <c r="T816" s="6" t="n">
        <v>114</v>
      </c>
      <c r="U81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6" s="21">
        <f>HYPERLINK("https://dart.fss.or.kr/dsaf001/main.do?rcpNo=20260814003712", "공시열람")</f>
        <v/>
      </c>
    </row>
    <row r="817">
      <c r="A817" s="5" t="inlineStr">
        <is>
          <t>노을</t>
        </is>
      </c>
      <c r="B817" s="6" t="inlineStr">
        <is>
          <t>376930</t>
        </is>
      </c>
      <c r="C817" s="6" t="inlineStr">
        <is>
          <t>2026Q2</t>
        </is>
      </c>
      <c r="D817" s="6" t="inlineStr">
        <is>
          <t>20260813</t>
        </is>
      </c>
      <c r="E817" s="16" t="n">
        <v>26057</v>
      </c>
      <c r="F817" s="16" t="n">
        <v>4886</v>
      </c>
      <c r="G817" s="16" t="n">
        <v>21172</v>
      </c>
      <c r="H817" s="6" t="inlineStr">
        <is>
          <t>백만원</t>
        </is>
      </c>
      <c r="I817" s="17" t="n">
        <v>-2.9</v>
      </c>
      <c r="J817" s="18" t="n">
        <v>12160</v>
      </c>
      <c r="K817" s="19" t="n">
        <v>11903</v>
      </c>
      <c r="L817" s="18" t="n">
        <v>11731</v>
      </c>
      <c r="M817" s="19" t="n">
        <v>13878</v>
      </c>
      <c r="N817" s="18" t="n">
        <v>20818</v>
      </c>
      <c r="O817" s="19" t="n">
        <v>22382</v>
      </c>
      <c r="P817" s="18" t="n">
        <v>22516</v>
      </c>
      <c r="Q817" s="19" t="n">
        <v>21923</v>
      </c>
      <c r="R817" s="18" t="n">
        <v>21799</v>
      </c>
      <c r="S817" s="20" t="n">
        <v>21172</v>
      </c>
      <c r="T817" s="6" t="n">
        <v>11</v>
      </c>
      <c r="U817" s="5" t="inlineStr">
        <is>
          <t>miLab™ 디바이스 및 카트리지 / 2023-08-0 | miLab™ 디바이스 및 카트리지 / 2025-02-2 | miLab™ 디바이스 및 카트리지 / 2024-11-0</t>
        </is>
      </c>
      <c r="V817" s="21">
        <f>HYPERLINK("https://dart.fss.or.kr/dsaf001/main.do?rcpNo=20260812000889", "공시열람")</f>
        <v/>
      </c>
    </row>
    <row r="818">
      <c r="A818" s="5" t="inlineStr">
        <is>
          <t>비트맥스</t>
        </is>
      </c>
      <c r="B818" s="6" t="inlineStr">
        <is>
          <t>377030</t>
        </is>
      </c>
      <c r="C818" s="6" t="inlineStr">
        <is>
          <t>2025Q1</t>
        </is>
      </c>
      <c r="D818" s="6" t="inlineStr">
        <is>
          <t>20250515</t>
        </is>
      </c>
      <c r="E818" s="16" t="n">
        <v>496</v>
      </c>
      <c r="F818" s="16" t="inlineStr"/>
      <c r="G818" s="16" t="n">
        <v>496</v>
      </c>
      <c r="H818" s="6" t="inlineStr">
        <is>
          <t>백만원</t>
        </is>
      </c>
      <c r="I818" s="17" t="n">
        <v>-94.7</v>
      </c>
      <c r="J818" s="18" t="n">
        <v>10823</v>
      </c>
      <c r="K818" s="19" t="n">
        <v>11630</v>
      </c>
      <c r="L818" s="18" t="n">
        <v>9529</v>
      </c>
      <c r="M818" s="19" t="n">
        <v>9443</v>
      </c>
      <c r="N818" s="18" t="n">
        <v>496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IT서비스 / ㈜아이엘포유 / 시스템구축 및 운영 유지</t>
        </is>
      </c>
      <c r="V818" s="21">
        <f>HYPERLINK("https://dart.fss.or.kr/dsaf001/main.do?rcpNo=20250515001562", "공시열람")</f>
        <v/>
      </c>
    </row>
    <row r="819">
      <c r="A819" s="5" t="inlineStr">
        <is>
          <t>이지트로닉스</t>
        </is>
      </c>
      <c r="B819" s="6" t="inlineStr">
        <is>
          <t>377330</t>
        </is>
      </c>
      <c r="C819" s="6" t="inlineStr">
        <is>
          <t>2026Q2</t>
        </is>
      </c>
      <c r="D819" s="6" t="inlineStr">
        <is>
          <t>20260814</t>
        </is>
      </c>
      <c r="E819" s="16" t="n">
        <v>9495</v>
      </c>
      <c r="F819" s="16" t="n">
        <v>4905</v>
      </c>
      <c r="G819" s="16" t="n">
        <v>4590</v>
      </c>
      <c r="H819" s="6" t="inlineStr">
        <is>
          <t>백만원</t>
        </is>
      </c>
      <c r="I819" s="17" t="n">
        <v>-38.7</v>
      </c>
      <c r="J819" s="18" t="n">
        <v>2886</v>
      </c>
      <c r="K819" s="19" t="n">
        <v>5024</v>
      </c>
      <c r="L819" s="18" t="n">
        <v>12497</v>
      </c>
      <c r="M819" s="19" t="n">
        <v>3039</v>
      </c>
      <c r="N819" s="18" t="n">
        <v>5157</v>
      </c>
      <c r="O819" s="19" t="n">
        <v>3361</v>
      </c>
      <c r="P819" s="18" t="n">
        <v>3325</v>
      </c>
      <c r="Q819" s="19" t="n">
        <v>4939</v>
      </c>
      <c r="R819" s="18" t="n">
        <v>7486</v>
      </c>
      <c r="S819" s="20" t="n">
        <v>4590</v>
      </c>
      <c r="T819" s="6" t="n">
        <v>1</v>
      </c>
      <c r="U819" s="5" t="inlineStr">
        <is>
          <t>전력변환장치(제품) 외 / 2026년</t>
        </is>
      </c>
      <c r="V819" s="21">
        <f>HYPERLINK("https://dart.fss.or.kr/dsaf001/main.do?rcpNo=20260814002509", "공시열람")</f>
        <v/>
      </c>
    </row>
    <row r="820">
      <c r="A820" s="5" t="inlineStr">
        <is>
          <t>마음AI</t>
        </is>
      </c>
      <c r="B820" s="6" t="inlineStr">
        <is>
          <t>377480</t>
        </is>
      </c>
      <c r="C820" s="6" t="inlineStr">
        <is>
          <t>2026Q2</t>
        </is>
      </c>
      <c r="D820" s="6" t="inlineStr">
        <is>
          <t>20260814</t>
        </is>
      </c>
      <c r="E820" s="16" t="n">
        <v>4015317</v>
      </c>
      <c r="F820" s="16" t="n">
        <v>1598358</v>
      </c>
      <c r="G820" s="16" t="n">
        <v>2416959</v>
      </c>
      <c r="H820" s="6" t="inlineStr">
        <is>
          <t>천원</t>
        </is>
      </c>
      <c r="I820" s="17" t="n">
        <v>2218.6</v>
      </c>
      <c r="J820" s="18" t="n">
        <v>1395846</v>
      </c>
      <c r="K820" s="19" t="n">
        <v>1943692</v>
      </c>
      <c r="L820" s="18" t="n">
        <v>1619015</v>
      </c>
      <c r="M820" s="19" t="n">
        <v>518080</v>
      </c>
      <c r="N820" s="18" t="n">
        <v>673648</v>
      </c>
      <c r="O820" s="19" t="n">
        <v>1229587</v>
      </c>
      <c r="P820" s="18" t="n">
        <v>774501</v>
      </c>
      <c r="Q820" s="19" t="n">
        <v>2646480</v>
      </c>
      <c r="R820" s="18" t="n">
        <v>104240</v>
      </c>
      <c r="S820" s="20" t="n">
        <v>2416959</v>
      </c>
      <c r="T820" s="6" t="n">
        <v>14</v>
      </c>
      <c r="U82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20" s="21">
        <f>HYPERLINK("https://dart.fss.or.kr/dsaf001/main.do?rcpNo=20260814002855", "공시열람")</f>
        <v/>
      </c>
    </row>
    <row r="821">
      <c r="A821" s="5" t="inlineStr">
        <is>
          <t>필에너지</t>
        </is>
      </c>
      <c r="B821" s="6" t="inlineStr">
        <is>
          <t>378340</t>
        </is>
      </c>
      <c r="C821" s="6" t="inlineStr">
        <is>
          <t>2026Q2</t>
        </is>
      </c>
      <c r="D821" s="6" t="inlineStr">
        <is>
          <t>20260814</t>
        </is>
      </c>
      <c r="E821" s="16" t="n">
        <v>99387</v>
      </c>
      <c r="F821" s="16" t="n">
        <v>4129</v>
      </c>
      <c r="G821" s="16" t="n">
        <v>95258</v>
      </c>
      <c r="H821" s="6" t="inlineStr">
        <is>
          <t>백만원</t>
        </is>
      </c>
      <c r="I821" s="17" t="n">
        <v>16.4</v>
      </c>
      <c r="J821" s="18" t="n">
        <v>291171</v>
      </c>
      <c r="K821" s="19" t="n">
        <v>199885</v>
      </c>
      <c r="L821" s="18" t="n">
        <v>148244</v>
      </c>
      <c r="M821" s="19" t="n">
        <v>79163</v>
      </c>
      <c r="N821" s="18" t="n">
        <v>82878</v>
      </c>
      <c r="O821" s="19" t="n">
        <v>62162</v>
      </c>
      <c r="P821" s="18" t="n">
        <v>64638</v>
      </c>
      <c r="Q821" s="19" t="n">
        <v>73666</v>
      </c>
      <c r="R821" s="18" t="n">
        <v>81832</v>
      </c>
      <c r="S821" s="20" t="n">
        <v>95258</v>
      </c>
      <c r="T821" s="6" t="n">
        <v>1</v>
      </c>
      <c r="U821" s="5" t="inlineStr">
        <is>
          <t>이차전지 공정장비 / -</t>
        </is>
      </c>
      <c r="V821" s="21">
        <f>HYPERLINK("https://dart.fss.or.kr/dsaf001/main.do?rcpNo=20260814002628", "공시열람")</f>
        <v/>
      </c>
    </row>
    <row r="822">
      <c r="A822" s="5" t="inlineStr">
        <is>
          <t>이성씨엔아이</t>
        </is>
      </c>
      <c r="B822" s="6" t="inlineStr">
        <is>
          <t>379390</t>
        </is>
      </c>
      <c r="C822" s="6" t="inlineStr">
        <is>
          <t>2025Q4</t>
        </is>
      </c>
      <c r="D822" s="6" t="inlineStr">
        <is>
          <t>20260323</t>
        </is>
      </c>
      <c r="E822" s="16" t="n">
        <v>40691</v>
      </c>
      <c r="F822" s="16" t="n">
        <v>23305</v>
      </c>
      <c r="G822" s="16" t="n">
        <v>17386</v>
      </c>
      <c r="H822" s="6" t="inlineStr">
        <is>
          <t>백만원,천USD</t>
        </is>
      </c>
      <c r="I822" s="17" t="n">
        <v>4.6</v>
      </c>
      <c r="J822" s="18" t="inlineStr"/>
      <c r="K822" s="19" t="inlineStr"/>
      <c r="L822" s="18" t="inlineStr"/>
      <c r="M822" s="19" t="n">
        <v>16617</v>
      </c>
      <c r="N822" s="18" t="inlineStr"/>
      <c r="O822" s="19" t="inlineStr"/>
      <c r="P822" s="18" t="inlineStr"/>
      <c r="Q822" s="19" t="n">
        <v>17386</v>
      </c>
      <c r="R822" s="18" t="inlineStr"/>
      <c r="S822" s="20" t="inlineStr"/>
      <c r="T822" s="6" t="n">
        <v>5</v>
      </c>
      <c r="U822" s="5" t="inlineStr">
        <is>
          <t>교전훈련체계 / - | 운송 물류주선 사업 / - | 원자력 / -</t>
        </is>
      </c>
      <c r="V822" s="21">
        <f>HYPERLINK("https://dart.fss.or.kr/dsaf001/main.do?rcpNo=20260323000676", "공시열람")</f>
        <v/>
      </c>
    </row>
    <row r="823">
      <c r="A823" s="5" t="inlineStr">
        <is>
          <t>옵티코어</t>
        </is>
      </c>
      <c r="B823" s="6" t="inlineStr">
        <is>
          <t>380540</t>
        </is>
      </c>
      <c r="C823" s="6" t="inlineStr">
        <is>
          <t>2026Q2</t>
        </is>
      </c>
      <c r="D823" s="6" t="inlineStr">
        <is>
          <t>20260814</t>
        </is>
      </c>
      <c r="E823" s="16" t="n">
        <v>17859</v>
      </c>
      <c r="F823" s="16" t="n">
        <v>14317</v>
      </c>
      <c r="G823" s="16" t="n">
        <v>3543</v>
      </c>
      <c r="H823" s="6" t="inlineStr">
        <is>
          <t>EA,백만원</t>
        </is>
      </c>
      <c r="I823" s="17" t="n">
        <v>25.7</v>
      </c>
      <c r="J823" s="18" t="n">
        <v>2542</v>
      </c>
      <c r="K823" s="19" t="n">
        <v>3422</v>
      </c>
      <c r="L823" s="18" t="n">
        <v>6104</v>
      </c>
      <c r="M823" s="19" t="n">
        <v>1603</v>
      </c>
      <c r="N823" s="18" t="n">
        <v>837</v>
      </c>
      <c r="O823" s="19" t="n">
        <v>1859</v>
      </c>
      <c r="P823" s="18" t="n">
        <v>9151</v>
      </c>
      <c r="Q823" s="19" t="n">
        <v>10808</v>
      </c>
      <c r="R823" s="18" t="n">
        <v>2819</v>
      </c>
      <c r="S823" s="20" t="n">
        <v>3543</v>
      </c>
      <c r="T823" s="6" t="n">
        <v>2</v>
      </c>
      <c r="U823" s="5" t="inlineStr">
        <is>
          <t>광트랜시버 / - | 기타</t>
        </is>
      </c>
      <c r="V823" s="21">
        <f>HYPERLINK("https://dart.fss.or.kr/dsaf001/main.do?rcpNo=20260814003643", "공시열람")</f>
        <v/>
      </c>
    </row>
    <row r="824">
      <c r="A824" s="5" t="inlineStr">
        <is>
          <t>뉴로핏</t>
        </is>
      </c>
      <c r="B824" s="6" t="inlineStr">
        <is>
          <t>380550</t>
        </is>
      </c>
      <c r="C824" s="6" t="inlineStr">
        <is>
          <t>2026Q2</t>
        </is>
      </c>
      <c r="D824" s="6" t="inlineStr">
        <is>
          <t>20260814</t>
        </is>
      </c>
      <c r="E824" s="16" t="n">
        <v>2310528</v>
      </c>
      <c r="F824" s="16" t="inlineStr"/>
      <c r="G824" s="16" t="n">
        <v>1141644</v>
      </c>
      <c r="H824" s="6" t="inlineStr">
        <is>
          <t>천원</t>
        </is>
      </c>
      <c r="I824" s="17" t="n">
        <v>2.4</v>
      </c>
      <c r="J824" s="18" t="inlineStr"/>
      <c r="K824" s="19" t="inlineStr"/>
      <c r="L824" s="18" t="inlineStr"/>
      <c r="M824" s="19" t="inlineStr"/>
      <c r="N824" s="18" t="inlineStr"/>
      <c r="O824" s="19" t="n">
        <v>1386125</v>
      </c>
      <c r="P824" s="18" t="n">
        <v>1146114</v>
      </c>
      <c r="Q824" s="19" t="n">
        <v>1161535</v>
      </c>
      <c r="R824" s="18" t="n">
        <v>1114642</v>
      </c>
      <c r="S824" s="20" t="n">
        <v>1141644</v>
      </c>
      <c r="T824" s="6" t="n">
        <v>38</v>
      </c>
      <c r="U824" s="5" t="inlineStr">
        <is>
          <t>Imaging CRO | Imaging CRO | Neurophet AQUA</t>
        </is>
      </c>
      <c r="V824" s="21">
        <f>HYPERLINK("https://dart.fss.or.kr/dsaf001/main.do?rcpNo=20260814002605", "공시열람")</f>
        <v/>
      </c>
    </row>
    <row r="825">
      <c r="A825" s="5" t="inlineStr">
        <is>
          <t>지앤비에스 에코</t>
        </is>
      </c>
      <c r="B825" s="6" t="inlineStr">
        <is>
          <t>382800</t>
        </is>
      </c>
      <c r="C825" s="6" t="inlineStr">
        <is>
          <t>2025Q1</t>
        </is>
      </c>
      <c r="D825" s="6" t="inlineStr">
        <is>
          <t>20250530</t>
        </is>
      </c>
      <c r="E825" s="16" t="inlineStr"/>
      <c r="F825" s="16" t="inlineStr"/>
      <c r="G825" s="16" t="n">
        <v>9169</v>
      </c>
      <c r="H825" s="6" t="inlineStr">
        <is>
          <t>백만원</t>
        </is>
      </c>
      <c r="I825" s="17" t="n">
        <v>-27.5</v>
      </c>
      <c r="J825" s="18" t="n">
        <v>6300</v>
      </c>
      <c r="K825" s="19" t="n">
        <v>2761</v>
      </c>
      <c r="L825" s="18" t="n">
        <v>2373</v>
      </c>
      <c r="M825" s="19" t="n">
        <v>12648</v>
      </c>
      <c r="N825" s="18" t="n">
        <v>9169</v>
      </c>
      <c r="O825" s="19" t="inlineStr"/>
      <c r="P825" s="18" t="inlineStr"/>
      <c r="Q825" s="19" t="inlineStr"/>
      <c r="R825" s="18" t="inlineStr"/>
      <c r="S825" s="20" t="inlineStr"/>
      <c r="T825" s="6" t="n">
        <v>1</v>
      </c>
      <c r="U825" s="5" t="inlineStr">
        <is>
          <t>SCRUBBER 외 / -</t>
        </is>
      </c>
      <c r="V825" s="21">
        <f>HYPERLINK("https://dart.fss.or.kr/dsaf001/main.do?rcpNo=20250530001989", "공시열람")</f>
        <v/>
      </c>
    </row>
    <row r="826">
      <c r="A826" s="5" t="inlineStr">
        <is>
          <t>원준</t>
        </is>
      </c>
      <c r="B826" s="6" t="inlineStr">
        <is>
          <t>382840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121812</v>
      </c>
      <c r="F826" s="16" t="n">
        <v>71639</v>
      </c>
      <c r="G826" s="16" t="n">
        <v>50173</v>
      </c>
      <c r="H826" s="6" t="inlineStr">
        <is>
          <t>백만원</t>
        </is>
      </c>
      <c r="I826" s="17" t="n">
        <v>3.3</v>
      </c>
      <c r="J826" s="18" t="n">
        <v>246010</v>
      </c>
      <c r="K826" s="19" t="n">
        <v>198246</v>
      </c>
      <c r="L826" s="18" t="n">
        <v>178613</v>
      </c>
      <c r="M826" s="19" t="n">
        <v>147154</v>
      </c>
      <c r="N826" s="18" t="n">
        <v>53005</v>
      </c>
      <c r="O826" s="19" t="n">
        <v>48866</v>
      </c>
      <c r="P826" s="18" t="n">
        <v>47606</v>
      </c>
      <c r="Q826" s="19" t="n">
        <v>48218</v>
      </c>
      <c r="R826" s="18" t="n">
        <v>48589</v>
      </c>
      <c r="S826" s="20" t="n">
        <v>50173</v>
      </c>
      <c r="T826" s="6" t="n">
        <v>1</v>
      </c>
      <c r="U826" s="5" t="inlineStr">
        <is>
          <t>열처리 장비 및 공정설비 / -</t>
        </is>
      </c>
      <c r="V826" s="21">
        <f>HYPERLINK("https://dart.fss.or.kr/dsaf001/main.do?rcpNo=20260814003223", "공시열람")</f>
        <v/>
      </c>
    </row>
    <row r="827">
      <c r="A827" s="5" t="inlineStr">
        <is>
          <t>범한퓨얼셀</t>
        </is>
      </c>
      <c r="B827" s="6" t="inlineStr">
        <is>
          <t>382900</t>
        </is>
      </c>
      <c r="C827" s="6" t="inlineStr">
        <is>
          <t>2026Q2</t>
        </is>
      </c>
      <c r="D827" s="6" t="inlineStr">
        <is>
          <t>20260814</t>
        </is>
      </c>
      <c r="E827" s="16" t="n">
        <v>87645</v>
      </c>
      <c r="F827" s="16" t="n">
        <v>26574</v>
      </c>
      <c r="G827" s="16" t="n">
        <v>61071</v>
      </c>
      <c r="H827" s="6" t="inlineStr">
        <is>
          <t>백만원</t>
        </is>
      </c>
      <c r="I827" s="17" t="n">
        <v>-19.5</v>
      </c>
      <c r="J827" s="18" t="n">
        <v>3382</v>
      </c>
      <c r="K827" s="19" t="n">
        <v>2971</v>
      </c>
      <c r="L827" s="18" t="n">
        <v>2560</v>
      </c>
      <c r="M827" s="19" t="n">
        <v>12934</v>
      </c>
      <c r="N827" s="18" t="n">
        <v>12667</v>
      </c>
      <c r="O827" s="19" t="n">
        <v>13550</v>
      </c>
      <c r="P827" s="18" t="n">
        <v>76263</v>
      </c>
      <c r="Q827" s="19" t="n">
        <v>67853</v>
      </c>
      <c r="R827" s="18" t="n">
        <v>75879</v>
      </c>
      <c r="S827" s="20" t="n">
        <v>61071</v>
      </c>
      <c r="T827" s="6" t="n">
        <v>1</v>
      </c>
      <c r="U827" s="5" t="inlineStr">
        <is>
          <t xml:space="preserve">수소충전소 / '21.07.23~'26.04.29 / </t>
        </is>
      </c>
      <c r="V827" s="21">
        <f>HYPERLINK("https://dart.fss.or.kr/dsaf001/main.do?rcpNo=20260814003724", "공시열람")</f>
        <v/>
      </c>
    </row>
    <row r="828">
      <c r="A828" s="5" t="inlineStr">
        <is>
          <t>에코프로에이치엔</t>
        </is>
      </c>
      <c r="B828" s="6" t="inlineStr">
        <is>
          <t>383310</t>
        </is>
      </c>
      <c r="C828" s="6" t="inlineStr">
        <is>
          <t>2026Q2</t>
        </is>
      </c>
      <c r="D828" s="6" t="inlineStr">
        <is>
          <t>20260814</t>
        </is>
      </c>
      <c r="E828" s="16" t="n">
        <v>162441</v>
      </c>
      <c r="F828" s="16" t="n">
        <v>79411</v>
      </c>
      <c r="G828" s="16" t="n">
        <v>83030</v>
      </c>
      <c r="H828" s="6" t="inlineStr">
        <is>
          <t>백만원</t>
        </is>
      </c>
      <c r="I828" s="17" t="n">
        <v>-7.5</v>
      </c>
      <c r="J828" s="18" t="n">
        <v>129684</v>
      </c>
      <c r="K828" s="19" t="n">
        <v>105484</v>
      </c>
      <c r="L828" s="18" t="n">
        <v>89347</v>
      </c>
      <c r="M828" s="19" t="n">
        <v>77099</v>
      </c>
      <c r="N828" s="18" t="n">
        <v>72058</v>
      </c>
      <c r="O828" s="19" t="n">
        <v>78334</v>
      </c>
      <c r="P828" s="18" t="n">
        <v>82744</v>
      </c>
      <c r="Q828" s="19" t="n">
        <v>64269</v>
      </c>
      <c r="R828" s="18" t="n">
        <v>89753</v>
      </c>
      <c r="S828" s="20" t="n">
        <v>83030</v>
      </c>
      <c r="T828" s="6" t="n">
        <v>5</v>
      </c>
      <c r="U828" s="5" t="inlineStr">
        <is>
          <t>온실가스 감축 솔루션 / ~2026.06.30 / - | 미세먼지 저감 솔루션 / ~2026.06.30 / - | 클린룸 케미컬 필터 / ~2026.06.30 / -</t>
        </is>
      </c>
      <c r="V828" s="21">
        <f>HYPERLINK("https://dart.fss.or.kr/dsaf001/main.do?rcpNo=20260814001912", "공시열람")</f>
        <v/>
      </c>
    </row>
    <row r="829">
      <c r="A829" s="5" t="inlineStr">
        <is>
          <t>디티앤씨알오</t>
        </is>
      </c>
      <c r="B829" s="6" t="inlineStr">
        <is>
          <t>383930</t>
        </is>
      </c>
      <c r="C829" s="6" t="inlineStr">
        <is>
          <t>2026Q2</t>
        </is>
      </c>
      <c r="D829" s="6" t="inlineStr">
        <is>
          <t>20260814</t>
        </is>
      </c>
      <c r="E829" s="16" t="n">
        <v>113413974</v>
      </c>
      <c r="F829" s="16" t="n">
        <v>57221612</v>
      </c>
      <c r="G829" s="16" t="n">
        <v>56192362</v>
      </c>
      <c r="H829" s="6" t="inlineStr">
        <is>
          <t>천원</t>
        </is>
      </c>
      <c r="I829" s="17" t="n">
        <v>8.6</v>
      </c>
      <c r="J829" s="18" t="n">
        <v>39874739</v>
      </c>
      <c r="K829" s="19" t="n">
        <v>42712496</v>
      </c>
      <c r="L829" s="18" t="n">
        <v>42739514</v>
      </c>
      <c r="M829" s="19" t="n">
        <v>47914244</v>
      </c>
      <c r="N829" s="18" t="n">
        <v>44770378</v>
      </c>
      <c r="O829" s="19" t="n">
        <v>48764533</v>
      </c>
      <c r="P829" s="18" t="n">
        <v>49558403</v>
      </c>
      <c r="Q829" s="19" t="n">
        <v>51756226</v>
      </c>
      <c r="R829" s="18" t="n">
        <v>51756226</v>
      </c>
      <c r="S829" s="20" t="n">
        <v>56192362</v>
      </c>
      <c r="T829" s="6" t="n">
        <v>4</v>
      </c>
      <c r="U829" s="5" t="inlineStr">
        <is>
          <t>임상사업부 / - | 안전성센터 / - | 효능평가센터 / -</t>
        </is>
      </c>
      <c r="V829" s="21">
        <f>HYPERLINK("https://dart.fss.or.kr/dsaf001/main.do?rcpNo=20260814003017", "공시열람")</f>
        <v/>
      </c>
    </row>
    <row r="830">
      <c r="A830" s="5" t="inlineStr">
        <is>
          <t>지투파워</t>
        </is>
      </c>
      <c r="B830" s="6" t="inlineStr">
        <is>
          <t>388050</t>
        </is>
      </c>
      <c r="C830" s="6" t="inlineStr">
        <is>
          <t>2026Q2</t>
        </is>
      </c>
      <c r="D830" s="6" t="inlineStr">
        <is>
          <t>20260930</t>
        </is>
      </c>
      <c r="E830" s="16" t="n">
        <v>114135</v>
      </c>
      <c r="F830" s="16" t="inlineStr"/>
      <c r="G830" s="16" t="n">
        <v>114135</v>
      </c>
      <c r="H830" s="6" t="inlineStr">
        <is>
          <t>백만원</t>
        </is>
      </c>
      <c r="I830" s="17" t="n">
        <v>6.8</v>
      </c>
      <c r="J830" s="18" t="n">
        <v>55747</v>
      </c>
      <c r="K830" s="19" t="n">
        <v>71115</v>
      </c>
      <c r="L830" s="18" t="n">
        <v>80667</v>
      </c>
      <c r="M830" s="19" t="n">
        <v>76880</v>
      </c>
      <c r="N830" s="18" t="n">
        <v>120348</v>
      </c>
      <c r="O830" s="19" t="n">
        <v>129623</v>
      </c>
      <c r="P830" s="18" t="n">
        <v>128156</v>
      </c>
      <c r="Q830" s="19" t="n">
        <v>115314</v>
      </c>
      <c r="R830" s="18" t="n">
        <v>106896</v>
      </c>
      <c r="S830" s="20" t="n">
        <v>114135</v>
      </c>
      <c r="T830" s="6" t="n">
        <v>5</v>
      </c>
      <c r="U830" s="5" t="inlineStr">
        <is>
          <t xml:space="preserve">수배전반 / 2022-04-06 ~2026-06-30  | 태양광 / 2023-06-23 ~ 2026-06-30  | ESS / 2024-08-28 ~ 2026-06-01 </t>
        </is>
      </c>
      <c r="V830" s="21">
        <f>HYPERLINK("https://dart.fss.or.kr/dsaf001/main.do?rcpNo=20260930000636", "공시열람")</f>
        <v/>
      </c>
    </row>
    <row r="831">
      <c r="A831" s="5" t="inlineStr">
        <is>
          <t>유일로보틱스</t>
        </is>
      </c>
      <c r="B831" s="6" t="inlineStr">
        <is>
          <t>388720</t>
        </is>
      </c>
      <c r="C831" s="6" t="inlineStr">
        <is>
          <t>2026Q2</t>
        </is>
      </c>
      <c r="D831" s="6" t="inlineStr">
        <is>
          <t>20260814</t>
        </is>
      </c>
      <c r="E831" s="16" t="n">
        <v>11120</v>
      </c>
      <c r="F831" s="16" t="inlineStr"/>
      <c r="G831" s="16" t="n">
        <v>11120</v>
      </c>
      <c r="H831" s="6" t="inlineStr">
        <is>
          <t>백만원</t>
        </is>
      </c>
      <c r="I831" s="17" t="n">
        <v>87.7</v>
      </c>
      <c r="J831" s="18" t="inlineStr"/>
      <c r="K831" s="19" t="inlineStr"/>
      <c r="L831" s="18" t="inlineStr"/>
      <c r="M831" s="19" t="inlineStr"/>
      <c r="N831" s="18" t="inlineStr"/>
      <c r="O831" s="19" t="inlineStr"/>
      <c r="P831" s="18" t="inlineStr"/>
      <c r="Q831" s="19" t="n">
        <v>5925</v>
      </c>
      <c r="R831" s="18" t="n">
        <v>5925</v>
      </c>
      <c r="S831" s="20" t="n">
        <v>11120</v>
      </c>
      <c r="T831" s="6" t="n">
        <v>2</v>
      </c>
      <c r="U831" s="5" t="inlineStr">
        <is>
          <t>진공기상건조로 제4호기, 제5호기 / 2026.02.1 | 신공장 자동화 구축 (물류자동화+MES시스템) / 20</t>
        </is>
      </c>
      <c r="V831" s="21">
        <f>HYPERLINK("https://dart.fss.or.kr/dsaf001/main.do?rcpNo=20260814002610", "공시열람")</f>
        <v/>
      </c>
    </row>
    <row r="832">
      <c r="A832" s="5" t="inlineStr">
        <is>
          <t>라이콤</t>
        </is>
      </c>
      <c r="B832" s="6" t="inlineStr">
        <is>
          <t>388790</t>
        </is>
      </c>
      <c r="C832" s="6" t="inlineStr">
        <is>
          <t>2026Q2</t>
        </is>
      </c>
      <c r="D832" s="6" t="inlineStr">
        <is>
          <t>20260814</t>
        </is>
      </c>
      <c r="E832" s="16" t="n">
        <v>26337</v>
      </c>
      <c r="F832" s="16" t="n">
        <v>7224</v>
      </c>
      <c r="G832" s="16" t="n">
        <v>19115</v>
      </c>
      <c r="H832" s="6" t="inlineStr">
        <is>
          <t>백만원</t>
        </is>
      </c>
      <c r="I832" s="17" t="n">
        <v>78.2</v>
      </c>
      <c r="J832" s="18" t="n">
        <v>5099</v>
      </c>
      <c r="K832" s="19" t="n">
        <v>4345</v>
      </c>
      <c r="L832" s="18" t="n">
        <v>5331</v>
      </c>
      <c r="M832" s="19" t="n">
        <v>4706</v>
      </c>
      <c r="N832" s="18" t="n">
        <v>3180</v>
      </c>
      <c r="O832" s="19" t="n">
        <v>3902</v>
      </c>
      <c r="P832" s="18" t="n">
        <v>10200</v>
      </c>
      <c r="Q832" s="19" t="n">
        <v>6583</v>
      </c>
      <c r="R832" s="18" t="n">
        <v>10726</v>
      </c>
      <c r="S832" s="20" t="n">
        <v>19115</v>
      </c>
      <c r="T832" s="6" t="n">
        <v>4</v>
      </c>
      <c r="U832" s="5" t="inlineStr">
        <is>
          <t>광증폭기 / - | 광섬유레이저 / - | 광중계기 / -</t>
        </is>
      </c>
      <c r="V832" s="21">
        <f>HYPERLINK("https://dart.fss.or.kr/dsaf001/main.do?rcpNo=20260814001795", "공시열람")</f>
        <v/>
      </c>
    </row>
    <row r="833">
      <c r="A833" s="5" t="inlineStr">
        <is>
          <t>자람테크놀로지</t>
        </is>
      </c>
      <c r="B833" s="6" t="inlineStr">
        <is>
          <t>389020</t>
        </is>
      </c>
      <c r="C833" s="6" t="inlineStr">
        <is>
          <t>2026Q2</t>
        </is>
      </c>
      <c r="D833" s="6" t="inlineStr">
        <is>
          <t>20260929</t>
        </is>
      </c>
      <c r="E833" s="16" t="inlineStr"/>
      <c r="F833" s="16" t="inlineStr"/>
      <c r="G833" s="16" t="n">
        <v>24178</v>
      </c>
      <c r="H833" s="6" t="inlineStr">
        <is>
          <t>백만원</t>
        </is>
      </c>
      <c r="I833" s="17" t="n">
        <v>-7.8</v>
      </c>
      <c r="J833" s="18" t="n">
        <v>12805</v>
      </c>
      <c r="K833" s="19" t="n">
        <v>10508</v>
      </c>
      <c r="L833" s="18" t="n">
        <v>6926</v>
      </c>
      <c r="M833" s="19" t="n">
        <v>5184</v>
      </c>
      <c r="N833" s="18" t="n">
        <v>4820</v>
      </c>
      <c r="O833" s="19" t="n">
        <v>5080</v>
      </c>
      <c r="P833" s="18" t="n">
        <v>4927</v>
      </c>
      <c r="Q833" s="19" t="n">
        <v>27886</v>
      </c>
      <c r="R833" s="18" t="n">
        <v>26228</v>
      </c>
      <c r="S833" s="20" t="n">
        <v>24178</v>
      </c>
      <c r="T833" s="6" t="n">
        <v>2</v>
      </c>
      <c r="U833" s="5" t="inlineStr">
        <is>
          <t>N社 등 / XGSPON 및 개발비 | B社 등 / 광트랜시버</t>
        </is>
      </c>
      <c r="V833" s="21">
        <f>HYPERLINK("https://dart.fss.or.kr/dsaf001/main.do?rcpNo=20260929000500", "공시열람")</f>
        <v/>
      </c>
    </row>
    <row r="834">
      <c r="A834" s="5" t="inlineStr">
        <is>
          <t>포바이포</t>
        </is>
      </c>
      <c r="B834" s="6" t="inlineStr">
        <is>
          <t>389140</t>
        </is>
      </c>
      <c r="C834" s="6" t="inlineStr">
        <is>
          <t>2026Q2</t>
        </is>
      </c>
      <c r="D834" s="6" t="inlineStr">
        <is>
          <t>20260814</t>
        </is>
      </c>
      <c r="E834" s="16" t="n">
        <v>14444</v>
      </c>
      <c r="F834" s="16" t="n">
        <v>8143</v>
      </c>
      <c r="G834" s="16" t="n">
        <v>6301</v>
      </c>
      <c r="H834" s="6" t="inlineStr">
        <is>
          <t>백만원</t>
        </is>
      </c>
      <c r="I834" s="17" t="n">
        <v>-37.2</v>
      </c>
      <c r="J834" s="18" t="inlineStr"/>
      <c r="K834" s="19" t="inlineStr"/>
      <c r="L834" s="18" t="inlineStr"/>
      <c r="M834" s="19" t="inlineStr"/>
      <c r="N834" s="18" t="inlineStr"/>
      <c r="O834" s="19" t="n">
        <v>11660</v>
      </c>
      <c r="P834" s="18" t="n">
        <v>12417</v>
      </c>
      <c r="Q834" s="19" t="n">
        <v>12343</v>
      </c>
      <c r="R834" s="18" t="n">
        <v>10029</v>
      </c>
      <c r="S834" s="20" t="n">
        <v>6301</v>
      </c>
      <c r="T834" s="6" t="n">
        <v>5</v>
      </c>
      <c r="U83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4" s="21">
        <f>HYPERLINK("https://dart.fss.or.kr/dsaf001/main.do?rcpNo=20260814002740", "공시열람")</f>
        <v/>
      </c>
    </row>
    <row r="835">
      <c r="A835" s="5" t="inlineStr">
        <is>
          <t>대명에너지</t>
        </is>
      </c>
      <c r="B835" s="6" t="inlineStr">
        <is>
          <t>389260</t>
        </is>
      </c>
      <c r="C835" s="6" t="inlineStr">
        <is>
          <t>2026Q2</t>
        </is>
      </c>
      <c r="D835" s="6" t="inlineStr">
        <is>
          <t>20260814</t>
        </is>
      </c>
      <c r="E835" s="16" t="n">
        <v>693698738</v>
      </c>
      <c r="F835" s="16" t="n">
        <v>238515675</v>
      </c>
      <c r="G835" s="16" t="n">
        <v>455183064</v>
      </c>
      <c r="H835" s="6" t="inlineStr">
        <is>
          <t>천원</t>
        </is>
      </c>
      <c r="I835" s="17" t="n">
        <v>292895.4</v>
      </c>
      <c r="J835" s="18" t="n">
        <v>266114002</v>
      </c>
      <c r="K835" s="19" t="n">
        <v>239306177</v>
      </c>
      <c r="L835" s="18" t="n">
        <v>223076312</v>
      </c>
      <c r="M835" s="19" t="n">
        <v>210571971</v>
      </c>
      <c r="N835" s="18" t="n">
        <v>201797290</v>
      </c>
      <c r="O835" s="19" t="n">
        <v>284434629</v>
      </c>
      <c r="P835" s="18" t="n">
        <v>251950525</v>
      </c>
      <c r="Q835" s="19" t="n">
        <v>238608268</v>
      </c>
      <c r="R835" s="18" t="n">
        <v>155355</v>
      </c>
      <c r="S835" s="20" t="n">
        <v>455183064</v>
      </c>
      <c r="T835" s="6" t="n">
        <v>45</v>
      </c>
      <c r="U835" s="5" t="inlineStr">
        <is>
          <t>개발 / 2026.02.05 / 2029.03.01 | 개발 / 2026.03.18 / 2027.03.31 | 운영 / 2021.07.23 / 2043.06.26</t>
        </is>
      </c>
      <c r="V835" s="21">
        <f>HYPERLINK("https://dart.fss.or.kr/dsaf001/main.do?rcpNo=20260814000931", "공시열람")</f>
        <v/>
      </c>
    </row>
    <row r="836">
      <c r="A836" s="5" t="inlineStr">
        <is>
          <t>인벤티지랩</t>
        </is>
      </c>
      <c r="B836" s="6" t="inlineStr">
        <is>
          <t>389470</t>
        </is>
      </c>
      <c r="C836" s="6" t="inlineStr">
        <is>
          <t>2026Q2</t>
        </is>
      </c>
      <c r="D836" s="6" t="inlineStr">
        <is>
          <t>20260826</t>
        </is>
      </c>
      <c r="E836" s="16" t="n">
        <v>6891</v>
      </c>
      <c r="F836" s="16" t="n">
        <v>6457</v>
      </c>
      <c r="G836" s="16" t="n">
        <v>434</v>
      </c>
      <c r="H836" s="6" t="inlineStr">
        <is>
          <t>백만원</t>
        </is>
      </c>
      <c r="I836" s="17" t="n">
        <v>-32.4</v>
      </c>
      <c r="J836" s="18" t="inlineStr"/>
      <c r="K836" s="19" t="inlineStr"/>
      <c r="L836" s="18" t="inlineStr"/>
      <c r="M836" s="19" t="inlineStr"/>
      <c r="N836" s="18" t="inlineStr"/>
      <c r="O836" s="19" t="n">
        <v>6891</v>
      </c>
      <c r="P836" s="18" t="n">
        <v>6891</v>
      </c>
      <c r="Q836" s="19" t="n">
        <v>4627</v>
      </c>
      <c r="R836" s="18" t="n">
        <v>642</v>
      </c>
      <c r="S836" s="20" t="n">
        <v>434</v>
      </c>
      <c r="T836" s="6" t="n">
        <v>1</v>
      </c>
      <c r="U836" s="5" t="inlineStr">
        <is>
          <t>장기지속형 주사제 제조설비구축 / 2026.02.</t>
        </is>
      </c>
      <c r="V836" s="21">
        <f>HYPERLINK("https://dart.fss.or.kr/dsaf001/main.do?rcpNo=20260826000836", "공시열람")</f>
        <v/>
      </c>
    </row>
    <row r="837">
      <c r="A837" s="5" t="inlineStr">
        <is>
          <t>에스비비테크</t>
        </is>
      </c>
      <c r="B837" s="6" t="inlineStr">
        <is>
          <t>389500</t>
        </is>
      </c>
      <c r="C837" s="6" t="inlineStr">
        <is>
          <t>2026Q2</t>
        </is>
      </c>
      <c r="D837" s="6" t="inlineStr">
        <is>
          <t>20260814</t>
        </is>
      </c>
      <c r="E837" s="16" t="n">
        <v>15400</v>
      </c>
      <c r="F837" s="16" t="n">
        <v>4284</v>
      </c>
      <c r="G837" s="16" t="n">
        <v>11116</v>
      </c>
      <c r="H837" s="6" t="inlineStr">
        <is>
          <t>백만원</t>
        </is>
      </c>
      <c r="I837" s="17" t="n">
        <v>-1.5</v>
      </c>
      <c r="J837" s="18" t="n">
        <v>5263</v>
      </c>
      <c r="K837" s="19" t="n">
        <v>9186</v>
      </c>
      <c r="L837" s="18" t="n">
        <v>4474</v>
      </c>
      <c r="M837" s="19" t="n">
        <v>7772</v>
      </c>
      <c r="N837" s="18" t="n">
        <v>7633</v>
      </c>
      <c r="O837" s="19" t="n">
        <v>7571</v>
      </c>
      <c r="P837" s="18" t="n">
        <v>7530</v>
      </c>
      <c r="Q837" s="19" t="n">
        <v>10069</v>
      </c>
      <c r="R837" s="18" t="n">
        <v>11280</v>
      </c>
      <c r="S837" s="20" t="n">
        <v>11116</v>
      </c>
      <c r="T837" s="6" t="n">
        <v>1</v>
      </c>
      <c r="U837" s="5" t="inlineStr">
        <is>
          <t>감속기 / 2024.01 ~ 2026.06 / 2024</t>
        </is>
      </c>
      <c r="V837" s="21">
        <f>HYPERLINK("https://dart.fss.or.kr/dsaf001/main.do?rcpNo=20260814000984", "공시열람")</f>
        <v/>
      </c>
    </row>
    <row r="838">
      <c r="A838" s="5" t="inlineStr">
        <is>
          <t>토마토시스템</t>
        </is>
      </c>
      <c r="B838" s="6" t="inlineStr">
        <is>
          <t>393210</t>
        </is>
      </c>
      <c r="C838" s="6" t="inlineStr">
        <is>
          <t>2026Q2</t>
        </is>
      </c>
      <c r="D838" s="6" t="inlineStr">
        <is>
          <t>20260812</t>
        </is>
      </c>
      <c r="E838" s="16" t="n">
        <v>45381687</v>
      </c>
      <c r="F838" s="16" t="inlineStr"/>
      <c r="G838" s="16" t="n">
        <v>18414317</v>
      </c>
      <c r="H838" s="6" t="inlineStr">
        <is>
          <t>천원</t>
        </is>
      </c>
      <c r="I838" s="17" t="n">
        <v>-22.1</v>
      </c>
      <c r="J838" s="18" t="n">
        <v>11517922</v>
      </c>
      <c r="K838" s="19" t="n">
        <v>8361159</v>
      </c>
      <c r="L838" s="18" t="n">
        <v>6117139</v>
      </c>
      <c r="M838" s="19" t="n">
        <v>19477998</v>
      </c>
      <c r="N838" s="18" t="n">
        <v>19239044</v>
      </c>
      <c r="O838" s="19" t="n">
        <v>17557845</v>
      </c>
      <c r="P838" s="18" t="n">
        <v>29956698</v>
      </c>
      <c r="Q838" s="19" t="n">
        <v>27622934</v>
      </c>
      <c r="R838" s="18" t="n">
        <v>23638058</v>
      </c>
      <c r="S838" s="20" t="n">
        <v>18414317</v>
      </c>
      <c r="T838" s="6" t="n">
        <v>10</v>
      </c>
      <c r="U838" s="5" t="inlineStr">
        <is>
          <t>기타 / - | 원광대학교 / 2025-09-25 / 2027-09-1 | 서울대학교 / 2024-12-30 / 2028-02-2</t>
        </is>
      </c>
      <c r="V838" s="21">
        <f>HYPERLINK("https://dart.fss.or.kr/dsaf001/main.do?rcpNo=20260812000435", "공시열람")</f>
        <v/>
      </c>
    </row>
    <row r="839">
      <c r="A839" s="5" t="inlineStr">
        <is>
          <t>쓰리빌리언</t>
        </is>
      </c>
      <c r="B839" s="6" t="inlineStr">
        <is>
          <t>394800</t>
        </is>
      </c>
      <c r="C839" s="6" t="inlineStr">
        <is>
          <t>2026Q2</t>
        </is>
      </c>
      <c r="D839" s="6" t="inlineStr">
        <is>
          <t>20260813</t>
        </is>
      </c>
      <c r="E839" s="16" t="n">
        <v>2631818</v>
      </c>
      <c r="F839" s="16" t="n">
        <v>916601</v>
      </c>
      <c r="G839" s="16" t="n">
        <v>1715217</v>
      </c>
      <c r="H839" s="6" t="inlineStr">
        <is>
          <t>건,천원</t>
        </is>
      </c>
      <c r="I839" s="17" t="n">
        <v>376.4</v>
      </c>
      <c r="J839" s="18" t="inlineStr"/>
      <c r="K839" s="19" t="inlineStr"/>
      <c r="L839" s="18" t="inlineStr"/>
      <c r="M839" s="19" t="inlineStr"/>
      <c r="N839" s="18" t="n">
        <v>654545</v>
      </c>
      <c r="O839" s="19" t="n">
        <v>208636</v>
      </c>
      <c r="P839" s="18" t="n">
        <v>486819</v>
      </c>
      <c r="Q839" s="19" t="n">
        <v>306819</v>
      </c>
      <c r="R839" s="18" t="n">
        <v>360000</v>
      </c>
      <c r="S839" s="20" t="n">
        <v>1715217</v>
      </c>
      <c r="T839" s="6" t="n">
        <v>3</v>
      </c>
      <c r="U839" s="5" t="inlineStr">
        <is>
          <t>전장유전체 염기서열기반 신생아 선별검사 / 2026.0 | 전장유전체 염기서열 분석 / 2026.04.09 / 2 | 급성 중증 신생아 희귀질환 진단 / 2025.07.01</t>
        </is>
      </c>
      <c r="V839" s="21">
        <f>HYPERLINK("https://dart.fss.or.kr/dsaf001/main.do?rcpNo=20260813000733", "공시열람")</f>
        <v/>
      </c>
    </row>
    <row r="840">
      <c r="A840" s="5" t="inlineStr">
        <is>
          <t>세아메카닉스</t>
        </is>
      </c>
      <c r="B840" s="6" t="inlineStr">
        <is>
          <t>396300</t>
        </is>
      </c>
      <c r="C840" s="6" t="inlineStr">
        <is>
          <t>2026Q2</t>
        </is>
      </c>
      <c r="D840" s="6" t="inlineStr">
        <is>
          <t>20260813</t>
        </is>
      </c>
      <c r="E840" s="16" t="inlineStr"/>
      <c r="F840" s="16" t="inlineStr"/>
      <c r="G840" s="16" t="n">
        <v>577539</v>
      </c>
      <c r="H840" s="6" t="inlineStr">
        <is>
          <t>백만원</t>
        </is>
      </c>
      <c r="I840" s="17" t="n">
        <v>-5.6</v>
      </c>
      <c r="J840" s="18" t="n">
        <v>553975</v>
      </c>
      <c r="K840" s="19" t="n">
        <v>461535</v>
      </c>
      <c r="L840" s="18" t="n">
        <v>467737</v>
      </c>
      <c r="M840" s="19" t="n">
        <v>555070</v>
      </c>
      <c r="N840" s="18" t="n">
        <v>727579</v>
      </c>
      <c r="O840" s="19" t="n">
        <v>708425</v>
      </c>
      <c r="P840" s="18" t="n">
        <v>705298</v>
      </c>
      <c r="Q840" s="19" t="n">
        <v>611844</v>
      </c>
      <c r="R840" s="18" t="n">
        <v>611910</v>
      </c>
      <c r="S840" s="20" t="n">
        <v>577539</v>
      </c>
      <c r="T840" s="6" t="n">
        <v>1</v>
      </c>
      <c r="U840" s="5" t="inlineStr">
        <is>
          <t>자동차부품 / -</t>
        </is>
      </c>
      <c r="V840" s="21">
        <f>HYPERLINK("https://dart.fss.or.kr/dsaf001/main.do?rcpNo=20260813001552", "공시열람")</f>
        <v/>
      </c>
    </row>
    <row r="841">
      <c r="A841" s="5" t="inlineStr">
        <is>
          <t>에스지헬스케어</t>
        </is>
      </c>
      <c r="B841" s="6" t="inlineStr">
        <is>
          <t>398120</t>
        </is>
      </c>
      <c r="C841" s="6" t="inlineStr">
        <is>
          <t>2026Q2</t>
        </is>
      </c>
      <c r="D841" s="6" t="inlineStr">
        <is>
          <t>20260831</t>
        </is>
      </c>
      <c r="E841" s="16" t="n">
        <v>14269</v>
      </c>
      <c r="F841" s="16" t="n">
        <v>12842</v>
      </c>
      <c r="G841" s="16" t="n">
        <v>1427</v>
      </c>
      <c r="H841" s="6" t="inlineStr">
        <is>
          <t>백만</t>
        </is>
      </c>
      <c r="I841" s="17" t="n">
        <v>-27</v>
      </c>
      <c r="J841" s="18" t="inlineStr"/>
      <c r="K841" s="19" t="inlineStr"/>
      <c r="L841" s="18" t="inlineStr"/>
      <c r="M841" s="19" t="n">
        <v>1909.5</v>
      </c>
      <c r="N841" s="18" t="n">
        <v>1448</v>
      </c>
      <c r="O841" s="19" t="n">
        <v>13257</v>
      </c>
      <c r="P841" s="18" t="n">
        <v>12987</v>
      </c>
      <c r="Q841" s="19" t="n">
        <v>3442</v>
      </c>
      <c r="R841" s="18" t="n">
        <v>1954</v>
      </c>
      <c r="S841" s="20" t="n">
        <v>1427</v>
      </c>
      <c r="T841" s="6" t="n">
        <v>2</v>
      </c>
      <c r="U841" s="5" t="inlineStr">
        <is>
          <t>Jumong GeneralC-arm 외2 / 2025. | 의료기자재 / 2025.08.29 / 2026.10.3</t>
        </is>
      </c>
      <c r="V841" s="21">
        <f>HYPERLINK("https://dart.fss.or.kr/dsaf001/main.do?rcpNo=20260831001202", "공시열람")</f>
        <v/>
      </c>
    </row>
    <row r="842">
      <c r="A842" s="5" t="inlineStr">
        <is>
          <t>가온칩스</t>
        </is>
      </c>
      <c r="B842" s="6" t="inlineStr">
        <is>
          <t>399720</t>
        </is>
      </c>
      <c r="C842" s="6" t="inlineStr">
        <is>
          <t>2026Q2</t>
        </is>
      </c>
      <c r="D842" s="6" t="inlineStr">
        <is>
          <t>20260814</t>
        </is>
      </c>
      <c r="E842" s="16" t="n">
        <v>151279</v>
      </c>
      <c r="F842" s="16" t="inlineStr"/>
      <c r="G842" s="16" t="n">
        <v>76412</v>
      </c>
      <c r="H842" s="6" t="inlineStr">
        <is>
          <t>백만원</t>
        </is>
      </c>
      <c r="I842" s="17" t="n">
        <v>52</v>
      </c>
      <c r="J842" s="18" t="inlineStr"/>
      <c r="K842" s="19" t="inlineStr"/>
      <c r="L842" s="18" t="inlineStr"/>
      <c r="M842" s="19" t="inlineStr"/>
      <c r="N842" s="18" t="inlineStr"/>
      <c r="O842" s="19" t="n">
        <v>25003</v>
      </c>
      <c r="P842" s="18" t="n">
        <v>34747</v>
      </c>
      <c r="Q842" s="19" t="n">
        <v>61051</v>
      </c>
      <c r="R842" s="18" t="n">
        <v>50267</v>
      </c>
      <c r="S842" s="20" t="n">
        <v>76412</v>
      </c>
      <c r="T842" s="6" t="n">
        <v>5</v>
      </c>
      <c r="U842" s="5" t="inlineStr">
        <is>
          <t>주문형 반도체 설계 개발 / 2026-06-10 / 2 | 주문형 반도체 설계 개발 / 2025-10-29 / 2 | 주문형 반도체 설계 개발 / 2025-12-26 / 2</t>
        </is>
      </c>
      <c r="V842" s="21">
        <f>HYPERLINK("https://dart.fss.or.kr/dsaf001/main.do?rcpNo=20260814003050", "공시열람")</f>
        <v/>
      </c>
    </row>
    <row r="843">
      <c r="A843" s="5" t="inlineStr">
        <is>
          <t>코난테크놀로지</t>
        </is>
      </c>
      <c r="B843" s="6" t="inlineStr">
        <is>
          <t>402030</t>
        </is>
      </c>
      <c r="C843" s="6" t="inlineStr">
        <is>
          <t>2026Q2</t>
        </is>
      </c>
      <c r="D843" s="6" t="inlineStr">
        <is>
          <t>20260814</t>
        </is>
      </c>
      <c r="E843" s="16" t="inlineStr"/>
      <c r="F843" s="16" t="inlineStr"/>
      <c r="G843" s="16" t="n">
        <v>22501</v>
      </c>
      <c r="H843" s="6" t="inlineStr">
        <is>
          <t>백만원</t>
        </is>
      </c>
      <c r="I843" s="17" t="n">
        <v>853</v>
      </c>
      <c r="J843" s="18" t="n">
        <v>5286</v>
      </c>
      <c r="K843" s="19" t="n">
        <v>5676</v>
      </c>
      <c r="L843" s="18" t="n">
        <v>15007</v>
      </c>
      <c r="M843" s="19" t="n">
        <v>8067</v>
      </c>
      <c r="N843" s="18" t="n">
        <v>4379</v>
      </c>
      <c r="O843" s="19" t="n">
        <v>7487</v>
      </c>
      <c r="P843" s="18" t="n">
        <v>18434</v>
      </c>
      <c r="Q843" s="19" t="n">
        <v>14077</v>
      </c>
      <c r="R843" s="18" t="n">
        <v>2361</v>
      </c>
      <c r="S843" s="20" t="n">
        <v>22501</v>
      </c>
      <c r="T843" s="6" t="n">
        <v>1</v>
      </c>
      <c r="U843" s="5" t="inlineStr"/>
      <c r="V843" s="21">
        <f>HYPERLINK("https://dart.fss.or.kr/dsaf001/main.do?rcpNo=20260814002288", "공시열람")</f>
        <v/>
      </c>
    </row>
    <row r="844">
      <c r="A844" s="5" t="inlineStr">
        <is>
          <t>라피치</t>
        </is>
      </c>
      <c r="B844" s="6" t="inlineStr">
        <is>
          <t>403360</t>
        </is>
      </c>
      <c r="C844" s="6" t="inlineStr">
        <is>
          <t>2026Q2</t>
        </is>
      </c>
      <c r="D844" s="6" t="inlineStr">
        <is>
          <t>20260814</t>
        </is>
      </c>
      <c r="E844" s="16" t="n">
        <v>32180</v>
      </c>
      <c r="F844" s="16" t="n">
        <v>19427</v>
      </c>
      <c r="G844" s="16" t="n">
        <v>12752</v>
      </c>
      <c r="H844" s="6" t="inlineStr">
        <is>
          <t>백만원</t>
        </is>
      </c>
      <c r="I844" s="17" t="n">
        <v>-99.5</v>
      </c>
      <c r="J844" s="18" t="inlineStr"/>
      <c r="K844" s="19" t="n">
        <v>4348331</v>
      </c>
      <c r="L844" s="18" t="inlineStr"/>
      <c r="M844" s="19" t="n">
        <v>2725658</v>
      </c>
      <c r="N844" s="18" t="inlineStr"/>
      <c r="O844" s="19" t="inlineStr"/>
      <c r="P844" s="18" t="inlineStr"/>
      <c r="Q844" s="19" t="n">
        <v>2684112</v>
      </c>
      <c r="R844" s="18" t="inlineStr"/>
      <c r="S844" s="20" t="n">
        <v>12752</v>
      </c>
      <c r="T844" s="6" t="n">
        <v>6</v>
      </c>
      <c r="U844" s="5" t="inlineStr">
        <is>
          <t>AI 인프라(국내) / 진행중 | AI 인프라(국내) / 진행중 | ConvAI / 진행중</t>
        </is>
      </c>
      <c r="V844" s="21">
        <f>HYPERLINK("https://dart.fss.or.kr/dsaf001/main.do?rcpNo=20260814001610", "공시열람")</f>
        <v/>
      </c>
    </row>
    <row r="845">
      <c r="A845" s="5" t="inlineStr">
        <is>
          <t>아이엘로보틱스</t>
        </is>
      </c>
      <c r="B845" s="6" t="inlineStr">
        <is>
          <t>403810</t>
        </is>
      </c>
      <c r="C845" s="6" t="inlineStr">
        <is>
          <t>2025Q4</t>
        </is>
      </c>
      <c r="D845" s="6" t="inlineStr">
        <is>
          <t>20260320</t>
        </is>
      </c>
      <c r="E845" s="16" t="n">
        <v>3738</v>
      </c>
      <c r="F845" s="16" t="n">
        <v>134</v>
      </c>
      <c r="G845" s="16" t="n">
        <v>3604</v>
      </c>
      <c r="H845" s="6" t="inlineStr">
        <is>
          <t>백만원</t>
        </is>
      </c>
      <c r="I845" s="17" t="n">
        <v>-3.6</v>
      </c>
      <c r="J845" s="18" t="inlineStr"/>
      <c r="K845" s="19" t="inlineStr"/>
      <c r="L845" s="18" t="inlineStr"/>
      <c r="M845" s="19" t="n">
        <v>3738</v>
      </c>
      <c r="N845" s="18" t="inlineStr"/>
      <c r="O845" s="19" t="inlineStr"/>
      <c r="P845" s="18" t="inlineStr"/>
      <c r="Q845" s="19" t="n">
        <v>3604</v>
      </c>
      <c r="R845" s="18" t="inlineStr"/>
      <c r="S845" s="20" t="inlineStr"/>
      <c r="T845" s="6" t="n">
        <v>3</v>
      </c>
      <c r="U845" s="5" t="inlineStr">
        <is>
          <t>미세먼지 측정 보안등 / - | 터널등 제어 시스템 / - | IoT 제어 시스템 / -</t>
        </is>
      </c>
      <c r="V845" s="21">
        <f>HYPERLINK("https://dart.fss.or.kr/dsaf001/main.do?rcpNo=20260320001132", "공시열람")</f>
        <v/>
      </c>
    </row>
    <row r="846">
      <c r="A846" s="5" t="inlineStr">
        <is>
          <t>제일엠앤에스</t>
        </is>
      </c>
      <c r="B846" s="6" t="inlineStr">
        <is>
          <t>412540</t>
        </is>
      </c>
      <c r="C846" s="6" t="inlineStr">
        <is>
          <t>2026Q2</t>
        </is>
      </c>
      <c r="D846" s="6" t="inlineStr">
        <is>
          <t>20260814</t>
        </is>
      </c>
      <c r="E846" s="16" t="n">
        <v>421407</v>
      </c>
      <c r="F846" s="16" t="n">
        <v>127076</v>
      </c>
      <c r="G846" s="16" t="n">
        <v>294331</v>
      </c>
      <c r="H846" s="6" t="inlineStr">
        <is>
          <t>백만원</t>
        </is>
      </c>
      <c r="I846" s="17" t="n">
        <v>-25.4</v>
      </c>
      <c r="J846" s="18" t="inlineStr"/>
      <c r="K846" s="19" t="n">
        <v>289130</v>
      </c>
      <c r="L846" s="18" t="n">
        <v>338297</v>
      </c>
      <c r="M846" s="19" t="n">
        <v>579212</v>
      </c>
      <c r="N846" s="18" t="n">
        <v>278268</v>
      </c>
      <c r="O846" s="19" t="n">
        <v>248229</v>
      </c>
      <c r="P846" s="18" t="n">
        <v>393928</v>
      </c>
      <c r="Q846" s="19" t="n">
        <v>393120</v>
      </c>
      <c r="R846" s="18" t="n">
        <v>394291</v>
      </c>
      <c r="S846" s="20" t="n">
        <v>294331</v>
      </c>
      <c r="T846" s="6" t="n">
        <v>1</v>
      </c>
      <c r="U846" s="5" t="inlineStr">
        <is>
          <t>믹싱장비 및 믹싱시스템 / -</t>
        </is>
      </c>
      <c r="V846" s="21">
        <f>HYPERLINK("https://dart.fss.or.kr/dsaf001/main.do?rcpNo=20260814000819", "공시열람")</f>
        <v/>
      </c>
    </row>
    <row r="847">
      <c r="A847" s="5" t="inlineStr">
        <is>
          <t>티엘엔지니어링</t>
        </is>
      </c>
      <c r="B847" s="6" t="inlineStr">
        <is>
          <t>413300</t>
        </is>
      </c>
      <c r="C847" s="6" t="inlineStr">
        <is>
          <t>2025Q4</t>
        </is>
      </c>
      <c r="D847" s="6" t="inlineStr">
        <is>
          <t>20260323</t>
        </is>
      </c>
      <c r="E847" s="16" t="n">
        <v>7533807754</v>
      </c>
      <c r="F847" s="16" t="inlineStr"/>
      <c r="G847" s="16" t="n">
        <v>1633785854</v>
      </c>
      <c r="H847" s="6" t="inlineStr">
        <is>
          <t>원</t>
        </is>
      </c>
      <c r="I847" s="17" t="n">
        <v>-51.8</v>
      </c>
      <c r="J847" s="18" t="inlineStr"/>
      <c r="K847" s="19" t="inlineStr"/>
      <c r="L847" s="18" t="inlineStr"/>
      <c r="M847" s="19" t="n">
        <v>3388457253</v>
      </c>
      <c r="N847" s="18" t="inlineStr"/>
      <c r="O847" s="19" t="inlineStr"/>
      <c r="P847" s="18" t="inlineStr"/>
      <c r="Q847" s="19" t="n">
        <v>1633785854</v>
      </c>
      <c r="R847" s="18" t="inlineStr"/>
      <c r="S847" s="20" t="inlineStr"/>
      <c r="T847" s="6" t="n">
        <v>28</v>
      </c>
      <c r="U847" s="5" t="inlineStr">
        <is>
          <t>N / 2025-11-24 | AA / 2026-01-12 | BB / 2026-01-05</t>
        </is>
      </c>
      <c r="V847" s="21">
        <f>HYPERLINK("https://dart.fss.or.kr/dsaf001/main.do?rcpNo=20260323000750", "공시열람")</f>
        <v/>
      </c>
    </row>
    <row r="848">
      <c r="A848" s="5" t="inlineStr">
        <is>
          <t>비아이매트릭스</t>
        </is>
      </c>
      <c r="B848" s="6" t="inlineStr">
        <is>
          <t>413640</t>
        </is>
      </c>
      <c r="C848" s="6" t="inlineStr">
        <is>
          <t>2026Q2</t>
        </is>
      </c>
      <c r="D848" s="6" t="inlineStr">
        <is>
          <t>20260814</t>
        </is>
      </c>
      <c r="E848" s="16" t="n">
        <v>49635</v>
      </c>
      <c r="F848" s="16" t="inlineStr"/>
      <c r="G848" s="16" t="n">
        <v>13868</v>
      </c>
      <c r="H848" s="6" t="inlineStr">
        <is>
          <t>백만원</t>
        </is>
      </c>
      <c r="I848" s="17" t="n">
        <v>3.1</v>
      </c>
      <c r="J848" s="18" t="n">
        <v>3855</v>
      </c>
      <c r="K848" s="19" t="n">
        <v>3850</v>
      </c>
      <c r="L848" s="18" t="n">
        <v>6956</v>
      </c>
      <c r="M848" s="19" t="n">
        <v>7435</v>
      </c>
      <c r="N848" s="18" t="n">
        <v>10173</v>
      </c>
      <c r="O848" s="19" t="n">
        <v>10234</v>
      </c>
      <c r="P848" s="18" t="n">
        <v>10543</v>
      </c>
      <c r="Q848" s="19" t="n">
        <v>11651</v>
      </c>
      <c r="R848" s="18" t="n">
        <v>13447</v>
      </c>
      <c r="S848" s="20" t="n">
        <v>13868</v>
      </c>
      <c r="T848" s="6" t="n">
        <v>9</v>
      </c>
      <c r="U848" s="5" t="inlineStr">
        <is>
          <t>비아이매트릭스 / 기타 / - | 비아이매트릭스 / 솔루션 외 / 2026-06-01 / | 비아이매트릭스 / 솔루션 / 2026-03-27 / 2</t>
        </is>
      </c>
      <c r="V848" s="21">
        <f>HYPERLINK("https://dart.fss.or.kr/dsaf001/main.do?rcpNo=20260814003267", "공시열람")</f>
        <v/>
      </c>
    </row>
    <row r="849">
      <c r="A849" s="5" t="inlineStr">
        <is>
          <t>니어스랩</t>
        </is>
      </c>
      <c r="B849" s="6" t="inlineStr">
        <is>
          <t>417030</t>
        </is>
      </c>
      <c r="C849" s="6" t="inlineStr">
        <is>
          <t>2026Q2</t>
        </is>
      </c>
      <c r="D849" s="6" t="inlineStr">
        <is>
          <t>20260828</t>
        </is>
      </c>
      <c r="E849" s="16" t="n">
        <v>6490</v>
      </c>
      <c r="F849" s="16" t="inlineStr"/>
      <c r="G849" s="16" t="n">
        <v>5922</v>
      </c>
      <c r="H849" s="6" t="inlineStr">
        <is>
          <t>백만원</t>
        </is>
      </c>
      <c r="I849" s="17" t="inlineStr"/>
      <c r="J849" s="18" t="inlineStr"/>
      <c r="K849" s="19" t="inlineStr"/>
      <c r="L849" s="18" t="inlineStr"/>
      <c r="M849" s="19" t="inlineStr"/>
      <c r="N849" s="18" t="inlineStr"/>
      <c r="O849" s="19" t="inlineStr"/>
      <c r="P849" s="18" t="inlineStr"/>
      <c r="Q849" s="19" t="inlineStr"/>
      <c r="R849" s="18" t="inlineStr"/>
      <c r="S849" s="20" t="n">
        <v>5922</v>
      </c>
      <c r="T849" s="6" t="n">
        <v>10</v>
      </c>
      <c r="U849" s="5" t="inlineStr">
        <is>
          <t>국내 A사 / KAiDEN 시제품 개발 / 2026-0 | 기타 / 풍력발전기 점검솔루션 / 계약일 | UAE A사 / XAiDEN 교육훈련 서비스 / 202</t>
        </is>
      </c>
      <c r="V849" s="21">
        <f>HYPERLINK("https://dart.fss.or.kr/dsaf001/main.do?rcpNo=20260828000598", "공시열람")</f>
        <v/>
      </c>
    </row>
    <row r="850">
      <c r="A850" s="5" t="inlineStr">
        <is>
          <t>오브젠</t>
        </is>
      </c>
      <c r="B850" s="6" t="inlineStr">
        <is>
          <t>417860</t>
        </is>
      </c>
      <c r="C850" s="6" t="inlineStr">
        <is>
          <t>2026Q2</t>
        </is>
      </c>
      <c r="D850" s="6" t="inlineStr">
        <is>
          <t>20260814</t>
        </is>
      </c>
      <c r="E850" s="16" t="n">
        <v>52960</v>
      </c>
      <c r="F850" s="16" t="n">
        <v>25600</v>
      </c>
      <c r="G850" s="16" t="n">
        <v>27360</v>
      </c>
      <c r="H850" s="6" t="inlineStr">
        <is>
          <t>백만원</t>
        </is>
      </c>
      <c r="I850" s="17" t="n">
        <v>22.4</v>
      </c>
      <c r="J850" s="18" t="n">
        <v>5993</v>
      </c>
      <c r="K850" s="19" t="n">
        <v>9936</v>
      </c>
      <c r="L850" s="18" t="n">
        <v>7903</v>
      </c>
      <c r="M850" s="19" t="n">
        <v>16262</v>
      </c>
      <c r="N850" s="18" t="n">
        <v>14409</v>
      </c>
      <c r="O850" s="19" t="n">
        <v>10682</v>
      </c>
      <c r="P850" s="18" t="n">
        <v>7948</v>
      </c>
      <c r="Q850" s="19" t="n">
        <v>12172145</v>
      </c>
      <c r="R850" s="18" t="n">
        <v>22355</v>
      </c>
      <c r="S850" s="20" t="n">
        <v>27360</v>
      </c>
      <c r="T850" s="6" t="n">
        <v>7</v>
      </c>
      <c r="U850" s="5" t="inlineStr">
        <is>
          <t>데이터 분석 플랫폼 사업부문 / 용역 / - | 고객 데이터&amp; 경험관리 플랫폼(CDXP+) 사업부문 / | 데이터 분석 플랫폼 사업부문 / 유지보수 / -</t>
        </is>
      </c>
      <c r="V850" s="21">
        <f>HYPERLINK("https://dart.fss.or.kr/dsaf001/main.do?rcpNo=20260814003882", "공시열람")</f>
        <v/>
      </c>
    </row>
    <row r="851">
      <c r="A851" s="5" t="inlineStr">
        <is>
          <t>제이오</t>
        </is>
      </c>
      <c r="B851" s="6" t="inlineStr">
        <is>
          <t>418550</t>
        </is>
      </c>
      <c r="C851" s="6" t="inlineStr">
        <is>
          <t>2026Q2</t>
        </is>
      </c>
      <c r="D851" s="6" t="inlineStr">
        <is>
          <t>20260814</t>
        </is>
      </c>
      <c r="E851" s="16" t="n">
        <v>92030314</v>
      </c>
      <c r="F851" s="16" t="inlineStr"/>
      <c r="G851" s="16" t="n">
        <v>13111428</v>
      </c>
      <c r="H851" s="6" t="inlineStr">
        <is>
          <t>천원</t>
        </is>
      </c>
      <c r="I851" s="17" t="n">
        <v>267.8</v>
      </c>
      <c r="J851" s="18" t="n">
        <v>52816834</v>
      </c>
      <c r="K851" s="19" t="n">
        <v>39991099</v>
      </c>
      <c r="L851" s="18" t="n">
        <v>23146090</v>
      </c>
      <c r="M851" s="19" t="n">
        <v>10964569</v>
      </c>
      <c r="N851" s="18" t="n">
        <v>20946902</v>
      </c>
      <c r="O851" s="19" t="n">
        <v>16110238</v>
      </c>
      <c r="P851" s="18" t="n">
        <v>8177068</v>
      </c>
      <c r="Q851" s="19" t="n">
        <v>5511204</v>
      </c>
      <c r="R851" s="18" t="n">
        <v>3565238</v>
      </c>
      <c r="S851" s="20" t="n">
        <v>13111428</v>
      </c>
      <c r="T851" s="6" t="n">
        <v>1</v>
      </c>
      <c r="U851" s="5" t="inlineStr">
        <is>
          <t>국내 / 에코프로머티리얼즈 등 / 플랜트공사 외</t>
        </is>
      </c>
      <c r="V851" s="21">
        <f>HYPERLINK("https://dart.fss.or.kr/dsaf001/main.do?rcpNo=20260814001514", "공시열람")</f>
        <v/>
      </c>
    </row>
    <row r="852">
      <c r="A852" s="5" t="inlineStr">
        <is>
          <t>E8</t>
        </is>
      </c>
      <c r="B852" s="6" t="inlineStr">
        <is>
          <t>418620</t>
        </is>
      </c>
      <c r="C852" s="6" t="inlineStr">
        <is>
          <t>2026Q2</t>
        </is>
      </c>
      <c r="D852" s="6" t="inlineStr">
        <is>
          <t>20260814</t>
        </is>
      </c>
      <c r="E852" s="16" t="n">
        <v>11540115</v>
      </c>
      <c r="F852" s="16" t="inlineStr"/>
      <c r="G852" s="16" t="n">
        <v>7406797</v>
      </c>
      <c r="H852" s="6" t="inlineStr">
        <is>
          <t>천원</t>
        </is>
      </c>
      <c r="I852" s="17" t="n">
        <v>-6.5</v>
      </c>
      <c r="J852" s="18" t="n">
        <v>6973600</v>
      </c>
      <c r="K852" s="19" t="n">
        <v>6583</v>
      </c>
      <c r="L852" s="18" t="n">
        <v>6876946</v>
      </c>
      <c r="M852" s="19" t="n">
        <v>6703241</v>
      </c>
      <c r="N852" s="18" t="n">
        <v>6450193</v>
      </c>
      <c r="O852" s="19" t="n">
        <v>6417667</v>
      </c>
      <c r="P852" s="18" t="n">
        <v>7252909</v>
      </c>
      <c r="Q852" s="19" t="n">
        <v>7161634</v>
      </c>
      <c r="R852" s="18" t="n">
        <v>7919338</v>
      </c>
      <c r="S852" s="20" t="n">
        <v>7406797</v>
      </c>
      <c r="T852" s="6" t="n">
        <v>2</v>
      </c>
      <c r="U852" s="5" t="inlineStr">
        <is>
          <t>용역 | 서비스</t>
        </is>
      </c>
      <c r="V852" s="21">
        <f>HYPERLINK("https://dart.fss.or.kr/dsaf001/main.do?rcpNo=20260814002560", "공시열람")</f>
        <v/>
      </c>
    </row>
    <row r="853">
      <c r="A853" s="5" t="inlineStr">
        <is>
          <t>삼기에너지솔루션즈</t>
        </is>
      </c>
      <c r="B853" s="6" t="inlineStr">
        <is>
          <t>419050</t>
        </is>
      </c>
      <c r="C853" s="6" t="inlineStr">
        <is>
          <t>2026Q2</t>
        </is>
      </c>
      <c r="D853" s="6" t="inlineStr">
        <is>
          <t>20260813</t>
        </is>
      </c>
      <c r="E853" s="16" t="n">
        <v>535943</v>
      </c>
      <c r="F853" s="16" t="n">
        <v>433448</v>
      </c>
      <c r="G853" s="16" t="n">
        <v>146838</v>
      </c>
      <c r="H853" s="6" t="inlineStr">
        <is>
          <t>백만원</t>
        </is>
      </c>
      <c r="I853" s="17" t="n">
        <v>-11.8</v>
      </c>
      <c r="J853" s="18" t="n">
        <v>859330924</v>
      </c>
      <c r="K853" s="19" t="n">
        <v>847035043</v>
      </c>
      <c r="L853" s="18" t="n">
        <v>830674207</v>
      </c>
      <c r="M853" s="19" t="n">
        <v>279496</v>
      </c>
      <c r="N853" s="18" t="n">
        <v>266391</v>
      </c>
      <c r="O853" s="19" t="n">
        <v>257201</v>
      </c>
      <c r="P853" s="18" t="n">
        <v>257201</v>
      </c>
      <c r="Q853" s="19" t="n">
        <v>181246</v>
      </c>
      <c r="R853" s="18" t="n">
        <v>166559</v>
      </c>
      <c r="S853" s="20" t="n">
        <v>146838</v>
      </c>
      <c r="T853" s="6" t="n">
        <v>4</v>
      </c>
      <c r="U853" s="5" t="inlineStr">
        <is>
          <t>End-Plate | End-Plate | End-Plate</t>
        </is>
      </c>
      <c r="V853" s="21">
        <f>HYPERLINK("https://dart.fss.or.kr/dsaf001/main.do?rcpNo=20260813000643", "공시열람")</f>
        <v/>
      </c>
    </row>
    <row r="854">
      <c r="A854" s="5" t="inlineStr">
        <is>
          <t>산돌</t>
        </is>
      </c>
      <c r="B854" s="6" t="inlineStr">
        <is>
          <t>419120</t>
        </is>
      </c>
      <c r="C854" s="6" t="inlineStr">
        <is>
          <t>2026Q2</t>
        </is>
      </c>
      <c r="D854" s="6" t="inlineStr">
        <is>
          <t>20260814</t>
        </is>
      </c>
      <c r="E854" s="16" t="n">
        <v>3362535620</v>
      </c>
      <c r="F854" s="16" t="inlineStr"/>
      <c r="G854" s="16" t="n">
        <v>1629888881</v>
      </c>
      <c r="H854" s="6" t="inlineStr">
        <is>
          <t>연결,원</t>
        </is>
      </c>
      <c r="I854" s="17" t="n">
        <v>-17.1</v>
      </c>
      <c r="J854" s="18" t="n">
        <v>252200000</v>
      </c>
      <c r="K854" s="19" t="n">
        <v>264198488</v>
      </c>
      <c r="L854" s="18" t="n">
        <v>520200046</v>
      </c>
      <c r="M854" s="19" t="n">
        <v>1493318867</v>
      </c>
      <c r="N854" s="18" t="n">
        <v>2255671606</v>
      </c>
      <c r="O854" s="19" t="n">
        <v>2393741288</v>
      </c>
      <c r="P854" s="18" t="n">
        <v>2121142108</v>
      </c>
      <c r="Q854" s="19" t="n">
        <v>2556153560</v>
      </c>
      <c r="R854" s="18" t="n">
        <v>1965102545</v>
      </c>
      <c r="S854" s="20" t="n">
        <v>1629888881</v>
      </c>
      <c r="T854" s="6" t="n">
        <v>1</v>
      </c>
      <c r="U854" s="5" t="inlineStr">
        <is>
          <t>커스텀폰트</t>
        </is>
      </c>
      <c r="V854" s="21">
        <f>HYPERLINK("https://dart.fss.or.kr/dsaf001/main.do?rcpNo=20260814000109", "공시열람")</f>
        <v/>
      </c>
    </row>
    <row r="855">
      <c r="A855" s="5" t="inlineStr">
        <is>
          <t>기가비스</t>
        </is>
      </c>
      <c r="B855" s="6" t="inlineStr">
        <is>
          <t>420770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inlineStr"/>
      <c r="G855" s="16" t="n">
        <v>65266</v>
      </c>
      <c r="H855" s="6" t="inlineStr">
        <is>
          <t>백만원</t>
        </is>
      </c>
      <c r="I855" s="17" t="n">
        <v>251.4</v>
      </c>
      <c r="J855" s="18" t="inlineStr"/>
      <c r="K855" s="19" t="inlineStr"/>
      <c r="L855" s="18" t="inlineStr"/>
      <c r="M855" s="19" t="inlineStr"/>
      <c r="N855" s="18" t="n">
        <v>33402</v>
      </c>
      <c r="O855" s="19" t="n">
        <v>34423</v>
      </c>
      <c r="P855" s="18" t="n">
        <v>34604</v>
      </c>
      <c r="Q855" s="19" t="n">
        <v>13566</v>
      </c>
      <c r="R855" s="18" t="n">
        <v>18575</v>
      </c>
      <c r="S855" s="20" t="n">
        <v>65266</v>
      </c>
      <c r="T855" s="6" t="n">
        <v>1</v>
      </c>
      <c r="U855" s="5" t="inlineStr">
        <is>
          <t>반도체 기판 검사 및 수리장비</t>
        </is>
      </c>
      <c r="V855" s="21">
        <f>HYPERLINK("https://dart.fss.or.kr/dsaf001/main.do?rcpNo=20260814003218", "공시열람")</f>
        <v/>
      </c>
    </row>
    <row r="856">
      <c r="A856" s="5" t="inlineStr">
        <is>
          <t>벨로크</t>
        </is>
      </c>
      <c r="B856" s="6" t="inlineStr">
        <is>
          <t>424760</t>
        </is>
      </c>
      <c r="C856" s="6" t="inlineStr">
        <is>
          <t>2026Q2</t>
        </is>
      </c>
      <c r="D856" s="6" t="inlineStr">
        <is>
          <t>20260814</t>
        </is>
      </c>
      <c r="E856" s="16" t="n">
        <v>23653</v>
      </c>
      <c r="F856" s="16" t="n">
        <v>8952</v>
      </c>
      <c r="G856" s="16" t="n">
        <v>14700</v>
      </c>
      <c r="H856" s="6" t="inlineStr">
        <is>
          <t>백만원</t>
        </is>
      </c>
      <c r="I856" s="17" t="n">
        <v>-1.2</v>
      </c>
      <c r="J856" s="18" t="n">
        <v>10016</v>
      </c>
      <c r="K856" s="19" t="n">
        <v>8613</v>
      </c>
      <c r="L856" s="18" t="n">
        <v>9280</v>
      </c>
      <c r="M856" s="19" t="n">
        <v>6130</v>
      </c>
      <c r="N856" s="18" t="n">
        <v>6069</v>
      </c>
      <c r="O856" s="19" t="n">
        <v>8753</v>
      </c>
      <c r="P856" s="18" t="n">
        <v>19064</v>
      </c>
      <c r="Q856" s="19" t="n">
        <v>14845</v>
      </c>
      <c r="R856" s="18" t="n">
        <v>14885</v>
      </c>
      <c r="S856" s="20" t="n">
        <v>14700</v>
      </c>
      <c r="T856" s="6" t="n">
        <v>2</v>
      </c>
      <c r="U856" s="5" t="inlineStr">
        <is>
          <t>보안서비스 / 주1) | 보안솔루션 / 주1)</t>
        </is>
      </c>
      <c r="V856" s="21">
        <f>HYPERLINK("https://dart.fss.or.kr/dsaf001/main.do?rcpNo=20260814002442", "공시열람")</f>
        <v/>
      </c>
    </row>
    <row r="857">
      <c r="A857" s="5" t="inlineStr">
        <is>
          <t>스마트레이더시스템</t>
        </is>
      </c>
      <c r="B857" s="6" t="inlineStr">
        <is>
          <t>424960</t>
        </is>
      </c>
      <c r="C857" s="6" t="inlineStr">
        <is>
          <t>2023Q4</t>
        </is>
      </c>
      <c r="D857" s="6" t="inlineStr">
        <is>
          <t>20240320</t>
        </is>
      </c>
      <c r="E857" s="16" t="n">
        <v>2505</v>
      </c>
      <c r="F857" s="16" t="n">
        <v>473</v>
      </c>
      <c r="G857" s="16" t="n">
        <v>2032</v>
      </c>
      <c r="H857" s="6" t="inlineStr"/>
      <c r="I857" s="17" t="inlineStr"/>
      <c r="J857" s="18" t="inlineStr"/>
      <c r="K857" s="19" t="inlineStr"/>
      <c r="L857" s="18" t="inlineStr"/>
      <c r="M857" s="19" t="inlineStr"/>
      <c r="N857" s="18" t="inlineStr"/>
      <c r="O857" s="19" t="inlineStr"/>
      <c r="P857" s="18" t="inlineStr"/>
      <c r="Q857" s="19" t="inlineStr"/>
      <c r="R857" s="18" t="inlineStr"/>
      <c r="S857" s="20" t="inlineStr"/>
      <c r="T857" s="6" t="n">
        <v>6</v>
      </c>
      <c r="U857" s="5" t="inlineStr">
        <is>
          <t>비모빌리티 / 스마트시티 / 2023~ | 비모빌리티 / 산업 / 2023~ | 모빌리티 / 특수장비차 / 2023~</t>
        </is>
      </c>
      <c r="V857" s="21">
        <f>HYPERLINK("https://dart.fss.or.kr/dsaf001/main.do?rcpNo=20240320001173", "공시열람")</f>
        <v/>
      </c>
    </row>
    <row r="858">
      <c r="A858" s="5" t="inlineStr">
        <is>
          <t>케이쓰리아이</t>
        </is>
      </c>
      <c r="B858" s="6" t="inlineStr">
        <is>
          <t>431190</t>
        </is>
      </c>
      <c r="C858" s="6" t="inlineStr">
        <is>
          <t>2026Q2</t>
        </is>
      </c>
      <c r="D858" s="6" t="inlineStr">
        <is>
          <t>20260813</t>
        </is>
      </c>
      <c r="E858" s="16" t="n">
        <v>7103</v>
      </c>
      <c r="F858" s="16" t="n">
        <v>6103</v>
      </c>
      <c r="G858" s="16" t="n">
        <v>7783</v>
      </c>
      <c r="H858" s="6" t="inlineStr">
        <is>
          <t>백만원</t>
        </is>
      </c>
      <c r="I858" s="17" t="n">
        <v>30.7</v>
      </c>
      <c r="J858" s="18" t="inlineStr"/>
      <c r="K858" s="19" t="inlineStr"/>
      <c r="L858" s="18" t="n">
        <v>5952</v>
      </c>
      <c r="M858" s="19" t="n">
        <v>4677</v>
      </c>
      <c r="N858" s="18" t="n">
        <v>3230</v>
      </c>
      <c r="O858" s="19" t="n">
        <v>7058</v>
      </c>
      <c r="P858" s="18" t="n">
        <v>8413</v>
      </c>
      <c r="Q858" s="19" t="n">
        <v>6783</v>
      </c>
      <c r="R858" s="18" t="n">
        <v>5955</v>
      </c>
      <c r="S858" s="20" t="n">
        <v>7783</v>
      </c>
      <c r="T858" s="6" t="n">
        <v>2</v>
      </c>
      <c r="U858" s="5" t="inlineStr">
        <is>
          <t>XR 사업 / - | 디지털트윈 및 기타 / -</t>
        </is>
      </c>
      <c r="V858" s="21">
        <f>HYPERLINK("https://dart.fss.or.kr/dsaf001/main.do?rcpNo=20260813001741", "공시열람")</f>
        <v/>
      </c>
    </row>
    <row r="859">
      <c r="A859" s="5" t="inlineStr">
        <is>
          <t>와이랩</t>
        </is>
      </c>
      <c r="B859" s="6" t="inlineStr">
        <is>
          <t>432430</t>
        </is>
      </c>
      <c r="C859" s="6" t="inlineStr">
        <is>
          <t>2026Q2</t>
        </is>
      </c>
      <c r="D859" s="6" t="inlineStr">
        <is>
          <t>20260814</t>
        </is>
      </c>
      <c r="E859" s="16" t="n">
        <v>5600000</v>
      </c>
      <c r="F859" s="16" t="inlineStr"/>
      <c r="G859" s="16" t="n">
        <v>5600000</v>
      </c>
      <c r="H859" s="6" t="inlineStr">
        <is>
          <t>천원</t>
        </is>
      </c>
      <c r="I859" s="17" t="n">
        <v>0</v>
      </c>
      <c r="J859" s="18" t="inlineStr"/>
      <c r="K859" s="19" t="inlineStr"/>
      <c r="L859" s="18" t="inlineStr"/>
      <c r="M859" s="19" t="inlineStr"/>
      <c r="N859" s="18" t="inlineStr"/>
      <c r="O859" s="19" t="n">
        <v>5600000</v>
      </c>
      <c r="P859" s="18" t="n">
        <v>5600000</v>
      </c>
      <c r="Q859" s="19" t="n">
        <v>5600000</v>
      </c>
      <c r="R859" s="18" t="n">
        <v>5600000</v>
      </c>
      <c r="S859" s="20" t="n">
        <v>5600000</v>
      </c>
      <c r="T859" s="6" t="n">
        <v>1</v>
      </c>
      <c r="U859" s="5" t="inlineStr">
        <is>
          <t>드라마 제작 대행 계약 / 2024-06-28 / 20</t>
        </is>
      </c>
      <c r="V859" s="21">
        <f>HYPERLINK("https://dart.fss.or.kr/dsaf001/main.do?rcpNo=20260814001850", "공시열람")</f>
        <v/>
      </c>
    </row>
    <row r="860">
      <c r="A860" s="5" t="inlineStr">
        <is>
          <t>버넥트</t>
        </is>
      </c>
      <c r="B860" s="6" t="inlineStr">
        <is>
          <t>438700</t>
        </is>
      </c>
      <c r="C860" s="6" t="inlineStr">
        <is>
          <t>2026Q2</t>
        </is>
      </c>
      <c r="D860" s="6" t="inlineStr">
        <is>
          <t>20260814</t>
        </is>
      </c>
      <c r="E860" s="16" t="n">
        <v>1038</v>
      </c>
      <c r="F860" s="16" t="n">
        <v>727</v>
      </c>
      <c r="G860" s="16" t="n">
        <v>311</v>
      </c>
      <c r="H860" s="6" t="inlineStr"/>
      <c r="I860" s="17" t="n">
        <v>-65.90000000000001</v>
      </c>
      <c r="J860" s="18" t="n">
        <v>1032</v>
      </c>
      <c r="K860" s="19" t="n">
        <v>874</v>
      </c>
      <c r="L860" s="18" t="n">
        <v>835</v>
      </c>
      <c r="M860" s="19" t="n">
        <v>558</v>
      </c>
      <c r="N860" s="18" t="n">
        <v>764</v>
      </c>
      <c r="O860" s="19" t="n">
        <v>1274</v>
      </c>
      <c r="P860" s="18" t="n">
        <v>1061</v>
      </c>
      <c r="Q860" s="19" t="n">
        <v>892</v>
      </c>
      <c r="R860" s="18" t="n">
        <v>912</v>
      </c>
      <c r="S860" s="20" t="n">
        <v>311</v>
      </c>
      <c r="T860" s="6" t="n">
        <v>5</v>
      </c>
      <c r="U860" s="5" t="inlineStr">
        <is>
          <t>D / 라이선스 / 2026.01.19 | E / 솔루션 / 2026.06.04 | B / 솔루션 / 2026.01.14</t>
        </is>
      </c>
      <c r="V860" s="21">
        <f>HYPERLINK("https://dart.fss.or.kr/dsaf001/main.do?rcpNo=20260814002340", "공시열람")</f>
        <v/>
      </c>
    </row>
    <row r="861">
      <c r="A861" s="5" t="inlineStr">
        <is>
          <t>대한조선</t>
        </is>
      </c>
      <c r="B861" s="6" t="inlineStr">
        <is>
          <t>439260</t>
        </is>
      </c>
      <c r="C861" s="6" t="inlineStr">
        <is>
          <t>2026Q2</t>
        </is>
      </c>
      <c r="D861" s="6" t="inlineStr">
        <is>
          <t>20260814</t>
        </is>
      </c>
      <c r="E861" s="16" t="inlineStr"/>
      <c r="F861" s="16" t="n">
        <v>657618</v>
      </c>
      <c r="G861" s="16" t="n">
        <v>2366510</v>
      </c>
      <c r="H861" s="6" t="inlineStr">
        <is>
          <t>척,백만원</t>
        </is>
      </c>
      <c r="I861" s="17" t="n">
        <v>39.7</v>
      </c>
      <c r="J861" s="18" t="inlineStr"/>
      <c r="K861" s="19" t="inlineStr"/>
      <c r="L861" s="18" t="inlineStr"/>
      <c r="M861" s="19" t="inlineStr"/>
      <c r="N861" s="18" t="inlineStr"/>
      <c r="O861" s="19" t="n">
        <v>1821580</v>
      </c>
      <c r="P861" s="18" t="n">
        <v>1572066</v>
      </c>
      <c r="Q861" s="19" t="n">
        <v>1723129</v>
      </c>
      <c r="R861" s="18" t="n">
        <v>1694146</v>
      </c>
      <c r="S861" s="20" t="n">
        <v>2366510</v>
      </c>
      <c r="T861" s="6" t="n">
        <v>1</v>
      </c>
      <c r="U861" s="5" t="inlineStr">
        <is>
          <t>선박 / 26년 6월 30일까지 / -</t>
        </is>
      </c>
      <c r="V861" s="21">
        <f>HYPERLINK("https://dart.fss.or.kr/dsaf001/main.do?rcpNo=20260814001422", "공시열람")</f>
        <v/>
      </c>
    </row>
    <row r="862">
      <c r="A862" s="5" t="inlineStr">
        <is>
          <t>파두</t>
        </is>
      </c>
      <c r="B862" s="6" t="inlineStr">
        <is>
          <t>440110</t>
        </is>
      </c>
      <c r="C862" s="6" t="inlineStr">
        <is>
          <t>2026Q2</t>
        </is>
      </c>
      <c r="D862" s="6" t="inlineStr">
        <is>
          <t>20260813</t>
        </is>
      </c>
      <c r="E862" s="16" t="n">
        <v>205625</v>
      </c>
      <c r="F862" s="16" t="n">
        <v>13870</v>
      </c>
      <c r="G862" s="16" t="n">
        <v>191755</v>
      </c>
      <c r="H862" s="6" t="inlineStr">
        <is>
          <t>천USD</t>
        </is>
      </c>
      <c r="I862" s="17" t="n">
        <v>65</v>
      </c>
      <c r="J862" s="18" t="inlineStr"/>
      <c r="K862" s="19" t="n">
        <v>13985</v>
      </c>
      <c r="L862" s="18" t="n">
        <v>17671</v>
      </c>
      <c r="M862" s="19" t="n">
        <v>28971</v>
      </c>
      <c r="N862" s="18" t="n">
        <v>24070</v>
      </c>
      <c r="O862" s="19" t="n">
        <v>6292</v>
      </c>
      <c r="P862" s="18" t="n">
        <v>20675</v>
      </c>
      <c r="Q862" s="19" t="n">
        <v>69906</v>
      </c>
      <c r="R862" s="18" t="n">
        <v>116208</v>
      </c>
      <c r="S862" s="20" t="n">
        <v>191755</v>
      </c>
      <c r="T862" s="6" t="n">
        <v>11</v>
      </c>
      <c r="U862" s="5" t="inlineStr">
        <is>
          <t>SSD 컨트롤러 (주1) / 2026.05.05 / 2 | SSD 완제품 (주1) / 2025.11.04 / 20 | SSD 컨트롤러 / 2026.05.28 / 2026.1</t>
        </is>
      </c>
      <c r="V862" s="21">
        <f>HYPERLINK("https://dart.fss.or.kr/dsaf001/main.do?rcpNo=20260813001260", "공시열람")</f>
        <v/>
      </c>
    </row>
    <row r="863">
      <c r="A863" s="5" t="inlineStr">
        <is>
          <t>오픈놀</t>
        </is>
      </c>
      <c r="B863" s="6" t="inlineStr">
        <is>
          <t>440320</t>
        </is>
      </c>
      <c r="C863" s="6" t="inlineStr">
        <is>
          <t>2026Q2</t>
        </is>
      </c>
      <c r="D863" s="6" t="inlineStr">
        <is>
          <t>20260812</t>
        </is>
      </c>
      <c r="E863" s="16" t="n">
        <v>63805</v>
      </c>
      <c r="F863" s="16" t="n">
        <v>39285</v>
      </c>
      <c r="G863" s="16" t="n">
        <v>24520</v>
      </c>
      <c r="H863" s="6" t="inlineStr">
        <is>
          <t>백만원</t>
        </is>
      </c>
      <c r="I863" s="17" t="n">
        <v>-17.6</v>
      </c>
      <c r="J863" s="18" t="n">
        <v>17333</v>
      </c>
      <c r="K863" s="19" t="n">
        <v>13782</v>
      </c>
      <c r="L863" s="18" t="n">
        <v>8543</v>
      </c>
      <c r="M863" s="19" t="n">
        <v>626</v>
      </c>
      <c r="N863" s="18" t="n">
        <v>17577</v>
      </c>
      <c r="O863" s="19" t="n">
        <v>17477</v>
      </c>
      <c r="P863" s="18" t="n">
        <v>9512</v>
      </c>
      <c r="Q863" s="19" t="n">
        <v>5995</v>
      </c>
      <c r="R863" s="18" t="n">
        <v>29769</v>
      </c>
      <c r="S863" s="20" t="n">
        <v>24520</v>
      </c>
      <c r="T863" s="6" t="n">
        <v>1</v>
      </c>
      <c r="U863" s="5" t="inlineStr">
        <is>
          <t xml:space="preserve">미니인턴 및 플랫폼서비스 등 / 수주과업에 따라 다름 </t>
        </is>
      </c>
      <c r="V863" s="21">
        <f>HYPERLINK("https://dart.fss.or.kr/dsaf001/main.do?rcpNo=20260812000706", "공시열람")</f>
        <v/>
      </c>
    </row>
    <row r="864">
      <c r="A864" s="5" t="inlineStr">
        <is>
          <t>HD현대마린솔루션</t>
        </is>
      </c>
      <c r="B864" s="6" t="inlineStr">
        <is>
          <t>443060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n">
        <v>50122</v>
      </c>
      <c r="G864" s="16" t="n">
        <v>206776</v>
      </c>
      <c r="H864" s="6" t="inlineStr">
        <is>
          <t>백만원</t>
        </is>
      </c>
      <c r="I864" s="17" t="n">
        <v>-7.7</v>
      </c>
      <c r="J864" s="18" t="inlineStr"/>
      <c r="K864" s="19" t="n">
        <v>212169</v>
      </c>
      <c r="L864" s="18" t="n">
        <v>208069</v>
      </c>
      <c r="M864" s="19" t="n">
        <v>189745</v>
      </c>
      <c r="N864" s="18" t="n">
        <v>166251</v>
      </c>
      <c r="O864" s="19" t="n">
        <v>198690</v>
      </c>
      <c r="P864" s="18" t="n">
        <v>245057</v>
      </c>
      <c r="Q864" s="19" t="n">
        <v>230592</v>
      </c>
      <c r="R864" s="18" t="n">
        <v>224108</v>
      </c>
      <c r="S864" s="20" t="n">
        <v>206776</v>
      </c>
      <c r="T864" s="6" t="n">
        <v>1</v>
      </c>
      <c r="U864" s="5" t="inlineStr">
        <is>
          <t>친환경솔루션(FSRU, FSU, EPLO, EGCS 등</t>
        </is>
      </c>
      <c r="V864" s="21">
        <f>HYPERLINK("https://dart.fss.or.kr/dsaf001/main.do?rcpNo=20260814001752", "공시열람")</f>
        <v/>
      </c>
    </row>
    <row r="865">
      <c r="A865" s="5" t="inlineStr">
        <is>
          <t>에스피소프트</t>
        </is>
      </c>
      <c r="B865" s="6" t="inlineStr">
        <is>
          <t>443670</t>
        </is>
      </c>
      <c r="C865" s="6" t="inlineStr">
        <is>
          <t>2026Q2</t>
        </is>
      </c>
      <c r="D865" s="6" t="inlineStr">
        <is>
          <t>20260813</t>
        </is>
      </c>
      <c r="E865" s="16" t="n">
        <v>3407554637</v>
      </c>
      <c r="F865" s="16" t="n">
        <v>1946409832</v>
      </c>
      <c r="G865" s="16" t="n">
        <v>1461144805</v>
      </c>
      <c r="H865" s="6" t="inlineStr">
        <is>
          <t>원</t>
        </is>
      </c>
      <c r="I865" s="17" t="n">
        <v>-15.2</v>
      </c>
      <c r="J865" s="18" t="n">
        <v>233127200</v>
      </c>
      <c r="K865" s="19" t="n">
        <v>281341222</v>
      </c>
      <c r="L865" s="18" t="n">
        <v>725537324</v>
      </c>
      <c r="M865" s="19" t="n">
        <v>587056645</v>
      </c>
      <c r="N865" s="18" t="n">
        <v>771439808</v>
      </c>
      <c r="O865" s="19" t="n">
        <v>735886927</v>
      </c>
      <c r="P865" s="18" t="n">
        <v>1244237864</v>
      </c>
      <c r="Q865" s="19" t="n">
        <v>1656260847</v>
      </c>
      <c r="R865" s="18" t="n">
        <v>1723488129</v>
      </c>
      <c r="S865" s="20" t="n">
        <v>1461144805</v>
      </c>
      <c r="T865" s="6" t="n">
        <v>3</v>
      </c>
      <c r="U865" s="5" t="inlineStr">
        <is>
          <t>M365 / - | SPLA / - | 라이선스 / -</t>
        </is>
      </c>
      <c r="V865" s="21">
        <f>HYPERLINK("https://dart.fss.or.kr/dsaf001/main.do?rcpNo=20260813001182", "공시열람")</f>
        <v/>
      </c>
    </row>
    <row r="866">
      <c r="A866" s="5" t="inlineStr">
        <is>
          <t>심플랫폼</t>
        </is>
      </c>
      <c r="B866" s="6" t="inlineStr">
        <is>
          <t>444530</t>
        </is>
      </c>
      <c r="C866" s="6" t="inlineStr">
        <is>
          <t>2026Q2</t>
        </is>
      </c>
      <c r="D866" s="6" t="inlineStr">
        <is>
          <t>20260814</t>
        </is>
      </c>
      <c r="E866" s="16" t="n">
        <v>8009183</v>
      </c>
      <c r="F866" s="16" t="inlineStr"/>
      <c r="G866" s="16" t="n">
        <v>5291531</v>
      </c>
      <c r="H866" s="6" t="inlineStr">
        <is>
          <t>천원</t>
        </is>
      </c>
      <c r="I866" s="17" t="n">
        <v>45.4</v>
      </c>
      <c r="J866" s="18" t="inlineStr"/>
      <c r="K866" s="19" t="inlineStr"/>
      <c r="L866" s="18" t="inlineStr"/>
      <c r="M866" s="19" t="inlineStr"/>
      <c r="N866" s="18" t="inlineStr"/>
      <c r="O866" s="19" t="inlineStr"/>
      <c r="P866" s="18" t="n">
        <v>3467214</v>
      </c>
      <c r="Q866" s="19" t="n">
        <v>707420</v>
      </c>
      <c r="R866" s="18" t="n">
        <v>3638291</v>
      </c>
      <c r="S866" s="20" t="n">
        <v>5291531</v>
      </c>
      <c r="T866" s="6" t="n">
        <v>1</v>
      </c>
      <c r="U866" s="5" t="inlineStr">
        <is>
          <t>NUBISON AX</t>
        </is>
      </c>
      <c r="V866" s="21">
        <f>HYPERLINK("https://dart.fss.or.kr/dsaf001/main.do?rcpNo=20260814002308", "공시열람")</f>
        <v/>
      </c>
    </row>
    <row r="867">
      <c r="A867" s="5" t="inlineStr">
        <is>
          <t>에이직랜드</t>
        </is>
      </c>
      <c r="B867" s="6" t="inlineStr">
        <is>
          <t>445090</t>
        </is>
      </c>
      <c r="C867" s="6" t="inlineStr">
        <is>
          <t>2026Q2</t>
        </is>
      </c>
      <c r="D867" s="6" t="inlineStr">
        <is>
          <t>20260814</t>
        </is>
      </c>
      <c r="E867" s="16" t="n">
        <v>179082</v>
      </c>
      <c r="F867" s="16" t="n">
        <v>16510</v>
      </c>
      <c r="G867" s="16" t="n">
        <v>61821</v>
      </c>
      <c r="H867" s="6" t="inlineStr">
        <is>
          <t>백만원</t>
        </is>
      </c>
      <c r="I867" s="17" t="n">
        <v>-29.6</v>
      </c>
      <c r="J867" s="18" t="n">
        <v>93489</v>
      </c>
      <c r="K867" s="19" t="inlineStr"/>
      <c r="L867" s="18" t="inlineStr"/>
      <c r="M867" s="19" t="n">
        <v>62757</v>
      </c>
      <c r="N867" s="18" t="n">
        <v>64207</v>
      </c>
      <c r="O867" s="19" t="inlineStr"/>
      <c r="P867" s="18" t="n">
        <v>84994</v>
      </c>
      <c r="Q867" s="19" t="n">
        <v>100686</v>
      </c>
      <c r="R867" s="18" t="n">
        <v>87824</v>
      </c>
      <c r="S867" s="20" t="n">
        <v>61821</v>
      </c>
      <c r="T867" s="6" t="n">
        <v>7</v>
      </c>
      <c r="U867" s="5" t="inlineStr">
        <is>
          <t>주문형 반도체 설계 / 2024.11.01 / 2026 | 주문형 반도체 설계 / 2025.05.27 / 2027 | 양산 계약 / 2026.01.08 / 2026.12.3</t>
        </is>
      </c>
      <c r="V867" s="21">
        <f>HYPERLINK("https://dart.fss.or.kr/dsaf001/main.do?rcpNo=20260814000520", "공시열람")</f>
        <v/>
      </c>
    </row>
    <row r="868">
      <c r="A868" s="5" t="inlineStr">
        <is>
          <t>큐리옥스바이오시스템즈</t>
        </is>
      </c>
      <c r="B868" s="6" t="inlineStr">
        <is>
          <t>445680</t>
        </is>
      </c>
      <c r="C868" s="6" t="inlineStr">
        <is>
          <t>2026Q2</t>
        </is>
      </c>
      <c r="D868" s="6" t="inlineStr">
        <is>
          <t>20260814</t>
        </is>
      </c>
      <c r="E868" s="16" t="n">
        <v>3532</v>
      </c>
      <c r="F868" s="16" t="n">
        <v>619</v>
      </c>
      <c r="G868" s="16" t="n">
        <v>2913</v>
      </c>
      <c r="H868" s="6" t="inlineStr">
        <is>
          <t>대,백만원</t>
        </is>
      </c>
      <c r="I868" s="17" t="n">
        <v>0</v>
      </c>
      <c r="J868" s="18" t="n">
        <v>2643056640</v>
      </c>
      <c r="K868" s="19" t="n">
        <v>2643056640</v>
      </c>
      <c r="L868" s="18" t="n">
        <v>2643056640</v>
      </c>
      <c r="M868" s="19" t="n">
        <v>2643</v>
      </c>
      <c r="N868" s="18" t="n">
        <v>2643</v>
      </c>
      <c r="O868" s="19" t="n">
        <v>3454</v>
      </c>
      <c r="P868" s="18" t="n">
        <v>2934</v>
      </c>
      <c r="Q868" s="19" t="n">
        <v>2913</v>
      </c>
      <c r="R868" s="18" t="n">
        <v>2913</v>
      </c>
      <c r="S868" s="20" t="n">
        <v>2913</v>
      </c>
      <c r="T868" s="6" t="n">
        <v>1</v>
      </c>
      <c r="U868" s="5" t="inlineStr">
        <is>
          <t>Laminar Wash HT 2000 시스템/Lamin</t>
        </is>
      </c>
      <c r="V868" s="21">
        <f>HYPERLINK("https://dart.fss.or.kr/dsaf001/main.do?rcpNo=20260814004125", "공시열람")</f>
        <v/>
      </c>
    </row>
    <row r="869">
      <c r="A869" s="5" t="inlineStr">
        <is>
          <t>에코아이</t>
        </is>
      </c>
      <c r="B869" s="6" t="inlineStr">
        <is>
          <t>448280</t>
        </is>
      </c>
      <c r="C869" s="6" t="inlineStr">
        <is>
          <t>2026Q2</t>
        </is>
      </c>
      <c r="D869" s="6" t="inlineStr">
        <is>
          <t>20260814</t>
        </is>
      </c>
      <c r="E869" s="16" t="n">
        <v>2825303</v>
      </c>
      <c r="F869" s="16" t="n">
        <v>6999</v>
      </c>
      <c r="G869" s="16" t="n">
        <v>8480</v>
      </c>
      <c r="H869" s="6" t="inlineStr">
        <is>
          <t>톤,백만원</t>
        </is>
      </c>
      <c r="I869" s="17" t="n">
        <v>0</v>
      </c>
      <c r="J869" s="18" t="n">
        <v>8476</v>
      </c>
      <c r="K869" s="19" t="n">
        <v>8476</v>
      </c>
      <c r="L869" s="18" t="n">
        <v>8476</v>
      </c>
      <c r="M869" s="19" t="n">
        <v>8476</v>
      </c>
      <c r="N869" s="18" t="n">
        <v>8476</v>
      </c>
      <c r="O869" s="19" t="n">
        <v>8480</v>
      </c>
      <c r="P869" s="18" t="n">
        <v>8480</v>
      </c>
      <c r="Q869" s="19" t="n">
        <v>8480</v>
      </c>
      <c r="R869" s="18" t="n">
        <v>8480</v>
      </c>
      <c r="S869" s="20" t="n">
        <v>8480</v>
      </c>
      <c r="T869" s="6" t="n">
        <v>11</v>
      </c>
      <c r="U869" s="5" t="inlineStr">
        <is>
          <t>방글라데시 / 쿡스토브 / i-KOC / 2019-09 | 미얀마 / 쿡스토브 / i-KOC / 2020-02-2 | 미얀마 / 쿡스토브 / i-KOC / 2020-02-2</t>
        </is>
      </c>
      <c r="V869" s="21">
        <f>HYPERLINK("https://dart.fss.or.kr/dsaf001/main.do?rcpNo=20260814000143", "공시열람")</f>
        <v/>
      </c>
    </row>
    <row r="870">
      <c r="A870" s="5" t="inlineStr">
        <is>
          <t>한국피아이엠</t>
        </is>
      </c>
      <c r="B870" s="6" t="inlineStr">
        <is>
          <t>448900</t>
        </is>
      </c>
      <c r="C870" s="6" t="inlineStr">
        <is>
          <t>2026Q2</t>
        </is>
      </c>
      <c r="D870" s="6" t="inlineStr">
        <is>
          <t>20260814</t>
        </is>
      </c>
      <c r="E870" s="16" t="n">
        <v>48337998</v>
      </c>
      <c r="F870" s="16" t="n">
        <v>5920553</v>
      </c>
      <c r="G870" s="16" t="n">
        <v>42417445</v>
      </c>
      <c r="H870" s="6" t="inlineStr">
        <is>
          <t>천원</t>
        </is>
      </c>
      <c r="I870" s="17" t="n">
        <v>7.4</v>
      </c>
      <c r="J870" s="18" t="inlineStr"/>
      <c r="K870" s="19" t="inlineStr"/>
      <c r="L870" s="18" t="inlineStr"/>
      <c r="M870" s="19" t="n">
        <v>27015058</v>
      </c>
      <c r="N870" s="18" t="n">
        <v>31114346</v>
      </c>
      <c r="O870" s="19" t="n">
        <v>35687974</v>
      </c>
      <c r="P870" s="18" t="n">
        <v>35516371</v>
      </c>
      <c r="Q870" s="19" t="n">
        <v>39811667</v>
      </c>
      <c r="R870" s="18" t="n">
        <v>39492025</v>
      </c>
      <c r="S870" s="20" t="n">
        <v>42417445</v>
      </c>
      <c r="T870" s="6" t="n">
        <v>10</v>
      </c>
      <c r="U870" s="5" t="inlineStr">
        <is>
          <t>V / 수시 | M / 수시 | A / 수시</t>
        </is>
      </c>
      <c r="V870" s="21">
        <f>HYPERLINK("https://dart.fss.or.kr/dsaf001/main.do?rcpNo=20260814004093", "공시열람")</f>
        <v/>
      </c>
    </row>
    <row r="871">
      <c r="A871" s="5" t="inlineStr">
        <is>
          <t>인스웨이브</t>
        </is>
      </c>
      <c r="B871" s="6" t="inlineStr">
        <is>
          <t>450520</t>
        </is>
      </c>
      <c r="C871" s="6" t="inlineStr">
        <is>
          <t>2026Q2</t>
        </is>
      </c>
      <c r="D871" s="6" t="inlineStr">
        <is>
          <t>20260813</t>
        </is>
      </c>
      <c r="E871" s="16" t="n">
        <v>57030</v>
      </c>
      <c r="F871" s="16" t="n">
        <v>12916</v>
      </c>
      <c r="G871" s="16" t="n">
        <v>44114</v>
      </c>
      <c r="H871" s="6" t="inlineStr">
        <is>
          <t>백만원</t>
        </is>
      </c>
      <c r="I871" s="17" t="n">
        <v>39.9</v>
      </c>
      <c r="J871" s="18" t="n">
        <v>8064</v>
      </c>
      <c r="K871" s="19" t="n">
        <v>7103</v>
      </c>
      <c r="L871" s="18" t="n">
        <v>14142</v>
      </c>
      <c r="M871" s="19" t="n">
        <v>12212</v>
      </c>
      <c r="N871" s="18" t="n">
        <v>12176</v>
      </c>
      <c r="O871" s="19" t="n">
        <v>10862</v>
      </c>
      <c r="P871" s="18" t="n">
        <v>13744</v>
      </c>
      <c r="Q871" s="19" t="n">
        <v>20855</v>
      </c>
      <c r="R871" s="18" t="n">
        <v>31529</v>
      </c>
      <c r="S871" s="20" t="n">
        <v>44114</v>
      </c>
      <c r="T871" s="6" t="n">
        <v>4</v>
      </c>
      <c r="U871" s="5" t="inlineStr">
        <is>
          <t>농협은행 계정계 차세대 (프로젝트 NEO) / 2026 | 기타 | 코어뱅킹현대화_웹단말전환 / 2026-06-01 / 2</t>
        </is>
      </c>
      <c r="V871" s="21">
        <f>HYPERLINK("https://dart.fss.or.kr/dsaf001/main.do?rcpNo=20260813001397", "공시열람")</f>
        <v/>
      </c>
    </row>
    <row r="872">
      <c r="A872" s="5" t="inlineStr">
        <is>
          <t>아이엠티</t>
        </is>
      </c>
      <c r="B872" s="6" t="inlineStr">
        <is>
          <t>451220</t>
        </is>
      </c>
      <c r="C872" s="6" t="inlineStr">
        <is>
          <t>2026Q2</t>
        </is>
      </c>
      <c r="D872" s="6" t="inlineStr">
        <is>
          <t>20260814</t>
        </is>
      </c>
      <c r="E872" s="16" t="n">
        <v>1280000</v>
      </c>
      <c r="F872" s="16" t="inlineStr"/>
      <c r="G872" s="16" t="n">
        <v>1280000</v>
      </c>
      <c r="H872" s="6" t="inlineStr">
        <is>
          <t>대,USD</t>
        </is>
      </c>
      <c r="I872" s="17" t="n">
        <v>0</v>
      </c>
      <c r="J872" s="18" t="inlineStr"/>
      <c r="K872" s="19" t="inlineStr"/>
      <c r="L872" s="18" t="inlineStr"/>
      <c r="M872" s="19" t="n">
        <v>1295000</v>
      </c>
      <c r="N872" s="18" t="n">
        <v>1295000</v>
      </c>
      <c r="O872" s="19" t="n">
        <v>2625000</v>
      </c>
      <c r="P872" s="18" t="n">
        <v>2742000</v>
      </c>
      <c r="Q872" s="19" t="n">
        <v>2742000</v>
      </c>
      <c r="R872" s="18" t="n">
        <v>1280000</v>
      </c>
      <c r="S872" s="20" t="n">
        <v>1280000</v>
      </c>
      <c r="T872" s="6" t="n">
        <v>1</v>
      </c>
      <c r="U872" s="5" t="inlineStr">
        <is>
          <t>HBM용 Wafer 세정장비 / 2025-09-02 /</t>
        </is>
      </c>
      <c r="V872" s="21">
        <f>HYPERLINK("https://dart.fss.or.kr/dsaf001/main.do?rcpNo=20260814001618", "공시열람")</f>
        <v/>
      </c>
    </row>
    <row r="873">
      <c r="A873" s="5" t="inlineStr">
        <is>
          <t>컨텍</t>
        </is>
      </c>
      <c r="B873" s="6" t="inlineStr">
        <is>
          <t>451760</t>
        </is>
      </c>
      <c r="C873" s="6" t="inlineStr">
        <is>
          <t>2026Q2</t>
        </is>
      </c>
      <c r="D873" s="6" t="inlineStr">
        <is>
          <t>20260814</t>
        </is>
      </c>
      <c r="E873" s="16" t="inlineStr"/>
      <c r="F873" s="16" t="inlineStr"/>
      <c r="G873" s="16" t="n">
        <v>32777553</v>
      </c>
      <c r="H873" s="6" t="inlineStr">
        <is>
          <t>천원</t>
        </is>
      </c>
      <c r="I873" s="17" t="n">
        <v>-51.8</v>
      </c>
      <c r="J873" s="18" t="n">
        <v>26019</v>
      </c>
      <c r="K873" s="19" t="n">
        <v>21362334</v>
      </c>
      <c r="L873" s="18" t="n">
        <v>70717698</v>
      </c>
      <c r="M873" s="19" t="n">
        <v>70647949</v>
      </c>
      <c r="N873" s="18" t="n">
        <v>70225551</v>
      </c>
      <c r="O873" s="19" t="n">
        <v>58061079</v>
      </c>
      <c r="P873" s="18" t="n">
        <v>56043528</v>
      </c>
      <c r="Q873" s="19" t="n">
        <v>63004833</v>
      </c>
      <c r="R873" s="18" t="n">
        <v>68071376</v>
      </c>
      <c r="S873" s="20" t="n">
        <v>32777553</v>
      </c>
      <c r="T873" s="6" t="n">
        <v>4</v>
      </c>
      <c r="U873" s="5" t="inlineStr">
        <is>
          <t>위성제조 및 서비스 솔루션 | 기 타 | 지상국솔루션 / -</t>
        </is>
      </c>
      <c r="V873" s="21">
        <f>HYPERLINK("https://dart.fss.or.kr/dsaf001/main.do?rcpNo=20260814001522", "공시열람")</f>
        <v/>
      </c>
    </row>
    <row r="874">
      <c r="A874" s="5" t="inlineStr">
        <is>
          <t>제이엔비</t>
        </is>
      </c>
      <c r="B874" s="6" t="inlineStr">
        <is>
          <t>452160</t>
        </is>
      </c>
      <c r="C874" s="6" t="inlineStr">
        <is>
          <t>2024Q1</t>
        </is>
      </c>
      <c r="D874" s="6" t="inlineStr">
        <is>
          <t>20240514</t>
        </is>
      </c>
      <c r="E874" s="16" t="inlineStr"/>
      <c r="F874" s="16" t="inlineStr"/>
      <c r="G874" s="16" t="n">
        <v>1773800</v>
      </c>
      <c r="H874" s="6" t="inlineStr">
        <is>
          <t>USD</t>
        </is>
      </c>
      <c r="I874" s="17" t="n">
        <v>0</v>
      </c>
      <c r="J874" s="18" t="n">
        <v>1773800</v>
      </c>
      <c r="K874" s="19" t="inlineStr"/>
      <c r="L874" s="18" t="inlineStr"/>
      <c r="M874" s="19" t="inlineStr"/>
      <c r="N874" s="18" t="inlineStr"/>
      <c r="O874" s="19" t="inlineStr"/>
      <c r="P874" s="18" t="inlineStr"/>
      <c r="Q874" s="19" t="inlineStr"/>
      <c r="R874" s="18" t="inlineStr"/>
      <c r="S874" s="20" t="inlineStr"/>
      <c r="T874" s="6" t="n">
        <v>1</v>
      </c>
      <c r="U874" s="5" t="inlineStr">
        <is>
          <t>통화선물환 / 중소기업은행</t>
        </is>
      </c>
      <c r="V874" s="21">
        <f>HYPERLINK("https://dart.fss.or.kr/dsaf001/main.do?rcpNo=20240514001502", "공시열람")</f>
        <v/>
      </c>
    </row>
    <row r="875">
      <c r="A875" s="5" t="inlineStr">
        <is>
          <t>한빛레이저</t>
        </is>
      </c>
      <c r="B875" s="6" t="inlineStr">
        <is>
          <t>452190</t>
        </is>
      </c>
      <c r="C875" s="6" t="inlineStr">
        <is>
          <t>2026Q2</t>
        </is>
      </c>
      <c r="D875" s="6" t="inlineStr">
        <is>
          <t>20260813</t>
        </is>
      </c>
      <c r="E875" s="16" t="inlineStr"/>
      <c r="F875" s="16" t="inlineStr"/>
      <c r="G875" s="16" t="n">
        <v>11569483</v>
      </c>
      <c r="H875" s="6" t="inlineStr">
        <is>
          <t>천원</t>
        </is>
      </c>
      <c r="I875" s="17" t="n">
        <v>-4.5</v>
      </c>
      <c r="J875" s="18" t="n">
        <v>13255538</v>
      </c>
      <c r="K875" s="19" t="n">
        <v>14992788</v>
      </c>
      <c r="L875" s="18" t="n">
        <v>12317390</v>
      </c>
      <c r="M875" s="19" t="n">
        <v>12297801</v>
      </c>
      <c r="N875" s="18" t="n">
        <v>18611946</v>
      </c>
      <c r="O875" s="19" t="n">
        <v>14920180</v>
      </c>
      <c r="P875" s="18" t="n">
        <v>15709023</v>
      </c>
      <c r="Q875" s="19" t="n">
        <v>10190703</v>
      </c>
      <c r="R875" s="18" t="n">
        <v>12109195</v>
      </c>
      <c r="S875" s="20" t="n">
        <v>11569483</v>
      </c>
      <c r="T875" s="6" t="n">
        <v>0</v>
      </c>
      <c r="U875" s="5" t="inlineStr"/>
      <c r="V875" s="21">
        <f>HYPERLINK("https://dart.fss.or.kr/dsaf001/main.do?rcpNo=20260813001626", "공시열람")</f>
        <v/>
      </c>
    </row>
    <row r="876">
      <c r="A876" s="5" t="inlineStr">
        <is>
          <t>민테크</t>
        </is>
      </c>
      <c r="B876" s="6" t="inlineStr">
        <is>
          <t>452200</t>
        </is>
      </c>
      <c r="C876" s="6" t="inlineStr">
        <is>
          <t>2026Q2</t>
        </is>
      </c>
      <c r="D876" s="6" t="inlineStr">
        <is>
          <t>20260814</t>
        </is>
      </c>
      <c r="E876" s="16" t="n">
        <v>5486</v>
      </c>
      <c r="F876" s="16" t="n">
        <v>3143</v>
      </c>
      <c r="G876" s="16" t="n">
        <v>2343</v>
      </c>
      <c r="H876" s="6" t="inlineStr">
        <is>
          <t>백만원</t>
        </is>
      </c>
      <c r="I876" s="17" t="n">
        <v>-19.2</v>
      </c>
      <c r="J876" s="18" t="inlineStr"/>
      <c r="K876" s="19" t="n">
        <v>11595</v>
      </c>
      <c r="L876" s="18" t="n">
        <v>11535</v>
      </c>
      <c r="M876" s="19" t="n">
        <v>13841</v>
      </c>
      <c r="N876" s="18" t="n">
        <v>14035</v>
      </c>
      <c r="O876" s="19" t="n">
        <v>17366</v>
      </c>
      <c r="P876" s="18" t="n">
        <v>9319</v>
      </c>
      <c r="Q876" s="19" t="n">
        <v>3917</v>
      </c>
      <c r="R876" s="18" t="n">
        <v>2901</v>
      </c>
      <c r="S876" s="20" t="n">
        <v>2343</v>
      </c>
      <c r="T876" s="6" t="n">
        <v>3</v>
      </c>
      <c r="U876" s="5" t="inlineStr">
        <is>
          <t>기타 / - | 배터리 진단시스템 / - | 충방전검사장비 / -</t>
        </is>
      </c>
      <c r="V876" s="21">
        <f>HYPERLINK("https://dart.fss.or.kr/dsaf001/main.do?rcpNo=20260814002464", "공시열람")</f>
        <v/>
      </c>
    </row>
    <row r="877">
      <c r="A877" s="5" t="inlineStr">
        <is>
          <t>피아이이</t>
        </is>
      </c>
      <c r="B877" s="6" t="inlineStr">
        <is>
          <t>452450</t>
        </is>
      </c>
      <c r="C877" s="6" t="inlineStr">
        <is>
          <t>2026Q2</t>
        </is>
      </c>
      <c r="D877" s="6" t="inlineStr">
        <is>
          <t>20260813</t>
        </is>
      </c>
      <c r="E877" s="16" t="n">
        <v>44944443</v>
      </c>
      <c r="F877" s="16" t="n">
        <v>14691076</v>
      </c>
      <c r="G877" s="16" t="n">
        <v>30253367</v>
      </c>
      <c r="H877" s="6" t="inlineStr">
        <is>
          <t>천원</t>
        </is>
      </c>
      <c r="I877" s="17" t="n">
        <v>-21</v>
      </c>
      <c r="J877" s="18" t="inlineStr"/>
      <c r="K877" s="19" t="inlineStr"/>
      <c r="L877" s="18" t="inlineStr"/>
      <c r="M877" s="19" t="n">
        <v>29345690821</v>
      </c>
      <c r="N877" s="18" t="n">
        <v>29458734</v>
      </c>
      <c r="O877" s="19" t="n">
        <v>28596758</v>
      </c>
      <c r="P877" s="18" t="n">
        <v>31483810</v>
      </c>
      <c r="Q877" s="19" t="n">
        <v>24862774</v>
      </c>
      <c r="R877" s="18" t="n">
        <v>38319372</v>
      </c>
      <c r="S877" s="20" t="n">
        <v>30253367</v>
      </c>
      <c r="T877" s="6" t="n">
        <v>2</v>
      </c>
      <c r="U877" s="5" t="inlineStr">
        <is>
          <t>비전 및 장비 솔루션 | 기타</t>
        </is>
      </c>
      <c r="V877" s="21">
        <f>HYPERLINK("https://dart.fss.or.kr/dsaf001/main.do?rcpNo=20260813001351", "공시열람")</f>
        <v/>
      </c>
    </row>
    <row r="878">
      <c r="A878" s="5" t="inlineStr">
        <is>
          <t>두산로보틱스</t>
        </is>
      </c>
      <c r="B878" s="6" t="inlineStr">
        <is>
          <t>454910</t>
        </is>
      </c>
      <c r="C878" s="6" t="inlineStr">
        <is>
          <t>2026Q1</t>
        </is>
      </c>
      <c r="D878" s="6" t="inlineStr">
        <is>
          <t>20260515</t>
        </is>
      </c>
      <c r="E878" s="16" t="n">
        <v>18100</v>
      </c>
      <c r="F878" s="16" t="n">
        <v>4553</v>
      </c>
      <c r="G878" s="16" t="n">
        <v>13547</v>
      </c>
      <c r="H878" s="6" t="inlineStr">
        <is>
          <t>USD천</t>
        </is>
      </c>
      <c r="I878" s="17" t="n">
        <v>-9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n">
        <v>9343</v>
      </c>
      <c r="Q878" s="19" t="n">
        <v>14884</v>
      </c>
      <c r="R878" s="18" t="n">
        <v>13547</v>
      </c>
      <c r="S878" s="20" t="inlineStr"/>
      <c r="T878" s="6" t="n">
        <v>1</v>
      </c>
      <c r="U878" s="5" t="inlineStr">
        <is>
          <t>자동화 솔루션 / EOL/CMI 등</t>
        </is>
      </c>
      <c r="V878" s="21">
        <f>HYPERLINK("https://dart.fss.or.kr/dsaf001/main.do?rcpNo=20260515001834", "공시열람")</f>
        <v/>
      </c>
    </row>
    <row r="879">
      <c r="A879" s="5" t="inlineStr">
        <is>
          <t>케이지에이</t>
        </is>
      </c>
      <c r="B879" s="6" t="inlineStr">
        <is>
          <t>455180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22483930</v>
      </c>
      <c r="F879" s="16" t="n">
        <v>2558748</v>
      </c>
      <c r="G879" s="16" t="n">
        <v>19925182</v>
      </c>
      <c r="H879" s="6" t="inlineStr">
        <is>
          <t>천원</t>
        </is>
      </c>
      <c r="I879" s="17" t="n">
        <v>-99.7</v>
      </c>
      <c r="J879" s="18" t="inlineStr"/>
      <c r="K879" s="19" t="inlineStr"/>
      <c r="L879" s="18" t="inlineStr"/>
      <c r="M879" s="19" t="inlineStr"/>
      <c r="N879" s="18" t="inlineStr"/>
      <c r="O879" s="19" t="inlineStr"/>
      <c r="P879" s="18" t="inlineStr"/>
      <c r="Q879" s="19" t="inlineStr"/>
      <c r="R879" s="18" t="n">
        <v>7546000000</v>
      </c>
      <c r="S879" s="20" t="n">
        <v>19925182</v>
      </c>
      <c r="T879" s="6" t="n">
        <v>2</v>
      </c>
      <c r="U879" s="5" t="inlineStr">
        <is>
          <t>2차전지 전극공정 장비 / - | 기타 / -</t>
        </is>
      </c>
      <c r="V879" s="21">
        <f>HYPERLINK("https://dart.fss.or.kr/dsaf001/main.do?rcpNo=20260814002235", "공시열람")</f>
        <v/>
      </c>
    </row>
    <row r="880">
      <c r="A880" s="5" t="inlineStr">
        <is>
          <t>아이씨티케이</t>
        </is>
      </c>
      <c r="B880" s="6" t="inlineStr">
        <is>
          <t>456010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14772860</v>
      </c>
      <c r="F880" s="16" t="n">
        <v>3365175</v>
      </c>
      <c r="G880" s="16" t="n">
        <v>11407685</v>
      </c>
      <c r="H880" s="6" t="inlineStr">
        <is>
          <t>천원</t>
        </is>
      </c>
      <c r="I880" s="17" t="n">
        <v>-6.3</v>
      </c>
      <c r="J880" s="18" t="n">
        <v>3710000</v>
      </c>
      <c r="K880" s="19" t="n">
        <v>3345000</v>
      </c>
      <c r="L880" s="18" t="n">
        <v>1700000</v>
      </c>
      <c r="M880" s="19" t="n">
        <v>329700</v>
      </c>
      <c r="N880" s="18" t="n">
        <v>250000</v>
      </c>
      <c r="O880" s="19" t="n">
        <v>360561</v>
      </c>
      <c r="P880" s="18" t="n">
        <v>228859</v>
      </c>
      <c r="Q880" s="19" t="n">
        <v>12761850</v>
      </c>
      <c r="R880" s="18" t="n">
        <v>12180535</v>
      </c>
      <c r="S880" s="20" t="n">
        <v>11407685</v>
      </c>
      <c r="T880" s="6" t="n">
        <v>3</v>
      </c>
      <c r="U880" s="5" t="inlineStr">
        <is>
          <t>개발용역 / 양자암호 솔루션 개발 | 개발용역 / 이동통신사 | 연구용역 / 보안기술연구소</t>
        </is>
      </c>
      <c r="V880" s="21">
        <f>HYPERLINK("https://dart.fss.or.kr/dsaf001/main.do?rcpNo=20260814003391", "공시열람")</f>
        <v/>
      </c>
    </row>
    <row r="881">
      <c r="A881" s="5" t="inlineStr">
        <is>
          <t>이엔셀</t>
        </is>
      </c>
      <c r="B881" s="6" t="inlineStr">
        <is>
          <t>456070</t>
        </is>
      </c>
      <c r="C881" s="6" t="inlineStr">
        <is>
          <t>2026Q2</t>
        </is>
      </c>
      <c r="D881" s="6" t="inlineStr">
        <is>
          <t>20260814</t>
        </is>
      </c>
      <c r="E881" s="16" t="n">
        <v>14676</v>
      </c>
      <c r="F881" s="16" t="n">
        <v>5491</v>
      </c>
      <c r="G881" s="16" t="n">
        <v>9185</v>
      </c>
      <c r="H881" s="6" t="inlineStr">
        <is>
          <t>백만원</t>
        </is>
      </c>
      <c r="I881" s="17" t="n">
        <v>19.6</v>
      </c>
      <c r="J881" s="18" t="inlineStr"/>
      <c r="K881" s="19" t="inlineStr"/>
      <c r="L881" s="18" t="n">
        <v>9202</v>
      </c>
      <c r="M881" s="19" t="n">
        <v>4014</v>
      </c>
      <c r="N881" s="18" t="n">
        <v>3858</v>
      </c>
      <c r="O881" s="19" t="n">
        <v>5047</v>
      </c>
      <c r="P881" s="18" t="n">
        <v>9101</v>
      </c>
      <c r="Q881" s="19" t="n">
        <v>8001</v>
      </c>
      <c r="R881" s="18" t="n">
        <v>7681</v>
      </c>
      <c r="S881" s="20" t="n">
        <v>9185</v>
      </c>
      <c r="T881" s="6" t="n">
        <v>1</v>
      </c>
      <c r="U881" s="5" t="inlineStr">
        <is>
          <t>CDMO / 2023년~ (계약별 상이) / ~2029</t>
        </is>
      </c>
      <c r="V881" s="21">
        <f>HYPERLINK("https://dart.fss.or.kr/dsaf001/main.do?rcpNo=20260814003945", "공시열람")</f>
        <v/>
      </c>
    </row>
    <row r="882">
      <c r="A882" s="5" t="inlineStr">
        <is>
          <t>우진엔텍</t>
        </is>
      </c>
      <c r="B882" s="6" t="inlineStr">
        <is>
          <t>457550</t>
        </is>
      </c>
      <c r="C882" s="6" t="inlineStr">
        <is>
          <t>2026Q2</t>
        </is>
      </c>
      <c r="D882" s="6" t="inlineStr">
        <is>
          <t>20260814</t>
        </is>
      </c>
      <c r="E882" s="16" t="n">
        <v>167239</v>
      </c>
      <c r="F882" s="16" t="n">
        <v>146153</v>
      </c>
      <c r="G882" s="16" t="n">
        <v>21086</v>
      </c>
      <c r="H882" s="6" t="inlineStr">
        <is>
          <t>백만원</t>
        </is>
      </c>
      <c r="I882" s="17" t="n">
        <v>-17.8</v>
      </c>
      <c r="J882" s="18" t="n">
        <v>50044</v>
      </c>
      <c r="K882" s="19" t="n">
        <v>40484</v>
      </c>
      <c r="L882" s="18" t="n">
        <v>53494</v>
      </c>
      <c r="M882" s="19" t="n">
        <v>45661</v>
      </c>
      <c r="N882" s="18" t="n">
        <v>43724</v>
      </c>
      <c r="O882" s="19" t="n">
        <v>36259</v>
      </c>
      <c r="P882" s="18" t="n">
        <v>32608</v>
      </c>
      <c r="Q882" s="19" t="n">
        <v>26383</v>
      </c>
      <c r="R882" s="18" t="n">
        <v>25641</v>
      </c>
      <c r="S882" s="20" t="n">
        <v>21086</v>
      </c>
      <c r="T882" s="6" t="n">
        <v>9</v>
      </c>
      <c r="U882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2" s="21">
        <f>HYPERLINK("https://dart.fss.or.kr/dsaf001/main.do?rcpNo=20260814000513", "공시열람")</f>
        <v/>
      </c>
    </row>
    <row r="883">
      <c r="A883" s="5" t="inlineStr">
        <is>
          <t>나우로보틱스</t>
        </is>
      </c>
      <c r="B883" s="6" t="inlineStr">
        <is>
          <t>459510</t>
        </is>
      </c>
      <c r="C883" s="6" t="inlineStr">
        <is>
          <t>2025Q4</t>
        </is>
      </c>
      <c r="D883" s="6" t="inlineStr">
        <is>
          <t>20260323</t>
        </is>
      </c>
      <c r="E883" s="16" t="inlineStr"/>
      <c r="F883" s="16" t="inlineStr"/>
      <c r="G883" s="16" t="n">
        <v>723234</v>
      </c>
      <c r="H883" s="6" t="inlineStr">
        <is>
          <t>천원</t>
        </is>
      </c>
      <c r="I883" s="17" t="inlineStr"/>
      <c r="J883" s="18" t="inlineStr"/>
      <c r="K883" s="19" t="inlineStr"/>
      <c r="L883" s="18" t="inlineStr"/>
      <c r="M883" s="19" t="inlineStr"/>
      <c r="N883" s="18" t="inlineStr"/>
      <c r="O883" s="19" t="inlineStr"/>
      <c r="P883" s="18" t="inlineStr"/>
      <c r="Q883" s="19" t="n">
        <v>723234</v>
      </c>
      <c r="R883" s="18" t="inlineStr"/>
      <c r="S883" s="20" t="inlineStr"/>
      <c r="T883" s="6" t="n">
        <v>1</v>
      </c>
      <c r="U883" s="5" t="inlineStr">
        <is>
          <t>주문제작 방식 산업용로봇 / -</t>
        </is>
      </c>
      <c r="V883" s="21">
        <f>HYPERLINK("https://dart.fss.or.kr/dsaf001/main.do?rcpNo=20260323000990", "공시열람")</f>
        <v/>
      </c>
    </row>
    <row r="884">
      <c r="A884" s="5" t="inlineStr">
        <is>
          <t>아이빔테크놀로지</t>
        </is>
      </c>
      <c r="B884" s="6" t="inlineStr">
        <is>
          <t>460470</t>
        </is>
      </c>
      <c r="C884" s="6" t="inlineStr">
        <is>
          <t>2026Q2</t>
        </is>
      </c>
      <c r="D884" s="6" t="inlineStr">
        <is>
          <t>20260813</t>
        </is>
      </c>
      <c r="E884" s="16" t="n">
        <v>301837</v>
      </c>
      <c r="F884" s="16" t="inlineStr"/>
      <c r="G884" s="16" t="n">
        <v>301837</v>
      </c>
      <c r="H884" s="6" t="inlineStr">
        <is>
          <t>천원</t>
        </is>
      </c>
      <c r="I884" s="17" t="n">
        <v>-83</v>
      </c>
      <c r="J884" s="18" t="inlineStr"/>
      <c r="K884" s="19" t="n">
        <v>782352</v>
      </c>
      <c r="L884" s="18" t="n">
        <v>647060</v>
      </c>
      <c r="M884" s="19" t="n">
        <v>525603</v>
      </c>
      <c r="N884" s="18" t="n">
        <v>572245</v>
      </c>
      <c r="O884" s="19" t="n">
        <v>880989</v>
      </c>
      <c r="P884" s="18" t="n">
        <v>532362</v>
      </c>
      <c r="Q884" s="19" t="n">
        <v>711083</v>
      </c>
      <c r="R884" s="18" t="n">
        <v>1772405</v>
      </c>
      <c r="S884" s="20" t="n">
        <v>301837</v>
      </c>
      <c r="T884" s="6" t="n">
        <v>8</v>
      </c>
      <c r="U884" s="5" t="inlineStr">
        <is>
          <t>CRO서비스 / 2025-03-18 / 2026년 예정 | CRO서비스 / 2026-06-05 / 2026년 예정 | CRO서비스 / 2026-05-26 / 2026년 예정</t>
        </is>
      </c>
      <c r="V884" s="21">
        <f>HYPERLINK("https://dart.fss.or.kr/dsaf001/main.do?rcpNo=20260813000688", "공시열람")</f>
        <v/>
      </c>
    </row>
    <row r="885">
      <c r="A885" s="5" t="inlineStr">
        <is>
          <t>동국제강</t>
        </is>
      </c>
      <c r="B885" s="6" t="inlineStr">
        <is>
          <t>460860</t>
        </is>
      </c>
      <c r="C885" s="6" t="inlineStr">
        <is>
          <t>2026Q2</t>
        </is>
      </c>
      <c r="D885" s="6" t="inlineStr">
        <is>
          <t>20260814</t>
        </is>
      </c>
      <c r="E885" s="16" t="n">
        <v>699010</v>
      </c>
      <c r="F885" s="16" t="n">
        <v>87896</v>
      </c>
      <c r="G885" s="16" t="n">
        <v>611114</v>
      </c>
      <c r="H885" s="6" t="inlineStr">
        <is>
          <t>톤,백만원</t>
        </is>
      </c>
      <c r="I885" s="17" t="n">
        <v>-5.3</v>
      </c>
      <c r="J885" s="18" t="n">
        <v>86719</v>
      </c>
      <c r="K885" s="19" t="n">
        <v>239931</v>
      </c>
      <c r="L885" s="18" t="n">
        <v>198900</v>
      </c>
      <c r="M885" s="19" t="n">
        <v>140695</v>
      </c>
      <c r="N885" s="18" t="n">
        <v>109957</v>
      </c>
      <c r="O885" s="19" t="n">
        <v>58781</v>
      </c>
      <c r="P885" s="18" t="n">
        <v>19179</v>
      </c>
      <c r="Q885" s="19" t="n">
        <v>668827</v>
      </c>
      <c r="R885" s="18" t="n">
        <v>645314</v>
      </c>
      <c r="S885" s="20" t="n">
        <v>611114</v>
      </c>
      <c r="T885" s="6" t="n">
        <v>1</v>
      </c>
      <c r="U885" s="5" t="inlineStr">
        <is>
          <t>이형철근 / 조달청 / 2025.10.29</t>
        </is>
      </c>
      <c r="V885" s="21">
        <f>HYPERLINK("https://dart.fss.or.kr/dsaf001/main.do?rcpNo=20260814001702", "공시열람")</f>
        <v/>
      </c>
    </row>
    <row r="886">
      <c r="A886" s="5" t="inlineStr">
        <is>
          <t>현대힘스</t>
        </is>
      </c>
      <c r="B886" s="6" t="inlineStr">
        <is>
          <t>460930</t>
        </is>
      </c>
      <c r="C886" s="6" t="inlineStr">
        <is>
          <t>2026Q2</t>
        </is>
      </c>
      <c r="D886" s="6" t="inlineStr">
        <is>
          <t>20260813</t>
        </is>
      </c>
      <c r="E886" s="16" t="n">
        <v>202343</v>
      </c>
      <c r="F886" s="16" t="n">
        <v>152481</v>
      </c>
      <c r="G886" s="16" t="n">
        <v>49862</v>
      </c>
      <c r="H886" s="6" t="inlineStr">
        <is>
          <t>백만원</t>
        </is>
      </c>
      <c r="I886" s="17" t="n">
        <v>-13.5</v>
      </c>
      <c r="J886" s="18" t="n">
        <v>38283</v>
      </c>
      <c r="K886" s="19" t="n">
        <v>36280</v>
      </c>
      <c r="L886" s="18" t="n">
        <v>34724</v>
      </c>
      <c r="M886" s="19" t="n">
        <v>35684</v>
      </c>
      <c r="N886" s="18" t="n">
        <v>41194</v>
      </c>
      <c r="O886" s="19" t="n">
        <v>60520</v>
      </c>
      <c r="P886" s="18" t="n">
        <v>54815</v>
      </c>
      <c r="Q886" s="19" t="n">
        <v>65375</v>
      </c>
      <c r="R886" s="18" t="n">
        <v>57628</v>
      </c>
      <c r="S886" s="20" t="n">
        <v>49862</v>
      </c>
      <c r="T886" s="6" t="n">
        <v>4</v>
      </c>
      <c r="U886" s="5" t="inlineStr">
        <is>
          <t>블록 / '26.06.30까지 / - | 항만크레인 / '26.06.30까지 / - | 배관/철의장 / '26.06.30까지 / -</t>
        </is>
      </c>
      <c r="V886" s="21">
        <f>HYPERLINK("https://dart.fss.or.kr/dsaf001/main.do?rcpNo=20260813000095", "공시열람")</f>
        <v/>
      </c>
    </row>
    <row r="887">
      <c r="A887" s="5" t="inlineStr">
        <is>
          <t>이노스페이스</t>
        </is>
      </c>
      <c r="B887" s="6" t="inlineStr">
        <is>
          <t>462350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11750</v>
      </c>
      <c r="F887" s="16" t="n">
        <v>5827</v>
      </c>
      <c r="G887" s="16" t="n">
        <v>5923</v>
      </c>
      <c r="H887" s="6" t="inlineStr">
        <is>
          <t>백만원</t>
        </is>
      </c>
      <c r="I887" s="17" t="n">
        <v>-27.3</v>
      </c>
      <c r="J887" s="18" t="n">
        <v>12608</v>
      </c>
      <c r="K887" s="19" t="n">
        <v>14149</v>
      </c>
      <c r="L887" s="18" t="n">
        <v>14932</v>
      </c>
      <c r="M887" s="19" t="n">
        <v>16204</v>
      </c>
      <c r="N887" s="18" t="n">
        <v>14389</v>
      </c>
      <c r="O887" s="19" t="n">
        <v>14432</v>
      </c>
      <c r="P887" s="18" t="n">
        <v>7374</v>
      </c>
      <c r="Q887" s="19" t="n">
        <v>9065</v>
      </c>
      <c r="R887" s="18" t="n">
        <v>8148</v>
      </c>
      <c r="S887" s="20" t="n">
        <v>5923</v>
      </c>
      <c r="T887" s="6" t="n">
        <v>2</v>
      </c>
      <c r="U887" s="5" t="inlineStr">
        <is>
          <t>모의 발사체 공급계약 / 2025년 / 2025년 ~  | 재사용 기술 시연체 유공압 엄빌리컬 위탁 개발 계약 /</t>
        </is>
      </c>
      <c r="V887" s="21">
        <f>HYPERLINK("https://dart.fss.or.kr/dsaf001/main.do?rcpNo=20260814003448", "공시열람")</f>
        <v/>
      </c>
    </row>
    <row r="888">
      <c r="A888" s="5" t="inlineStr">
        <is>
          <t>라메디텍</t>
        </is>
      </c>
      <c r="B888" s="6" t="inlineStr">
        <is>
          <t>462510</t>
        </is>
      </c>
      <c r="C888" s="6" t="inlineStr">
        <is>
          <t>2025Q1</t>
        </is>
      </c>
      <c r="D888" s="6" t="inlineStr">
        <is>
          <t>20250514</t>
        </is>
      </c>
      <c r="E888" s="16" t="n">
        <v>1493379</v>
      </c>
      <c r="F888" s="16" t="n">
        <v>1391379</v>
      </c>
      <c r="G888" s="16" t="n">
        <v>102000</v>
      </c>
      <c r="H888" s="6" t="inlineStr">
        <is>
          <t>천원</t>
        </is>
      </c>
      <c r="I888" s="17" t="n">
        <v>51.7</v>
      </c>
      <c r="J888" s="18" t="inlineStr"/>
      <c r="K888" s="19" t="n">
        <v>749000</v>
      </c>
      <c r="L888" s="18" t="n">
        <v>433000</v>
      </c>
      <c r="M888" s="19" t="n">
        <v>67244</v>
      </c>
      <c r="N888" s="18" t="n">
        <v>102000</v>
      </c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레이저 미용기기 / 2025-01-02 / 2025-0</t>
        </is>
      </c>
      <c r="V888" s="21">
        <f>HYPERLINK("https://dart.fss.or.kr/dsaf001/main.do?rcpNo=20250514000373", "공시열람")</f>
        <v/>
      </c>
    </row>
    <row r="889">
      <c r="A889" s="5" t="inlineStr">
        <is>
          <t>조선내화</t>
        </is>
      </c>
      <c r="B889" s="6" t="inlineStr">
        <is>
          <t>462520</t>
        </is>
      </c>
      <c r="C889" s="6" t="inlineStr">
        <is>
          <t>2023Q4</t>
        </is>
      </c>
      <c r="D889" s="6" t="inlineStr">
        <is>
          <t>20240315</t>
        </is>
      </c>
      <c r="E889" s="16" t="inlineStr"/>
      <c r="F889" s="16" t="inlineStr"/>
      <c r="G889" s="16" t="n">
        <v>49000000</v>
      </c>
      <c r="H889" s="6" t="inlineStr">
        <is>
          <t>천원</t>
        </is>
      </c>
      <c r="I889" s="17" t="inlineStr"/>
      <c r="J889" s="18" t="inlineStr"/>
      <c r="K889" s="19" t="inlineStr"/>
      <c r="L889" s="18" t="inlineStr"/>
      <c r="M889" s="19" t="inlineStr"/>
      <c r="N889" s="18" t="inlineStr"/>
      <c r="O889" s="19" t="inlineStr"/>
      <c r="P889" s="18" t="inlineStr"/>
      <c r="Q889" s="19" t="inlineStr"/>
      <c r="R889" s="18" t="inlineStr"/>
      <c r="S889" s="20" t="inlineStr"/>
      <c r="T889" s="6" t="n">
        <v>1</v>
      </c>
      <c r="U889" s="5" t="inlineStr">
        <is>
          <t>국내플랜트공사 / -</t>
        </is>
      </c>
      <c r="V889" s="21">
        <f>HYPERLINK("https://dart.fss.or.kr/dsaf001/main.do?rcpNo=20240315000658", "공시열람")</f>
        <v/>
      </c>
    </row>
    <row r="890">
      <c r="A890" s="5" t="inlineStr">
        <is>
          <t>에스오에스랩</t>
        </is>
      </c>
      <c r="B890" s="6" t="inlineStr">
        <is>
          <t>464080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2240</v>
      </c>
      <c r="F890" s="16" t="inlineStr"/>
      <c r="G890" s="16" t="n">
        <v>1808</v>
      </c>
      <c r="H890" s="6" t="inlineStr">
        <is>
          <t>백만원</t>
        </is>
      </c>
      <c r="I890" s="17" t="n">
        <v>203.4</v>
      </c>
      <c r="J890" s="18" t="inlineStr"/>
      <c r="K890" s="19" t="n">
        <v>2986</v>
      </c>
      <c r="L890" s="18" t="n">
        <v>2247</v>
      </c>
      <c r="M890" s="19" t="n">
        <v>2038</v>
      </c>
      <c r="N890" s="18" t="n">
        <v>2674</v>
      </c>
      <c r="O890" s="19" t="n">
        <v>1503</v>
      </c>
      <c r="P890" s="18" t="n">
        <v>1503</v>
      </c>
      <c r="Q890" s="19" t="n">
        <v>370</v>
      </c>
      <c r="R890" s="18" t="n">
        <v>596</v>
      </c>
      <c r="S890" s="20" t="n">
        <v>1808</v>
      </c>
      <c r="T890" s="6" t="n">
        <v>7</v>
      </c>
      <c r="U890" s="5" t="inlineStr">
        <is>
          <t>인프라 / 스마트시티 / E사 / ML / 2026-0 | 인프라 / 기타 / E사 / 2023-08-16 | 모빌리티 / 로보틱스 / C사 / GL / 2026-0</t>
        </is>
      </c>
      <c r="V890" s="21">
        <f>HYPERLINK("https://dart.fss.or.kr/dsaf001/main.do?rcpNo=20260814003376", "공시열람")</f>
        <v/>
      </c>
    </row>
    <row r="891">
      <c r="A891" s="5" t="inlineStr">
        <is>
          <t>닷밀</t>
        </is>
      </c>
      <c r="B891" s="6" t="inlineStr">
        <is>
          <t>464580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27443</v>
      </c>
      <c r="F891" s="16" t="n">
        <v>24763</v>
      </c>
      <c r="G891" s="16" t="n">
        <v>2680</v>
      </c>
      <c r="H891" s="6" t="inlineStr">
        <is>
          <t>백만원</t>
        </is>
      </c>
      <c r="I891" s="17" t="n">
        <v>-59.8</v>
      </c>
      <c r="J891" s="18" t="inlineStr"/>
      <c r="K891" s="19" t="inlineStr"/>
      <c r="L891" s="18" t="inlineStr"/>
      <c r="M891" s="19" t="n">
        <v>7371</v>
      </c>
      <c r="N891" s="18" t="n">
        <v>8263</v>
      </c>
      <c r="O891" s="19" t="n">
        <v>9922</v>
      </c>
      <c r="P891" s="18" t="n">
        <v>1378</v>
      </c>
      <c r="Q891" s="19" t="n">
        <v>9012</v>
      </c>
      <c r="R891" s="18" t="n">
        <v>6669</v>
      </c>
      <c r="S891" s="20" t="n">
        <v>2680</v>
      </c>
      <c r="T891" s="6" t="n">
        <v>7</v>
      </c>
      <c r="U891" s="5" t="inlineStr">
        <is>
          <t>프로젝트 4 / 2025.06.20 / 2027.06. | 프로젝트 5 / 2025.12.24 / 2026.11. | 프로젝트 6 / 2025.12.29 / 2026.12.</t>
        </is>
      </c>
      <c r="V891" s="21">
        <f>HYPERLINK("https://dart.fss.or.kr/dsaf001/main.do?rcpNo=20260814000901", "공시열람")</f>
        <v/>
      </c>
    </row>
    <row r="892">
      <c r="A892" s="5" t="inlineStr">
        <is>
          <t>인스피언</t>
        </is>
      </c>
      <c r="B892" s="6" t="inlineStr">
        <is>
          <t>465480</t>
        </is>
      </c>
      <c r="C892" s="6" t="inlineStr">
        <is>
          <t>2026Q2</t>
        </is>
      </c>
      <c r="D892" s="6" t="inlineStr">
        <is>
          <t>20260813</t>
        </is>
      </c>
      <c r="E892" s="16" t="n">
        <v>17672576</v>
      </c>
      <c r="F892" s="16" t="inlineStr"/>
      <c r="G892" s="16" t="n">
        <v>8634035</v>
      </c>
      <c r="H892" s="6" t="inlineStr">
        <is>
          <t>건,천원</t>
        </is>
      </c>
      <c r="I892" s="17" t="n">
        <v>-4.5</v>
      </c>
      <c r="J892" s="18" t="inlineStr"/>
      <c r="K892" s="19" t="inlineStr"/>
      <c r="L892" s="18" t="inlineStr"/>
      <c r="M892" s="19" t="n">
        <v>8523195</v>
      </c>
      <c r="N892" s="18" t="n">
        <v>11527551</v>
      </c>
      <c r="O892" s="19" t="n">
        <v>10814854</v>
      </c>
      <c r="P892" s="18" t="n">
        <v>10676233</v>
      </c>
      <c r="Q892" s="19" t="n">
        <v>7686628</v>
      </c>
      <c r="R892" s="18" t="n">
        <v>9040396</v>
      </c>
      <c r="S892" s="20" t="n">
        <v>8634035</v>
      </c>
      <c r="T892" s="6" t="n">
        <v>7</v>
      </c>
      <c r="U892" s="5" t="inlineStr">
        <is>
          <t>솔루션 사업 / SW/HW | 솔루션 사업 / 유지보수 | 컨설팅 사업 / SM</t>
        </is>
      </c>
      <c r="V892" s="21">
        <f>HYPERLINK("https://dart.fss.or.kr/dsaf001/main.do?rcpNo=20260813001070", "공시열람")</f>
        <v/>
      </c>
    </row>
    <row r="893">
      <c r="A893" s="5" t="inlineStr">
        <is>
          <t>이노테크</t>
        </is>
      </c>
      <c r="B893" s="6" t="inlineStr">
        <is>
          <t>469610</t>
        </is>
      </c>
      <c r="C893" s="6" t="inlineStr">
        <is>
          <t>2026Q2</t>
        </is>
      </c>
      <c r="D893" s="6" t="inlineStr">
        <is>
          <t>20260811</t>
        </is>
      </c>
      <c r="E893" s="16" t="n">
        <v>3841</v>
      </c>
      <c r="F893" s="16" t="n">
        <v>602</v>
      </c>
      <c r="G893" s="16" t="n">
        <v>3239</v>
      </c>
      <c r="H893" s="6" t="inlineStr">
        <is>
          <t>백만원</t>
        </is>
      </c>
      <c r="I893" s="17" t="n">
        <v>-14.2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n">
        <v>3355830.98</v>
      </c>
      <c r="Q893" s="19" t="n">
        <v>3352366663</v>
      </c>
      <c r="R893" s="18" t="n">
        <v>3774</v>
      </c>
      <c r="S893" s="20" t="n">
        <v>3239</v>
      </c>
      <c r="T893" s="6" t="n">
        <v>3</v>
      </c>
      <c r="U893" s="5" t="inlineStr">
        <is>
          <t>디스플레이 | 반도체 | 기타</t>
        </is>
      </c>
      <c r="V893" s="21">
        <f>HYPERLINK("https://dart.fss.or.kr/dsaf001/main.do?rcpNo=20260811000295", "공시열람")</f>
        <v/>
      </c>
    </row>
    <row r="894">
      <c r="A894" s="5" t="inlineStr">
        <is>
          <t>아이비젼웍스</t>
        </is>
      </c>
      <c r="B894" s="6" t="inlineStr">
        <is>
          <t>469750</t>
        </is>
      </c>
      <c r="C894" s="6" t="inlineStr">
        <is>
          <t>2026Q2</t>
        </is>
      </c>
      <c r="D894" s="6" t="inlineStr">
        <is>
          <t>20260929</t>
        </is>
      </c>
      <c r="E894" s="16" t="n">
        <v>11579</v>
      </c>
      <c r="F894" s="16" t="n">
        <v>1742</v>
      </c>
      <c r="G894" s="16" t="n">
        <v>9508</v>
      </c>
      <c r="H894" s="6" t="inlineStr">
        <is>
          <t>백만원</t>
        </is>
      </c>
      <c r="I894" s="17" t="n">
        <v>45.4</v>
      </c>
      <c r="J894" s="18" t="inlineStr"/>
      <c r="K894" s="19" t="inlineStr"/>
      <c r="L894" s="18" t="n">
        <v>9175</v>
      </c>
      <c r="M894" s="19" t="n">
        <v>10423</v>
      </c>
      <c r="N894" s="18" t="n">
        <v>10744</v>
      </c>
      <c r="O894" s="19" t="n">
        <v>16645</v>
      </c>
      <c r="P894" s="18" t="n">
        <v>8244</v>
      </c>
      <c r="Q894" s="19" t="n">
        <v>7077</v>
      </c>
      <c r="R894" s="18" t="n">
        <v>6538</v>
      </c>
      <c r="S894" s="20" t="n">
        <v>9508</v>
      </c>
      <c r="T894" s="6" t="n">
        <v>1</v>
      </c>
      <c r="U894" s="5" t="inlineStr">
        <is>
          <t>이차전지검사시스템</t>
        </is>
      </c>
      <c r="V894" s="21">
        <f>HYPERLINK("https://dart.fss.or.kr/dsaf001/main.do?rcpNo=20260929000426", "공시열람")</f>
        <v/>
      </c>
    </row>
    <row r="895">
      <c r="A895" s="5" t="inlineStr">
        <is>
          <t>루미르</t>
        </is>
      </c>
      <c r="B895" s="6" t="inlineStr">
        <is>
          <t>474170</t>
        </is>
      </c>
      <c r="C895" s="6" t="inlineStr">
        <is>
          <t>2026Q2</t>
        </is>
      </c>
      <c r="D895" s="6" t="inlineStr">
        <is>
          <t>20260814</t>
        </is>
      </c>
      <c r="E895" s="16" t="n">
        <v>30992654</v>
      </c>
      <c r="F895" s="16" t="n">
        <v>26537861</v>
      </c>
      <c r="G895" s="16" t="n">
        <v>4454793</v>
      </c>
      <c r="H895" s="6" t="inlineStr">
        <is>
          <t>천원</t>
        </is>
      </c>
      <c r="I895" s="17" t="n">
        <v>-37.1</v>
      </c>
      <c r="J895" s="18" t="inlineStr"/>
      <c r="K895" s="19" t="inlineStr"/>
      <c r="L895" s="18" t="inlineStr"/>
      <c r="M895" s="19" t="n">
        <v>13201090</v>
      </c>
      <c r="N895" s="18" t="n">
        <v>11992186</v>
      </c>
      <c r="O895" s="19" t="n">
        <v>11103409</v>
      </c>
      <c r="P895" s="18" t="n">
        <v>8775404</v>
      </c>
      <c r="Q895" s="19" t="n">
        <v>7471105</v>
      </c>
      <c r="R895" s="18" t="n">
        <v>7083658</v>
      </c>
      <c r="S895" s="20" t="n">
        <v>4454793</v>
      </c>
      <c r="T895" s="6" t="n">
        <v>1</v>
      </c>
      <c r="U895" s="5" t="inlineStr">
        <is>
          <t>위성제조 분야</t>
        </is>
      </c>
      <c r="V895" s="21">
        <f>HYPERLINK("https://dart.fss.or.kr/dsaf001/main.do?rcpNo=20260814002463", "공시열람")</f>
        <v/>
      </c>
    </row>
    <row r="896">
      <c r="A896" s="5" t="inlineStr">
        <is>
          <t>SK이터닉스</t>
        </is>
      </c>
      <c r="B896" s="6" t="inlineStr">
        <is>
          <t>475150</t>
        </is>
      </c>
      <c r="C896" s="6" t="inlineStr">
        <is>
          <t>2026Q2</t>
        </is>
      </c>
      <c r="D896" s="6" t="inlineStr">
        <is>
          <t>20260813</t>
        </is>
      </c>
      <c r="E896" s="16" t="n">
        <v>614961</v>
      </c>
      <c r="F896" s="16" t="n">
        <v>385443</v>
      </c>
      <c r="G896" s="16" t="n">
        <v>229518</v>
      </c>
      <c r="H896" s="6" t="inlineStr">
        <is>
          <t>백만원</t>
        </is>
      </c>
      <c r="I896" s="17" t="n">
        <v>-49.6</v>
      </c>
      <c r="J896" s="18" t="n">
        <v>506429</v>
      </c>
      <c r="K896" s="19" t="n">
        <v>504048</v>
      </c>
      <c r="L896" s="18" t="n">
        <v>727912</v>
      </c>
      <c r="M896" s="19" t="n">
        <v>598423</v>
      </c>
      <c r="N896" s="18" t="n">
        <v>587955</v>
      </c>
      <c r="O896" s="19" t="n">
        <v>561909</v>
      </c>
      <c r="P896" s="18" t="n">
        <v>638702</v>
      </c>
      <c r="Q896" s="19" t="n">
        <v>457876</v>
      </c>
      <c r="R896" s="18" t="n">
        <v>455070</v>
      </c>
      <c r="S896" s="20" t="n">
        <v>229518</v>
      </c>
      <c r="T896" s="6" t="n">
        <v>4</v>
      </c>
      <c r="U896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6" s="21">
        <f>HYPERLINK("https://dart.fss.or.kr/dsaf001/main.do?rcpNo=20260813000561", "공시열람")</f>
        <v/>
      </c>
    </row>
    <row r="897">
      <c r="A897" s="5" t="inlineStr">
        <is>
          <t>엔알비</t>
        </is>
      </c>
      <c r="B897" s="6" t="inlineStr">
        <is>
          <t>475230</t>
        </is>
      </c>
      <c r="C897" s="6" t="inlineStr">
        <is>
          <t>2026Q2</t>
        </is>
      </c>
      <c r="D897" s="6" t="inlineStr">
        <is>
          <t>20260814</t>
        </is>
      </c>
      <c r="E897" s="16" t="n">
        <v>194985</v>
      </c>
      <c r="F897" s="16" t="n">
        <v>53989</v>
      </c>
      <c r="G897" s="16" t="n">
        <v>140996</v>
      </c>
      <c r="H897" s="6" t="inlineStr">
        <is>
          <t>백만원,%</t>
        </is>
      </c>
      <c r="I897" s="17" t="n">
        <v>-2.8</v>
      </c>
      <c r="J897" s="18" t="inlineStr"/>
      <c r="K897" s="19" t="inlineStr"/>
      <c r="L897" s="18" t="inlineStr"/>
      <c r="M897" s="19" t="inlineStr"/>
      <c r="N897" s="18" t="inlineStr"/>
      <c r="O897" s="19" t="n">
        <v>152323</v>
      </c>
      <c r="P897" s="18" t="n">
        <v>160603</v>
      </c>
      <c r="Q897" s="19" t="inlineStr"/>
      <c r="R897" s="18" t="n">
        <v>145000</v>
      </c>
      <c r="S897" s="20" t="n">
        <v>140996</v>
      </c>
      <c r="T897" s="6" t="n">
        <v>2</v>
      </c>
      <c r="U897" s="5" t="inlineStr">
        <is>
          <t>주거시설 | 교육시설</t>
        </is>
      </c>
      <c r="V897" s="21">
        <f>HYPERLINK("https://dart.fss.or.kr/dsaf001/main.do?rcpNo=20260814001087", "공시열람")</f>
        <v/>
      </c>
    </row>
    <row r="898">
      <c r="A898" s="5" t="inlineStr">
        <is>
          <t>씨메스로보틱스</t>
        </is>
      </c>
      <c r="B898" s="6" t="inlineStr">
        <is>
          <t>475400</t>
        </is>
      </c>
      <c r="C898" s="6" t="inlineStr">
        <is>
          <t>2026Q2</t>
        </is>
      </c>
      <c r="D898" s="6" t="inlineStr">
        <is>
          <t>20260813</t>
        </is>
      </c>
      <c r="E898" s="16" t="inlineStr"/>
      <c r="F898" s="16" t="inlineStr"/>
      <c r="G898" s="16" t="n">
        <v>22552014</v>
      </c>
      <c r="H898" s="6" t="inlineStr">
        <is>
          <t>천원</t>
        </is>
      </c>
      <c r="I898" s="17" t="n">
        <v>143.9</v>
      </c>
      <c r="J898" s="18" t="inlineStr"/>
      <c r="K898" s="19" t="inlineStr"/>
      <c r="L898" s="18" t="inlineStr"/>
      <c r="M898" s="19" t="n">
        <v>7021</v>
      </c>
      <c r="N898" s="18" t="n">
        <v>7127971</v>
      </c>
      <c r="O898" s="19" t="n">
        <v>7559603</v>
      </c>
      <c r="P898" s="18" t="n">
        <v>10912070</v>
      </c>
      <c r="Q898" s="19" t="n">
        <v>9796130</v>
      </c>
      <c r="R898" s="18" t="n">
        <v>9245848</v>
      </c>
      <c r="S898" s="20" t="n">
        <v>22552014</v>
      </c>
      <c r="T898" s="6" t="n">
        <v>0</v>
      </c>
      <c r="U898" s="5" t="inlineStr"/>
      <c r="V898" s="21">
        <f>HYPERLINK("https://dart.fss.or.kr/dsaf001/main.do?rcpNo=20260813000340", "공시열람")</f>
        <v/>
      </c>
    </row>
    <row r="899">
      <c r="A899" s="5" t="inlineStr">
        <is>
          <t>키스트론</t>
        </is>
      </c>
      <c r="B899" s="6" t="inlineStr">
        <is>
          <t>475430</t>
        </is>
      </c>
      <c r="C899" s="6" t="inlineStr">
        <is>
          <t>2025Q3</t>
        </is>
      </c>
      <c r="D899" s="6" t="inlineStr">
        <is>
          <t>20251114</t>
        </is>
      </c>
      <c r="E899" s="16" t="n">
        <v>61298</v>
      </c>
      <c r="F899" s="16" t="n">
        <v>47915</v>
      </c>
      <c r="G899" s="16" t="n">
        <v>13383</v>
      </c>
      <c r="H899" s="6" t="inlineStr">
        <is>
          <t>톤,백만원</t>
        </is>
      </c>
      <c r="I899" s="17" t="n">
        <v>94.7</v>
      </c>
      <c r="J899" s="18" t="inlineStr"/>
      <c r="K899" s="19" t="inlineStr"/>
      <c r="L899" s="18" t="inlineStr"/>
      <c r="M899" s="19" t="inlineStr"/>
      <c r="N899" s="18" t="inlineStr"/>
      <c r="O899" s="19" t="n">
        <v>6875</v>
      </c>
      <c r="P899" s="18" t="n">
        <v>13383</v>
      </c>
      <c r="Q899" s="19" t="inlineStr"/>
      <c r="R899" s="18" t="inlineStr"/>
      <c r="S899" s="20" t="inlineStr"/>
      <c r="T899" s="6" t="n">
        <v>2</v>
      </c>
      <c r="U899" s="5" t="inlineStr">
        <is>
          <t>전자부품용 | 케이블용</t>
        </is>
      </c>
      <c r="V899" s="21">
        <f>HYPERLINK("https://dart.fss.or.kr/dsaf001/main.do?rcpNo=20251114001576", "공시열람")</f>
        <v/>
      </c>
    </row>
    <row r="900">
      <c r="A900" s="5" t="inlineStr">
        <is>
          <t>에이럭스</t>
        </is>
      </c>
      <c r="B900" s="6" t="inlineStr">
        <is>
          <t>475580</t>
        </is>
      </c>
      <c r="C900" s="6" t="inlineStr">
        <is>
          <t>2026Q2</t>
        </is>
      </c>
      <c r="D900" s="6" t="inlineStr">
        <is>
          <t>20260814</t>
        </is>
      </c>
      <c r="E900" s="16" t="n">
        <v>2593962</v>
      </c>
      <c r="F900" s="16" t="n">
        <v>381146640</v>
      </c>
      <c r="G900" s="16" t="n">
        <v>2212815</v>
      </c>
      <c r="H900" s="6" t="inlineStr">
        <is>
          <t>건,천원</t>
        </is>
      </c>
      <c r="I900" s="17" t="n">
        <v>-14.7</v>
      </c>
      <c r="J900" s="18" t="inlineStr"/>
      <c r="K900" s="19" t="inlineStr"/>
      <c r="L900" s="18" t="inlineStr"/>
      <c r="M900" s="19" t="n">
        <v>2512817</v>
      </c>
      <c r="N900" s="18" t="n">
        <v>3964234</v>
      </c>
      <c r="O900" s="19" t="n">
        <v>2358111</v>
      </c>
      <c r="P900" s="18" t="n">
        <v>1917027</v>
      </c>
      <c r="Q900" s="19" t="n">
        <v>2343761</v>
      </c>
      <c r="R900" s="18" t="n">
        <v>2593962</v>
      </c>
      <c r="S900" s="20" t="n">
        <v>2212815</v>
      </c>
      <c r="T900" s="6" t="n">
        <v>6</v>
      </c>
      <c r="U900" s="5" t="inlineStr">
        <is>
          <t>로보링크주식회사 / 드론 / 2026-08-07 / 2 | 로보링크주식회사 / 드론 / 2026-01-07 / 2 | 로보링크주식회사 / 드론 / 2026-07-13 / 2</t>
        </is>
      </c>
      <c r="V900" s="21">
        <f>HYPERLINK("https://dart.fss.or.kr/dsaf001/main.do?rcpNo=20260814002568", "공시열람")</f>
        <v/>
      </c>
    </row>
    <row r="901">
      <c r="A901" s="5" t="inlineStr">
        <is>
          <t>토모큐브</t>
        </is>
      </c>
      <c r="B901" s="6" t="inlineStr">
        <is>
          <t>475960</t>
        </is>
      </c>
      <c r="C901" s="6" t="inlineStr">
        <is>
          <t>2026Q2</t>
        </is>
      </c>
      <c r="D901" s="6" t="inlineStr">
        <is>
          <t>20260814</t>
        </is>
      </c>
      <c r="E901" s="16" t="n">
        <v>4879</v>
      </c>
      <c r="F901" s="16" t="inlineStr"/>
      <c r="G901" s="16" t="n">
        <v>2006</v>
      </c>
      <c r="H901" s="6" t="inlineStr">
        <is>
          <t>백만원</t>
        </is>
      </c>
      <c r="I901" s="17" t="n">
        <v>-43.6</v>
      </c>
      <c r="J901" s="18" t="inlineStr"/>
      <c r="K901" s="19" t="inlineStr"/>
      <c r="L901" s="18" t="inlineStr"/>
      <c r="M901" s="19" t="inlineStr"/>
      <c r="N901" s="18" t="inlineStr"/>
      <c r="O901" s="19" t="n">
        <v>1731</v>
      </c>
      <c r="P901" s="18" t="n">
        <v>2535</v>
      </c>
      <c r="Q901" s="19" t="n">
        <v>1422</v>
      </c>
      <c r="R901" s="18" t="n">
        <v>3555</v>
      </c>
      <c r="S901" s="20" t="n">
        <v>2006</v>
      </c>
      <c r="T901" s="6" t="n">
        <v>1</v>
      </c>
      <c r="U901" s="5" t="inlineStr">
        <is>
          <t>HT 제품군 등</t>
        </is>
      </c>
      <c r="V901" s="21">
        <f>HYPERLINK("https://dart.fss.or.kr/dsaf001/main.do?rcpNo=20260814001367", "공시열람")</f>
        <v/>
      </c>
    </row>
    <row r="902">
      <c r="A902" s="5" t="inlineStr">
        <is>
          <t>오가노이드사이언스</t>
        </is>
      </c>
      <c r="B902" s="6" t="inlineStr">
        <is>
          <t>476040</t>
        </is>
      </c>
      <c r="C902" s="6" t="inlineStr">
        <is>
          <t>2026Q2</t>
        </is>
      </c>
      <c r="D902" s="6" t="inlineStr">
        <is>
          <t>20260814</t>
        </is>
      </c>
      <c r="E902" s="16" t="n">
        <v>422525882</v>
      </c>
      <c r="F902" s="16" t="n">
        <v>162313417</v>
      </c>
      <c r="G902" s="16" t="n">
        <v>260212465</v>
      </c>
      <c r="H902" s="6" t="inlineStr">
        <is>
          <t>원</t>
        </is>
      </c>
      <c r="I902" s="17" t="n">
        <v>66.59999999999999</v>
      </c>
      <c r="J902" s="18" t="inlineStr"/>
      <c r="K902" s="19" t="inlineStr"/>
      <c r="L902" s="18" t="inlineStr"/>
      <c r="M902" s="19" t="inlineStr"/>
      <c r="N902" s="18" t="inlineStr"/>
      <c r="O902" s="19" t="n">
        <v>620345026</v>
      </c>
      <c r="P902" s="18" t="n">
        <v>279593635</v>
      </c>
      <c r="Q902" s="19" t="n">
        <v>88671815</v>
      </c>
      <c r="R902" s="18" t="n">
        <v>156184575</v>
      </c>
      <c r="S902" s="20" t="n">
        <v>260212465</v>
      </c>
      <c r="T902" s="6" t="n">
        <v>10</v>
      </c>
      <c r="U902" s="5" t="inlineStr">
        <is>
          <t>약물평가 / 2026-02-01 / 2028-02-01 | 약물평가 / 2026-05-05 / 2026-12-31 | 약물평가 / 2026-05-01 / 2027-02-28</t>
        </is>
      </c>
      <c r="V902" s="21">
        <f>HYPERLINK("https://dart.fss.or.kr/dsaf001/main.do?rcpNo=20260814002513", "공시열람")</f>
        <v/>
      </c>
    </row>
    <row r="903">
      <c r="A903" s="5" t="inlineStr">
        <is>
          <t>M83</t>
        </is>
      </c>
      <c r="B903" s="6" t="inlineStr">
        <is>
          <t>476080</t>
        </is>
      </c>
      <c r="C903" s="6" t="inlineStr">
        <is>
          <t>2026Q2</t>
        </is>
      </c>
      <c r="D903" s="6" t="inlineStr">
        <is>
          <t>20260813</t>
        </is>
      </c>
      <c r="E903" s="16" t="n">
        <v>21588</v>
      </c>
      <c r="F903" s="16" t="n">
        <v>8873</v>
      </c>
      <c r="G903" s="16" t="n">
        <v>12715</v>
      </c>
      <c r="H903" s="6" t="inlineStr">
        <is>
          <t>백만원</t>
        </is>
      </c>
      <c r="I903" s="17" t="n">
        <v>11.6</v>
      </c>
      <c r="J903" s="18" t="inlineStr"/>
      <c r="K903" s="19" t="inlineStr"/>
      <c r="L903" s="18" t="n">
        <v>6546</v>
      </c>
      <c r="M903" s="19" t="n">
        <v>3246</v>
      </c>
      <c r="N903" s="18" t="n">
        <v>1234</v>
      </c>
      <c r="O903" s="19" t="n">
        <v>4987</v>
      </c>
      <c r="P903" s="18" t="n">
        <v>4013</v>
      </c>
      <c r="Q903" s="19" t="n">
        <v>3821</v>
      </c>
      <c r="R903" s="18" t="n">
        <v>11390</v>
      </c>
      <c r="S903" s="20" t="n">
        <v>12715</v>
      </c>
      <c r="T903" s="6" t="n">
        <v>3</v>
      </c>
      <c r="U903" s="5" t="inlineStr">
        <is>
          <t>VFX 용역(주3) / 2026년 03월 26일. /  | VFX 용역 / 2026년 06월 29일 / 최종 납품 | J(가제) VFX 용역(주4) / 2025년 06월 0</t>
        </is>
      </c>
      <c r="V903" s="21">
        <f>HYPERLINK("https://dart.fss.or.kr/dsaf001/main.do?rcpNo=20260813000320", "공시열람")</f>
        <v/>
      </c>
    </row>
    <row r="904">
      <c r="A904" s="5" t="inlineStr">
        <is>
          <t>마키나락스</t>
        </is>
      </c>
      <c r="B904" s="6" t="inlineStr">
        <is>
          <t>477850</t>
        </is>
      </c>
      <c r="C904" s="6" t="inlineStr">
        <is>
          <t>2026Q2</t>
        </is>
      </c>
      <c r="D904" s="6" t="inlineStr">
        <is>
          <t>20260814</t>
        </is>
      </c>
      <c r="E904" s="16" t="n">
        <v>23687</v>
      </c>
      <c r="F904" s="16" t="n">
        <v>8884</v>
      </c>
      <c r="G904" s="16" t="n">
        <v>14777</v>
      </c>
      <c r="H904" s="6" t="inlineStr">
        <is>
          <t>백만원</t>
        </is>
      </c>
      <c r="I904" s="17" t="n">
        <v>-100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inlineStr"/>
      <c r="R904" s="18" t="n">
        <v>15191903640</v>
      </c>
      <c r="S904" s="20" t="n">
        <v>14777</v>
      </c>
      <c r="T904" s="6" t="n">
        <v>3</v>
      </c>
      <c r="U904" s="5" t="inlineStr">
        <is>
          <t>AI 연구개발 / 특화 AI 솔루션 연구개발 | AI 운영체제 / AI 솔루션 공급 | AI 운영체제 / AI OS (Runway)</t>
        </is>
      </c>
      <c r="V904" s="21">
        <f>HYPERLINK("https://dart.fss.or.kr/dsaf001/main.do?rcpNo=20260814001400", "공시열람")</f>
        <v/>
      </c>
    </row>
    <row r="905">
      <c r="A905" s="5" t="inlineStr">
        <is>
          <t>나라스페이스테크놀로지</t>
        </is>
      </c>
      <c r="B905" s="6" t="inlineStr">
        <is>
          <t>478340</t>
        </is>
      </c>
      <c r="C905" s="6" t="inlineStr">
        <is>
          <t>2026Q2</t>
        </is>
      </c>
      <c r="D905" s="6" t="inlineStr">
        <is>
          <t>20260814</t>
        </is>
      </c>
      <c r="E905" s="16" t="n">
        <v>43128614</v>
      </c>
      <c r="F905" s="16" t="inlineStr"/>
      <c r="G905" s="16" t="n">
        <v>28605889</v>
      </c>
      <c r="H905" s="6" t="inlineStr">
        <is>
          <t>천원</t>
        </is>
      </c>
      <c r="I905" s="17" t="n">
        <v>46.1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19815524</v>
      </c>
      <c r="Q905" s="19" t="n">
        <v>17637906</v>
      </c>
      <c r="R905" s="18" t="n">
        <v>19583035</v>
      </c>
      <c r="S905" s="20" t="n">
        <v>28605889</v>
      </c>
      <c r="T905" s="6" t="n">
        <v>11</v>
      </c>
      <c r="U905" s="5" t="inlineStr">
        <is>
          <t>위성제조 분야 / 2026-06-19 / 2030-07 | 위성영상 분야 등 / 2025-05-26 / 2029- | 위성제조 분야 / 2024-11-07 / 2028-12</t>
        </is>
      </c>
      <c r="V905" s="21">
        <f>HYPERLINK("https://dart.fss.or.kr/dsaf001/main.do?rcpNo=20260814002537", "공시열람")</f>
        <v/>
      </c>
    </row>
    <row r="906">
      <c r="A906" s="5" t="inlineStr">
        <is>
          <t>씨케이솔루션</t>
        </is>
      </c>
      <c r="B906" s="6" t="inlineStr">
        <is>
          <t>480370</t>
        </is>
      </c>
      <c r="C906" s="6" t="inlineStr">
        <is>
          <t>2026Q2</t>
        </is>
      </c>
      <c r="D906" s="6" t="inlineStr">
        <is>
          <t>20260814</t>
        </is>
      </c>
      <c r="E906" s="16" t="n">
        <v>660947</v>
      </c>
      <c r="F906" s="16" t="n">
        <v>407631</v>
      </c>
      <c r="G906" s="16" t="n">
        <v>253316</v>
      </c>
      <c r="H906" s="6" t="inlineStr">
        <is>
          <t>백만원</t>
        </is>
      </c>
      <c r="I906" s="17" t="n">
        <v>19.5</v>
      </c>
      <c r="J906" s="18" t="inlineStr"/>
      <c r="K906" s="19" t="inlineStr"/>
      <c r="L906" s="18" t="inlineStr"/>
      <c r="M906" s="19" t="n">
        <v>252345</v>
      </c>
      <c r="N906" s="18" t="n">
        <v>202545</v>
      </c>
      <c r="O906" s="19" t="n">
        <v>192631</v>
      </c>
      <c r="P906" s="18" t="n">
        <v>250229</v>
      </c>
      <c r="Q906" s="19" t="n">
        <v>238406</v>
      </c>
      <c r="R906" s="18" t="n">
        <v>211974</v>
      </c>
      <c r="S906" s="20" t="n">
        <v>253316</v>
      </c>
      <c r="T906" s="6" t="n">
        <v>3</v>
      </c>
      <c r="U906" s="5" t="inlineStr">
        <is>
          <t>드라이룸 | 클린룸 | 기타</t>
        </is>
      </c>
      <c r="V906" s="21">
        <f>HYPERLINK("https://dart.fss.or.kr/dsaf001/main.do?rcpNo=20260814001347", "공시열람")</f>
        <v/>
      </c>
    </row>
    <row r="907">
      <c r="A907" s="5" t="inlineStr">
        <is>
          <t>삼양컴텍</t>
        </is>
      </c>
      <c r="B907" s="6" t="inlineStr">
        <is>
          <t>484590</t>
        </is>
      </c>
      <c r="C907" s="6" t="inlineStr">
        <is>
          <t>2025Q2</t>
        </is>
      </c>
      <c r="D907" s="6" t="inlineStr">
        <is>
          <t>20250822</t>
        </is>
      </c>
      <c r="E907" s="16" t="n">
        <v>281584</v>
      </c>
      <c r="F907" s="16" t="n">
        <v>65514</v>
      </c>
      <c r="G907" s="16" t="n">
        <v>216070</v>
      </c>
      <c r="H907" s="6" t="inlineStr">
        <is>
          <t>백만원</t>
        </is>
      </c>
      <c r="I907" s="17" t="inlineStr"/>
      <c r="J907" s="18" t="inlineStr"/>
      <c r="K907" s="19" t="inlineStr"/>
      <c r="L907" s="18" t="inlineStr"/>
      <c r="M907" s="19" t="inlineStr"/>
      <c r="N907" s="18" t="inlineStr"/>
      <c r="O907" s="19" t="n">
        <v>216070</v>
      </c>
      <c r="P907" s="18" t="inlineStr"/>
      <c r="Q907" s="19" t="inlineStr"/>
      <c r="R907" s="18" t="inlineStr"/>
      <c r="S907" s="20" t="inlineStr"/>
      <c r="T907" s="6" t="n">
        <v>1</v>
      </c>
      <c r="U907" s="5" t="inlineStr">
        <is>
          <t>방산부품 / 2025.06.30 / -</t>
        </is>
      </c>
      <c r="V907" s="21">
        <f>HYPERLINK("https://dart.fss.or.kr/dsaf001/main.do?rcpNo=20250822000351", "공시열람")</f>
        <v/>
      </c>
    </row>
    <row r="908">
      <c r="A908" s="5" t="inlineStr">
        <is>
          <t>엠앤씨솔루션</t>
        </is>
      </c>
      <c r="B908" s="6" t="inlineStr">
        <is>
          <t>484870</t>
        </is>
      </c>
      <c r="C908" s="6" t="inlineStr">
        <is>
          <t>2026Q2</t>
        </is>
      </c>
      <c r="D908" s="6" t="inlineStr">
        <is>
          <t>20260814</t>
        </is>
      </c>
      <c r="E908" s="16" t="n">
        <v>17788</v>
      </c>
      <c r="F908" s="16" t="n">
        <v>8457</v>
      </c>
      <c r="G908" s="16" t="n">
        <v>28938</v>
      </c>
      <c r="H908" s="6" t="inlineStr">
        <is>
          <t>억원</t>
        </is>
      </c>
      <c r="I908" s="17" t="n">
        <v>-1</v>
      </c>
      <c r="J908" s="18" t="inlineStr"/>
      <c r="K908" s="19" t="inlineStr"/>
      <c r="L908" s="18" t="inlineStr"/>
      <c r="M908" s="19" t="n">
        <v>9570</v>
      </c>
      <c r="N908" s="18" t="n">
        <v>9035</v>
      </c>
      <c r="O908" s="19" t="n">
        <v>8797</v>
      </c>
      <c r="P908" s="18" t="n">
        <v>8273</v>
      </c>
      <c r="Q908" s="19" t="n">
        <v>10037</v>
      </c>
      <c r="R908" s="18" t="n">
        <v>29229</v>
      </c>
      <c r="S908" s="20" t="n">
        <v>28938</v>
      </c>
      <c r="T908" s="6" t="n">
        <v>3</v>
      </c>
      <c r="U908" s="5" t="inlineStr">
        <is>
          <t>방산부품 / 2025.12.31 / - | 방산부품 / 2024.12.31 / - | 방산부품 / 2026.06.30 / -</t>
        </is>
      </c>
      <c r="V908" s="21">
        <f>HYPERLINK("https://dart.fss.or.kr/dsaf001/main.do?rcpNo=20260814000987", "공시열람")</f>
        <v/>
      </c>
    </row>
    <row r="909">
      <c r="A909" s="5" t="inlineStr">
        <is>
          <t>노타</t>
        </is>
      </c>
      <c r="B909" s="6" t="inlineStr">
        <is>
          <t>486990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n">
        <v>7407957</v>
      </c>
      <c r="G909" s="16" t="n">
        <v>11600415</v>
      </c>
      <c r="H909" s="6" t="inlineStr">
        <is>
          <t>천원</t>
        </is>
      </c>
      <c r="I909" s="17" t="n">
        <v>-4.3</v>
      </c>
      <c r="J909" s="18" t="inlineStr"/>
      <c r="K909" s="19" t="inlineStr"/>
      <c r="L909" s="18" t="inlineStr"/>
      <c r="M909" s="19" t="inlineStr"/>
      <c r="N909" s="18" t="inlineStr"/>
      <c r="O909" s="19" t="inlineStr"/>
      <c r="P909" s="18" t="n">
        <v>9228051</v>
      </c>
      <c r="Q909" s="19" t="n">
        <v>1090864</v>
      </c>
      <c r="R909" s="18" t="n">
        <v>12123360</v>
      </c>
      <c r="S909" s="20" t="n">
        <v>11600415</v>
      </c>
      <c r="T909" s="6" t="n">
        <v>2</v>
      </c>
      <c r="U909" s="5" t="inlineStr">
        <is>
          <t>플랫폼 / 6건 | 솔루션 / 33건</t>
        </is>
      </c>
      <c r="V909" s="21">
        <f>HYPERLINK("https://dart.fss.or.kr/dsaf001/main.do?rcpNo=20260814003297", "공시열람")</f>
        <v/>
      </c>
    </row>
    <row r="910">
      <c r="A910" s="5" t="inlineStr">
        <is>
          <t>케이앤에스아이앤씨</t>
        </is>
      </c>
      <c r="B910" s="6" t="inlineStr">
        <is>
          <t>487400</t>
        </is>
      </c>
      <c r="C910" s="6" t="inlineStr">
        <is>
          <t>2026Q2</t>
        </is>
      </c>
      <c r="D910" s="6" t="inlineStr">
        <is>
          <t>20260814</t>
        </is>
      </c>
      <c r="E910" s="16" t="inlineStr"/>
      <c r="F910" s="16" t="inlineStr"/>
      <c r="G910" s="16" t="n">
        <v>33999743</v>
      </c>
      <c r="H910" s="6" t="inlineStr">
        <is>
          <t>천원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n">
        <v>33999743</v>
      </c>
      <c r="T910" s="6" t="n">
        <v>5</v>
      </c>
      <c r="U910" s="5" t="inlineStr">
        <is>
          <t>A고객사 / 군용 VSAT | B고객사 / 군용 VSAT | C고객사 / 상용 VSAT</t>
        </is>
      </c>
      <c r="V910" s="21">
        <f>HYPERLINK("https://dart.fss.or.kr/dsaf001/main.do?rcpNo=20260814000925", "공시열람")</f>
        <v/>
      </c>
    </row>
    <row r="911">
      <c r="A911" s="5" t="inlineStr">
        <is>
          <t>에스투더블유</t>
        </is>
      </c>
      <c r="B911" s="6" t="inlineStr">
        <is>
          <t>488280</t>
        </is>
      </c>
      <c r="C911" s="6" t="inlineStr">
        <is>
          <t>2026Q2</t>
        </is>
      </c>
      <c r="D911" s="6" t="inlineStr">
        <is>
          <t>20260813</t>
        </is>
      </c>
      <c r="E911" s="16" t="n">
        <v>11195</v>
      </c>
      <c r="F911" s="16" t="n">
        <v>5844</v>
      </c>
      <c r="G911" s="16" t="n">
        <v>5351</v>
      </c>
      <c r="H911" s="6" t="inlineStr">
        <is>
          <t>백만원</t>
        </is>
      </c>
      <c r="I911" s="17" t="n">
        <v>-9</v>
      </c>
      <c r="J911" s="18" t="inlineStr"/>
      <c r="K911" s="19" t="inlineStr"/>
      <c r="L911" s="18" t="inlineStr"/>
      <c r="M911" s="19" t="inlineStr"/>
      <c r="N911" s="18" t="inlineStr"/>
      <c r="O911" s="19" t="inlineStr"/>
      <c r="P911" s="18" t="n">
        <v>6544</v>
      </c>
      <c r="Q911" s="19" t="n">
        <v>5825</v>
      </c>
      <c r="R911" s="18" t="n">
        <v>5881</v>
      </c>
      <c r="S911" s="20" t="n">
        <v>5351</v>
      </c>
      <c r="T911" s="6" t="n">
        <v>1</v>
      </c>
      <c r="U911" s="5" t="inlineStr">
        <is>
          <t>서비스</t>
        </is>
      </c>
      <c r="V911" s="21">
        <f>HYPERLINK("https://dart.fss.or.kr/dsaf001/main.do?rcpNo=20260813001570", "공시열람")</f>
        <v/>
      </c>
    </row>
    <row r="912">
      <c r="A912" s="5" t="inlineStr">
        <is>
          <t>비츠로넥스텍</t>
        </is>
      </c>
      <c r="B912" s="6" t="inlineStr">
        <is>
          <t>488900</t>
        </is>
      </c>
      <c r="C912" s="6" t="inlineStr">
        <is>
          <t>2026Q1</t>
        </is>
      </c>
      <c r="D912" s="6" t="inlineStr">
        <is>
          <t>20260515</t>
        </is>
      </c>
      <c r="E912" s="16" t="n">
        <v>137393</v>
      </c>
      <c r="F912" s="16" t="n">
        <v>71658</v>
      </c>
      <c r="G912" s="16" t="n">
        <v>65735</v>
      </c>
      <c r="H912" s="6" t="inlineStr">
        <is>
          <t>백만원</t>
        </is>
      </c>
      <c r="I912" s="17" t="inlineStr"/>
      <c r="J912" s="18" t="inlineStr"/>
      <c r="K912" s="19" t="inlineStr"/>
      <c r="L912" s="18" t="inlineStr"/>
      <c r="M912" s="19" t="inlineStr"/>
      <c r="N912" s="18" t="inlineStr"/>
      <c r="O912" s="19" t="inlineStr"/>
      <c r="P912" s="18" t="inlineStr"/>
      <c r="Q912" s="19" t="inlineStr"/>
      <c r="R912" s="18" t="n">
        <v>65735</v>
      </c>
      <c r="S912" s="20" t="inlineStr"/>
      <c r="T912" s="6" t="n">
        <v>1</v>
      </c>
      <c r="U912" s="5" t="inlineStr">
        <is>
          <t>연소기외 / -</t>
        </is>
      </c>
      <c r="V912" s="21">
        <f>HYPERLINK("https://dart.fss.or.kr/dsaf001/main.do?rcpNo=20260515002341", "공시열람")</f>
        <v/>
      </c>
    </row>
    <row r="913">
      <c r="A913" s="5" t="inlineStr">
        <is>
          <t>한화비전</t>
        </is>
      </c>
      <c r="B913" s="6" t="inlineStr">
        <is>
          <t>489790</t>
        </is>
      </c>
      <c r="C913" s="6" t="inlineStr">
        <is>
          <t>2026Q2</t>
        </is>
      </c>
      <c r="D913" s="6" t="inlineStr">
        <is>
          <t>20260813</t>
        </is>
      </c>
      <c r="E913" s="16" t="n">
        <v>29459</v>
      </c>
      <c r="F913" s="16" t="n">
        <v>16154</v>
      </c>
      <c r="G913" s="16" t="n">
        <v>13305</v>
      </c>
      <c r="H913" s="6" t="inlineStr">
        <is>
          <t>백만원</t>
        </is>
      </c>
      <c r="I913" s="17" t="n">
        <v>-14</v>
      </c>
      <c r="J913" s="18" t="inlineStr"/>
      <c r="K913" s="19" t="inlineStr"/>
      <c r="L913" s="18" t="n">
        <v>44966</v>
      </c>
      <c r="M913" s="19" t="n">
        <v>41331</v>
      </c>
      <c r="N913" s="18" t="n">
        <v>27365</v>
      </c>
      <c r="O913" s="19" t="n">
        <v>40652</v>
      </c>
      <c r="P913" s="18" t="n">
        <v>29986</v>
      </c>
      <c r="Q913" s="19" t="n">
        <v>22106</v>
      </c>
      <c r="R913" s="18" t="n">
        <v>15476</v>
      </c>
      <c r="S913" s="20" t="n">
        <v>13305</v>
      </c>
      <c r="T913" s="6" t="n">
        <v>1</v>
      </c>
      <c r="U913" s="5" t="inlineStr">
        <is>
          <t>CCTV설치공사 등 / -</t>
        </is>
      </c>
      <c r="V913" s="21">
        <f>HYPERLINK("https://dart.fss.or.kr/dsaf001/main.do?rcpNo=20260813001301", "공시열람")</f>
        <v/>
      </c>
    </row>
    <row r="914">
      <c r="A914" s="5" t="inlineStr">
        <is>
          <t>지에프아이</t>
        </is>
      </c>
      <c r="B914" s="6" t="inlineStr">
        <is>
          <t>493330</t>
        </is>
      </c>
      <c r="C914" s="6" t="inlineStr">
        <is>
          <t>2026Q2</t>
        </is>
      </c>
      <c r="D914" s="6" t="inlineStr">
        <is>
          <t>20260813</t>
        </is>
      </c>
      <c r="E914" s="16" t="n">
        <v>1088896</v>
      </c>
      <c r="F914" s="16" t="n">
        <v>1088896</v>
      </c>
      <c r="G914" s="16" t="n">
        <v>0</v>
      </c>
      <c r="H914" s="6" t="inlineStr">
        <is>
          <t>천원</t>
        </is>
      </c>
      <c r="I914" s="17" t="n">
        <v>-100</v>
      </c>
      <c r="J914" s="18" t="inlineStr"/>
      <c r="K914" s="19" t="inlineStr"/>
      <c r="L914" s="18" t="inlineStr"/>
      <c r="M914" s="19" t="inlineStr"/>
      <c r="N914" s="18" t="inlineStr"/>
      <c r="O914" s="19" t="inlineStr"/>
      <c r="P914" s="18" t="n">
        <v>663499</v>
      </c>
      <c r="Q914" s="19" t="n">
        <v>552241</v>
      </c>
      <c r="R914" s="18" t="n">
        <v>80864</v>
      </c>
      <c r="S914" s="20" t="n">
        <v>0</v>
      </c>
      <c r="T914" s="6" t="n">
        <v>2</v>
      </c>
      <c r="U914" s="5" t="inlineStr">
        <is>
          <t>국내 ESS 직분사 확대적용 300MWh_13차 / - | 국내 소규모 ESS Site 직분사 / - / 2026</t>
        </is>
      </c>
      <c r="V914" s="21">
        <f>HYPERLINK("https://dart.fss.or.kr/dsaf001/main.do?rcpNo=20260813000372", "공시열람")</f>
        <v/>
      </c>
    </row>
    <row r="915">
      <c r="A915" s="5" t="inlineStr">
        <is>
          <t>유비씨</t>
        </is>
      </c>
      <c r="B915" s="6" t="inlineStr">
        <is>
          <t>495810</t>
        </is>
      </c>
      <c r="C915" s="6" t="inlineStr">
        <is>
          <t>2025Q4</t>
        </is>
      </c>
      <c r="D915" s="6" t="inlineStr">
        <is>
          <t>20260323</t>
        </is>
      </c>
      <c r="E915" s="16" t="n">
        <v>1942940</v>
      </c>
      <c r="F915" s="16" t="n">
        <v>1160275</v>
      </c>
      <c r="G915" s="16" t="n">
        <v>782665</v>
      </c>
      <c r="H915" s="6" t="inlineStr">
        <is>
          <t>천원</t>
        </is>
      </c>
      <c r="I915" s="17" t="n">
        <v>28.2</v>
      </c>
      <c r="J915" s="18" t="inlineStr"/>
      <c r="K915" s="19" t="inlineStr"/>
      <c r="L915" s="18" t="inlineStr"/>
      <c r="M915" s="19" t="n">
        <v>610375</v>
      </c>
      <c r="N915" s="18" t="inlineStr"/>
      <c r="O915" s="19" t="inlineStr"/>
      <c r="P915" s="18" t="inlineStr"/>
      <c r="Q915" s="19" t="n">
        <v>782665</v>
      </c>
      <c r="R915" s="18" t="inlineStr"/>
      <c r="S915" s="20" t="inlineStr"/>
      <c r="T915" s="6" t="n">
        <v>13</v>
      </c>
      <c r="U915" s="5" t="inlineStr">
        <is>
          <t>On-Premise DT / 2025-08-11 / 2 | On-Premise DT / 2025-10-15 / 2 | On-Premise DT / 2024-12-26 / 2</t>
        </is>
      </c>
      <c r="V915" s="21">
        <f>HYPERLINK("https://dart.fss.or.kr/dsaf001/main.do?rcpNo=20260323000238", "공시열람")</f>
        <v/>
      </c>
    </row>
    <row r="916">
      <c r="A916" s="5" t="inlineStr">
        <is>
          <t>본시스템즈</t>
        </is>
      </c>
      <c r="B916" s="6" t="inlineStr">
        <is>
          <t>496320</t>
        </is>
      </c>
      <c r="C916" s="6" t="inlineStr">
        <is>
          <t>2025Q4</t>
        </is>
      </c>
      <c r="D916" s="6" t="inlineStr">
        <is>
          <t>20260804</t>
        </is>
      </c>
      <c r="E916" s="16" t="inlineStr"/>
      <c r="F916" s="16" t="inlineStr"/>
      <c r="G916" s="16" t="n">
        <v>1221466</v>
      </c>
      <c r="H916" s="6" t="inlineStr">
        <is>
          <t>천원</t>
        </is>
      </c>
      <c r="I916" s="17" t="n">
        <v>-43.4</v>
      </c>
      <c r="J916" s="18" t="inlineStr"/>
      <c r="K916" s="19" t="inlineStr"/>
      <c r="L916" s="18" t="inlineStr"/>
      <c r="M916" s="19" t="n">
        <v>2156946</v>
      </c>
      <c r="N916" s="18" t="inlineStr"/>
      <c r="O916" s="19" t="inlineStr"/>
      <c r="P916" s="18" t="inlineStr"/>
      <c r="Q916" s="19" t="n">
        <v>1221466</v>
      </c>
      <c r="R916" s="18" t="inlineStr"/>
      <c r="S916" s="20" t="inlineStr"/>
      <c r="T916" s="6" t="n">
        <v>1</v>
      </c>
      <c r="U916" s="5" t="inlineStr">
        <is>
          <t>건설공사</t>
        </is>
      </c>
      <c r="V916" s="21">
        <f>HYPERLINK("https://dart.fss.or.kr/dsaf001/main.do?rcpNo=20260804000177", "공시열람")</f>
        <v/>
      </c>
    </row>
    <row r="917">
      <c r="A917" s="5" t="inlineStr">
        <is>
          <t>크리스탈신소재</t>
        </is>
      </c>
      <c r="B917" s="6" t="inlineStr">
        <is>
          <t>900250</t>
        </is>
      </c>
      <c r="C917" s="6" t="inlineStr">
        <is>
          <t>2023Q4</t>
        </is>
      </c>
      <c r="D917" s="6" t="inlineStr">
        <is>
          <t>20240422</t>
        </is>
      </c>
      <c r="E917" s="16" t="n">
        <v>52000000</v>
      </c>
      <c r="F917" s="16" t="n">
        <v>23200000</v>
      </c>
      <c r="G917" s="16" t="n">
        <v>28800000</v>
      </c>
      <c r="H917" s="6" t="inlineStr">
        <is>
          <t>kg,RMB</t>
        </is>
      </c>
      <c r="I917" s="17" t="inlineStr"/>
      <c r="J917" s="18" t="inlineStr"/>
      <c r="K917" s="19" t="inlineStr"/>
      <c r="L917" s="18" t="inlineStr"/>
      <c r="M917" s="19" t="inlineStr"/>
      <c r="N917" s="18" t="inlineStr"/>
      <c r="O917" s="19" t="inlineStr"/>
      <c r="P917" s="18" t="inlineStr"/>
      <c r="Q917" s="19" t="inlineStr"/>
      <c r="R917" s="18" t="inlineStr"/>
      <c r="S917" s="20" t="inlineStr"/>
      <c r="T917" s="6" t="n">
        <v>2</v>
      </c>
      <c r="U917" s="5" t="inlineStr">
        <is>
          <t>그래핀 파우더 / 2023.08.29 / 2024.03 | 그래핀 파우더 / 2023.10.18 / 2024.02</t>
        </is>
      </c>
      <c r="V917" s="21">
        <f>HYPERLINK("https://dart.fss.or.kr/dsaf001/main.do?rcpNo=20240422000050", "공시열람")</f>
        <v/>
      </c>
    </row>
    <row r="918">
      <c r="A918" s="5" t="inlineStr">
        <is>
          <t>오가닉티코스메틱</t>
        </is>
      </c>
      <c r="B918" s="6" t="inlineStr">
        <is>
          <t>900300</t>
        </is>
      </c>
      <c r="C918" s="6" t="inlineStr">
        <is>
          <t>2026Q2</t>
        </is>
      </c>
      <c r="D918" s="6" t="inlineStr">
        <is>
          <t>20260831</t>
        </is>
      </c>
      <c r="E918" s="16" t="n">
        <v>409698532</v>
      </c>
      <c r="F918" s="16" t="n">
        <v>409698532</v>
      </c>
      <c r="G918" s="16" t="n">
        <v>0</v>
      </c>
      <c r="H918" s="6" t="inlineStr">
        <is>
          <t>CNY</t>
        </is>
      </c>
      <c r="I918" s="17" t="inlineStr"/>
      <c r="J918" s="18" t="n">
        <v>0</v>
      </c>
      <c r="K918" s="19" t="n">
        <v>0</v>
      </c>
      <c r="L918" s="18" t="n">
        <v>0</v>
      </c>
      <c r="M918" s="19" t="n">
        <v>0</v>
      </c>
      <c r="N918" s="18" t="n">
        <v>0</v>
      </c>
      <c r="O918" s="19" t="n">
        <v>0</v>
      </c>
      <c r="P918" s="18" t="n">
        <v>0</v>
      </c>
      <c r="Q918" s="19" t="n">
        <v>0</v>
      </c>
      <c r="R918" s="18" t="n">
        <v>0</v>
      </c>
      <c r="S918" s="20" t="n">
        <v>0</v>
      </c>
      <c r="T918" s="6" t="n">
        <v>8</v>
      </c>
      <c r="U918" s="5" t="inlineStr">
        <is>
          <t>클렌징 화장품 / 2026.03.03~2026.06.3 | 여름용 화장품 / 2026.03.03~2026.06.3 | 기능성 화장품 / 2026.03.03~2026.06.3</t>
        </is>
      </c>
      <c r="V918" s="21">
        <f>HYPERLINK("https://dart.fss.or.kr/dsaf001/main.do?rcpNo=20260831001530", "공시열람")</f>
        <v/>
      </c>
    </row>
    <row r="919">
      <c r="A919" s="5" t="inlineStr">
        <is>
          <t>컬러레이</t>
        </is>
      </c>
      <c r="B919" s="6" t="inlineStr">
        <is>
          <t>900310</t>
        </is>
      </c>
      <c r="C919" s="6" t="inlineStr">
        <is>
          <t>2026Q2</t>
        </is>
      </c>
      <c r="D919" s="6" t="inlineStr">
        <is>
          <t>20260825</t>
        </is>
      </c>
      <c r="E919" s="16" t="n">
        <v>17388650</v>
      </c>
      <c r="F919" s="16" t="inlineStr"/>
      <c r="G919" s="16" t="n">
        <v>17635917</v>
      </c>
      <c r="H919" s="6" t="inlineStr">
        <is>
          <t>RMB</t>
        </is>
      </c>
      <c r="I919" s="17" t="n">
        <v>0</v>
      </c>
      <c r="J919" s="18" t="n">
        <v>18915869</v>
      </c>
      <c r="K919" s="19" t="n">
        <v>18915869</v>
      </c>
      <c r="L919" s="18" t="n">
        <v>18915869</v>
      </c>
      <c r="M919" s="19" t="n">
        <v>18915869</v>
      </c>
      <c r="N919" s="18" t="n">
        <v>17571498</v>
      </c>
      <c r="O919" s="19" t="n">
        <v>17571498</v>
      </c>
      <c r="P919" s="18" t="n">
        <v>17571498</v>
      </c>
      <c r="Q919" s="19" t="n">
        <v>17571498</v>
      </c>
      <c r="R919" s="18" t="n">
        <v>17635917</v>
      </c>
      <c r="S919" s="20" t="n">
        <v>17635917</v>
      </c>
      <c r="T919" s="6" t="n">
        <v>10</v>
      </c>
      <c r="U919" s="5" t="inlineStr">
        <is>
          <t>골든시리즈 | 실버화이트시리즈 | 색조컬러시리즈</t>
        </is>
      </c>
      <c r="V919" s="21">
        <f>HYPERLINK("https://dart.fss.or.kr/dsaf001/main.do?rcpNo=20260825000446", "공시열람")</f>
        <v/>
      </c>
    </row>
    <row r="920">
      <c r="A920" s="5" t="inlineStr">
        <is>
          <t>윙입푸드</t>
        </is>
      </c>
      <c r="B920" s="6" t="inlineStr">
        <is>
          <t>900340</t>
        </is>
      </c>
      <c r="C920" s="6" t="inlineStr">
        <is>
          <t>2026Q2</t>
        </is>
      </c>
      <c r="D920" s="6" t="inlineStr">
        <is>
          <t>20260831</t>
        </is>
      </c>
      <c r="E920" s="16" t="n">
        <v>436831792</v>
      </c>
      <c r="F920" s="16" t="n">
        <v>436831792</v>
      </c>
      <c r="G920" s="16" t="n">
        <v>0</v>
      </c>
      <c r="H920" s="6" t="inlineStr">
        <is>
          <t>KG,RMB</t>
        </is>
      </c>
      <c r="I920" s="17" t="inlineStr"/>
      <c r="J920" s="18" t="n">
        <v>0</v>
      </c>
      <c r="K920" s="19" t="n">
        <v>0</v>
      </c>
      <c r="L920" s="18" t="n">
        <v>0</v>
      </c>
      <c r="M920" s="19" t="n">
        <v>0</v>
      </c>
      <c r="N920" s="18" t="n">
        <v>0</v>
      </c>
      <c r="O920" s="19" t="n">
        <v>0</v>
      </c>
      <c r="P920" s="18" t="n">
        <v>0</v>
      </c>
      <c r="Q920" s="19" t="n">
        <v>0</v>
      </c>
      <c r="R920" s="18" t="n">
        <v>0</v>
      </c>
      <c r="S920" s="20" t="n">
        <v>0</v>
      </c>
      <c r="T920" s="6" t="n">
        <v>3</v>
      </c>
      <c r="U920" s="5" t="inlineStr">
        <is>
          <t>전통식품 / 2026.01.01~2026.06.30 | 간편식품 / 2026.01.01~2026.06.30 | 냉동식품 / 2026.01.01~2026.06.30</t>
        </is>
      </c>
      <c r="V920" s="21">
        <f>HYPERLINK("https://dart.fss.or.kr/dsaf001/main.do?rcpNo=20260831001473", "공시열람")</f>
        <v/>
      </c>
    </row>
    <row r="921">
      <c r="A921" s="5" t="inlineStr">
        <is>
          <t>프레스티지바이오파마</t>
        </is>
      </c>
      <c r="B921" s="6" t="inlineStr">
        <is>
          <t>950210</t>
        </is>
      </c>
      <c r="C921" s="6" t="inlineStr">
        <is>
          <t>2026Q2</t>
        </is>
      </c>
      <c r="D921" s="6" t="inlineStr">
        <is>
          <t>20260923</t>
        </is>
      </c>
      <c r="E921" s="16" t="n">
        <v>33539987</v>
      </c>
      <c r="F921" s="16" t="n">
        <v>14208431</v>
      </c>
      <c r="G921" s="16" t="n">
        <v>9722962</v>
      </c>
      <c r="H921" s="6" t="inlineStr">
        <is>
          <t>USD</t>
        </is>
      </c>
      <c r="I921" s="17" t="n">
        <v>1028.7</v>
      </c>
      <c r="J921" s="18" t="n">
        <v>136320000</v>
      </c>
      <c r="K921" s="19" t="n">
        <v>136320000</v>
      </c>
      <c r="L921" s="18" t="n">
        <v>136320000</v>
      </c>
      <c r="M921" s="19" t="n">
        <v>141071840</v>
      </c>
      <c r="N921" s="18" t="n">
        <v>141321730</v>
      </c>
      <c r="O921" s="19" t="n">
        <v>149592656</v>
      </c>
      <c r="P921" s="18" t="n">
        <v>13171629</v>
      </c>
      <c r="Q921" s="19" t="n">
        <v>48008</v>
      </c>
      <c r="R921" s="18" t="n">
        <v>861413</v>
      </c>
      <c r="S921" s="20" t="n">
        <v>9722962</v>
      </c>
      <c r="T921" s="6" t="n">
        <v>5</v>
      </c>
      <c r="U921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1" s="21">
        <f>HYPERLINK("https://dart.fss.or.kr/dsaf001/main.do?rcpNo=20260923000252", "공시열람")</f>
        <v/>
      </c>
    </row>
  </sheetData>
  <autoFilter ref="A1:V9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2026-10-23T12:36:17Z</dcterms:created>
  <dcterms:modified xmlns:dcterms="http://purl.org/dc/terms/" xmlns:xsi="http://www.w3.org/2001/XMLSchema-instance" xsi:type="dcterms:W3CDTF">2026-10-23T12:36:21Z</dcterms:modified>
</cp:coreProperties>
</file>