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'실적(종목별)'!$A$1:$AP$2666</definedName>
    <definedName name="_xlnm._FilterDatabase" localSheetId="1" hidden="1">'수주잔고'!$A$1:$V$914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6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252999996</v>
      </c>
      <c r="AK150" s="12" t="n">
        <v>13495638</v>
      </c>
      <c r="AL150" s="12" t="n">
        <v>14468220</v>
      </c>
      <c r="AM150" s="13" t="n">
        <v>133565.8</v>
      </c>
      <c r="AN150" s="13" t="n">
        <v>165315.7</v>
      </c>
      <c r="AO150" s="13" t="n">
        <v>185050.7</v>
      </c>
      <c r="AP150" s="13" t="n">
        <v>131218.8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2026Q1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inlineStr"/>
      <c r="AK1901" s="12" t="inlineStr"/>
      <c r="AL1901" s="12" t="inlineStr"/>
      <c r="AM1901" s="13" t="inlineStr"/>
      <c r="AN1901" s="13" t="inlineStr"/>
      <c r="AO1901" s="13" t="inlineStr"/>
      <c r="AP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HD현대</t>
        </is>
      </c>
      <c r="B2026" s="6" t="inlineStr">
        <is>
          <t>267250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16712800</v>
      </c>
      <c r="G2026" s="15" t="n">
        <v>357900</v>
      </c>
      <c r="H2026" s="15" t="n">
        <v>-117000</v>
      </c>
      <c r="I2026" s="9" t="n">
        <v>16514418</v>
      </c>
      <c r="J2026" s="10" t="n">
        <v>793640</v>
      </c>
      <c r="K2026" s="10" t="n">
        <v>508304</v>
      </c>
      <c r="L2026" s="7" t="n">
        <v>17554834</v>
      </c>
      <c r="M2026" s="8" t="n">
        <v>879817</v>
      </c>
      <c r="N2026" s="8" t="n">
        <v>544087</v>
      </c>
      <c r="O2026" s="9" t="n">
        <v>16599170</v>
      </c>
      <c r="P2026" s="10" t="n">
        <v>431557</v>
      </c>
      <c r="Q2026" s="10" t="n">
        <v>101699</v>
      </c>
      <c r="R2026" s="7" t="n">
        <v>17097204</v>
      </c>
      <c r="S2026" s="8" t="n">
        <v>878149</v>
      </c>
      <c r="T2026" s="8" t="n">
        <v>776089</v>
      </c>
      <c r="U2026" s="9" t="n">
        <v>17086949</v>
      </c>
      <c r="V2026" s="10" t="n">
        <v>1286397</v>
      </c>
      <c r="W2026" s="10" t="n">
        <v>777405</v>
      </c>
      <c r="X2026" s="7" t="n">
        <v>17211008</v>
      </c>
      <c r="Y2026" s="8" t="n">
        <v>1138887</v>
      </c>
      <c r="Z2026" s="8" t="n">
        <v>487975</v>
      </c>
      <c r="AA2026" s="9" t="n">
        <v>18224353</v>
      </c>
      <c r="AB2026" s="10" t="n">
        <v>1702387</v>
      </c>
      <c r="AC2026" s="10" t="n">
        <v>986906</v>
      </c>
      <c r="AD2026" s="7" t="n">
        <v>18737128</v>
      </c>
      <c r="AE2026" s="8" t="n">
        <v>1971965</v>
      </c>
      <c r="AF2026" s="8" t="n">
        <v>1423197</v>
      </c>
      <c r="AG2026" s="9" t="n">
        <v>19601950</v>
      </c>
      <c r="AH2026" s="10" t="n">
        <v>2834761</v>
      </c>
      <c r="AI2026" s="10" t="n">
        <v>2023048</v>
      </c>
      <c r="AJ2026" s="11" t="n">
        <v>22409333</v>
      </c>
      <c r="AK2026" s="12" t="n">
        <v>4124621</v>
      </c>
      <c r="AL2026" s="12" t="n">
        <v>3173128</v>
      </c>
      <c r="AM2026" s="13" t="n">
        <v>14.3</v>
      </c>
      <c r="AN2026" s="13" t="n">
        <v>30.2</v>
      </c>
      <c r="AO2026" s="13" t="n">
        <v>45.5</v>
      </c>
      <c r="AP2026" s="13" t="n">
        <v>262.2</v>
      </c>
    </row>
    <row r="2027">
      <c r="A2027" s="5" t="inlineStr">
        <is>
          <t>HD현대일렉트릭</t>
        </is>
      </c>
      <c r="B2027" s="6" t="inlineStr">
        <is>
          <t>267260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797300</v>
      </c>
      <c r="G2027" s="15" t="n">
        <v>124700</v>
      </c>
      <c r="H2027" s="15" t="n">
        <v>139000</v>
      </c>
      <c r="I2027" s="9" t="n">
        <v>800978</v>
      </c>
      <c r="J2027" s="10" t="n">
        <v>128779</v>
      </c>
      <c r="K2027" s="10" t="n">
        <v>93417</v>
      </c>
      <c r="L2027" s="7" t="n">
        <v>916909</v>
      </c>
      <c r="M2027" s="8" t="n">
        <v>210056</v>
      </c>
      <c r="N2027" s="8" t="n">
        <v>161209</v>
      </c>
      <c r="O2027" s="9" t="n">
        <v>788749</v>
      </c>
      <c r="P2027" s="10" t="n">
        <v>163817</v>
      </c>
      <c r="Q2027" s="10" t="n">
        <v>116609</v>
      </c>
      <c r="R2027" s="7" t="n">
        <v>815713</v>
      </c>
      <c r="S2027" s="8" t="n">
        <v>166319</v>
      </c>
      <c r="T2027" s="8" t="n">
        <v>127175</v>
      </c>
      <c r="U2027" s="9" t="n">
        <v>1014668</v>
      </c>
      <c r="V2027" s="10" t="n">
        <v>218178</v>
      </c>
      <c r="W2027" s="10" t="n">
        <v>153417</v>
      </c>
      <c r="X2027" s="7" t="n">
        <v>906219</v>
      </c>
      <c r="Y2027" s="8" t="n">
        <v>209142</v>
      </c>
      <c r="Z2027" s="8" t="n">
        <v>141909</v>
      </c>
      <c r="AA2027" s="9" t="n">
        <v>995432</v>
      </c>
      <c r="AB2027" s="10" t="n">
        <v>247076</v>
      </c>
      <c r="AC2027" s="10" t="n">
        <v>191138</v>
      </c>
      <c r="AD2027" s="7" t="n">
        <v>1163179</v>
      </c>
      <c r="AE2027" s="8" t="n">
        <v>320917</v>
      </c>
      <c r="AF2027" s="8" t="n">
        <v>245352</v>
      </c>
      <c r="AG2027" s="9" t="n">
        <v>1036500</v>
      </c>
      <c r="AH2027" s="10" t="n">
        <v>258269</v>
      </c>
      <c r="AI2027" s="10" t="n">
        <v>207689</v>
      </c>
      <c r="AJ2027" s="11" t="n">
        <v>1141813</v>
      </c>
      <c r="AK2027" s="12" t="n">
        <v>287035</v>
      </c>
      <c r="AL2027" s="12" t="n">
        <v>206139</v>
      </c>
      <c r="AM2027" s="13" t="n">
        <v>10.2</v>
      </c>
      <c r="AN2027" s="13" t="n">
        <v>26</v>
      </c>
      <c r="AO2027" s="13" t="n">
        <v>11.1</v>
      </c>
      <c r="AP2027" s="13" t="n">
        <v>37.2</v>
      </c>
    </row>
    <row r="2028">
      <c r="A2028" s="5" t="inlineStr">
        <is>
          <t>HD건설기계</t>
        </is>
      </c>
      <c r="B2028" s="6" t="inlineStr">
        <is>
          <t>267270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845900</v>
      </c>
      <c r="G2028" s="15" t="n">
        <v>26800</v>
      </c>
      <c r="H2028" s="15" t="n">
        <v>-42800</v>
      </c>
      <c r="I2028" s="9" t="n">
        <v>979111</v>
      </c>
      <c r="J2028" s="10" t="n">
        <v>53621</v>
      </c>
      <c r="K2028" s="10" t="n">
        <v>45812</v>
      </c>
      <c r="L2028" s="7" t="n">
        <v>852993</v>
      </c>
      <c r="M2028" s="8" t="n">
        <v>58557</v>
      </c>
      <c r="N2028" s="8" t="n">
        <v>30626</v>
      </c>
      <c r="O2028" s="9" t="n">
        <v>816812</v>
      </c>
      <c r="P2028" s="10" t="n">
        <v>42990</v>
      </c>
      <c r="Q2028" s="10" t="n">
        <v>11450</v>
      </c>
      <c r="R2028" s="7" t="n">
        <v>789146</v>
      </c>
      <c r="S2028" s="8" t="n">
        <v>35254</v>
      </c>
      <c r="T2028" s="8" t="n">
        <v>-1921</v>
      </c>
      <c r="U2028" s="9" t="n">
        <v>906840</v>
      </c>
      <c r="V2028" s="10" t="n">
        <v>41651</v>
      </c>
      <c r="W2028" s="10" t="n">
        <v>25652</v>
      </c>
      <c r="X2028" s="7" t="n">
        <v>967708</v>
      </c>
      <c r="Y2028" s="8" t="n">
        <v>40044</v>
      </c>
      <c r="Z2028" s="8" t="n">
        <v>621</v>
      </c>
      <c r="AA2028" s="9" t="n">
        <v>954714</v>
      </c>
      <c r="AB2028" s="10" t="n">
        <v>55814</v>
      </c>
      <c r="AC2028" s="10" t="n">
        <v>42253</v>
      </c>
      <c r="AD2028" s="7" t="n">
        <v>947262</v>
      </c>
      <c r="AE2028" s="8" t="n">
        <v>33374</v>
      </c>
      <c r="AF2028" s="8" t="n">
        <v>18509</v>
      </c>
      <c r="AG2028" s="9" t="n">
        <v>2304866</v>
      </c>
      <c r="AH2028" s="10" t="n">
        <v>190699</v>
      </c>
      <c r="AI2028" s="10" t="n">
        <v>173871</v>
      </c>
      <c r="AJ2028" s="11" t="n">
        <v>2434171</v>
      </c>
      <c r="AK2028" s="12" t="n">
        <v>248884</v>
      </c>
      <c r="AL2028" s="12" t="n">
        <v>180695</v>
      </c>
      <c r="AM2028" s="13" t="n">
        <v>5.6</v>
      </c>
      <c r="AN2028" s="13" t="n">
        <v>151.5</v>
      </c>
      <c r="AO2028" s="13" t="n">
        <v>30.5</v>
      </c>
      <c r="AP2028" s="13" t="n">
        <v>521.5</v>
      </c>
    </row>
    <row r="2029">
      <c r="A2029" s="5" t="inlineStr">
        <is>
          <t>경동도시가스</t>
        </is>
      </c>
      <c r="B2029" s="6" t="inlineStr">
        <is>
          <t>267290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624119</v>
      </c>
      <c r="J2029" s="10" t="n">
        <v>16608</v>
      </c>
      <c r="K2029" s="10" t="n">
        <v>15494</v>
      </c>
      <c r="L2029" s="7" t="n">
        <v>374758</v>
      </c>
      <c r="M2029" s="8" t="n">
        <v>3695</v>
      </c>
      <c r="N2029" s="8" t="n">
        <v>4410</v>
      </c>
      <c r="O2029" s="9" t="n">
        <v>302521</v>
      </c>
      <c r="P2029" s="10" t="n">
        <v>1525</v>
      </c>
      <c r="Q2029" s="10" t="n">
        <v>2611</v>
      </c>
      <c r="R2029" s="7" t="n">
        <v>490510</v>
      </c>
      <c r="S2029" s="8" t="n">
        <v>5146</v>
      </c>
      <c r="T2029" s="8" t="n">
        <v>6124</v>
      </c>
      <c r="U2029" s="9" t="n">
        <v>687461</v>
      </c>
      <c r="V2029" s="10" t="n">
        <v>17888</v>
      </c>
      <c r="W2029" s="10" t="n">
        <v>15705</v>
      </c>
      <c r="X2029" s="7" t="n">
        <v>336737</v>
      </c>
      <c r="Y2029" s="8" t="n">
        <v>2892</v>
      </c>
      <c r="Z2029" s="8" t="n">
        <v>4577</v>
      </c>
      <c r="AA2029" s="9" t="n">
        <v>288824</v>
      </c>
      <c r="AB2029" s="10" t="n">
        <v>3565</v>
      </c>
      <c r="AC2029" s="10" t="n">
        <v>4499</v>
      </c>
      <c r="AD2029" s="7" t="n">
        <v>446443</v>
      </c>
      <c r="AE2029" s="8" t="n">
        <v>8701</v>
      </c>
      <c r="AF2029" s="8" t="n">
        <v>8066</v>
      </c>
      <c r="AG2029" s="9" t="n">
        <v>541759</v>
      </c>
      <c r="AH2029" s="10" t="n">
        <v>19578</v>
      </c>
      <c r="AI2029" s="10" t="n">
        <v>17284</v>
      </c>
      <c r="AJ2029" s="11" t="n">
        <v>447475</v>
      </c>
      <c r="AK2029" s="12" t="n">
        <v>7090</v>
      </c>
      <c r="AL2029" s="12" t="n">
        <v>7232</v>
      </c>
      <c r="AM2029" s="13" t="n">
        <v>-17.4</v>
      </c>
      <c r="AN2029" s="13" t="n">
        <v>32.9</v>
      </c>
      <c r="AO2029" s="13" t="n">
        <v>-63.8</v>
      </c>
      <c r="AP2029" s="13" t="n">
        <v>145.2</v>
      </c>
    </row>
    <row r="2030">
      <c r="A2030" s="5" t="inlineStr">
        <is>
          <t>나인테크</t>
        </is>
      </c>
      <c r="B2030" s="6" t="inlineStr">
        <is>
          <t>267320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44716</v>
      </c>
      <c r="J2030" s="10" t="n">
        <v>1412</v>
      </c>
      <c r="K2030" s="10" t="n">
        <v>714</v>
      </c>
      <c r="L2030" s="7" t="n">
        <v>22463</v>
      </c>
      <c r="M2030" s="8" t="n">
        <v>-932</v>
      </c>
      <c r="N2030" s="8" t="n">
        <v>16</v>
      </c>
      <c r="O2030" s="9" t="n">
        <v>34716</v>
      </c>
      <c r="P2030" s="10" t="n">
        <v>1570</v>
      </c>
      <c r="Q2030" s="10" t="n">
        <v>340</v>
      </c>
      <c r="R2030" s="7" t="n">
        <v>95325</v>
      </c>
      <c r="S2030" s="8" t="n">
        <v>2579</v>
      </c>
      <c r="T2030" s="8" t="n">
        <v>-6434</v>
      </c>
      <c r="U2030" s="9" t="n">
        <v>15892</v>
      </c>
      <c r="V2030" s="10" t="n">
        <v>-1405</v>
      </c>
      <c r="W2030" s="10" t="n">
        <v>-2493</v>
      </c>
      <c r="X2030" s="7" t="n">
        <v>27751</v>
      </c>
      <c r="Y2030" s="8" t="n">
        <v>845</v>
      </c>
      <c r="Z2030" s="8" t="n">
        <v>-8218</v>
      </c>
      <c r="AA2030" s="9" t="n">
        <v>22112</v>
      </c>
      <c r="AB2030" s="10" t="n">
        <v>-1355</v>
      </c>
      <c r="AC2030" s="10" t="n">
        <v>2631</v>
      </c>
      <c r="AD2030" s="7" t="n">
        <v>16614</v>
      </c>
      <c r="AE2030" s="8" t="n">
        <v>-7009</v>
      </c>
      <c r="AF2030" s="8" t="n">
        <v>-9343</v>
      </c>
      <c r="AG2030" s="9" t="n">
        <v>19785</v>
      </c>
      <c r="AH2030" s="10" t="n">
        <v>1468</v>
      </c>
      <c r="AI2030" s="10" t="n">
        <v>810</v>
      </c>
      <c r="AJ2030" s="11" t="n">
        <v>12723</v>
      </c>
      <c r="AK2030" s="12" t="n">
        <v>-470</v>
      </c>
      <c r="AL2030" s="12" t="n">
        <v>581</v>
      </c>
      <c r="AM2030" s="13" t="n">
        <v>-35.7</v>
      </c>
      <c r="AN2030" s="13" t="n">
        <v>-54.2</v>
      </c>
      <c r="AO2030" s="13" t="n">
        <v>-132</v>
      </c>
      <c r="AP2030" s="13" t="n">
        <v>-155.6</v>
      </c>
    </row>
    <row r="2031">
      <c r="A2031" s="5" t="inlineStr">
        <is>
          <t>배럴</t>
        </is>
      </c>
      <c r="B2031" s="6" t="inlineStr">
        <is>
          <t>267790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11628</v>
      </c>
      <c r="J2031" s="10" t="n">
        <v>1181</v>
      </c>
      <c r="K2031" s="10" t="n">
        <v>557</v>
      </c>
      <c r="L2031" s="7" t="n">
        <v>17262</v>
      </c>
      <c r="M2031" s="8" t="n">
        <v>2658</v>
      </c>
      <c r="N2031" s="8" t="n">
        <v>1424</v>
      </c>
      <c r="O2031" s="9" t="n">
        <v>25309</v>
      </c>
      <c r="P2031" s="10" t="n">
        <v>5319</v>
      </c>
      <c r="Q2031" s="10" t="n">
        <v>3807</v>
      </c>
      <c r="R2031" s="7" t="n">
        <v>10247</v>
      </c>
      <c r="S2031" s="8" t="n">
        <v>-78</v>
      </c>
      <c r="T2031" s="8" t="n">
        <v>-793</v>
      </c>
      <c r="U2031" s="9" t="n">
        <v>11340</v>
      </c>
      <c r="V2031" s="10" t="n">
        <v>1214</v>
      </c>
      <c r="W2031" s="10" t="n">
        <v>381</v>
      </c>
      <c r="X2031" s="7" t="n">
        <v>15524</v>
      </c>
      <c r="Y2031" s="8" t="n">
        <v>1400</v>
      </c>
      <c r="Z2031" s="8" t="n">
        <v>899</v>
      </c>
      <c r="AA2031" s="9" t="n">
        <v>23788</v>
      </c>
      <c r="AB2031" s="10" t="n">
        <v>4553</v>
      </c>
      <c r="AC2031" s="10" t="n">
        <v>3897</v>
      </c>
      <c r="AD2031" s="7" t="n">
        <v>8541</v>
      </c>
      <c r="AE2031" s="8" t="n">
        <v>-522</v>
      </c>
      <c r="AF2031" s="8" t="n">
        <v>-867</v>
      </c>
      <c r="AG2031" s="9" t="n">
        <v>10089</v>
      </c>
      <c r="AH2031" s="10" t="n">
        <v>424</v>
      </c>
      <c r="AI2031" s="10" t="n">
        <v>-32</v>
      </c>
      <c r="AJ2031" s="11" t="n">
        <v>15120</v>
      </c>
      <c r="AK2031" s="12" t="n">
        <v>1495</v>
      </c>
      <c r="AL2031" s="12" t="n">
        <v>6313</v>
      </c>
      <c r="AM2031" s="13" t="n">
        <v>49.9</v>
      </c>
      <c r="AN2031" s="13" t="n">
        <v>-2.6</v>
      </c>
      <c r="AO2031" s="13" t="n">
        <v>252.6</v>
      </c>
      <c r="AP2031" s="13" t="n">
        <v>6.8</v>
      </c>
    </row>
    <row r="2032">
      <c r="A2032" s="5" t="inlineStr">
        <is>
          <t>아시아나IDT</t>
        </is>
      </c>
      <c r="B2032" s="6" t="inlineStr">
        <is>
          <t>267850</t>
        </is>
      </c>
      <c r="C2032" s="6" t="inlineStr">
        <is>
          <t>별도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46734</v>
      </c>
      <c r="J2032" s="10" t="n">
        <v>1781</v>
      </c>
      <c r="K2032" s="10" t="n">
        <v>3921</v>
      </c>
      <c r="L2032" s="7" t="n">
        <v>48828</v>
      </c>
      <c r="M2032" s="8" t="n">
        <v>265</v>
      </c>
      <c r="N2032" s="8" t="n">
        <v>1356</v>
      </c>
      <c r="O2032" s="9" t="n">
        <v>47842</v>
      </c>
      <c r="P2032" s="10" t="n">
        <v>2409</v>
      </c>
      <c r="Q2032" s="10" t="n">
        <v>2939</v>
      </c>
      <c r="R2032" s="7" t="n">
        <v>50620</v>
      </c>
      <c r="S2032" s="8" t="n">
        <v>4771</v>
      </c>
      <c r="T2032" s="8" t="n">
        <v>3551</v>
      </c>
      <c r="U2032" s="9" t="n">
        <v>57174</v>
      </c>
      <c r="V2032" s="10" t="n">
        <v>3045</v>
      </c>
      <c r="W2032" s="10" t="n">
        <v>2586</v>
      </c>
      <c r="X2032" s="7" t="n">
        <v>49006</v>
      </c>
      <c r="Y2032" s="8" t="n">
        <v>3456</v>
      </c>
      <c r="Z2032" s="8" t="n">
        <v>3735</v>
      </c>
      <c r="AA2032" s="9" t="n">
        <v>44445</v>
      </c>
      <c r="AB2032" s="10" t="n">
        <v>2767</v>
      </c>
      <c r="AC2032" s="10" t="n">
        <v>2052</v>
      </c>
      <c r="AD2032" s="7" t="n">
        <v>43434</v>
      </c>
      <c r="AE2032" s="8" t="n">
        <v>2860</v>
      </c>
      <c r="AF2032" s="8" t="n">
        <v>4261</v>
      </c>
      <c r="AG2032" s="9" t="n">
        <v>45815</v>
      </c>
      <c r="AH2032" s="10" t="n">
        <v>2027</v>
      </c>
      <c r="AI2032" s="10" t="n">
        <v>2739</v>
      </c>
      <c r="AJ2032" s="11" t="n">
        <v>45048</v>
      </c>
      <c r="AK2032" s="12" t="n">
        <v>2257</v>
      </c>
      <c r="AL2032" s="12" t="n">
        <v>4958</v>
      </c>
      <c r="AM2032" s="13" t="n">
        <v>-1.7</v>
      </c>
      <c r="AN2032" s="13" t="n">
        <v>-8.1</v>
      </c>
      <c r="AO2032" s="13" t="n">
        <v>11.3</v>
      </c>
      <c r="AP2032" s="13" t="n">
        <v>-34.7</v>
      </c>
    </row>
    <row r="2033">
      <c r="A2033" s="5" t="inlineStr">
        <is>
          <t>매일유업</t>
        </is>
      </c>
      <c r="B2033" s="6" t="inlineStr">
        <is>
          <t>267980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444285</v>
      </c>
      <c r="J2033" s="10" t="n">
        <v>19487</v>
      </c>
      <c r="K2033" s="10" t="n">
        <v>15748</v>
      </c>
      <c r="L2033" s="7" t="n">
        <v>445198</v>
      </c>
      <c r="M2033" s="8" t="n">
        <v>18369</v>
      </c>
      <c r="N2033" s="8" t="n">
        <v>10253</v>
      </c>
      <c r="O2033" s="9" t="n">
        <v>461135</v>
      </c>
      <c r="P2033" s="10" t="n">
        <v>16053</v>
      </c>
      <c r="Q2033" s="10" t="n">
        <v>10189</v>
      </c>
      <c r="R2033" s="7" t="n">
        <v>460818</v>
      </c>
      <c r="S2033" s="8" t="n">
        <v>16427</v>
      </c>
      <c r="T2033" s="8" t="n">
        <v>9348</v>
      </c>
      <c r="U2033" s="9" t="n">
        <v>458806</v>
      </c>
      <c r="V2033" s="10" t="n">
        <v>12998</v>
      </c>
      <c r="W2033" s="10" t="n">
        <v>10450</v>
      </c>
      <c r="X2033" s="7" t="n">
        <v>458010</v>
      </c>
      <c r="Y2033" s="8" t="n">
        <v>12410</v>
      </c>
      <c r="Z2033" s="8" t="n">
        <v>14379</v>
      </c>
      <c r="AA2033" s="9" t="n">
        <v>471575</v>
      </c>
      <c r="AB2033" s="10" t="n">
        <v>19894</v>
      </c>
      <c r="AC2033" s="10" t="n">
        <v>16008</v>
      </c>
      <c r="AD2033" s="7" t="n">
        <v>455148</v>
      </c>
      <c r="AE2033" s="8" t="n">
        <v>14727</v>
      </c>
      <c r="AF2033" s="8" t="n">
        <v>15407</v>
      </c>
      <c r="AG2033" s="9" t="n">
        <v>469878</v>
      </c>
      <c r="AH2033" s="10" t="n">
        <v>18794</v>
      </c>
      <c r="AI2033" s="10" t="n">
        <v>18901</v>
      </c>
      <c r="AJ2033" s="11" t="n">
        <v>480005</v>
      </c>
      <c r="AK2033" s="12" t="n">
        <v>20405</v>
      </c>
      <c r="AL2033" s="12" t="n">
        <v>16279</v>
      </c>
      <c r="AM2033" s="13" t="n">
        <v>2.2</v>
      </c>
      <c r="AN2033" s="13" t="n">
        <v>4.8</v>
      </c>
      <c r="AO2033" s="13" t="n">
        <v>8.6</v>
      </c>
      <c r="AP2033" s="13" t="n">
        <v>64.40000000000001</v>
      </c>
    </row>
    <row r="2034">
      <c r="A2034" s="5" t="inlineStr">
        <is>
          <t>미원에스씨</t>
        </is>
      </c>
      <c r="B2034" s="6" t="inlineStr">
        <is>
          <t>268280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124460</v>
      </c>
      <c r="J2034" s="10" t="n">
        <v>12560</v>
      </c>
      <c r="K2034" s="10" t="n">
        <v>13730</v>
      </c>
      <c r="L2034" s="7" t="n">
        <v>129807</v>
      </c>
      <c r="M2034" s="8" t="n">
        <v>16742</v>
      </c>
      <c r="N2034" s="8" t="n">
        <v>15093</v>
      </c>
      <c r="O2034" s="9" t="n">
        <v>128577</v>
      </c>
      <c r="P2034" s="10" t="n">
        <v>16272</v>
      </c>
      <c r="Q2034" s="10" t="n">
        <v>12106</v>
      </c>
      <c r="R2034" s="7" t="n">
        <v>126423</v>
      </c>
      <c r="S2034" s="8" t="n">
        <v>13193</v>
      </c>
      <c r="T2034" s="8" t="n">
        <v>13638</v>
      </c>
      <c r="U2034" s="9" t="n">
        <v>137866</v>
      </c>
      <c r="V2034" s="10" t="n">
        <v>17991</v>
      </c>
      <c r="W2034" s="10" t="n">
        <v>16400</v>
      </c>
      <c r="X2034" s="7" t="n">
        <v>134806</v>
      </c>
      <c r="Y2034" s="8" t="n">
        <v>19206</v>
      </c>
      <c r="Z2034" s="8" t="n">
        <v>11901</v>
      </c>
      <c r="AA2034" s="9" t="n">
        <v>133317</v>
      </c>
      <c r="AB2034" s="10" t="n">
        <v>18186</v>
      </c>
      <c r="AC2034" s="10" t="n">
        <v>17769</v>
      </c>
      <c r="AD2034" s="7" t="n">
        <v>126134</v>
      </c>
      <c r="AE2034" s="8" t="n">
        <v>10099</v>
      </c>
      <c r="AF2034" s="8" t="n">
        <v>15233</v>
      </c>
      <c r="AG2034" s="9" t="n">
        <v>141274</v>
      </c>
      <c r="AH2034" s="10" t="n">
        <v>19283</v>
      </c>
      <c r="AI2034" s="10" t="n">
        <v>21518</v>
      </c>
      <c r="AJ2034" s="11" t="n">
        <v>162829</v>
      </c>
      <c r="AK2034" s="12" t="n">
        <v>37110</v>
      </c>
      <c r="AL2034" s="12" t="n">
        <v>32975</v>
      </c>
      <c r="AM2034" s="13" t="n">
        <v>15.3</v>
      </c>
      <c r="AN2034" s="13" t="n">
        <v>20.8</v>
      </c>
      <c r="AO2034" s="13" t="n">
        <v>92.40000000000001</v>
      </c>
      <c r="AP2034" s="13" t="n">
        <v>93.2</v>
      </c>
    </row>
    <row r="2035">
      <c r="A2035" s="5" t="inlineStr">
        <is>
          <t>시스웍</t>
        </is>
      </c>
      <c r="B2035" s="6" t="inlineStr">
        <is>
          <t>269620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5387</v>
      </c>
      <c r="J2035" s="10" t="n">
        <v>79</v>
      </c>
      <c r="K2035" s="10" t="n">
        <v>-889</v>
      </c>
      <c r="L2035" s="7" t="n">
        <v>2914</v>
      </c>
      <c r="M2035" s="8" t="n">
        <v>362</v>
      </c>
      <c r="N2035" s="8" t="n">
        <v>-3272</v>
      </c>
      <c r="O2035" s="9" t="n">
        <v>1694</v>
      </c>
      <c r="P2035" s="10" t="n">
        <v>-2254</v>
      </c>
      <c r="Q2035" s="10" t="n">
        <v>-3219</v>
      </c>
      <c r="R2035" s="7" t="n">
        <v>2868</v>
      </c>
      <c r="S2035" s="8" t="n">
        <v>-28</v>
      </c>
      <c r="T2035" s="8" t="n">
        <v>-1991</v>
      </c>
      <c r="U2035" s="9" t="n">
        <v>3178</v>
      </c>
      <c r="V2035" s="10" t="n">
        <v>-748</v>
      </c>
      <c r="W2035" s="10" t="n">
        <v>-2016</v>
      </c>
      <c r="X2035" s="7" t="n">
        <v>3015</v>
      </c>
      <c r="Y2035" s="8" t="n">
        <v>-296</v>
      </c>
      <c r="Z2035" s="8" t="n">
        <v>-1323</v>
      </c>
      <c r="AA2035" s="9" t="n">
        <v>2853</v>
      </c>
      <c r="AB2035" s="10" t="n">
        <v>-480</v>
      </c>
      <c r="AC2035" s="10" t="n">
        <v>-267</v>
      </c>
      <c r="AD2035" s="7" t="n">
        <v>1988</v>
      </c>
      <c r="AE2035" s="8" t="n">
        <v>-1046</v>
      </c>
      <c r="AF2035" s="8" t="n">
        <v>-1515</v>
      </c>
      <c r="AG2035" s="9" t="n">
        <v>2389</v>
      </c>
      <c r="AH2035" s="10" t="n">
        <v>215</v>
      </c>
      <c r="AI2035" s="10" t="n">
        <v>529</v>
      </c>
      <c r="AJ2035" s="11" t="n">
        <v>3731</v>
      </c>
      <c r="AK2035" s="12" t="n">
        <v>106</v>
      </c>
      <c r="AL2035" s="12" t="n">
        <v>695</v>
      </c>
      <c r="AM2035" s="13" t="n">
        <v>56.2</v>
      </c>
      <c r="AN2035" s="13" t="n">
        <v>23.7</v>
      </c>
      <c r="AO2035" s="13" t="n">
        <v>-50.7</v>
      </c>
      <c r="AP2035" s="13" t="n">
        <v>135.8</v>
      </c>
    </row>
    <row r="2036">
      <c r="A2036" s="5" t="inlineStr">
        <is>
          <t>앱튼</t>
        </is>
      </c>
      <c r="B2036" s="6" t="inlineStr">
        <is>
          <t>270520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4870</v>
      </c>
      <c r="J2036" s="10" t="n">
        <v>-1783</v>
      </c>
      <c r="K2036" s="10" t="n">
        <v>-1344</v>
      </c>
      <c r="L2036" s="7" t="n">
        <v>5270</v>
      </c>
      <c r="M2036" s="8" t="n">
        <v>-1705</v>
      </c>
      <c r="N2036" s="8" t="n">
        <v>-2738</v>
      </c>
      <c r="O2036" s="9" t="n">
        <v>4404</v>
      </c>
      <c r="P2036" s="10" t="n">
        <v>-1904</v>
      </c>
      <c r="Q2036" s="10" t="n">
        <v>-2677</v>
      </c>
      <c r="R2036" s="7" t="n">
        <v>3834</v>
      </c>
      <c r="S2036" s="8" t="n">
        <v>-7360</v>
      </c>
      <c r="T2036" s="8" t="n">
        <v>-12408</v>
      </c>
      <c r="U2036" s="9" t="n">
        <v>6568</v>
      </c>
      <c r="V2036" s="10" t="n">
        <v>-2495</v>
      </c>
      <c r="W2036" s="10" t="n">
        <v>9373</v>
      </c>
      <c r="X2036" s="7" t="n">
        <v>2834</v>
      </c>
      <c r="Y2036" s="8" t="n">
        <v>-3989</v>
      </c>
      <c r="Z2036" s="8" t="n">
        <v>-22220</v>
      </c>
      <c r="AA2036" s="9" t="n">
        <v>5172</v>
      </c>
      <c r="AB2036" s="10" t="n">
        <v>-1040</v>
      </c>
      <c r="AC2036" s="10" t="n">
        <v>-4269</v>
      </c>
      <c r="AD2036" s="7" t="n">
        <v>2321</v>
      </c>
      <c r="AE2036" s="8" t="n">
        <v>-3633</v>
      </c>
      <c r="AF2036" s="8" t="n">
        <v>-6315</v>
      </c>
      <c r="AG2036" s="9" t="n">
        <v>4541</v>
      </c>
      <c r="AH2036" s="10" t="n">
        <v>-1774</v>
      </c>
      <c r="AI2036" s="10" t="n">
        <v>-13216</v>
      </c>
      <c r="AJ2036" s="11" t="n">
        <v>3368</v>
      </c>
      <c r="AK2036" s="12" t="n">
        <v>-1325</v>
      </c>
      <c r="AL2036" s="12" t="n">
        <v>-3871</v>
      </c>
      <c r="AM2036" s="13" t="n">
        <v>-25.8</v>
      </c>
      <c r="AN2036" s="13" t="n">
        <v>18.8</v>
      </c>
      <c r="AO2036" s="13" t="n">
        <v>25.3</v>
      </c>
      <c r="AP2036" s="13" t="n">
        <v>66.8</v>
      </c>
    </row>
    <row r="2037">
      <c r="A2037" s="5" t="inlineStr">
        <is>
          <t>에브리봇</t>
        </is>
      </c>
      <c r="B2037" s="6" t="inlineStr">
        <is>
          <t>270660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6650</v>
      </c>
      <c r="J2037" s="10" t="n">
        <v>-780</v>
      </c>
      <c r="K2037" s="10" t="n">
        <v>-621</v>
      </c>
      <c r="L2037" s="7" t="n">
        <v>8978</v>
      </c>
      <c r="M2037" s="8" t="n">
        <v>-412</v>
      </c>
      <c r="N2037" s="8" t="n">
        <v>746</v>
      </c>
      <c r="O2037" s="9" t="n">
        <v>7235</v>
      </c>
      <c r="P2037" s="10" t="n">
        <v>-220</v>
      </c>
      <c r="Q2037" s="10" t="n">
        <v>168</v>
      </c>
      <c r="R2037" s="7" t="n">
        <v>6888</v>
      </c>
      <c r="S2037" s="8" t="n">
        <v>-823</v>
      </c>
      <c r="T2037" s="8" t="n">
        <v>19</v>
      </c>
      <c r="U2037" s="9" t="n">
        <v>4001</v>
      </c>
      <c r="V2037" s="10" t="n">
        <v>-2088</v>
      </c>
      <c r="W2037" s="10" t="n">
        <v>-896</v>
      </c>
      <c r="X2037" s="7" t="n">
        <v>8550</v>
      </c>
      <c r="Y2037" s="8" t="n">
        <v>97</v>
      </c>
      <c r="Z2037" s="8" t="n">
        <v>-3088</v>
      </c>
      <c r="AA2037" s="9" t="n">
        <v>8732</v>
      </c>
      <c r="AB2037" s="10" t="n">
        <v>-448</v>
      </c>
      <c r="AC2037" s="10" t="n">
        <v>-154</v>
      </c>
      <c r="AD2037" s="7" t="n">
        <v>13074</v>
      </c>
      <c r="AE2037" s="8" t="n">
        <v>-758</v>
      </c>
      <c r="AF2037" s="8" t="n">
        <v>-8608</v>
      </c>
      <c r="AG2037" s="9" t="n">
        <v>7972</v>
      </c>
      <c r="AH2037" s="10" t="n">
        <v>-1775</v>
      </c>
      <c r="AI2037" s="10" t="n">
        <v>-1203</v>
      </c>
      <c r="AJ2037" s="11" t="n">
        <v>9838</v>
      </c>
      <c r="AK2037" s="12" t="n">
        <v>-1227</v>
      </c>
      <c r="AL2037" s="12" t="n">
        <v>7609</v>
      </c>
      <c r="AM2037" s="13" t="n">
        <v>23.4</v>
      </c>
      <c r="AN2037" s="13" t="n">
        <v>15.1</v>
      </c>
      <c r="AO2037" s="13" t="n">
        <v>30.9</v>
      </c>
      <c r="AP2037" s="13" t="n">
        <v>-1364.9</v>
      </c>
    </row>
    <row r="2038">
      <c r="A2038" s="5" t="inlineStr">
        <is>
          <t>뉴트리</t>
        </is>
      </c>
      <c r="B2038" s="6" t="inlineStr">
        <is>
          <t>270870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36721</v>
      </c>
      <c r="J2038" s="10" t="n">
        <v>6757</v>
      </c>
      <c r="K2038" s="10" t="n">
        <v>4018</v>
      </c>
      <c r="L2038" s="7" t="n">
        <v>36187</v>
      </c>
      <c r="M2038" s="8" t="n">
        <v>8914</v>
      </c>
      <c r="N2038" s="8" t="n">
        <v>6485</v>
      </c>
      <c r="O2038" s="9" t="n">
        <v>26730</v>
      </c>
      <c r="P2038" s="10" t="n">
        <v>-8465</v>
      </c>
      <c r="Q2038" s="10" t="n">
        <v>-4017</v>
      </c>
      <c r="R2038" s="7" t="n">
        <v>22335</v>
      </c>
      <c r="S2038" s="8" t="n">
        <v>-2273</v>
      </c>
      <c r="T2038" s="8" t="n">
        <v>-1790</v>
      </c>
      <c r="U2038" s="9" t="n">
        <v>25584</v>
      </c>
      <c r="V2038" s="10" t="n">
        <v>787</v>
      </c>
      <c r="W2038" s="10" t="n">
        <v>611</v>
      </c>
      <c r="X2038" s="7" t="n">
        <v>25538</v>
      </c>
      <c r="Y2038" s="8" t="n">
        <v>207</v>
      </c>
      <c r="Z2038" s="8" t="n">
        <v>127</v>
      </c>
      <c r="AA2038" s="9" t="n">
        <v>25449</v>
      </c>
      <c r="AB2038" s="10" t="n">
        <v>514</v>
      </c>
      <c r="AC2038" s="10" t="n">
        <v>1210</v>
      </c>
      <c r="AD2038" s="7" t="n">
        <v>24517</v>
      </c>
      <c r="AE2038" s="8" t="n">
        <v>-3776</v>
      </c>
      <c r="AF2038" s="8" t="n">
        <v>-4511</v>
      </c>
      <c r="AG2038" s="9" t="n">
        <v>25865</v>
      </c>
      <c r="AH2038" s="10" t="n">
        <v>-26</v>
      </c>
      <c r="AI2038" s="10" t="n">
        <v>219</v>
      </c>
      <c r="AJ2038" s="11" t="n">
        <v>28362</v>
      </c>
      <c r="AK2038" s="12" t="n">
        <v>7</v>
      </c>
      <c r="AL2038" s="12" t="n">
        <v>7765</v>
      </c>
      <c r="AM2038" s="13" t="n">
        <v>9.699999999999999</v>
      </c>
      <c r="AN2038" s="13" t="n">
        <v>11.1</v>
      </c>
      <c r="AO2038" s="13" t="n">
        <v>126.9</v>
      </c>
      <c r="AP2038" s="13" t="n">
        <v>-96.59999999999999</v>
      </c>
    </row>
    <row r="2039">
      <c r="A2039" s="5" t="inlineStr">
        <is>
          <t>오리온</t>
        </is>
      </c>
      <c r="B2039" s="6" t="inlineStr">
        <is>
          <t>271560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748391</v>
      </c>
      <c r="J2039" s="10" t="n">
        <v>125135</v>
      </c>
      <c r="K2039" s="10" t="n">
        <v>99779</v>
      </c>
      <c r="L2039" s="7" t="n">
        <v>719264</v>
      </c>
      <c r="M2039" s="8" t="n">
        <v>121710</v>
      </c>
      <c r="N2039" s="8" t="n">
        <v>76153</v>
      </c>
      <c r="O2039" s="9" t="n">
        <v>774870</v>
      </c>
      <c r="P2039" s="10" t="n">
        <v>137067</v>
      </c>
      <c r="Q2039" s="10" t="n">
        <v>102635</v>
      </c>
      <c r="R2039" s="7" t="n">
        <v>861814</v>
      </c>
      <c r="S2039" s="8" t="n">
        <v>159676</v>
      </c>
      <c r="T2039" s="8" t="n">
        <v>254663</v>
      </c>
      <c r="U2039" s="9" t="n">
        <v>801773</v>
      </c>
      <c r="V2039" s="10" t="n">
        <v>131376</v>
      </c>
      <c r="W2039" s="10" t="n">
        <v>106132</v>
      </c>
      <c r="X2039" s="7" t="n">
        <v>777166</v>
      </c>
      <c r="Y2039" s="8" t="n">
        <v>121451</v>
      </c>
      <c r="Z2039" s="8" t="n">
        <v>71662</v>
      </c>
      <c r="AA2039" s="9" t="n">
        <v>828922</v>
      </c>
      <c r="AB2039" s="10" t="n">
        <v>137872</v>
      </c>
      <c r="AC2039" s="10" t="n">
        <v>104994</v>
      </c>
      <c r="AD2039" s="7" t="n">
        <v>924582</v>
      </c>
      <c r="AE2039" s="8" t="n">
        <v>167559</v>
      </c>
      <c r="AF2039" s="8" t="n">
        <v>107810</v>
      </c>
      <c r="AG2039" s="9" t="n">
        <v>930355</v>
      </c>
      <c r="AH2039" s="10" t="n">
        <v>165471</v>
      </c>
      <c r="AI2039" s="10" t="n">
        <v>126812</v>
      </c>
      <c r="AJ2039" s="11" t="n">
        <v>893586</v>
      </c>
      <c r="AK2039" s="12" t="n">
        <v>132572</v>
      </c>
      <c r="AL2039" s="12" t="n">
        <v>86595</v>
      </c>
      <c r="AM2039" s="13" t="n">
        <v>-4</v>
      </c>
      <c r="AN2039" s="13" t="n">
        <v>15</v>
      </c>
      <c r="AO2039" s="13" t="n">
        <v>-19.9</v>
      </c>
      <c r="AP2039" s="13" t="n">
        <v>9.199999999999999</v>
      </c>
    </row>
    <row r="2040">
      <c r="A2040" s="5" t="inlineStr">
        <is>
          <t>팸텍</t>
        </is>
      </c>
      <c r="B2040" s="6" t="inlineStr">
        <is>
          <t>271830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7878</v>
      </c>
      <c r="J2040" s="10" t="n">
        <v>-1725</v>
      </c>
      <c r="K2040" s="10" t="n">
        <v>-1149</v>
      </c>
      <c r="L2040" s="7" t="n">
        <v>11142</v>
      </c>
      <c r="M2040" s="8" t="n">
        <v>-607</v>
      </c>
      <c r="N2040" s="8" t="n">
        <v>420</v>
      </c>
      <c r="O2040" s="9" t="n">
        <v>7844</v>
      </c>
      <c r="P2040" s="10" t="n">
        <v>-1843</v>
      </c>
      <c r="Q2040" s="10" t="n">
        <v>-1798</v>
      </c>
      <c r="R2040" s="7" t="n">
        <v>17492</v>
      </c>
      <c r="S2040" s="8" t="n">
        <v>448</v>
      </c>
      <c r="T2040" s="8" t="n">
        <v>2437</v>
      </c>
      <c r="U2040" s="9" t="n">
        <v>3127</v>
      </c>
      <c r="V2040" s="10" t="n">
        <v>-3227</v>
      </c>
      <c r="W2040" s="10" t="n">
        <v>-3306</v>
      </c>
      <c r="X2040" s="7" t="n">
        <v>5257</v>
      </c>
      <c r="Y2040" s="8" t="n">
        <v>-2029</v>
      </c>
      <c r="Z2040" s="8" t="n">
        <v>-2217</v>
      </c>
      <c r="AA2040" s="9" t="n">
        <v>7701</v>
      </c>
      <c r="AB2040" s="10" t="n">
        <v>-635</v>
      </c>
      <c r="AC2040" s="10" t="n">
        <v>-532</v>
      </c>
      <c r="AD2040" s="7" t="n">
        <v>22657</v>
      </c>
      <c r="AE2040" s="8" t="n">
        <v>1764</v>
      </c>
      <c r="AF2040" s="8" t="n">
        <v>646</v>
      </c>
      <c r="AG2040" s="9" t="n">
        <v>5144</v>
      </c>
      <c r="AH2040" s="10" t="n">
        <v>-3014</v>
      </c>
      <c r="AI2040" s="10" t="n">
        <v>-2753</v>
      </c>
      <c r="AJ2040" s="11" t="n">
        <v>9464</v>
      </c>
      <c r="AK2040" s="12" t="n">
        <v>-2680</v>
      </c>
      <c r="AL2040" s="12" t="n">
        <v>-2402</v>
      </c>
      <c r="AM2040" s="13" t="n">
        <v>84</v>
      </c>
      <c r="AN2040" s="13" t="n">
        <v>80</v>
      </c>
      <c r="AO2040" s="13" t="n">
        <v>11.1</v>
      </c>
      <c r="AP2040" s="13" t="n">
        <v>-32.1</v>
      </c>
    </row>
    <row r="2041">
      <c r="A2041" s="5" t="inlineStr">
        <is>
          <t>일진하이솔루스</t>
        </is>
      </c>
      <c r="B2041" s="6" t="inlineStr">
        <is>
          <t>271940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9543</v>
      </c>
      <c r="J2041" s="10" t="n">
        <v>-1890</v>
      </c>
      <c r="K2041" s="10" t="n">
        <v>521</v>
      </c>
      <c r="L2041" s="7" t="n">
        <v>20951</v>
      </c>
      <c r="M2041" s="8" t="n">
        <v>-1361</v>
      </c>
      <c r="N2041" s="8" t="n">
        <v>936</v>
      </c>
      <c r="O2041" s="9" t="n">
        <v>21832</v>
      </c>
      <c r="P2041" s="10" t="n">
        <v>-2681</v>
      </c>
      <c r="Q2041" s="10" t="n">
        <v>-250</v>
      </c>
      <c r="R2041" s="7" t="n">
        <v>26972</v>
      </c>
      <c r="S2041" s="8" t="n">
        <v>-3584</v>
      </c>
      <c r="T2041" s="8" t="n">
        <v>610</v>
      </c>
      <c r="U2041" s="9" t="n">
        <v>10907</v>
      </c>
      <c r="V2041" s="10" t="n">
        <v>-3017</v>
      </c>
      <c r="W2041" s="10" t="n">
        <v>-487</v>
      </c>
      <c r="X2041" s="7" t="n">
        <v>18328</v>
      </c>
      <c r="Y2041" s="8" t="n">
        <v>-2770</v>
      </c>
      <c r="Z2041" s="8" t="n">
        <v>-466</v>
      </c>
      <c r="AA2041" s="9" t="n">
        <v>28156</v>
      </c>
      <c r="AB2041" s="10" t="n">
        <v>-4448</v>
      </c>
      <c r="AC2041" s="10" t="n">
        <v>-2050</v>
      </c>
      <c r="AD2041" s="7" t="n">
        <v>24195</v>
      </c>
      <c r="AE2041" s="8" t="n">
        <v>-969</v>
      </c>
      <c r="AF2041" s="8" t="n">
        <v>1004</v>
      </c>
      <c r="AG2041" s="9" t="n">
        <v>27121</v>
      </c>
      <c r="AH2041" s="10" t="n">
        <v>-2031</v>
      </c>
      <c r="AI2041" s="10" t="n">
        <v>-50</v>
      </c>
      <c r="AJ2041" s="11" t="n">
        <v>25882</v>
      </c>
      <c r="AK2041" s="12" t="n">
        <v>-646</v>
      </c>
      <c r="AL2041" s="12" t="n">
        <v>966</v>
      </c>
      <c r="AM2041" s="13" t="n">
        <v>-4.6</v>
      </c>
      <c r="AN2041" s="13" t="n">
        <v>41.2</v>
      </c>
      <c r="AO2041" s="13" t="n">
        <v>68.2</v>
      </c>
      <c r="AP2041" s="13" t="n">
        <v>76.7</v>
      </c>
    </row>
    <row r="2042">
      <c r="A2042" s="5" t="inlineStr">
        <is>
          <t>제일약품</t>
        </is>
      </c>
      <c r="B2042" s="6" t="inlineStr">
        <is>
          <t>271980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170416</v>
      </c>
      <c r="J2042" s="10" t="n">
        <v>-2215</v>
      </c>
      <c r="K2042" s="10" t="n">
        <v>-3290</v>
      </c>
      <c r="L2042" s="7" t="n">
        <v>173179</v>
      </c>
      <c r="M2042" s="8" t="n">
        <v>-15043</v>
      </c>
      <c r="N2042" s="8" t="n">
        <v>-27577</v>
      </c>
      <c r="O2042" s="9" t="n">
        <v>174381</v>
      </c>
      <c r="P2042" s="10" t="n">
        <v>-4056</v>
      </c>
      <c r="Q2042" s="10" t="n">
        <v>-5498</v>
      </c>
      <c r="R2042" s="7" t="n">
        <v>186566</v>
      </c>
      <c r="S2042" s="8" t="n">
        <v>2387</v>
      </c>
      <c r="T2042" s="8" t="n">
        <v>6222</v>
      </c>
      <c r="U2042" s="9" t="n">
        <v>163024</v>
      </c>
      <c r="V2042" s="10" t="n">
        <v>5656</v>
      </c>
      <c r="W2042" s="10" t="n">
        <v>3629</v>
      </c>
      <c r="X2042" s="7" t="n">
        <v>137628</v>
      </c>
      <c r="Y2042" s="8" t="n">
        <v>4684</v>
      </c>
      <c r="Z2042" s="8" t="n">
        <v>3036</v>
      </c>
      <c r="AA2042" s="9" t="n">
        <v>134761</v>
      </c>
      <c r="AB2042" s="10" t="n">
        <v>9821</v>
      </c>
      <c r="AC2042" s="10" t="n">
        <v>15872</v>
      </c>
      <c r="AD2042" s="7" t="n">
        <v>131831</v>
      </c>
      <c r="AE2042" s="8" t="n">
        <v>534</v>
      </c>
      <c r="AF2042" s="8" t="n">
        <v>9464</v>
      </c>
      <c r="AG2042" s="9" t="n">
        <v>130298</v>
      </c>
      <c r="AH2042" s="10" t="n">
        <v>418</v>
      </c>
      <c r="AI2042" s="10" t="n">
        <v>3225</v>
      </c>
      <c r="AJ2042" s="11" t="n">
        <v>146604</v>
      </c>
      <c r="AK2042" s="12" t="n">
        <v>-7044</v>
      </c>
      <c r="AL2042" s="12" t="n">
        <v>-6675</v>
      </c>
      <c r="AM2042" s="13" t="n">
        <v>12.5</v>
      </c>
      <c r="AN2042" s="13" t="n">
        <v>6.5</v>
      </c>
      <c r="AO2042" s="13" t="n">
        <v>-1785.2</v>
      </c>
      <c r="AP2042" s="13" t="n">
        <v>-250.4</v>
      </c>
    </row>
    <row r="2043">
      <c r="A2043" s="5" t="inlineStr">
        <is>
          <t>케이엔제이</t>
        </is>
      </c>
      <c r="B2043" s="6" t="inlineStr">
        <is>
          <t>272110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12533</v>
      </c>
      <c r="J2043" s="10" t="n">
        <v>2072</v>
      </c>
      <c r="K2043" s="10" t="n">
        <v>3079</v>
      </c>
      <c r="L2043" s="7" t="n">
        <v>16619</v>
      </c>
      <c r="M2043" s="8" t="n">
        <v>3776</v>
      </c>
      <c r="N2043" s="8" t="n">
        <v>3755</v>
      </c>
      <c r="O2043" s="9" t="n">
        <v>16434</v>
      </c>
      <c r="P2043" s="10" t="n">
        <v>4435</v>
      </c>
      <c r="Q2043" s="10" t="n">
        <v>2538</v>
      </c>
      <c r="R2043" s="7" t="n">
        <v>16631</v>
      </c>
      <c r="S2043" s="8" t="n">
        <v>3866</v>
      </c>
      <c r="T2043" s="8" t="n">
        <v>1398</v>
      </c>
      <c r="U2043" s="9" t="n">
        <v>19290</v>
      </c>
      <c r="V2043" s="10" t="n">
        <v>5539</v>
      </c>
      <c r="W2043" s="10" t="n">
        <v>4558</v>
      </c>
      <c r="X2043" s="7" t="n">
        <v>19950</v>
      </c>
      <c r="Y2043" s="8" t="n">
        <v>5181</v>
      </c>
      <c r="Z2043" s="8" t="n">
        <v>3582</v>
      </c>
      <c r="AA2043" s="9" t="n">
        <v>21856</v>
      </c>
      <c r="AB2043" s="10" t="n">
        <v>5643</v>
      </c>
      <c r="AC2043" s="10" t="n">
        <v>7475</v>
      </c>
      <c r="AD2043" s="7" t="n">
        <v>23349</v>
      </c>
      <c r="AE2043" s="8" t="n">
        <v>5880</v>
      </c>
      <c r="AF2043" s="8" t="n">
        <v>9945</v>
      </c>
      <c r="AG2043" s="9" t="n">
        <v>34871</v>
      </c>
      <c r="AH2043" s="10" t="n">
        <v>7503</v>
      </c>
      <c r="AI2043" s="10" t="n">
        <v>6340</v>
      </c>
      <c r="AJ2043" s="11" t="n">
        <v>34351</v>
      </c>
      <c r="AK2043" s="12" t="n">
        <v>6262</v>
      </c>
      <c r="AL2043" s="12" t="n">
        <v>360</v>
      </c>
      <c r="AM2043" s="13" t="n">
        <v>-1.5</v>
      </c>
      <c r="AN2043" s="13" t="n">
        <v>72.2</v>
      </c>
      <c r="AO2043" s="13" t="n">
        <v>-16.5</v>
      </c>
      <c r="AP2043" s="13" t="n">
        <v>20.9</v>
      </c>
    </row>
    <row r="2044">
      <c r="A2044" s="5" t="inlineStr">
        <is>
          <t>한화시스템</t>
        </is>
      </c>
      <c r="B2044" s="6" t="inlineStr">
        <is>
          <t>272210</t>
        </is>
      </c>
      <c r="C2044" s="6" t="inlineStr">
        <is>
          <t>연결</t>
        </is>
      </c>
      <c r="D2044" s="6" t="inlineStr">
        <is>
          <t>2026Q2</t>
        </is>
      </c>
      <c r="E2044" s="6" t="inlineStr">
        <is>
          <t>2023Q4</t>
        </is>
      </c>
      <c r="F2044" s="14" t="n">
        <v>782100</v>
      </c>
      <c r="G2044" s="15" t="n">
        <v>10966</v>
      </c>
      <c r="H2044" s="15" t="n">
        <v>42246</v>
      </c>
      <c r="I2044" s="9" t="n">
        <v>544364</v>
      </c>
      <c r="J2044" s="10" t="n">
        <v>39264</v>
      </c>
      <c r="K2044" s="10" t="n">
        <v>50323</v>
      </c>
      <c r="L2044" s="7" t="n">
        <v>687319</v>
      </c>
      <c r="M2044" s="8" t="n">
        <v>79837</v>
      </c>
      <c r="N2044" s="8" t="n">
        <v>27036</v>
      </c>
      <c r="O2044" s="9" t="n">
        <v>639172</v>
      </c>
      <c r="P2044" s="10" t="n">
        <v>56999</v>
      </c>
      <c r="Q2044" s="10" t="n">
        <v>8145</v>
      </c>
      <c r="R2044" s="7" t="n">
        <v>932831</v>
      </c>
      <c r="S2044" s="8" t="n">
        <v>43245</v>
      </c>
      <c r="T2044" s="8" t="n">
        <v>359875</v>
      </c>
      <c r="U2044" s="9" t="n">
        <v>690101</v>
      </c>
      <c r="V2044" s="10" t="n">
        <v>58164</v>
      </c>
      <c r="W2044" s="10" t="n">
        <v>40970</v>
      </c>
      <c r="X2044" s="7" t="n">
        <v>768191</v>
      </c>
      <c r="Y2044" s="8" t="n">
        <v>33451</v>
      </c>
      <c r="Z2044" s="8" t="n">
        <v>47009</v>
      </c>
      <c r="AA2044" s="9" t="n">
        <v>807737</v>
      </c>
      <c r="AB2044" s="10" t="n">
        <v>22521</v>
      </c>
      <c r="AC2044" s="10" t="n">
        <v>151796</v>
      </c>
      <c r="AD2044" s="7" t="n">
        <v>1398122</v>
      </c>
      <c r="AE2044" s="8" t="n">
        <v>5763</v>
      </c>
      <c r="AF2044" s="8" t="n">
        <v>-30630</v>
      </c>
      <c r="AG2044" s="9" t="n">
        <v>807099</v>
      </c>
      <c r="AH2044" s="10" t="n">
        <v>34284</v>
      </c>
      <c r="AI2044" s="10" t="n">
        <v>-95752</v>
      </c>
      <c r="AJ2044" s="11" t="n">
        <v>1117552</v>
      </c>
      <c r="AK2044" s="12" t="n">
        <v>103652</v>
      </c>
      <c r="AL2044" s="12" t="n">
        <v>52743</v>
      </c>
      <c r="AM2044" s="13" t="n">
        <v>38.5</v>
      </c>
      <c r="AN2044" s="13" t="n">
        <v>45.5</v>
      </c>
      <c r="AO2044" s="13" t="n">
        <v>202.3</v>
      </c>
      <c r="AP2044" s="13" t="n">
        <v>209.9</v>
      </c>
    </row>
    <row r="2045">
      <c r="A2045" s="5" t="inlineStr">
        <is>
          <t>이녹스첨단소재</t>
        </is>
      </c>
      <c r="B2045" s="6" t="inlineStr">
        <is>
          <t>272290</t>
        </is>
      </c>
      <c r="C2045" s="6" t="inlineStr">
        <is>
          <t>연결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102199</v>
      </c>
      <c r="J2045" s="10" t="n">
        <v>15760</v>
      </c>
      <c r="K2045" s="10" t="n">
        <v>14914</v>
      </c>
      <c r="L2045" s="7" t="n">
        <v>115731</v>
      </c>
      <c r="M2045" s="8" t="n">
        <v>27614</v>
      </c>
      <c r="N2045" s="8" t="n">
        <v>18605</v>
      </c>
      <c r="O2045" s="9" t="n">
        <v>100721</v>
      </c>
      <c r="P2045" s="10" t="n">
        <v>18433</v>
      </c>
      <c r="Q2045" s="10" t="n">
        <v>8189</v>
      </c>
      <c r="R2045" s="7" t="n">
        <v>104158</v>
      </c>
      <c r="S2045" s="8" t="n">
        <v>24997</v>
      </c>
      <c r="T2045" s="8" t="n">
        <v>28349</v>
      </c>
      <c r="U2045" s="9" t="n">
        <v>113116</v>
      </c>
      <c r="V2045" s="10" t="n">
        <v>26371</v>
      </c>
      <c r="W2045" s="10" t="n">
        <v>20021</v>
      </c>
      <c r="X2045" s="7" t="n">
        <v>111420</v>
      </c>
      <c r="Y2045" s="8" t="n">
        <v>22243</v>
      </c>
      <c r="Z2045" s="8" t="n">
        <v>12726</v>
      </c>
      <c r="AA2045" s="9" t="n">
        <v>112715</v>
      </c>
      <c r="AB2045" s="10" t="n">
        <v>20627</v>
      </c>
      <c r="AC2045" s="10" t="n">
        <v>17635</v>
      </c>
      <c r="AD2045" s="7" t="n">
        <v>102383</v>
      </c>
      <c r="AE2045" s="8" t="n">
        <v>12680</v>
      </c>
      <c r="AF2045" s="8" t="n">
        <v>5564</v>
      </c>
      <c r="AG2045" s="9" t="n">
        <v>95123</v>
      </c>
      <c r="AH2045" s="10" t="n">
        <v>16889</v>
      </c>
      <c r="AI2045" s="10" t="n">
        <v>14389</v>
      </c>
      <c r="AJ2045" s="11" t="n">
        <v>108667</v>
      </c>
      <c r="AK2045" s="12" t="n">
        <v>10449</v>
      </c>
      <c r="AL2045" s="12" t="n">
        <v>18022</v>
      </c>
      <c r="AM2045" s="13" t="n">
        <v>14.2</v>
      </c>
      <c r="AN2045" s="13" t="n">
        <v>-2.5</v>
      </c>
      <c r="AO2045" s="13" t="n">
        <v>-38.1</v>
      </c>
      <c r="AP2045" s="13" t="n">
        <v>-53</v>
      </c>
    </row>
    <row r="2046">
      <c r="A2046" s="5" t="inlineStr">
        <is>
          <t>진에어</t>
        </is>
      </c>
      <c r="B2046" s="6" t="inlineStr">
        <is>
          <t>272450</t>
        </is>
      </c>
      <c r="C2046" s="6" t="inlineStr">
        <is>
          <t>별도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430306</v>
      </c>
      <c r="J2046" s="10" t="n">
        <v>98494</v>
      </c>
      <c r="K2046" s="10" t="n">
        <v>68278</v>
      </c>
      <c r="L2046" s="7" t="n">
        <v>308157</v>
      </c>
      <c r="M2046" s="8" t="n">
        <v>904</v>
      </c>
      <c r="N2046" s="8" t="n">
        <v>-5866</v>
      </c>
      <c r="O2046" s="9" t="n">
        <v>364576</v>
      </c>
      <c r="P2046" s="10" t="n">
        <v>40159</v>
      </c>
      <c r="Q2046" s="10" t="n">
        <v>42010</v>
      </c>
      <c r="R2046" s="7" t="n">
        <v>358224</v>
      </c>
      <c r="S2046" s="8" t="n">
        <v>23557</v>
      </c>
      <c r="T2046" s="8" t="n">
        <v>-8709</v>
      </c>
      <c r="U2046" s="9" t="n">
        <v>417845</v>
      </c>
      <c r="V2046" s="10" t="n">
        <v>58273</v>
      </c>
      <c r="W2046" s="10" t="n">
        <v>45704</v>
      </c>
      <c r="X2046" s="7" t="n">
        <v>306073</v>
      </c>
      <c r="Y2046" s="8" t="n">
        <v>-42286</v>
      </c>
      <c r="Z2046" s="8" t="n">
        <v>-15718</v>
      </c>
      <c r="AA2046" s="9" t="n">
        <v>304336</v>
      </c>
      <c r="AB2046" s="10" t="n">
        <v>-22514</v>
      </c>
      <c r="AC2046" s="10" t="n">
        <v>-27538</v>
      </c>
      <c r="AD2046" s="7" t="n">
        <v>352827</v>
      </c>
      <c r="AE2046" s="8" t="n">
        <v>-12631</v>
      </c>
      <c r="AF2046" s="8" t="n">
        <v>-12203</v>
      </c>
      <c r="AG2046" s="9" t="n">
        <v>422976</v>
      </c>
      <c r="AH2046" s="10" t="n">
        <v>57613</v>
      </c>
      <c r="AI2046" s="10" t="n">
        <v>21672</v>
      </c>
      <c r="AJ2046" s="11" t="n">
        <v>360298</v>
      </c>
      <c r="AK2046" s="12" t="n">
        <v>-73103</v>
      </c>
      <c r="AL2046" s="12" t="n">
        <v>-67544</v>
      </c>
      <c r="AM2046" s="13" t="n">
        <v>-14.8</v>
      </c>
      <c r="AN2046" s="13" t="n">
        <v>17.7</v>
      </c>
      <c r="AO2046" s="13" t="n">
        <v>-226.9</v>
      </c>
      <c r="AP2046" s="13" t="n">
        <v>-72.90000000000001</v>
      </c>
    </row>
    <row r="2047">
      <c r="A2047" s="5" t="inlineStr">
        <is>
          <t>삼양패키징</t>
        </is>
      </c>
      <c r="B2047" s="6" t="inlineStr">
        <is>
          <t>272550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104158</v>
      </c>
      <c r="J2047" s="10" t="n">
        <v>3206</v>
      </c>
      <c r="K2047" s="10" t="n">
        <v>567</v>
      </c>
      <c r="L2047" s="7" t="n">
        <v>125580</v>
      </c>
      <c r="M2047" s="8" t="n">
        <v>18660</v>
      </c>
      <c r="N2047" s="8" t="n">
        <v>15057</v>
      </c>
      <c r="O2047" s="9" t="n">
        <v>121673</v>
      </c>
      <c r="P2047" s="10" t="n">
        <v>13375</v>
      </c>
      <c r="Q2047" s="10" t="n">
        <v>10175</v>
      </c>
      <c r="R2047" s="7" t="n">
        <v>96701</v>
      </c>
      <c r="S2047" s="8" t="n">
        <v>-1484</v>
      </c>
      <c r="T2047" s="8" t="n">
        <v>-5359</v>
      </c>
      <c r="U2047" s="9" t="n">
        <v>92029</v>
      </c>
      <c r="V2047" s="10" t="n">
        <v>-1553</v>
      </c>
      <c r="W2047" s="10" t="n">
        <v>-3742</v>
      </c>
      <c r="X2047" s="7" t="n">
        <v>120110</v>
      </c>
      <c r="Y2047" s="8" t="n">
        <v>13976</v>
      </c>
      <c r="Z2047" s="8" t="n">
        <v>13590</v>
      </c>
      <c r="AA2047" s="9" t="n">
        <v>125270</v>
      </c>
      <c r="AB2047" s="10" t="n">
        <v>15822</v>
      </c>
      <c r="AC2047" s="10" t="n">
        <v>12868</v>
      </c>
      <c r="AD2047" s="7" t="n">
        <v>82809</v>
      </c>
      <c r="AE2047" s="8" t="n">
        <v>-3598</v>
      </c>
      <c r="AF2047" s="8" t="n">
        <v>-5059</v>
      </c>
      <c r="AG2047" s="9" t="n">
        <v>93300</v>
      </c>
      <c r="AH2047" s="10" t="n">
        <v>454</v>
      </c>
      <c r="AI2047" s="10" t="n">
        <v>-1328</v>
      </c>
      <c r="AJ2047" s="11" t="n">
        <v>131481</v>
      </c>
      <c r="AK2047" s="12" t="n">
        <v>17047</v>
      </c>
      <c r="AL2047" s="12" t="n">
        <v>13566</v>
      </c>
      <c r="AM2047" s="13" t="n">
        <v>40.9</v>
      </c>
      <c r="AN2047" s="13" t="n">
        <v>9.5</v>
      </c>
      <c r="AO2047" s="13" t="n">
        <v>3654.8</v>
      </c>
      <c r="AP2047" s="13" t="n">
        <v>22</v>
      </c>
    </row>
    <row r="2048">
      <c r="A2048" s="5" t="inlineStr">
        <is>
          <t>와이즈버즈</t>
        </is>
      </c>
      <c r="B2048" s="6" t="inlineStr">
        <is>
          <t>273060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3997</v>
      </c>
      <c r="J2048" s="10" t="n">
        <v>-409</v>
      </c>
      <c r="K2048" s="10" t="n">
        <v>-982</v>
      </c>
      <c r="L2048" s="7" t="n">
        <v>7772</v>
      </c>
      <c r="M2048" s="8" t="n">
        <v>-228</v>
      </c>
      <c r="N2048" s="8" t="n">
        <v>-1576</v>
      </c>
      <c r="O2048" s="9" t="n">
        <v>8338</v>
      </c>
      <c r="P2048" s="10" t="n">
        <v>1291</v>
      </c>
      <c r="Q2048" s="10" t="n">
        <v>-313</v>
      </c>
      <c r="R2048" s="7" t="n">
        <v>10681</v>
      </c>
      <c r="S2048" s="8" t="n">
        <v>1651</v>
      </c>
      <c r="T2048" s="8" t="n">
        <v>5000</v>
      </c>
      <c r="U2048" s="9" t="n">
        <v>8461</v>
      </c>
      <c r="V2048" s="10" t="n">
        <v>642</v>
      </c>
      <c r="W2048" s="10" t="n">
        <v>-698</v>
      </c>
      <c r="X2048" s="7" t="n">
        <v>11132</v>
      </c>
      <c r="Y2048" s="8" t="n">
        <v>1919</v>
      </c>
      <c r="Z2048" s="8" t="n">
        <v>-1514</v>
      </c>
      <c r="AA2048" s="9" t="n">
        <v>10439</v>
      </c>
      <c r="AB2048" s="10" t="n">
        <v>2095</v>
      </c>
      <c r="AC2048" s="10" t="n">
        <v>384</v>
      </c>
      <c r="AD2048" s="7" t="n">
        <v>15489</v>
      </c>
      <c r="AE2048" s="8" t="n">
        <v>2919</v>
      </c>
      <c r="AF2048" s="8" t="n">
        <v>3690</v>
      </c>
      <c r="AG2048" s="9" t="n">
        <v>11822</v>
      </c>
      <c r="AH2048" s="10" t="n">
        <v>2909</v>
      </c>
      <c r="AI2048" s="10" t="n">
        <v>1221</v>
      </c>
      <c r="AJ2048" s="11" t="n">
        <v>12716</v>
      </c>
      <c r="AK2048" s="12" t="n">
        <v>2861</v>
      </c>
      <c r="AL2048" s="12" t="n">
        <v>991</v>
      </c>
      <c r="AM2048" s="13" t="n">
        <v>7.6</v>
      </c>
      <c r="AN2048" s="13" t="n">
        <v>14.2</v>
      </c>
      <c r="AO2048" s="13" t="n">
        <v>-1.7</v>
      </c>
      <c r="AP2048" s="13" t="n">
        <v>49.1</v>
      </c>
    </row>
    <row r="2049">
      <c r="A2049" s="5" t="inlineStr">
        <is>
          <t>와이엠텍</t>
        </is>
      </c>
      <c r="B2049" s="6" t="inlineStr">
        <is>
          <t>273640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7309</v>
      </c>
      <c r="J2049" s="10" t="n">
        <v>547</v>
      </c>
      <c r="K2049" s="10" t="n">
        <v>826</v>
      </c>
      <c r="L2049" s="7" t="n">
        <v>7749</v>
      </c>
      <c r="M2049" s="8" t="n">
        <v>1320</v>
      </c>
      <c r="N2049" s="8" t="n">
        <v>1648</v>
      </c>
      <c r="O2049" s="9" t="n">
        <v>7220</v>
      </c>
      <c r="P2049" s="10" t="n">
        <v>1248</v>
      </c>
      <c r="Q2049" s="10" t="n">
        <v>1028</v>
      </c>
      <c r="R2049" s="7" t="n">
        <v>8634</v>
      </c>
      <c r="S2049" s="8" t="n">
        <v>1200</v>
      </c>
      <c r="T2049" s="8" t="n">
        <v>1376</v>
      </c>
      <c r="U2049" s="9" t="n">
        <v>8181</v>
      </c>
      <c r="V2049" s="10" t="n">
        <v>1452</v>
      </c>
      <c r="W2049" s="10" t="n">
        <v>1369</v>
      </c>
      <c r="X2049" s="7" t="n">
        <v>8874</v>
      </c>
      <c r="Y2049" s="8" t="n">
        <v>938</v>
      </c>
      <c r="Z2049" s="8" t="n">
        <v>1136</v>
      </c>
      <c r="AA2049" s="9" t="n">
        <v>6386</v>
      </c>
      <c r="AB2049" s="10" t="n">
        <v>712</v>
      </c>
      <c r="AC2049" s="10" t="n">
        <v>1045</v>
      </c>
      <c r="AD2049" s="7" t="n">
        <v>5668</v>
      </c>
      <c r="AE2049" s="8" t="n">
        <v>-1359</v>
      </c>
      <c r="AF2049" s="8" t="n">
        <v>-377</v>
      </c>
      <c r="AG2049" s="9" t="n">
        <v>13968</v>
      </c>
      <c r="AH2049" s="10" t="n">
        <v>473</v>
      </c>
      <c r="AI2049" s="10" t="n">
        <v>268</v>
      </c>
      <c r="AJ2049" s="11" t="n">
        <v>17652</v>
      </c>
      <c r="AK2049" s="12" t="n">
        <v>1844</v>
      </c>
      <c r="AL2049" s="12" t="n">
        <v>1340</v>
      </c>
      <c r="AM2049" s="13" t="n">
        <v>26.4</v>
      </c>
      <c r="AN2049" s="13" t="n">
        <v>98.90000000000001</v>
      </c>
      <c r="AO2049" s="13" t="n">
        <v>289.9</v>
      </c>
      <c r="AP2049" s="13" t="n">
        <v>96.59999999999999</v>
      </c>
    </row>
    <row r="2050">
      <c r="A2050" s="5" t="inlineStr">
        <is>
          <t>켄코아에어로스페이스</t>
        </is>
      </c>
      <c r="B2050" s="6" t="inlineStr">
        <is>
          <t>274090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20452</v>
      </c>
      <c r="J2050" s="10" t="n">
        <v>-1203</v>
      </c>
      <c r="K2050" s="10" t="n">
        <v>-1915</v>
      </c>
      <c r="L2050" s="7" t="n">
        <v>23143</v>
      </c>
      <c r="M2050" s="8" t="n">
        <v>-242</v>
      </c>
      <c r="N2050" s="8" t="n">
        <v>414</v>
      </c>
      <c r="O2050" s="9" t="n">
        <v>23372</v>
      </c>
      <c r="P2050" s="10" t="n">
        <v>266</v>
      </c>
      <c r="Q2050" s="10" t="n">
        <v>-267</v>
      </c>
      <c r="R2050" s="7" t="n">
        <v>19187</v>
      </c>
      <c r="S2050" s="8" t="n">
        <v>-4173</v>
      </c>
      <c r="T2050" s="8" t="n">
        <v>-5941</v>
      </c>
      <c r="U2050" s="9" t="n">
        <v>16884</v>
      </c>
      <c r="V2050" s="10" t="n">
        <v>106</v>
      </c>
      <c r="W2050" s="10" t="n">
        <v>-382</v>
      </c>
      <c r="X2050" s="7" t="n">
        <v>21590</v>
      </c>
      <c r="Y2050" s="8" t="n">
        <v>-1801</v>
      </c>
      <c r="Z2050" s="8" t="n">
        <v>-2556</v>
      </c>
      <c r="AA2050" s="9" t="n">
        <v>17763</v>
      </c>
      <c r="AB2050" s="10" t="n">
        <v>-4307</v>
      </c>
      <c r="AC2050" s="10" t="n">
        <v>-2822</v>
      </c>
      <c r="AD2050" s="7" t="n">
        <v>20157</v>
      </c>
      <c r="AE2050" s="8" t="n">
        <v>-3229</v>
      </c>
      <c r="AF2050" s="8" t="n">
        <v>-9715</v>
      </c>
      <c r="AG2050" s="9" t="n">
        <v>29224</v>
      </c>
      <c r="AH2050" s="10" t="n">
        <v>218</v>
      </c>
      <c r="AI2050" s="10" t="n">
        <v>939</v>
      </c>
      <c r="AJ2050" s="11" t="n">
        <v>28474</v>
      </c>
      <c r="AK2050" s="12" t="n">
        <v>1184</v>
      </c>
      <c r="AL2050" s="12" t="n">
        <v>334</v>
      </c>
      <c r="AM2050" s="13" t="n">
        <v>-2.6</v>
      </c>
      <c r="AN2050" s="13" t="n">
        <v>31.9</v>
      </c>
      <c r="AO2050" s="13" t="n">
        <v>443.1</v>
      </c>
      <c r="AP2050" s="13" t="n">
        <v>165.7</v>
      </c>
    </row>
    <row r="2051">
      <c r="A2051" s="5" t="inlineStr">
        <is>
          <t>이노시뮬레이션</t>
        </is>
      </c>
      <c r="B2051" s="6" t="inlineStr">
        <is>
          <t>274400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1946</v>
      </c>
      <c r="J2051" s="10" t="n">
        <v>-774</v>
      </c>
      <c r="K2051" s="10" t="n">
        <v>-874</v>
      </c>
      <c r="L2051" s="7" t="n">
        <v>1631</v>
      </c>
      <c r="M2051" s="8" t="n">
        <v>-1853</v>
      </c>
      <c r="N2051" s="8" t="n">
        <v>-2226</v>
      </c>
      <c r="O2051" s="9" t="n">
        <v>2627</v>
      </c>
      <c r="P2051" s="10" t="n">
        <v>-539</v>
      </c>
      <c r="Q2051" s="10" t="n">
        <v>-720</v>
      </c>
      <c r="R2051" s="7" t="n">
        <v>3132</v>
      </c>
      <c r="S2051" s="8" t="n">
        <v>-1647</v>
      </c>
      <c r="T2051" s="8" t="n">
        <v>-2761</v>
      </c>
      <c r="U2051" s="9" t="n">
        <v>2210</v>
      </c>
      <c r="V2051" s="10" t="n">
        <v>-1200</v>
      </c>
      <c r="W2051" s="10" t="n">
        <v>-1333</v>
      </c>
      <c r="X2051" s="7" t="n">
        <v>4645</v>
      </c>
      <c r="Y2051" s="8" t="n">
        <v>-173</v>
      </c>
      <c r="Z2051" s="8" t="n">
        <v>-402</v>
      </c>
      <c r="AA2051" s="9" t="n">
        <v>2509</v>
      </c>
      <c r="AB2051" s="10" t="n">
        <v>-759</v>
      </c>
      <c r="AC2051" s="10" t="n">
        <v>-882</v>
      </c>
      <c r="AD2051" s="7" t="n">
        <v>4888</v>
      </c>
      <c r="AE2051" s="8" t="n">
        <v>143</v>
      </c>
      <c r="AF2051" s="8" t="n">
        <v>526</v>
      </c>
      <c r="AG2051" s="9" t="n">
        <v>2446</v>
      </c>
      <c r="AH2051" s="10" t="n">
        <v>-460</v>
      </c>
      <c r="AI2051" s="10" t="n">
        <v>-524</v>
      </c>
      <c r="AJ2051" s="11" t="n">
        <v>2164</v>
      </c>
      <c r="AK2051" s="12" t="n">
        <v>-844</v>
      </c>
      <c r="AL2051" s="12" t="n">
        <v>-963</v>
      </c>
      <c r="AM2051" s="13" t="n">
        <v>-11.5</v>
      </c>
      <c r="AN2051" s="13" t="n">
        <v>-53.4</v>
      </c>
      <c r="AO2051" s="13" t="n">
        <v>-83.5</v>
      </c>
      <c r="AP2051" s="13" t="n">
        <v>-387.9</v>
      </c>
    </row>
    <row r="2052">
      <c r="A2052" s="5" t="inlineStr">
        <is>
          <t>에스에스알</t>
        </is>
      </c>
      <c r="B2052" s="6" t="inlineStr">
        <is>
          <t>275630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2229</v>
      </c>
      <c r="J2052" s="10" t="n">
        <v>-299</v>
      </c>
      <c r="K2052" s="10" t="n">
        <v>7</v>
      </c>
      <c r="L2052" s="7" t="n">
        <v>2417</v>
      </c>
      <c r="M2052" s="8" t="n">
        <v>-578</v>
      </c>
      <c r="N2052" s="8" t="n">
        <v>-275</v>
      </c>
      <c r="O2052" s="9" t="n">
        <v>3004</v>
      </c>
      <c r="P2052" s="10" t="n">
        <v>55</v>
      </c>
      <c r="Q2052" s="10" t="n">
        <v>225</v>
      </c>
      <c r="R2052" s="7" t="n">
        <v>3958</v>
      </c>
      <c r="S2052" s="8" t="n">
        <v>510</v>
      </c>
      <c r="T2052" s="8" t="n">
        <v>-211</v>
      </c>
      <c r="U2052" s="9" t="n">
        <v>2358</v>
      </c>
      <c r="V2052" s="10" t="n">
        <v>-728</v>
      </c>
      <c r="W2052" s="10" t="n">
        <v>-526</v>
      </c>
      <c r="X2052" s="7" t="n">
        <v>3135</v>
      </c>
      <c r="Y2052" s="8" t="n">
        <v>3</v>
      </c>
      <c r="Z2052" s="8" t="n">
        <v>182</v>
      </c>
      <c r="AA2052" s="9" t="n">
        <v>2431</v>
      </c>
      <c r="AB2052" s="10" t="n">
        <v>-417</v>
      </c>
      <c r="AC2052" s="10" t="n">
        <v>-196</v>
      </c>
      <c r="AD2052" s="7" t="n">
        <v>5125</v>
      </c>
      <c r="AE2052" s="8" t="n">
        <v>1463</v>
      </c>
      <c r="AF2052" s="8" t="n">
        <v>-1124</v>
      </c>
      <c r="AG2052" s="9" t="n">
        <v>1753</v>
      </c>
      <c r="AH2052" s="10" t="n">
        <v>-1274</v>
      </c>
      <c r="AI2052" s="10" t="n">
        <v>-734</v>
      </c>
      <c r="AJ2052" s="11" t="n">
        <v>2315</v>
      </c>
      <c r="AK2052" s="12" t="n">
        <v>-606</v>
      </c>
      <c r="AL2052" s="12" t="n">
        <v>-779</v>
      </c>
      <c r="AM2052" s="13" t="n">
        <v>32.1</v>
      </c>
      <c r="AN2052" s="13" t="n">
        <v>-26.2</v>
      </c>
      <c r="AO2052" s="13" t="n">
        <v>52.4</v>
      </c>
      <c r="AP2052" s="13" t="n">
        <v>-20300</v>
      </c>
    </row>
    <row r="2053">
      <c r="A2053" s="5" t="inlineStr">
        <is>
          <t>스코넥</t>
        </is>
      </c>
      <c r="B2053" s="6" t="inlineStr">
        <is>
          <t>276040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inlineStr"/>
      <c r="J2053" s="10" t="n">
        <v>-1859</v>
      </c>
      <c r="K2053" s="10" t="n">
        <v>-1652</v>
      </c>
      <c r="L2053" s="7" t="inlineStr"/>
      <c r="M2053" s="8" t="n">
        <v>-2213</v>
      </c>
      <c r="N2053" s="8" t="n">
        <v>-1938</v>
      </c>
      <c r="O2053" s="9" t="inlineStr"/>
      <c r="P2053" s="10" t="n">
        <v>-1846</v>
      </c>
      <c r="Q2053" s="10" t="n">
        <v>-1676</v>
      </c>
      <c r="R2053" s="7" t="inlineStr"/>
      <c r="S2053" s="8" t="n">
        <v>-1543</v>
      </c>
      <c r="T2053" s="8" t="n">
        <v>-1380</v>
      </c>
      <c r="U2053" s="9" t="inlineStr"/>
      <c r="V2053" s="10" t="n">
        <v>-2266</v>
      </c>
      <c r="W2053" s="10" t="n">
        <v>-2161</v>
      </c>
      <c r="X2053" s="7" t="inlineStr"/>
      <c r="Y2053" s="8" t="n">
        <v>-2460</v>
      </c>
      <c r="Z2053" s="8" t="n">
        <v>-2214</v>
      </c>
      <c r="AA2053" s="9" t="inlineStr"/>
      <c r="AB2053" s="10" t="n">
        <v>-1972</v>
      </c>
      <c r="AC2053" s="10" t="n">
        <v>-1770</v>
      </c>
      <c r="AD2053" s="7" t="inlineStr"/>
      <c r="AE2053" s="8" t="n">
        <v>-5535</v>
      </c>
      <c r="AF2053" s="8" t="n">
        <v>-15711</v>
      </c>
      <c r="AG2053" s="9" t="inlineStr"/>
      <c r="AH2053" s="10" t="n">
        <v>-1745</v>
      </c>
      <c r="AI2053" s="10" t="n">
        <v>-744</v>
      </c>
      <c r="AJ2053" s="11" t="inlineStr"/>
      <c r="AK2053" s="12" t="n">
        <v>-868</v>
      </c>
      <c r="AL2053" s="12" t="n">
        <v>-2147</v>
      </c>
      <c r="AM2053" s="13" t="inlineStr"/>
      <c r="AN2053" s="13" t="inlineStr"/>
      <c r="AO2053" s="13" t="n">
        <v>50.3</v>
      </c>
      <c r="AP2053" s="13" t="n">
        <v>64.7</v>
      </c>
    </row>
    <row r="2054">
      <c r="A2054" s="5" t="inlineStr">
        <is>
          <t>한울앤제주</t>
        </is>
      </c>
      <c r="B2054" s="6" t="inlineStr">
        <is>
          <t>276730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5030</v>
      </c>
      <c r="J2054" s="10" t="n">
        <v>-1055</v>
      </c>
      <c r="K2054" s="10" t="n">
        <v>-1016</v>
      </c>
      <c r="L2054" s="7" t="n">
        <v>5167</v>
      </c>
      <c r="M2054" s="8" t="n">
        <v>-1581</v>
      </c>
      <c r="N2054" s="8" t="n">
        <v>-1918</v>
      </c>
      <c r="O2054" s="9" t="n">
        <v>4478</v>
      </c>
      <c r="P2054" s="10" t="n">
        <v>-502</v>
      </c>
      <c r="Q2054" s="10" t="n">
        <v>-716</v>
      </c>
      <c r="R2054" s="7" t="n">
        <v>3601</v>
      </c>
      <c r="S2054" s="8" t="n">
        <v>-1689</v>
      </c>
      <c r="T2054" s="8" t="n">
        <v>-17295</v>
      </c>
      <c r="U2054" s="9" t="n">
        <v>3401</v>
      </c>
      <c r="V2054" s="10" t="n">
        <v>-532</v>
      </c>
      <c r="W2054" s="10" t="n">
        <v>-969</v>
      </c>
      <c r="X2054" s="7" t="n">
        <v>3300</v>
      </c>
      <c r="Y2054" s="8" t="n">
        <v>-1458</v>
      </c>
      <c r="Z2054" s="8" t="n">
        <v>-423</v>
      </c>
      <c r="AA2054" s="9" t="n">
        <v>3370</v>
      </c>
      <c r="AB2054" s="10" t="n">
        <v>-963</v>
      </c>
      <c r="AC2054" s="10" t="n">
        <v>-2197</v>
      </c>
      <c r="AD2054" s="7" t="n">
        <v>3822</v>
      </c>
      <c r="AE2054" s="8" t="n">
        <v>-1948</v>
      </c>
      <c r="AF2054" s="8" t="n">
        <v>-7925</v>
      </c>
      <c r="AG2054" s="9" t="n">
        <v>3328</v>
      </c>
      <c r="AH2054" s="10" t="n">
        <v>-1909</v>
      </c>
      <c r="AI2054" s="10" t="n">
        <v>-3112</v>
      </c>
      <c r="AJ2054" s="11" t="n">
        <v>3798</v>
      </c>
      <c r="AK2054" s="12" t="n">
        <v>-1793</v>
      </c>
      <c r="AL2054" s="12" t="n">
        <v>-3179</v>
      </c>
      <c r="AM2054" s="13" t="n">
        <v>14.1</v>
      </c>
      <c r="AN2054" s="13" t="n">
        <v>15.1</v>
      </c>
      <c r="AO2054" s="13" t="n">
        <v>6.1</v>
      </c>
      <c r="AP2054" s="13" t="n">
        <v>-23</v>
      </c>
    </row>
    <row r="2055">
      <c r="A2055" s="5" t="inlineStr">
        <is>
          <t>린드먼아시아</t>
        </is>
      </c>
      <c r="B2055" s="6" t="inlineStr">
        <is>
          <t>277070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1268</v>
      </c>
      <c r="J2055" s="10" t="n">
        <v>330</v>
      </c>
      <c r="K2055" s="10" t="n">
        <v>304</v>
      </c>
      <c r="L2055" s="7" t="n">
        <v>1289</v>
      </c>
      <c r="M2055" s="8" t="n">
        <v>294</v>
      </c>
      <c r="N2055" s="8" t="n">
        <v>265</v>
      </c>
      <c r="O2055" s="9" t="n">
        <v>1273</v>
      </c>
      <c r="P2055" s="10" t="n">
        <v>540</v>
      </c>
      <c r="Q2055" s="10" t="n">
        <v>423</v>
      </c>
      <c r="R2055" s="7" t="n">
        <v>5264</v>
      </c>
      <c r="S2055" s="8" t="n">
        <v>3046</v>
      </c>
      <c r="T2055" s="8" t="n">
        <v>2369</v>
      </c>
      <c r="U2055" s="9" t="n">
        <v>1577</v>
      </c>
      <c r="V2055" s="10" t="n">
        <v>215</v>
      </c>
      <c r="W2055" s="10" t="n">
        <v>505</v>
      </c>
      <c r="X2055" s="7" t="n">
        <v>1873</v>
      </c>
      <c r="Y2055" s="8" t="n">
        <v>1384</v>
      </c>
      <c r="Z2055" s="8" t="n">
        <v>1027</v>
      </c>
      <c r="AA2055" s="9" t="n">
        <v>1201</v>
      </c>
      <c r="AB2055" s="10" t="n">
        <v>617</v>
      </c>
      <c r="AC2055" s="10" t="n">
        <v>482</v>
      </c>
      <c r="AD2055" s="7" t="n">
        <v>2781</v>
      </c>
      <c r="AE2055" s="8" t="n">
        <v>1387</v>
      </c>
      <c r="AF2055" s="8" t="n">
        <v>975</v>
      </c>
      <c r="AG2055" s="9" t="n">
        <v>2338</v>
      </c>
      <c r="AH2055" s="10" t="n">
        <v>1068</v>
      </c>
      <c r="AI2055" s="10" t="n">
        <v>960</v>
      </c>
      <c r="AJ2055" s="11" t="n">
        <v>1629</v>
      </c>
      <c r="AK2055" s="12" t="n">
        <v>-2060</v>
      </c>
      <c r="AL2055" s="12" t="n">
        <v>-1726</v>
      </c>
      <c r="AM2055" s="13" t="n">
        <v>-30.3</v>
      </c>
      <c r="AN2055" s="13" t="n">
        <v>-13</v>
      </c>
      <c r="AO2055" s="13" t="n">
        <v>-292.9</v>
      </c>
      <c r="AP2055" s="13" t="n">
        <v>-248.8</v>
      </c>
    </row>
    <row r="2056">
      <c r="A2056" s="5" t="inlineStr">
        <is>
          <t>인산가</t>
        </is>
      </c>
      <c r="B2056" s="6" t="inlineStr">
        <is>
          <t>277410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7340</v>
      </c>
      <c r="J2056" s="10" t="n">
        <v>-572</v>
      </c>
      <c r="K2056" s="10" t="n">
        <v>-441</v>
      </c>
      <c r="L2056" s="7" t="n">
        <v>7817</v>
      </c>
      <c r="M2056" s="8" t="n">
        <v>21</v>
      </c>
      <c r="N2056" s="8" t="n">
        <v>76</v>
      </c>
      <c r="O2056" s="9" t="n">
        <v>9355</v>
      </c>
      <c r="P2056" s="10" t="n">
        <v>806</v>
      </c>
      <c r="Q2056" s="10" t="n">
        <v>9</v>
      </c>
      <c r="R2056" s="7" t="n">
        <v>7972</v>
      </c>
      <c r="S2056" s="8" t="n">
        <v>559</v>
      </c>
      <c r="T2056" s="8" t="n">
        <v>1242</v>
      </c>
      <c r="U2056" s="9" t="n">
        <v>7582</v>
      </c>
      <c r="V2056" s="10" t="n">
        <v>-251</v>
      </c>
      <c r="W2056" s="10" t="n">
        <v>-265</v>
      </c>
      <c r="X2056" s="7" t="n">
        <v>8535</v>
      </c>
      <c r="Y2056" s="8" t="n">
        <v>558</v>
      </c>
      <c r="Z2056" s="8" t="n">
        <v>-510</v>
      </c>
      <c r="AA2056" s="9" t="n">
        <v>10937</v>
      </c>
      <c r="AB2056" s="10" t="n">
        <v>1658</v>
      </c>
      <c r="AC2056" s="10" t="n">
        <v>1234</v>
      </c>
      <c r="AD2056" s="7" t="n">
        <v>8750</v>
      </c>
      <c r="AE2056" s="8" t="n">
        <v>341</v>
      </c>
      <c r="AF2056" s="8" t="n">
        <v>178</v>
      </c>
      <c r="AG2056" s="9" t="n">
        <v>9990</v>
      </c>
      <c r="AH2056" s="10" t="n">
        <v>-328</v>
      </c>
      <c r="AI2056" s="10" t="n">
        <v>-338</v>
      </c>
      <c r="AJ2056" s="11" t="n">
        <v>9918</v>
      </c>
      <c r="AK2056" s="12" t="n">
        <v>323</v>
      </c>
      <c r="AL2056" s="12" t="n">
        <v>863</v>
      </c>
      <c r="AM2056" s="13" t="n">
        <v>-0.7</v>
      </c>
      <c r="AN2056" s="13" t="n">
        <v>16.2</v>
      </c>
      <c r="AO2056" s="13" t="n">
        <v>198.5</v>
      </c>
      <c r="AP2056" s="13" t="n">
        <v>-42.1</v>
      </c>
    </row>
    <row r="2057">
      <c r="A2057" s="5" t="inlineStr">
        <is>
          <t>레인보우로보틱스</t>
        </is>
      </c>
      <c r="B2057" s="6" t="inlineStr">
        <is>
          <t>277810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3048</v>
      </c>
      <c r="J2057" s="10" t="n">
        <v>-450</v>
      </c>
      <c r="K2057" s="10" t="n">
        <v>611</v>
      </c>
      <c r="L2057" s="7" t="n">
        <v>3177</v>
      </c>
      <c r="M2057" s="8" t="n">
        <v>-2549</v>
      </c>
      <c r="N2057" s="8" t="n">
        <v>-1174</v>
      </c>
      <c r="O2057" s="9" t="n">
        <v>3470</v>
      </c>
      <c r="P2057" s="10" t="n">
        <v>-1021</v>
      </c>
      <c r="Q2057" s="10" t="n">
        <v>-119</v>
      </c>
      <c r="R2057" s="7" t="n">
        <v>9652</v>
      </c>
      <c r="S2057" s="8" t="n">
        <v>1041</v>
      </c>
      <c r="T2057" s="8" t="n">
        <v>3504</v>
      </c>
      <c r="U2057" s="9" t="n">
        <v>4185</v>
      </c>
      <c r="V2057" s="10" t="n">
        <v>-1403</v>
      </c>
      <c r="W2057" s="10" t="n">
        <v>-901</v>
      </c>
      <c r="X2057" s="7" t="n">
        <v>6223</v>
      </c>
      <c r="Y2057" s="8" t="n">
        <v>-2057</v>
      </c>
      <c r="Z2057" s="8" t="n">
        <v>-1193</v>
      </c>
      <c r="AA2057" s="9" t="n">
        <v>10695</v>
      </c>
      <c r="AB2057" s="10" t="n">
        <v>-720</v>
      </c>
      <c r="AC2057" s="10" t="n">
        <v>291</v>
      </c>
      <c r="AD2057" s="7" t="n">
        <v>13020</v>
      </c>
      <c r="AE2057" s="8" t="n">
        <v>1700</v>
      </c>
      <c r="AF2057" s="8" t="n">
        <v>2837</v>
      </c>
      <c r="AG2057" s="9" t="n">
        <v>9063</v>
      </c>
      <c r="AH2057" s="10" t="n">
        <v>-1567</v>
      </c>
      <c r="AI2057" s="10" t="n">
        <v>-1265</v>
      </c>
      <c r="AJ2057" s="11" t="n">
        <v>12314</v>
      </c>
      <c r="AK2057" s="12" t="n">
        <v>-2028</v>
      </c>
      <c r="AL2057" s="12" t="n">
        <v>-597</v>
      </c>
      <c r="AM2057" s="13" t="n">
        <v>35.9</v>
      </c>
      <c r="AN2057" s="13" t="n">
        <v>97.90000000000001</v>
      </c>
      <c r="AO2057" s="13" t="n">
        <v>-29.4</v>
      </c>
      <c r="AP2057" s="13" t="n">
        <v>1.4</v>
      </c>
    </row>
    <row r="2058">
      <c r="A2058" s="5" t="inlineStr">
        <is>
          <t>티에스아이</t>
        </is>
      </c>
      <c r="B2058" s="6" t="inlineStr">
        <is>
          <t>277880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64891</v>
      </c>
      <c r="J2058" s="10" t="n">
        <v>2430</v>
      </c>
      <c r="K2058" s="10" t="n">
        <v>6241</v>
      </c>
      <c r="L2058" s="7" t="n">
        <v>77025</v>
      </c>
      <c r="M2058" s="8" t="n">
        <v>6916</v>
      </c>
      <c r="N2058" s="8" t="n">
        <v>10027</v>
      </c>
      <c r="O2058" s="9" t="n">
        <v>43729</v>
      </c>
      <c r="P2058" s="10" t="n">
        <v>2917</v>
      </c>
      <c r="Q2058" s="10" t="n">
        <v>2432</v>
      </c>
      <c r="R2058" s="7" t="n">
        <v>86342</v>
      </c>
      <c r="S2058" s="8" t="n">
        <v>3367</v>
      </c>
      <c r="T2058" s="8" t="n">
        <v>10640</v>
      </c>
      <c r="U2058" s="9" t="n">
        <v>64478</v>
      </c>
      <c r="V2058" s="10" t="n">
        <v>2023</v>
      </c>
      <c r="W2058" s="10" t="n">
        <v>1704</v>
      </c>
      <c r="X2058" s="7" t="n">
        <v>55704</v>
      </c>
      <c r="Y2058" s="8" t="n">
        <v>2259</v>
      </c>
      <c r="Z2058" s="8" t="n">
        <v>-1540</v>
      </c>
      <c r="AA2058" s="9" t="n">
        <v>76568</v>
      </c>
      <c r="AB2058" s="10" t="n">
        <v>2604</v>
      </c>
      <c r="AC2058" s="10" t="n">
        <v>2989</v>
      </c>
      <c r="AD2058" s="7" t="n">
        <v>67903</v>
      </c>
      <c r="AE2058" s="8" t="n">
        <v>1359</v>
      </c>
      <c r="AF2058" s="8" t="n">
        <v>712</v>
      </c>
      <c r="AG2058" s="9" t="n">
        <v>50880</v>
      </c>
      <c r="AH2058" s="10" t="n">
        <v>3802</v>
      </c>
      <c r="AI2058" s="10" t="n">
        <v>9076</v>
      </c>
      <c r="AJ2058" s="11" t="n">
        <v>116646</v>
      </c>
      <c r="AK2058" s="12" t="n">
        <v>7093</v>
      </c>
      <c r="AL2058" s="12" t="n">
        <v>5190</v>
      </c>
      <c r="AM2058" s="13" t="n">
        <v>129.3</v>
      </c>
      <c r="AN2058" s="13" t="n">
        <v>109.4</v>
      </c>
      <c r="AO2058" s="13" t="n">
        <v>86.59999999999999</v>
      </c>
      <c r="AP2058" s="13" t="n">
        <v>214</v>
      </c>
    </row>
    <row r="2059">
      <c r="A2059" s="5" t="inlineStr">
        <is>
          <t>천보</t>
        </is>
      </c>
      <c r="B2059" s="6" t="inlineStr">
        <is>
          <t>278280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39750</v>
      </c>
      <c r="J2059" s="10" t="n">
        <v>-27636</v>
      </c>
      <c r="K2059" s="10" t="n">
        <v>-26559</v>
      </c>
      <c r="L2059" s="7" t="n">
        <v>35929</v>
      </c>
      <c r="M2059" s="8" t="n">
        <v>1400</v>
      </c>
      <c r="N2059" s="8" t="n">
        <v>-22350</v>
      </c>
      <c r="O2059" s="9" t="n">
        <v>37544</v>
      </c>
      <c r="P2059" s="10" t="n">
        <v>932</v>
      </c>
      <c r="Q2059" s="10" t="n">
        <v>-5344</v>
      </c>
      <c r="R2059" s="7" t="n">
        <v>31690</v>
      </c>
      <c r="S2059" s="8" t="n">
        <v>2552</v>
      </c>
      <c r="T2059" s="8" t="n">
        <v>21934</v>
      </c>
      <c r="U2059" s="9" t="n">
        <v>35556</v>
      </c>
      <c r="V2059" s="10" t="n">
        <v>2816</v>
      </c>
      <c r="W2059" s="10" t="n">
        <v>489</v>
      </c>
      <c r="X2059" s="7" t="n">
        <v>33088</v>
      </c>
      <c r="Y2059" s="8" t="n">
        <v>2891</v>
      </c>
      <c r="Z2059" s="8" t="n">
        <v>-5850</v>
      </c>
      <c r="AA2059" s="9" t="n">
        <v>30625</v>
      </c>
      <c r="AB2059" s="10" t="n">
        <v>553</v>
      </c>
      <c r="AC2059" s="10" t="n">
        <v>-3474</v>
      </c>
      <c r="AD2059" s="7" t="n">
        <v>34581</v>
      </c>
      <c r="AE2059" s="8" t="n">
        <v>-2549</v>
      </c>
      <c r="AF2059" s="8" t="n">
        <v>-51180</v>
      </c>
      <c r="AG2059" s="9" t="n">
        <v>40771</v>
      </c>
      <c r="AH2059" s="10" t="n">
        <v>-3411</v>
      </c>
      <c r="AI2059" s="10" t="n">
        <v>-9541</v>
      </c>
      <c r="AJ2059" s="11" t="n">
        <v>51003</v>
      </c>
      <c r="AK2059" s="12" t="n">
        <v>-3813</v>
      </c>
      <c r="AL2059" s="12" t="n">
        <v>-2808</v>
      </c>
      <c r="AM2059" s="13" t="n">
        <v>25.1</v>
      </c>
      <c r="AN2059" s="13" t="n">
        <v>54.1</v>
      </c>
      <c r="AO2059" s="13" t="n">
        <v>-11.8</v>
      </c>
      <c r="AP2059" s="13" t="n">
        <v>-231.9</v>
      </c>
    </row>
    <row r="2060">
      <c r="A2060" s="5" t="inlineStr">
        <is>
          <t>에이피알</t>
        </is>
      </c>
      <c r="B2060" s="6" t="inlineStr">
        <is>
          <t>278470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148928</v>
      </c>
      <c r="J2060" s="10" t="n">
        <v>27765</v>
      </c>
      <c r="K2060" s="10" t="n">
        <v>24093</v>
      </c>
      <c r="L2060" s="7" t="n">
        <v>155494</v>
      </c>
      <c r="M2060" s="8" t="n">
        <v>28011</v>
      </c>
      <c r="N2060" s="8" t="n">
        <v>24099</v>
      </c>
      <c r="O2060" s="9" t="n">
        <v>174117</v>
      </c>
      <c r="P2060" s="10" t="n">
        <v>27243</v>
      </c>
      <c r="Q2060" s="10" t="n">
        <v>16007</v>
      </c>
      <c r="R2060" s="7" t="n">
        <v>244215</v>
      </c>
      <c r="S2060" s="8" t="n">
        <v>39687</v>
      </c>
      <c r="T2060" s="8" t="n">
        <v>43391</v>
      </c>
      <c r="U2060" s="9" t="n">
        <v>266033</v>
      </c>
      <c r="V2060" s="10" t="n">
        <v>54568</v>
      </c>
      <c r="W2060" s="10" t="n">
        <v>49941</v>
      </c>
      <c r="X2060" s="7" t="n">
        <v>327735</v>
      </c>
      <c r="Y2060" s="8" t="n">
        <v>84552</v>
      </c>
      <c r="Z2060" s="8" t="n">
        <v>66309</v>
      </c>
      <c r="AA2060" s="9" t="n">
        <v>385943</v>
      </c>
      <c r="AB2060" s="10" t="n">
        <v>96128</v>
      </c>
      <c r="AC2060" s="10" t="n">
        <v>74634</v>
      </c>
      <c r="AD2060" s="7" t="n">
        <v>547634</v>
      </c>
      <c r="AE2060" s="8" t="n">
        <v>130273</v>
      </c>
      <c r="AF2060" s="8" t="n">
        <v>98771</v>
      </c>
      <c r="AG2060" s="9" t="n">
        <v>593356</v>
      </c>
      <c r="AH2060" s="10" t="n">
        <v>152272</v>
      </c>
      <c r="AI2060" s="10" t="n">
        <v>117264</v>
      </c>
      <c r="AJ2060" s="11" t="n">
        <v>767533</v>
      </c>
      <c r="AK2060" s="12" t="n">
        <v>190553</v>
      </c>
      <c r="AL2060" s="12" t="n">
        <v>141530</v>
      </c>
      <c r="AM2060" s="13" t="n">
        <v>29.4</v>
      </c>
      <c r="AN2060" s="13" t="n">
        <v>134.2</v>
      </c>
      <c r="AO2060" s="13" t="n">
        <v>25.1</v>
      </c>
      <c r="AP2060" s="13" t="n">
        <v>125.4</v>
      </c>
    </row>
    <row r="2061">
      <c r="A2061" s="5" t="inlineStr">
        <is>
          <t>HLB바이오스텝</t>
        </is>
      </c>
      <c r="B2061" s="6" t="inlineStr">
        <is>
          <t>278650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11566</v>
      </c>
      <c r="J2061" s="10" t="n">
        <v>-2360</v>
      </c>
      <c r="K2061" s="10" t="n">
        <v>-2126</v>
      </c>
      <c r="L2061" s="7" t="n">
        <v>11925</v>
      </c>
      <c r="M2061" s="8" t="n">
        <v>-3264</v>
      </c>
      <c r="N2061" s="8" t="n">
        <v>-3339</v>
      </c>
      <c r="O2061" s="9" t="n">
        <v>18537</v>
      </c>
      <c r="P2061" s="10" t="n">
        <v>-2661</v>
      </c>
      <c r="Q2061" s="10" t="n">
        <v>-830</v>
      </c>
      <c r="R2061" s="7" t="n">
        <v>16141</v>
      </c>
      <c r="S2061" s="8" t="n">
        <v>-4680</v>
      </c>
      <c r="T2061" s="8" t="n">
        <v>-3398</v>
      </c>
      <c r="U2061" s="9" t="n">
        <v>13578</v>
      </c>
      <c r="V2061" s="10" t="n">
        <v>-2547</v>
      </c>
      <c r="W2061" s="10" t="n">
        <v>-1835</v>
      </c>
      <c r="X2061" s="7" t="n">
        <v>17773</v>
      </c>
      <c r="Y2061" s="8" t="n">
        <v>-4308</v>
      </c>
      <c r="Z2061" s="8" t="n">
        <v>-4570</v>
      </c>
      <c r="AA2061" s="9" t="n">
        <v>23974</v>
      </c>
      <c r="AB2061" s="10" t="n">
        <v>455</v>
      </c>
      <c r="AC2061" s="10" t="n">
        <v>770</v>
      </c>
      <c r="AD2061" s="7" t="n">
        <v>18725</v>
      </c>
      <c r="AE2061" s="8" t="n">
        <v>-2217</v>
      </c>
      <c r="AF2061" s="8" t="n">
        <v>-14620</v>
      </c>
      <c r="AG2061" s="9" t="n">
        <v>13485</v>
      </c>
      <c r="AH2061" s="10" t="n">
        <v>-2611</v>
      </c>
      <c r="AI2061" s="10" t="n">
        <v>-2116</v>
      </c>
      <c r="AJ2061" s="11" t="n">
        <v>15966</v>
      </c>
      <c r="AK2061" s="12" t="n">
        <v>-1893</v>
      </c>
      <c r="AL2061" s="12" t="n">
        <v>-3516</v>
      </c>
      <c r="AM2061" s="13" t="n">
        <v>18.4</v>
      </c>
      <c r="AN2061" s="13" t="n">
        <v>-10.2</v>
      </c>
      <c r="AO2061" s="13" t="n">
        <v>27.5</v>
      </c>
      <c r="AP2061" s="13" t="n">
        <v>56.1</v>
      </c>
    </row>
    <row r="2062">
      <c r="A2062" s="5" t="inlineStr">
        <is>
          <t>케이뱅크</t>
        </is>
      </c>
      <c r="B2062" s="6" t="inlineStr">
        <is>
          <t>279570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inlineStr"/>
      <c r="J2062" s="10" t="n">
        <v>51521</v>
      </c>
      <c r="K2062" s="10" t="n">
        <v>50694</v>
      </c>
      <c r="L2062" s="7" t="inlineStr"/>
      <c r="M2062" s="8" t="n">
        <v>35208</v>
      </c>
      <c r="N2062" s="8" t="n">
        <v>34738</v>
      </c>
      <c r="O2062" s="9" t="inlineStr"/>
      <c r="P2062" s="10" t="n">
        <v>36042</v>
      </c>
      <c r="Q2062" s="10" t="n">
        <v>36984</v>
      </c>
      <c r="R2062" s="7" t="inlineStr"/>
      <c r="S2062" s="8" t="n">
        <v>10196</v>
      </c>
      <c r="T2062" s="8" t="n">
        <v>5637</v>
      </c>
      <c r="U2062" s="9" t="inlineStr"/>
      <c r="V2062" s="10" t="n">
        <v>15575</v>
      </c>
      <c r="W2062" s="10" t="n">
        <v>16058</v>
      </c>
      <c r="X2062" s="7" t="inlineStr"/>
      <c r="Y2062" s="8" t="n">
        <v>69799</v>
      </c>
      <c r="Z2062" s="8" t="n">
        <v>68189</v>
      </c>
      <c r="AA2062" s="9" t="inlineStr"/>
      <c r="AB2062" s="10" t="n">
        <v>20713</v>
      </c>
      <c r="AC2062" s="10" t="n">
        <v>19183</v>
      </c>
      <c r="AD2062" s="7" t="inlineStr"/>
      <c r="AE2062" s="8" t="n">
        <v>10998</v>
      </c>
      <c r="AF2062" s="8" t="n">
        <v>9179</v>
      </c>
      <c r="AG2062" s="9" t="inlineStr"/>
      <c r="AH2062" s="10" t="n">
        <v>32402</v>
      </c>
      <c r="AI2062" s="10" t="n">
        <v>33206</v>
      </c>
      <c r="AJ2062" s="14" t="n">
        <v>327014</v>
      </c>
      <c r="AK2062" s="12" t="n">
        <v>26970</v>
      </c>
      <c r="AL2062" s="12" t="n">
        <v>26870</v>
      </c>
      <c r="AM2062" s="13" t="inlineStr"/>
      <c r="AN2062" s="13" t="inlineStr"/>
      <c r="AO2062" s="13" t="n">
        <v>-16.8</v>
      </c>
      <c r="AP2062" s="13" t="n">
        <v>-61.4</v>
      </c>
    </row>
    <row r="2063">
      <c r="A2063" s="5" t="inlineStr">
        <is>
          <t>미디어젠</t>
        </is>
      </c>
      <c r="B2063" s="6" t="inlineStr">
        <is>
          <t>279600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n">
        <v>2327</v>
      </c>
      <c r="J2063" s="10" t="n">
        <v>-1607</v>
      </c>
      <c r="K2063" s="10" t="n">
        <v>-1590</v>
      </c>
      <c r="L2063" s="7" t="n">
        <v>3197</v>
      </c>
      <c r="M2063" s="8" t="n">
        <v>-1059</v>
      </c>
      <c r="N2063" s="8" t="n">
        <v>-988</v>
      </c>
      <c r="O2063" s="9" t="n">
        <v>3262</v>
      </c>
      <c r="P2063" s="10" t="n">
        <v>-1022</v>
      </c>
      <c r="Q2063" s="10" t="n">
        <v>-1074</v>
      </c>
      <c r="R2063" s="7" t="n">
        <v>3231</v>
      </c>
      <c r="S2063" s="8" t="n">
        <v>-986</v>
      </c>
      <c r="T2063" s="8" t="n">
        <v>-525</v>
      </c>
      <c r="U2063" s="9" t="n">
        <v>8088</v>
      </c>
      <c r="V2063" s="10" t="n">
        <v>-719</v>
      </c>
      <c r="W2063" s="10" t="n">
        <v>-749</v>
      </c>
      <c r="X2063" s="7" t="n">
        <v>4858</v>
      </c>
      <c r="Y2063" s="8" t="n">
        <v>-1146</v>
      </c>
      <c r="Z2063" s="8" t="n">
        <v>-1121</v>
      </c>
      <c r="AA2063" s="9" t="n">
        <v>2085</v>
      </c>
      <c r="AB2063" s="10" t="n">
        <v>-735</v>
      </c>
      <c r="AC2063" s="10" t="n">
        <v>-894</v>
      </c>
      <c r="AD2063" s="7" t="n">
        <v>7750</v>
      </c>
      <c r="AE2063" s="8" t="n">
        <v>368</v>
      </c>
      <c r="AF2063" s="8" t="n">
        <v>49</v>
      </c>
      <c r="AG2063" s="9" t="n">
        <v>3364</v>
      </c>
      <c r="AH2063" s="10" t="n">
        <v>-1954</v>
      </c>
      <c r="AI2063" s="10" t="n">
        <v>-2048</v>
      </c>
      <c r="AJ2063" s="11" t="n">
        <v>2794</v>
      </c>
      <c r="AK2063" s="12" t="n">
        <v>-2061</v>
      </c>
      <c r="AL2063" s="12" t="n">
        <v>-2132</v>
      </c>
      <c r="AM2063" s="13" t="n">
        <v>-16.9</v>
      </c>
      <c r="AN2063" s="13" t="n">
        <v>-42.5</v>
      </c>
      <c r="AO2063" s="13" t="n">
        <v>-5.5</v>
      </c>
      <c r="AP2063" s="13" t="n">
        <v>-79.8</v>
      </c>
    </row>
    <row r="2064">
      <c r="A2064" s="5" t="inlineStr">
        <is>
          <t>롯데웰푸드</t>
        </is>
      </c>
      <c r="B2064" s="6" t="inlineStr">
        <is>
          <t>280360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3300752</v>
      </c>
      <c r="G2064" s="15" t="n">
        <v>130507</v>
      </c>
      <c r="H2064" s="15" t="n">
        <v>59492</v>
      </c>
      <c r="I2064" s="9" t="n">
        <v>951054</v>
      </c>
      <c r="J2064" s="10" t="n">
        <v>37335</v>
      </c>
      <c r="K2064" s="10" t="n">
        <v>20074</v>
      </c>
      <c r="L2064" s="7" t="n">
        <v>1044196</v>
      </c>
      <c r="M2064" s="8" t="n">
        <v>63290</v>
      </c>
      <c r="N2064" s="8" t="n">
        <v>40710</v>
      </c>
      <c r="O2064" s="9" t="n">
        <v>1078471</v>
      </c>
      <c r="P2064" s="10" t="n">
        <v>76044</v>
      </c>
      <c r="Q2064" s="10" t="n">
        <v>46170</v>
      </c>
      <c r="R2064" s="7" t="n">
        <v>970531</v>
      </c>
      <c r="S2064" s="8" t="n">
        <v>-19568</v>
      </c>
      <c r="T2064" s="8" t="n">
        <v>-24974</v>
      </c>
      <c r="U2064" s="9" t="n">
        <v>975126</v>
      </c>
      <c r="V2064" s="10" t="n">
        <v>16386</v>
      </c>
      <c r="W2064" s="10" t="n">
        <v>22747</v>
      </c>
      <c r="X2064" s="7" t="n">
        <v>1064281</v>
      </c>
      <c r="Y2064" s="8" t="n">
        <v>34334</v>
      </c>
      <c r="Z2064" s="8" t="n">
        <v>15678</v>
      </c>
      <c r="AA2064" s="9" t="n">
        <v>1156782</v>
      </c>
      <c r="AB2064" s="10" t="n">
        <v>69263</v>
      </c>
      <c r="AC2064" s="10" t="n">
        <v>49943</v>
      </c>
      <c r="AD2064" s="7" t="n">
        <v>1019764</v>
      </c>
      <c r="AE2064" s="8" t="n">
        <v>-10464</v>
      </c>
      <c r="AF2064" s="8" t="n">
        <v>-16978</v>
      </c>
      <c r="AG2064" s="9" t="n">
        <v>1027305</v>
      </c>
      <c r="AH2064" s="10" t="n">
        <v>35789</v>
      </c>
      <c r="AI2064" s="10" t="n">
        <v>16690</v>
      </c>
      <c r="AJ2064" s="11" t="n">
        <v>1155748</v>
      </c>
      <c r="AK2064" s="12" t="n">
        <v>64709</v>
      </c>
      <c r="AL2064" s="12" t="n">
        <v>36082</v>
      </c>
      <c r="AM2064" s="13" t="n">
        <v>12.5</v>
      </c>
      <c r="AN2064" s="13" t="n">
        <v>8.6</v>
      </c>
      <c r="AO2064" s="13" t="n">
        <v>80.8</v>
      </c>
      <c r="AP2064" s="13" t="n">
        <v>88.5</v>
      </c>
    </row>
    <row r="2065">
      <c r="A2065" s="5" t="inlineStr">
        <is>
          <t>레이크머티리얼즈</t>
        </is>
      </c>
      <c r="B2065" s="6" t="inlineStr">
        <is>
          <t>281740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31619</v>
      </c>
      <c r="G2065" s="15" t="n">
        <v>9192</v>
      </c>
      <c r="H2065" s="15" t="n">
        <v>6440</v>
      </c>
      <c r="I2065" s="9" t="n">
        <v>30832</v>
      </c>
      <c r="J2065" s="10" t="n">
        <v>4925</v>
      </c>
      <c r="K2065" s="10" t="n">
        <v>4171</v>
      </c>
      <c r="L2065" s="7" t="n">
        <v>30725</v>
      </c>
      <c r="M2065" s="8" t="n">
        <v>5058</v>
      </c>
      <c r="N2065" s="8" t="n">
        <v>4364</v>
      </c>
      <c r="O2065" s="9" t="n">
        <v>32444</v>
      </c>
      <c r="P2065" s="10" t="n">
        <v>3955</v>
      </c>
      <c r="Q2065" s="10" t="n">
        <v>2945</v>
      </c>
      <c r="R2065" s="7" t="n">
        <v>44725</v>
      </c>
      <c r="S2065" s="8" t="n">
        <v>8228</v>
      </c>
      <c r="T2065" s="8" t="n">
        <v>9541</v>
      </c>
      <c r="U2065" s="9" t="n">
        <v>31982</v>
      </c>
      <c r="V2065" s="10" t="n">
        <v>2763</v>
      </c>
      <c r="W2065" s="10" t="n">
        <v>1692</v>
      </c>
      <c r="X2065" s="7" t="n">
        <v>31245</v>
      </c>
      <c r="Y2065" s="8" t="n">
        <v>4344</v>
      </c>
      <c r="Z2065" s="8" t="n">
        <v>1138</v>
      </c>
      <c r="AA2065" s="9" t="n">
        <v>36168</v>
      </c>
      <c r="AB2065" s="10" t="n">
        <v>1380</v>
      </c>
      <c r="AC2065" s="10" t="n">
        <v>470</v>
      </c>
      <c r="AD2065" s="7" t="n">
        <v>41839</v>
      </c>
      <c r="AE2065" s="8" t="n">
        <v>4784</v>
      </c>
      <c r="AF2065" s="8" t="n">
        <v>4503</v>
      </c>
      <c r="AG2065" s="9" t="n">
        <v>33181</v>
      </c>
      <c r="AH2065" s="10" t="n">
        <v>4248</v>
      </c>
      <c r="AI2065" s="10" t="n">
        <v>6447</v>
      </c>
      <c r="AJ2065" s="11" t="n">
        <v>37206</v>
      </c>
      <c r="AK2065" s="12" t="n">
        <v>6080</v>
      </c>
      <c r="AL2065" s="12" t="n">
        <v>2630</v>
      </c>
      <c r="AM2065" s="13" t="n">
        <v>12.1</v>
      </c>
      <c r="AN2065" s="13" t="n">
        <v>19.1</v>
      </c>
      <c r="AO2065" s="13" t="n">
        <v>43.1</v>
      </c>
      <c r="AP2065" s="13" t="n">
        <v>40</v>
      </c>
    </row>
    <row r="2066">
      <c r="A2066" s="5" t="inlineStr">
        <is>
          <t>케이씨텍</t>
        </is>
      </c>
      <c r="B2066" s="6" t="inlineStr">
        <is>
          <t>281820</t>
        </is>
      </c>
      <c r="C2066" s="6" t="inlineStr">
        <is>
          <t>연결</t>
        </is>
      </c>
      <c r="D2066" s="6" t="inlineStr">
        <is>
          <t>2026Q2</t>
        </is>
      </c>
      <c r="E2066" s="6" t="inlineStr"/>
      <c r="F2066" s="7" t="inlineStr"/>
      <c r="G2066" s="8" t="inlineStr"/>
      <c r="H2066" s="8" t="inlineStr"/>
      <c r="I2066" s="9" t="n">
        <v>91602</v>
      </c>
      <c r="J2066" s="10" t="n">
        <v>10016</v>
      </c>
      <c r="K2066" s="10" t="n">
        <v>11729</v>
      </c>
      <c r="L2066" s="7" t="n">
        <v>71987</v>
      </c>
      <c r="M2066" s="8" t="n">
        <v>5330</v>
      </c>
      <c r="N2066" s="8" t="n">
        <v>7442</v>
      </c>
      <c r="O2066" s="9" t="n">
        <v>76916</v>
      </c>
      <c r="P2066" s="10" t="n">
        <v>9024</v>
      </c>
      <c r="Q2066" s="10" t="n">
        <v>7117</v>
      </c>
      <c r="R2066" s="7" t="n">
        <v>144929</v>
      </c>
      <c r="S2066" s="8" t="n">
        <v>25413</v>
      </c>
      <c r="T2066" s="8" t="n">
        <v>26398</v>
      </c>
      <c r="U2066" s="9" t="n">
        <v>77663</v>
      </c>
      <c r="V2066" s="10" t="n">
        <v>7835</v>
      </c>
      <c r="W2066" s="10" t="n">
        <v>7828</v>
      </c>
      <c r="X2066" s="7" t="n">
        <v>97530</v>
      </c>
      <c r="Y2066" s="8" t="n">
        <v>15558</v>
      </c>
      <c r="Z2066" s="8" t="n">
        <v>11008</v>
      </c>
      <c r="AA2066" s="9" t="n">
        <v>95964</v>
      </c>
      <c r="AB2066" s="10" t="n">
        <v>14868</v>
      </c>
      <c r="AC2066" s="10" t="n">
        <v>14999</v>
      </c>
      <c r="AD2066" s="7" t="n">
        <v>111700</v>
      </c>
      <c r="AE2066" s="8" t="n">
        <v>21705</v>
      </c>
      <c r="AF2066" s="8" t="n">
        <v>19557</v>
      </c>
      <c r="AG2066" s="9" t="n">
        <v>156115</v>
      </c>
      <c r="AH2066" s="10" t="n">
        <v>34811</v>
      </c>
      <c r="AI2066" s="10" t="n">
        <v>31610</v>
      </c>
      <c r="AJ2066" s="11" t="n">
        <v>112689</v>
      </c>
      <c r="AK2066" s="12" t="n">
        <v>23522</v>
      </c>
      <c r="AL2066" s="12" t="n">
        <v>21111</v>
      </c>
      <c r="AM2066" s="13" t="n">
        <v>-27.8</v>
      </c>
      <c r="AN2066" s="13" t="n">
        <v>15.5</v>
      </c>
      <c r="AO2066" s="13" t="n">
        <v>-32.4</v>
      </c>
      <c r="AP2066" s="13" t="n">
        <v>51.2</v>
      </c>
    </row>
    <row r="2067">
      <c r="A2067" s="5" t="inlineStr">
        <is>
          <t>BGF리테일</t>
        </is>
      </c>
      <c r="B2067" s="6" t="inlineStr">
        <is>
          <t>282330</t>
        </is>
      </c>
      <c r="C2067" s="6" t="inlineStr">
        <is>
          <t>연결</t>
        </is>
      </c>
      <c r="D2067" s="6" t="inlineStr">
        <is>
          <t>2026Q2</t>
        </is>
      </c>
      <c r="E2067" s="6" t="inlineStr">
        <is>
          <t>2023Q4</t>
        </is>
      </c>
      <c r="F2067" s="14" t="n">
        <v>2040200</v>
      </c>
      <c r="G2067" s="15" t="n">
        <v>51100</v>
      </c>
      <c r="H2067" s="15" t="n">
        <v>38600</v>
      </c>
      <c r="I2067" s="9" t="n">
        <v>1953820</v>
      </c>
      <c r="J2067" s="10" t="n">
        <v>32626</v>
      </c>
      <c r="K2067" s="10" t="n">
        <v>23402</v>
      </c>
      <c r="L2067" s="7" t="n">
        <v>2202881</v>
      </c>
      <c r="M2067" s="8" t="n">
        <v>76215</v>
      </c>
      <c r="N2067" s="8" t="n">
        <v>58486</v>
      </c>
      <c r="O2067" s="9" t="n">
        <v>2325582</v>
      </c>
      <c r="P2067" s="10" t="n">
        <v>91156</v>
      </c>
      <c r="Q2067" s="10" t="n">
        <v>69865</v>
      </c>
      <c r="R2067" s="7" t="n">
        <v>2216474</v>
      </c>
      <c r="S2067" s="8" t="n">
        <v>51644</v>
      </c>
      <c r="T2067" s="8" t="n">
        <v>43465</v>
      </c>
      <c r="U2067" s="9" t="n">
        <v>2016470</v>
      </c>
      <c r="V2067" s="10" t="n">
        <v>22626</v>
      </c>
      <c r="W2067" s="10" t="n">
        <v>13361</v>
      </c>
      <c r="X2067" s="7" t="n">
        <v>2290150</v>
      </c>
      <c r="Y2067" s="8" t="n">
        <v>69424</v>
      </c>
      <c r="Z2067" s="8" t="n">
        <v>52806</v>
      </c>
      <c r="AA2067" s="9" t="n">
        <v>2462231</v>
      </c>
      <c r="AB2067" s="10" t="n">
        <v>97631</v>
      </c>
      <c r="AC2067" s="10" t="n">
        <v>79308</v>
      </c>
      <c r="AD2067" s="7" t="n">
        <v>2292365</v>
      </c>
      <c r="AE2067" s="8" t="n">
        <v>64266</v>
      </c>
      <c r="AF2067" s="8" t="n">
        <v>49788</v>
      </c>
      <c r="AG2067" s="9" t="n">
        <v>2120359</v>
      </c>
      <c r="AH2067" s="10" t="n">
        <v>38110</v>
      </c>
      <c r="AI2067" s="10" t="n">
        <v>29293</v>
      </c>
      <c r="AJ2067" s="11" t="n">
        <v>2426816</v>
      </c>
      <c r="AK2067" s="12" t="n">
        <v>84852</v>
      </c>
      <c r="AL2067" s="12" t="n">
        <v>56830</v>
      </c>
      <c r="AM2067" s="13" t="n">
        <v>14.5</v>
      </c>
      <c r="AN2067" s="13" t="n">
        <v>6</v>
      </c>
      <c r="AO2067" s="13" t="n">
        <v>122.7</v>
      </c>
      <c r="AP2067" s="13" t="n">
        <v>22.2</v>
      </c>
    </row>
    <row r="2068">
      <c r="A2068" s="5" t="inlineStr">
        <is>
          <t>기도산업</t>
        </is>
      </c>
      <c r="B2068" s="6" t="inlineStr">
        <is>
          <t>282620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inlineStr"/>
      <c r="J2068" s="10" t="inlineStr"/>
      <c r="K2068" s="10" t="inlineStr"/>
      <c r="L2068" s="7" t="inlineStr"/>
      <c r="M2068" s="8" t="inlineStr"/>
      <c r="N2068" s="8" t="inlineStr"/>
      <c r="O2068" s="9" t="inlineStr"/>
      <c r="P2068" s="10" t="inlineStr"/>
      <c r="Q2068" s="10" t="inlineStr"/>
      <c r="R2068" s="7" t="inlineStr"/>
      <c r="S2068" s="8" t="inlineStr"/>
      <c r="T2068" s="8" t="inlineStr"/>
      <c r="U2068" s="9" t="inlineStr"/>
      <c r="V2068" s="10" t="inlineStr"/>
      <c r="W2068" s="10" t="inlineStr"/>
      <c r="X2068" s="7" t="inlineStr"/>
      <c r="Y2068" s="8" t="inlineStr"/>
      <c r="Z2068" s="8" t="inlineStr"/>
      <c r="AA2068" s="9" t="inlineStr"/>
      <c r="AB2068" s="10" t="inlineStr"/>
      <c r="AC2068" s="10" t="inlineStr"/>
      <c r="AD2068" s="7" t="inlineStr"/>
      <c r="AE2068" s="8" t="inlineStr"/>
      <c r="AF2068" s="8" t="inlineStr"/>
      <c r="AG2068" s="9" t="inlineStr"/>
      <c r="AH2068" s="10" t="inlineStr"/>
      <c r="AI2068" s="10" t="inlineStr"/>
      <c r="AJ2068" s="11" t="n">
        <v>71102</v>
      </c>
      <c r="AK2068" s="12" t="n">
        <v>5908</v>
      </c>
      <c r="AL2068" s="12" t="n">
        <v>4185</v>
      </c>
      <c r="AM2068" s="13" t="inlineStr"/>
      <c r="AN2068" s="13" t="inlineStr"/>
      <c r="AO2068" s="13" t="inlineStr"/>
      <c r="AP2068" s="13" t="inlineStr"/>
    </row>
    <row r="2069">
      <c r="A2069" s="5" t="inlineStr">
        <is>
          <t>금양그린파워</t>
        </is>
      </c>
      <c r="B2069" s="6" t="inlineStr">
        <is>
          <t>282720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72824</v>
      </c>
      <c r="J2069" s="10" t="n">
        <v>-7339</v>
      </c>
      <c r="K2069" s="10" t="n">
        <v>-5611</v>
      </c>
      <c r="L2069" s="7" t="n">
        <v>68792</v>
      </c>
      <c r="M2069" s="8" t="n">
        <v>904</v>
      </c>
      <c r="N2069" s="8" t="n">
        <v>1471</v>
      </c>
      <c r="O2069" s="9" t="n">
        <v>46782</v>
      </c>
      <c r="P2069" s="10" t="n">
        <v>-8857</v>
      </c>
      <c r="Q2069" s="10" t="n">
        <v>-9461</v>
      </c>
      <c r="R2069" s="7" t="n">
        <v>54772</v>
      </c>
      <c r="S2069" s="8" t="n">
        <v>-1836</v>
      </c>
      <c r="T2069" s="8" t="n">
        <v>2439</v>
      </c>
      <c r="U2069" s="9" t="n">
        <v>46798</v>
      </c>
      <c r="V2069" s="10" t="n">
        <v>-8456</v>
      </c>
      <c r="W2069" s="10" t="n">
        <v>-8329</v>
      </c>
      <c r="X2069" s="7" t="n">
        <v>56382</v>
      </c>
      <c r="Y2069" s="8" t="n">
        <v>195</v>
      </c>
      <c r="Z2069" s="8" t="n">
        <v>1563</v>
      </c>
      <c r="AA2069" s="9" t="n">
        <v>73934</v>
      </c>
      <c r="AB2069" s="10" t="n">
        <v>4312</v>
      </c>
      <c r="AC2069" s="10" t="n">
        <v>5383</v>
      </c>
      <c r="AD2069" s="7" t="n">
        <v>87665</v>
      </c>
      <c r="AE2069" s="8" t="n">
        <v>4376</v>
      </c>
      <c r="AF2069" s="8" t="n">
        <v>1401</v>
      </c>
      <c r="AG2069" s="9" t="n">
        <v>72778</v>
      </c>
      <c r="AH2069" s="10" t="n">
        <v>-8020</v>
      </c>
      <c r="AI2069" s="10" t="n">
        <v>-8897</v>
      </c>
      <c r="AJ2069" s="11" t="n">
        <v>84211</v>
      </c>
      <c r="AK2069" s="12" t="n">
        <v>1799</v>
      </c>
      <c r="AL2069" s="12" t="n">
        <v>1171</v>
      </c>
      <c r="AM2069" s="13" t="n">
        <v>15.7</v>
      </c>
      <c r="AN2069" s="13" t="n">
        <v>49.4</v>
      </c>
      <c r="AO2069" s="13" t="n">
        <v>122.4</v>
      </c>
      <c r="AP2069" s="13" t="n">
        <v>822.6</v>
      </c>
    </row>
    <row r="2070">
      <c r="A2070" s="5" t="inlineStr">
        <is>
          <t>코윈테크</t>
        </is>
      </c>
      <c r="B2070" s="6" t="inlineStr">
        <is>
          <t>282880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53450</v>
      </c>
      <c r="J2070" s="10" t="n">
        <v>-519</v>
      </c>
      <c r="K2070" s="10" t="n">
        <v>2847</v>
      </c>
      <c r="L2070" s="7" t="n">
        <v>69420</v>
      </c>
      <c r="M2070" s="8" t="n">
        <v>9238</v>
      </c>
      <c r="N2070" s="8" t="n">
        <v>9151</v>
      </c>
      <c r="O2070" s="9" t="n">
        <v>87690</v>
      </c>
      <c r="P2070" s="10" t="n">
        <v>8004</v>
      </c>
      <c r="Q2070" s="10" t="n">
        <v>3986</v>
      </c>
      <c r="R2070" s="7" t="n">
        <v>33830</v>
      </c>
      <c r="S2070" s="8" t="n">
        <v>-13120</v>
      </c>
      <c r="T2070" s="8" t="n">
        <v>-4983</v>
      </c>
      <c r="U2070" s="9" t="n">
        <v>26385</v>
      </c>
      <c r="V2070" s="10" t="n">
        <v>-2535</v>
      </c>
      <c r="W2070" s="10" t="n">
        <v>240</v>
      </c>
      <c r="X2070" s="7" t="n">
        <v>48099</v>
      </c>
      <c r="Y2070" s="8" t="n">
        <v>-197</v>
      </c>
      <c r="Z2070" s="8" t="n">
        <v>-4462</v>
      </c>
      <c r="AA2070" s="9" t="n">
        <v>39290</v>
      </c>
      <c r="AB2070" s="10" t="n">
        <v>-2464</v>
      </c>
      <c r="AC2070" s="10" t="n">
        <v>1296</v>
      </c>
      <c r="AD2070" s="7" t="n">
        <v>40927</v>
      </c>
      <c r="AE2070" s="8" t="n">
        <v>-20251</v>
      </c>
      <c r="AF2070" s="8" t="n">
        <v>-14692</v>
      </c>
      <c r="AG2070" s="9" t="n">
        <v>39795</v>
      </c>
      <c r="AH2070" s="10" t="n">
        <v>-1040</v>
      </c>
      <c r="AI2070" s="10" t="n">
        <v>4214</v>
      </c>
      <c r="AJ2070" s="11" t="n">
        <v>58382</v>
      </c>
      <c r="AK2070" s="12" t="n">
        <v>-7405</v>
      </c>
      <c r="AL2070" s="12" t="n">
        <v>-7745</v>
      </c>
      <c r="AM2070" s="13" t="n">
        <v>46.7</v>
      </c>
      <c r="AN2070" s="13" t="n">
        <v>21.4</v>
      </c>
      <c r="AO2070" s="13" t="n">
        <v>-612</v>
      </c>
      <c r="AP2070" s="13" t="n">
        <v>-3658.9</v>
      </c>
    </row>
    <row r="2071">
      <c r="A2071" s="5" t="inlineStr">
        <is>
          <t>카이노스메드</t>
        </is>
      </c>
      <c r="B2071" s="6" t="inlineStr">
        <is>
          <t>284620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139</v>
      </c>
      <c r="J2071" s="10" t="n">
        <v>-2609</v>
      </c>
      <c r="K2071" s="10" t="n">
        <v>-2530</v>
      </c>
      <c r="L2071" s="7" t="n">
        <v>177</v>
      </c>
      <c r="M2071" s="8" t="n">
        <v>-3142</v>
      </c>
      <c r="N2071" s="8" t="n">
        <v>-3024</v>
      </c>
      <c r="O2071" s="9" t="n">
        <v>204</v>
      </c>
      <c r="P2071" s="10" t="n">
        <v>-2399</v>
      </c>
      <c r="Q2071" s="10" t="n">
        <v>-2418</v>
      </c>
      <c r="R2071" s="7" t="n">
        <v>70</v>
      </c>
      <c r="S2071" s="8" t="n">
        <v>-4178</v>
      </c>
      <c r="T2071" s="8" t="n">
        <v>-4218</v>
      </c>
      <c r="U2071" s="9" t="n">
        <v>369</v>
      </c>
      <c r="V2071" s="10" t="n">
        <v>-1690</v>
      </c>
      <c r="W2071" s="10" t="n">
        <v>-2168</v>
      </c>
      <c r="X2071" s="7" t="n">
        <v>176</v>
      </c>
      <c r="Y2071" s="8" t="n">
        <v>-945</v>
      </c>
      <c r="Z2071" s="8" t="n">
        <v>-1917</v>
      </c>
      <c r="AA2071" s="9" t="n">
        <v>322</v>
      </c>
      <c r="AB2071" s="10" t="n">
        <v>-1506</v>
      </c>
      <c r="AC2071" s="10" t="n">
        <v>-1844</v>
      </c>
      <c r="AD2071" s="7" t="n">
        <v>305</v>
      </c>
      <c r="AE2071" s="8" t="n">
        <v>-2298</v>
      </c>
      <c r="AF2071" s="8" t="n">
        <v>-1856</v>
      </c>
      <c r="AG2071" s="9" t="n">
        <v>370</v>
      </c>
      <c r="AH2071" s="10" t="n">
        <v>-1012</v>
      </c>
      <c r="AI2071" s="10" t="n">
        <v>-1308</v>
      </c>
      <c r="AJ2071" s="11" t="n">
        <v>408</v>
      </c>
      <c r="AK2071" s="12" t="n">
        <v>-1053</v>
      </c>
      <c r="AL2071" s="12" t="n">
        <v>-1324</v>
      </c>
      <c r="AM2071" s="13" t="n">
        <v>10.3</v>
      </c>
      <c r="AN2071" s="13" t="n">
        <v>131.8</v>
      </c>
      <c r="AO2071" s="13" t="n">
        <v>-4.1</v>
      </c>
      <c r="AP2071" s="13" t="n">
        <v>-11.4</v>
      </c>
    </row>
    <row r="2072">
      <c r="A2072" s="5" t="inlineStr">
        <is>
          <t>쿠쿠홈시스</t>
        </is>
      </c>
      <c r="B2072" s="6" t="inlineStr">
        <is>
          <t>284740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244597</v>
      </c>
      <c r="J2072" s="10" t="n">
        <v>34425</v>
      </c>
      <c r="K2072" s="10" t="n">
        <v>33500</v>
      </c>
      <c r="L2072" s="7" t="n">
        <v>261489</v>
      </c>
      <c r="M2072" s="8" t="n">
        <v>32292</v>
      </c>
      <c r="N2072" s="8" t="n">
        <v>43530</v>
      </c>
      <c r="O2072" s="9" t="n">
        <v>253840</v>
      </c>
      <c r="P2072" s="10" t="n">
        <v>19507</v>
      </c>
      <c r="Q2072" s="10" t="n">
        <v>23595</v>
      </c>
      <c r="R2072" s="7" t="n">
        <v>297283</v>
      </c>
      <c r="S2072" s="8" t="n">
        <v>78592</v>
      </c>
      <c r="T2072" s="8" t="n">
        <v>35508</v>
      </c>
      <c r="U2072" s="9" t="n">
        <v>271109</v>
      </c>
      <c r="V2072" s="10" t="n">
        <v>42548</v>
      </c>
      <c r="W2072" s="10" t="n">
        <v>31665</v>
      </c>
      <c r="X2072" s="7" t="n">
        <v>294040</v>
      </c>
      <c r="Y2072" s="8" t="n">
        <v>41704</v>
      </c>
      <c r="Z2072" s="8" t="n">
        <v>24931</v>
      </c>
      <c r="AA2072" s="9" t="n">
        <v>291642</v>
      </c>
      <c r="AB2072" s="10" t="n">
        <v>40799</v>
      </c>
      <c r="AC2072" s="10" t="n">
        <v>33670</v>
      </c>
      <c r="AD2072" s="7" t="n">
        <v>264552</v>
      </c>
      <c r="AE2072" s="8" t="n">
        <v>44312</v>
      </c>
      <c r="AF2072" s="8" t="n">
        <v>44054</v>
      </c>
      <c r="AG2072" s="9" t="n">
        <v>273041</v>
      </c>
      <c r="AH2072" s="10" t="n">
        <v>41252</v>
      </c>
      <c r="AI2072" s="10" t="n">
        <v>37986</v>
      </c>
      <c r="AJ2072" s="11" t="n">
        <v>318272</v>
      </c>
      <c r="AK2072" s="12" t="n">
        <v>54024</v>
      </c>
      <c r="AL2072" s="12" t="n">
        <v>42771</v>
      </c>
      <c r="AM2072" s="13" t="n">
        <v>16.6</v>
      </c>
      <c r="AN2072" s="13" t="n">
        <v>8.199999999999999</v>
      </c>
      <c r="AO2072" s="13" t="n">
        <v>31</v>
      </c>
      <c r="AP2072" s="13" t="n">
        <v>29.5</v>
      </c>
    </row>
    <row r="2073">
      <c r="A2073" s="5" t="inlineStr">
        <is>
          <t>SK케미칼</t>
        </is>
      </c>
      <c r="B2073" s="6" t="inlineStr">
        <is>
          <t>285130</t>
        </is>
      </c>
      <c r="C2073" s="6" t="inlineStr">
        <is>
          <t>연결</t>
        </is>
      </c>
      <c r="D2073" s="6" t="inlineStr">
        <is>
          <t>2026Q2</t>
        </is>
      </c>
      <c r="E2073" s="6" t="inlineStr">
        <is>
          <t>2023Q4</t>
        </is>
      </c>
      <c r="F2073" s="14" t="n">
        <v>431560</v>
      </c>
      <c r="G2073" s="15" t="n">
        <v>6429</v>
      </c>
      <c r="H2073" s="15" t="n">
        <v>-10571</v>
      </c>
      <c r="I2073" s="9" t="n">
        <v>380960</v>
      </c>
      <c r="J2073" s="10" t="n">
        <v>-12658</v>
      </c>
      <c r="K2073" s="10" t="n">
        <v>-8389</v>
      </c>
      <c r="L2073" s="7" t="n">
        <v>413898</v>
      </c>
      <c r="M2073" s="8" t="n">
        <v>8867</v>
      </c>
      <c r="N2073" s="8" t="n">
        <v>5117</v>
      </c>
      <c r="O2073" s="9" t="n">
        <v>426348</v>
      </c>
      <c r="P2073" s="10" t="n">
        <v>-12453</v>
      </c>
      <c r="Q2073" s="10" t="n">
        <v>-10951</v>
      </c>
      <c r="R2073" s="7" t="n">
        <v>515573</v>
      </c>
      <c r="S2073" s="8" t="n">
        <v>-28932</v>
      </c>
      <c r="T2073" s="8" t="n">
        <v>9858</v>
      </c>
      <c r="U2073" s="9" t="n">
        <v>536624</v>
      </c>
      <c r="V2073" s="10" t="n">
        <v>24282</v>
      </c>
      <c r="W2073" s="10" t="n">
        <v>21137</v>
      </c>
      <c r="X2073" s="7" t="n">
        <v>596865</v>
      </c>
      <c r="Y2073" s="8" t="n">
        <v>-963</v>
      </c>
      <c r="Z2073" s="8" t="n">
        <v>8189</v>
      </c>
      <c r="AA2073" s="9" t="n">
        <v>609916</v>
      </c>
      <c r="AB2073" s="10" t="n">
        <v>15572</v>
      </c>
      <c r="AC2073" s="10" t="n">
        <v>47877</v>
      </c>
      <c r="AD2073" s="7" t="n">
        <v>621759</v>
      </c>
      <c r="AE2073" s="8" t="n">
        <v>-39098</v>
      </c>
      <c r="AF2073" s="8" t="n">
        <v>-49906</v>
      </c>
      <c r="AG2073" s="9" t="n">
        <v>655889</v>
      </c>
      <c r="AH2073" s="10" t="n">
        <v>-18889</v>
      </c>
      <c r="AI2073" s="10" t="n">
        <v>-26111</v>
      </c>
      <c r="AJ2073" s="11" t="n">
        <v>745120</v>
      </c>
      <c r="AK2073" s="12" t="n">
        <v>32349</v>
      </c>
      <c r="AL2073" s="12" t="n">
        <v>6806</v>
      </c>
      <c r="AM2073" s="13" t="n">
        <v>13.6</v>
      </c>
      <c r="AN2073" s="13" t="n">
        <v>24.8</v>
      </c>
      <c r="AO2073" s="13" t="n">
        <v>271.3</v>
      </c>
      <c r="AP2073" s="13" t="n">
        <v>3459.2</v>
      </c>
    </row>
    <row r="2074">
      <c r="A2074" s="5" t="inlineStr">
        <is>
          <t>노바텍</t>
        </is>
      </c>
      <c r="B2074" s="6" t="inlineStr">
        <is>
          <t>285490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15616</v>
      </c>
      <c r="J2074" s="10" t="n">
        <v>4018</v>
      </c>
      <c r="K2074" s="10" t="n">
        <v>6245</v>
      </c>
      <c r="L2074" s="7" t="n">
        <v>15220</v>
      </c>
      <c r="M2074" s="8" t="n">
        <v>3048</v>
      </c>
      <c r="N2074" s="8" t="n">
        <v>5049</v>
      </c>
      <c r="O2074" s="9" t="n">
        <v>20615</v>
      </c>
      <c r="P2074" s="10" t="n">
        <v>4276</v>
      </c>
      <c r="Q2074" s="10" t="n">
        <v>3164</v>
      </c>
      <c r="R2074" s="7" t="n">
        <v>14361</v>
      </c>
      <c r="S2074" s="8" t="n">
        <v>1269</v>
      </c>
      <c r="T2074" s="8" t="n">
        <v>2777</v>
      </c>
      <c r="U2074" s="9" t="n">
        <v>17118</v>
      </c>
      <c r="V2074" s="10" t="n">
        <v>3461</v>
      </c>
      <c r="W2074" s="10" t="n">
        <v>3806</v>
      </c>
      <c r="X2074" s="7" t="n">
        <v>12100</v>
      </c>
      <c r="Y2074" s="8" t="n">
        <v>2171</v>
      </c>
      <c r="Z2074" s="8" t="n">
        <v>7365</v>
      </c>
      <c r="AA2074" s="9" t="n">
        <v>13949</v>
      </c>
      <c r="AB2074" s="10" t="n">
        <v>2216</v>
      </c>
      <c r="AC2074" s="10" t="n">
        <v>3961</v>
      </c>
      <c r="AD2074" s="7" t="n">
        <v>12423</v>
      </c>
      <c r="AE2074" s="8" t="n">
        <v>-1148</v>
      </c>
      <c r="AF2074" s="8" t="n">
        <v>2576</v>
      </c>
      <c r="AG2074" s="9" t="n">
        <v>11161</v>
      </c>
      <c r="AH2074" s="10" t="n">
        <v>-22</v>
      </c>
      <c r="AI2074" s="10" t="n">
        <v>4038</v>
      </c>
      <c r="AJ2074" s="11" t="n">
        <v>9526</v>
      </c>
      <c r="AK2074" s="12" t="n">
        <v>-151</v>
      </c>
      <c r="AL2074" s="12" t="n">
        <v>23205</v>
      </c>
      <c r="AM2074" s="13" t="n">
        <v>-14.6</v>
      </c>
      <c r="AN2074" s="13" t="n">
        <v>-21.3</v>
      </c>
      <c r="AO2074" s="13" t="n">
        <v>-586.4</v>
      </c>
      <c r="AP2074" s="13" t="n">
        <v>-107</v>
      </c>
    </row>
    <row r="2075">
      <c r="A2075" s="5" t="inlineStr">
        <is>
          <t>진영</t>
        </is>
      </c>
      <c r="B2075" s="6" t="inlineStr">
        <is>
          <t>285800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9080</v>
      </c>
      <c r="J2075" s="10" t="n">
        <v>28</v>
      </c>
      <c r="K2075" s="10" t="n">
        <v>-34</v>
      </c>
      <c r="L2075" s="7" t="n">
        <v>7999</v>
      </c>
      <c r="M2075" s="8" t="n">
        <v>-526</v>
      </c>
      <c r="N2075" s="8" t="n">
        <v>-94</v>
      </c>
      <c r="O2075" s="9" t="n">
        <v>7798</v>
      </c>
      <c r="P2075" s="10" t="n">
        <v>-737</v>
      </c>
      <c r="Q2075" s="10" t="n">
        <v>-650</v>
      </c>
      <c r="R2075" s="7" t="n">
        <v>9344</v>
      </c>
      <c r="S2075" s="8" t="n">
        <v>-1704</v>
      </c>
      <c r="T2075" s="8" t="n">
        <v>-2770</v>
      </c>
      <c r="U2075" s="9" t="n">
        <v>7359</v>
      </c>
      <c r="V2075" s="10" t="n">
        <v>-1039</v>
      </c>
      <c r="W2075" s="10" t="n">
        <v>-1395</v>
      </c>
      <c r="X2075" s="7" t="n">
        <v>8017</v>
      </c>
      <c r="Y2075" s="8" t="n">
        <v>-250</v>
      </c>
      <c r="Z2075" s="8" t="n">
        <v>-1872</v>
      </c>
      <c r="AA2075" s="9" t="n">
        <v>8576</v>
      </c>
      <c r="AB2075" s="10" t="n">
        <v>-127</v>
      </c>
      <c r="AC2075" s="10" t="n">
        <v>-311</v>
      </c>
      <c r="AD2075" s="7" t="n">
        <v>8471</v>
      </c>
      <c r="AE2075" s="8" t="n">
        <v>-1240</v>
      </c>
      <c r="AF2075" s="8" t="n">
        <v>382</v>
      </c>
      <c r="AG2075" s="9" t="n">
        <v>8522</v>
      </c>
      <c r="AH2075" s="10" t="n">
        <v>-90</v>
      </c>
      <c r="AI2075" s="10" t="n">
        <v>-1065</v>
      </c>
      <c r="AJ2075" s="11" t="n">
        <v>8593</v>
      </c>
      <c r="AK2075" s="12" t="n">
        <v>79</v>
      </c>
      <c r="AL2075" s="12" t="n">
        <v>2599</v>
      </c>
      <c r="AM2075" s="13" t="n">
        <v>0.8</v>
      </c>
      <c r="AN2075" s="13" t="n">
        <v>7.2</v>
      </c>
      <c r="AO2075" s="13" t="n">
        <v>187.8</v>
      </c>
      <c r="AP2075" s="13" t="n">
        <v>131.6</v>
      </c>
    </row>
    <row r="2076">
      <c r="A2076" s="5" t="inlineStr">
        <is>
          <t>나노실리칸첨단소재</t>
        </is>
      </c>
      <c r="B2076" s="6" t="inlineStr">
        <is>
          <t>286750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3775</v>
      </c>
      <c r="J2076" s="10" t="n">
        <v>329</v>
      </c>
      <c r="K2076" s="10" t="n">
        <v>2777</v>
      </c>
      <c r="L2076" s="7" t="n">
        <v>393</v>
      </c>
      <c r="M2076" s="8" t="n">
        <v>-1574</v>
      </c>
      <c r="N2076" s="8" t="n">
        <v>-921</v>
      </c>
      <c r="O2076" s="9" t="n">
        <v>357</v>
      </c>
      <c r="P2076" s="10" t="n">
        <v>-974</v>
      </c>
      <c r="Q2076" s="10" t="n">
        <v>-480</v>
      </c>
      <c r="R2076" s="7" t="n">
        <v>754</v>
      </c>
      <c r="S2076" s="8" t="n">
        <v>-1221</v>
      </c>
      <c r="T2076" s="8" t="n">
        <v>-1138</v>
      </c>
      <c r="U2076" s="9" t="n">
        <v>1022</v>
      </c>
      <c r="V2076" s="10" t="n">
        <v>-796</v>
      </c>
      <c r="W2076" s="10" t="n">
        <v>-1306</v>
      </c>
      <c r="X2076" s="7" t="n">
        <v>396</v>
      </c>
      <c r="Y2076" s="8" t="n">
        <v>-1321</v>
      </c>
      <c r="Z2076" s="8" t="n">
        <v>-1485</v>
      </c>
      <c r="AA2076" s="9" t="n">
        <v>2447</v>
      </c>
      <c r="AB2076" s="10" t="n">
        <v>-2001</v>
      </c>
      <c r="AC2076" s="10" t="n">
        <v>-2368</v>
      </c>
      <c r="AD2076" s="7" t="n">
        <v>2112</v>
      </c>
      <c r="AE2076" s="8" t="n">
        <v>-2463</v>
      </c>
      <c r="AF2076" s="8" t="n">
        <v>-404</v>
      </c>
      <c r="AG2076" s="9" t="n">
        <v>1977</v>
      </c>
      <c r="AH2076" s="10" t="n">
        <v>-1350</v>
      </c>
      <c r="AI2076" s="10" t="n">
        <v>-1413</v>
      </c>
      <c r="AJ2076" s="11" t="n">
        <v>2305</v>
      </c>
      <c r="AK2076" s="12" t="n">
        <v>-1041</v>
      </c>
      <c r="AL2076" s="12" t="n">
        <v>-3501</v>
      </c>
      <c r="AM2076" s="13" t="n">
        <v>16.6</v>
      </c>
      <c r="AN2076" s="13" t="n">
        <v>482.1</v>
      </c>
      <c r="AO2076" s="13" t="n">
        <v>22.9</v>
      </c>
      <c r="AP2076" s="13" t="n">
        <v>21.2</v>
      </c>
    </row>
    <row r="2077">
      <c r="A2077" s="5" t="inlineStr">
        <is>
          <t>롯데이노베이트</t>
        </is>
      </c>
      <c r="B2077" s="6" t="inlineStr">
        <is>
          <t>286940</t>
        </is>
      </c>
      <c r="C2077" s="6" t="inlineStr">
        <is>
          <t>연결</t>
        </is>
      </c>
      <c r="D2077" s="6" t="inlineStr">
        <is>
          <t>2026Q2</t>
        </is>
      </c>
      <c r="E2077" s="6" t="inlineStr">
        <is>
          <t>2023Q4</t>
        </is>
      </c>
      <c r="F2077" s="14" t="n">
        <v>346369</v>
      </c>
      <c r="G2077" s="15" t="n">
        <v>18038</v>
      </c>
      <c r="H2077" s="15" t="n">
        <v>13290</v>
      </c>
      <c r="I2077" s="9" t="n">
        <v>276525</v>
      </c>
      <c r="J2077" s="10" t="n">
        <v>8950</v>
      </c>
      <c r="K2077" s="10" t="n">
        <v>5354</v>
      </c>
      <c r="L2077" s="7" t="n">
        <v>286541</v>
      </c>
      <c r="M2077" s="8" t="n">
        <v>5843</v>
      </c>
      <c r="N2077" s="8" t="n">
        <v>2382</v>
      </c>
      <c r="O2077" s="9" t="n">
        <v>288049</v>
      </c>
      <c r="P2077" s="10" t="n">
        <v>8296</v>
      </c>
      <c r="Q2077" s="10" t="n">
        <v>3769</v>
      </c>
      <c r="R2077" s="7" t="n">
        <v>329257</v>
      </c>
      <c r="S2077" s="8" t="n">
        <v>2635</v>
      </c>
      <c r="T2077" s="8" t="n">
        <v>-4274</v>
      </c>
      <c r="U2077" s="9" t="n">
        <v>284811</v>
      </c>
      <c r="V2077" s="10" t="n">
        <v>6958</v>
      </c>
      <c r="W2077" s="10" t="n">
        <v>3410</v>
      </c>
      <c r="X2077" s="7" t="n">
        <v>280758</v>
      </c>
      <c r="Y2077" s="8" t="n">
        <v>8020</v>
      </c>
      <c r="Z2077" s="8" t="n">
        <v>2634</v>
      </c>
      <c r="AA2077" s="9" t="n">
        <v>277503</v>
      </c>
      <c r="AB2077" s="10" t="n">
        <v>6621</v>
      </c>
      <c r="AC2077" s="10" t="n">
        <v>4037</v>
      </c>
      <c r="AD2077" s="7" t="n">
        <v>326753</v>
      </c>
      <c r="AE2077" s="8" t="n">
        <v>9794</v>
      </c>
      <c r="AF2077" s="8" t="n">
        <v>-6004</v>
      </c>
      <c r="AG2077" s="9" t="n">
        <v>281178</v>
      </c>
      <c r="AH2077" s="10" t="n">
        <v>9736</v>
      </c>
      <c r="AI2077" s="10" t="n">
        <v>4077</v>
      </c>
      <c r="AJ2077" s="11" t="n">
        <v>274496</v>
      </c>
      <c r="AK2077" s="12" t="n">
        <v>12378</v>
      </c>
      <c r="AL2077" s="12" t="n">
        <v>8673</v>
      </c>
      <c r="AM2077" s="13" t="n">
        <v>-2.4</v>
      </c>
      <c r="AN2077" s="13" t="n">
        <v>-2.2</v>
      </c>
      <c r="AO2077" s="13" t="n">
        <v>27.1</v>
      </c>
      <c r="AP2077" s="13" t="n">
        <v>54.3</v>
      </c>
    </row>
    <row r="2078">
      <c r="A2078" s="5" t="inlineStr">
        <is>
          <t>인투셀</t>
        </is>
      </c>
      <c r="B2078" s="6" t="inlineStr">
        <is>
          <t>287840</t>
        </is>
      </c>
      <c r="C2078" s="6" t="inlineStr">
        <is>
          <t>별도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inlineStr"/>
      <c r="K2078" s="10" t="inlineStr"/>
      <c r="L2078" s="7" t="n">
        <v>1729</v>
      </c>
      <c r="M2078" s="8" t="n">
        <v>-986</v>
      </c>
      <c r="N2078" s="8" t="n">
        <v>-922</v>
      </c>
      <c r="O2078" s="9" t="n">
        <v>985</v>
      </c>
      <c r="P2078" s="10" t="n">
        <v>-2313</v>
      </c>
      <c r="Q2078" s="10" t="n">
        <v>-2587</v>
      </c>
      <c r="R2078" s="7" t="inlineStr"/>
      <c r="S2078" s="8" t="inlineStr"/>
      <c r="T2078" s="8" t="inlineStr"/>
      <c r="U2078" s="9" t="n">
        <v>109</v>
      </c>
      <c r="V2078" s="10" t="n">
        <v>-3409</v>
      </c>
      <c r="W2078" s="10" t="n">
        <v>-3370</v>
      </c>
      <c r="X2078" s="7" t="n">
        <v>39</v>
      </c>
      <c r="Y2078" s="8" t="n">
        <v>-3722</v>
      </c>
      <c r="Z2078" s="8" t="n">
        <v>-3869</v>
      </c>
      <c r="AA2078" s="9" t="n">
        <v>1423</v>
      </c>
      <c r="AB2078" s="10" t="n">
        <v>-1299</v>
      </c>
      <c r="AC2078" s="10" t="n">
        <v>-1136</v>
      </c>
      <c r="AD2078" s="7" t="n">
        <v>728</v>
      </c>
      <c r="AE2078" s="8" t="n">
        <v>-1870</v>
      </c>
      <c r="AF2078" s="8" t="n">
        <v>-2228</v>
      </c>
      <c r="AG2078" s="9" t="n">
        <v>281</v>
      </c>
      <c r="AH2078" s="10" t="n">
        <v>-3531</v>
      </c>
      <c r="AI2078" s="10" t="n">
        <v>-4010</v>
      </c>
      <c r="AJ2078" s="11" t="n">
        <v>760</v>
      </c>
      <c r="AK2078" s="12" t="n">
        <v>-2207</v>
      </c>
      <c r="AL2078" s="12" t="n">
        <v>-2071</v>
      </c>
      <c r="AM2078" s="13" t="n">
        <v>170.5</v>
      </c>
      <c r="AN2078" s="13" t="n">
        <v>1848.7</v>
      </c>
      <c r="AO2078" s="13" t="n">
        <v>37.5</v>
      </c>
      <c r="AP2078" s="13" t="n">
        <v>40.7</v>
      </c>
    </row>
    <row r="2079">
      <c r="A2079" s="5" t="inlineStr">
        <is>
          <t>케이피항공산업</t>
        </is>
      </c>
      <c r="B2079" s="6" t="inlineStr">
        <is>
          <t>288180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9874</v>
      </c>
      <c r="J2079" s="10" t="n">
        <v>-800</v>
      </c>
      <c r="K2079" s="10" t="n">
        <v>-833</v>
      </c>
      <c r="L2079" s="7" t="n">
        <v>13008</v>
      </c>
      <c r="M2079" s="8" t="n">
        <v>2490</v>
      </c>
      <c r="N2079" s="8" t="n">
        <v>2212</v>
      </c>
      <c r="O2079" s="9" t="n">
        <v>12233</v>
      </c>
      <c r="P2079" s="10" t="n">
        <v>510</v>
      </c>
      <c r="Q2079" s="10" t="n">
        <v>56</v>
      </c>
      <c r="R2079" s="7" t="n">
        <v>14536</v>
      </c>
      <c r="S2079" s="8" t="n">
        <v>1289</v>
      </c>
      <c r="T2079" s="8" t="n">
        <v>1583</v>
      </c>
      <c r="U2079" s="9" t="n">
        <v>12817</v>
      </c>
      <c r="V2079" s="10" t="n">
        <v>296</v>
      </c>
      <c r="W2079" s="10" t="n">
        <v>84</v>
      </c>
      <c r="X2079" s="7" t="n">
        <v>15030</v>
      </c>
      <c r="Y2079" s="8" t="n">
        <v>2089</v>
      </c>
      <c r="Z2079" s="8" t="n">
        <v>1406</v>
      </c>
      <c r="AA2079" s="9" t="n">
        <v>12366</v>
      </c>
      <c r="AB2079" s="10" t="n">
        <v>-129</v>
      </c>
      <c r="AC2079" s="10" t="n">
        <v>56</v>
      </c>
      <c r="AD2079" s="7" t="n">
        <v>13695</v>
      </c>
      <c r="AE2079" s="8" t="n">
        <v>383</v>
      </c>
      <c r="AF2079" s="8" t="n">
        <v>9</v>
      </c>
      <c r="AG2079" s="9" t="n">
        <v>13677</v>
      </c>
      <c r="AH2079" s="10" t="n">
        <v>591</v>
      </c>
      <c r="AI2079" s="10" t="n">
        <v>555</v>
      </c>
      <c r="AJ2079" s="11" t="n">
        <v>14325</v>
      </c>
      <c r="AK2079" s="12" t="n">
        <v>-584</v>
      </c>
      <c r="AL2079" s="12" t="n">
        <v>-13795</v>
      </c>
      <c r="AM2079" s="13" t="n">
        <v>4.7</v>
      </c>
      <c r="AN2079" s="13" t="n">
        <v>-4.7</v>
      </c>
      <c r="AO2079" s="13" t="n">
        <v>-198.8</v>
      </c>
      <c r="AP2079" s="13" t="n">
        <v>-128</v>
      </c>
    </row>
    <row r="2080">
      <c r="A2080" s="5" t="inlineStr">
        <is>
          <t>파라택시스코리아</t>
        </is>
      </c>
      <c r="B2080" s="6" t="inlineStr">
        <is>
          <t>288330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inlineStr"/>
      <c r="J2080" s="10" t="n">
        <v>-5493</v>
      </c>
      <c r="K2080" s="10" t="n">
        <v>-5470</v>
      </c>
      <c r="L2080" s="7" t="inlineStr"/>
      <c r="M2080" s="8" t="n">
        <v>-5470</v>
      </c>
      <c r="N2080" s="8" t="n">
        <v>-5751</v>
      </c>
      <c r="O2080" s="9" t="inlineStr"/>
      <c r="P2080" s="10" t="n">
        <v>-4650</v>
      </c>
      <c r="Q2080" s="10" t="n">
        <v>-4531</v>
      </c>
      <c r="R2080" s="7" t="inlineStr"/>
      <c r="S2080" s="8" t="n">
        <v>-3395</v>
      </c>
      <c r="T2080" s="8" t="n">
        <v>-4181</v>
      </c>
      <c r="U2080" s="9" t="inlineStr"/>
      <c r="V2080" s="10" t="n">
        <v>-4979</v>
      </c>
      <c r="W2080" s="10" t="n">
        <v>-4926</v>
      </c>
      <c r="X2080" s="7" t="inlineStr"/>
      <c r="Y2080" s="8" t="n">
        <v>-4653</v>
      </c>
      <c r="Z2080" s="8" t="n">
        <v>-4588</v>
      </c>
      <c r="AA2080" s="9" t="inlineStr"/>
      <c r="AB2080" s="10" t="n">
        <v>-3439</v>
      </c>
      <c r="AC2080" s="10" t="n">
        <v>-3497</v>
      </c>
      <c r="AD2080" s="7" t="inlineStr"/>
      <c r="AE2080" s="8" t="n">
        <v>-2083</v>
      </c>
      <c r="AF2080" s="8" t="n">
        <v>-19229</v>
      </c>
      <c r="AG2080" s="9" t="inlineStr"/>
      <c r="AH2080" s="10" t="n">
        <v>-2052</v>
      </c>
      <c r="AI2080" s="10" t="n">
        <v>-2565</v>
      </c>
      <c r="AJ2080" s="11" t="inlineStr"/>
      <c r="AK2080" s="12" t="n">
        <v>-2200</v>
      </c>
      <c r="AL2080" s="12" t="n">
        <v>-5477</v>
      </c>
      <c r="AM2080" s="13" t="inlineStr"/>
      <c r="AN2080" s="13" t="inlineStr"/>
      <c r="AO2080" s="13" t="n">
        <v>-7.2</v>
      </c>
      <c r="AP2080" s="13" t="n">
        <v>52.7</v>
      </c>
    </row>
    <row r="2081">
      <c r="A2081" s="5" t="inlineStr">
        <is>
          <t>에스프리즘</t>
        </is>
      </c>
      <c r="B2081" s="6" t="inlineStr">
        <is>
          <t>288620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10655</v>
      </c>
      <c r="J2081" s="10" t="n">
        <v>1169</v>
      </c>
      <c r="K2081" s="10" t="n">
        <v>839</v>
      </c>
      <c r="L2081" s="7" t="n">
        <v>9916</v>
      </c>
      <c r="M2081" s="8" t="n">
        <v>-260</v>
      </c>
      <c r="N2081" s="8" t="n">
        <v>778</v>
      </c>
      <c r="O2081" s="9" t="n">
        <v>5550</v>
      </c>
      <c r="P2081" s="10" t="n">
        <v>-1010</v>
      </c>
      <c r="Q2081" s="10" t="n">
        <v>-1385</v>
      </c>
      <c r="R2081" s="7" t="n">
        <v>7545</v>
      </c>
      <c r="S2081" s="8" t="n">
        <v>-4036</v>
      </c>
      <c r="T2081" s="8" t="n">
        <v>-1464</v>
      </c>
      <c r="U2081" s="9" t="n">
        <v>3741</v>
      </c>
      <c r="V2081" s="10" t="n">
        <v>-1432</v>
      </c>
      <c r="W2081" s="10" t="n">
        <v>-1848</v>
      </c>
      <c r="X2081" s="7" t="n">
        <v>4648</v>
      </c>
      <c r="Y2081" s="8" t="n">
        <v>-1482</v>
      </c>
      <c r="Z2081" s="8" t="n">
        <v>-3382</v>
      </c>
      <c r="AA2081" s="9" t="n">
        <v>2042</v>
      </c>
      <c r="AB2081" s="10" t="n">
        <v>-3722</v>
      </c>
      <c r="AC2081" s="10" t="n">
        <v>-4277</v>
      </c>
      <c r="AD2081" s="7" t="n">
        <v>5355</v>
      </c>
      <c r="AE2081" s="8" t="n">
        <v>-8377</v>
      </c>
      <c r="AF2081" s="8" t="n">
        <v>-12298</v>
      </c>
      <c r="AG2081" s="9" t="n">
        <v>2429</v>
      </c>
      <c r="AH2081" s="10" t="n">
        <v>-2827</v>
      </c>
      <c r="AI2081" s="10" t="n">
        <v>-3214</v>
      </c>
      <c r="AJ2081" s="11" t="n">
        <v>3941</v>
      </c>
      <c r="AK2081" s="12" t="n">
        <v>-733</v>
      </c>
      <c r="AL2081" s="12" t="n">
        <v>568</v>
      </c>
      <c r="AM2081" s="13" t="n">
        <v>62.2</v>
      </c>
      <c r="AN2081" s="13" t="n">
        <v>-15.2</v>
      </c>
      <c r="AO2081" s="13" t="n">
        <v>74.09999999999999</v>
      </c>
      <c r="AP2081" s="13" t="n">
        <v>50.5</v>
      </c>
    </row>
    <row r="2082">
      <c r="A2082" s="5" t="inlineStr">
        <is>
          <t>모아데이타</t>
        </is>
      </c>
      <c r="B2082" s="6" t="inlineStr">
        <is>
          <t>288980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4663</v>
      </c>
      <c r="J2082" s="10" t="n">
        <v>-1545</v>
      </c>
      <c r="K2082" s="10" t="n">
        <v>-2106</v>
      </c>
      <c r="L2082" s="7" t="n">
        <v>7431</v>
      </c>
      <c r="M2082" s="8" t="n">
        <v>129</v>
      </c>
      <c r="N2082" s="8" t="n">
        <v>1626</v>
      </c>
      <c r="O2082" s="9" t="n">
        <v>5225</v>
      </c>
      <c r="P2082" s="10" t="n">
        <v>-1163</v>
      </c>
      <c r="Q2082" s="10" t="n">
        <v>-3646</v>
      </c>
      <c r="R2082" s="7" t="n">
        <v>17056</v>
      </c>
      <c r="S2082" s="8" t="n">
        <v>1249</v>
      </c>
      <c r="T2082" s="8" t="n">
        <v>39</v>
      </c>
      <c r="U2082" s="9" t="n">
        <v>6053</v>
      </c>
      <c r="V2082" s="10" t="n">
        <v>-431</v>
      </c>
      <c r="W2082" s="10" t="n">
        <v>-1868</v>
      </c>
      <c r="X2082" s="7" t="n">
        <v>3666</v>
      </c>
      <c r="Y2082" s="8" t="n">
        <v>-1591</v>
      </c>
      <c r="Z2082" s="8" t="n">
        <v>-4145</v>
      </c>
      <c r="AA2082" s="9" t="n">
        <v>7012</v>
      </c>
      <c r="AB2082" s="10" t="n">
        <v>-1597</v>
      </c>
      <c r="AC2082" s="10" t="n">
        <v>-2655</v>
      </c>
      <c r="AD2082" s="7" t="n">
        <v>6439</v>
      </c>
      <c r="AE2082" s="8" t="n">
        <v>-2314</v>
      </c>
      <c r="AF2082" s="8" t="n">
        <v>-11067</v>
      </c>
      <c r="AG2082" s="9" t="n">
        <v>4388</v>
      </c>
      <c r="AH2082" s="10" t="n">
        <v>-2262</v>
      </c>
      <c r="AI2082" s="10" t="n">
        <v>-3622</v>
      </c>
      <c r="AJ2082" s="11" t="n">
        <v>6534</v>
      </c>
      <c r="AK2082" s="12" t="n">
        <v>-1437</v>
      </c>
      <c r="AL2082" s="12" t="n">
        <v>-9486</v>
      </c>
      <c r="AM2082" s="13" t="n">
        <v>48.9</v>
      </c>
      <c r="AN2082" s="13" t="n">
        <v>78.2</v>
      </c>
      <c r="AO2082" s="13" t="n">
        <v>36.5</v>
      </c>
      <c r="AP2082" s="13" t="n">
        <v>9.699999999999999</v>
      </c>
    </row>
    <row r="2083">
      <c r="A2083" s="5" t="inlineStr">
        <is>
          <t>아이스크림에듀</t>
        </is>
      </c>
      <c r="B2083" s="6" t="inlineStr">
        <is>
          <t>289010</t>
        </is>
      </c>
      <c r="C2083" s="6" t="inlineStr">
        <is>
          <t>별도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27528</v>
      </c>
      <c r="J2083" s="10" t="n">
        <v>-2710</v>
      </c>
      <c r="K2083" s="10" t="n">
        <v>-3192</v>
      </c>
      <c r="L2083" s="7" t="n">
        <v>25336</v>
      </c>
      <c r="M2083" s="8" t="n">
        <v>-1282</v>
      </c>
      <c r="N2083" s="8" t="n">
        <v>-2480</v>
      </c>
      <c r="O2083" s="9" t="n">
        <v>27887</v>
      </c>
      <c r="P2083" s="10" t="n">
        <v>1479</v>
      </c>
      <c r="Q2083" s="10" t="n">
        <v>1461</v>
      </c>
      <c r="R2083" s="7" t="n">
        <v>26876</v>
      </c>
      <c r="S2083" s="8" t="n">
        <v>573</v>
      </c>
      <c r="T2083" s="8" t="n">
        <v>-2001</v>
      </c>
      <c r="U2083" s="9" t="n">
        <v>24387</v>
      </c>
      <c r="V2083" s="10" t="n">
        <v>-3569</v>
      </c>
      <c r="W2083" s="10" t="n">
        <v>-3888</v>
      </c>
      <c r="X2083" s="7" t="n">
        <v>22932</v>
      </c>
      <c r="Y2083" s="8" t="n">
        <v>721</v>
      </c>
      <c r="Z2083" s="8" t="n">
        <v>2779</v>
      </c>
      <c r="AA2083" s="9" t="n">
        <v>20958</v>
      </c>
      <c r="AB2083" s="10" t="n">
        <v>1001</v>
      </c>
      <c r="AC2083" s="10" t="n">
        <v>-1517</v>
      </c>
      <c r="AD2083" s="7" t="n">
        <v>23310</v>
      </c>
      <c r="AE2083" s="8" t="n">
        <v>3249</v>
      </c>
      <c r="AF2083" s="8" t="n">
        <v>1568</v>
      </c>
      <c r="AG2083" s="9" t="n">
        <v>20299</v>
      </c>
      <c r="AH2083" s="10" t="n">
        <v>853</v>
      </c>
      <c r="AI2083" s="10" t="n">
        <v>675</v>
      </c>
      <c r="AJ2083" s="11" t="n">
        <v>19285</v>
      </c>
      <c r="AK2083" s="12" t="n">
        <v>1652</v>
      </c>
      <c r="AL2083" s="12" t="n">
        <v>1785</v>
      </c>
      <c r="AM2083" s="13" t="n">
        <v>-5</v>
      </c>
      <c r="AN2083" s="13" t="n">
        <v>-15.9</v>
      </c>
      <c r="AO2083" s="13" t="n">
        <v>93.7</v>
      </c>
      <c r="AP2083" s="13" t="n">
        <v>129.1</v>
      </c>
    </row>
    <row r="2084">
      <c r="A2084" s="5" t="inlineStr">
        <is>
          <t>SV인베스트먼트</t>
        </is>
      </c>
      <c r="B2084" s="6" t="inlineStr">
        <is>
          <t>289080</t>
        </is>
      </c>
      <c r="C2084" s="6" t="inlineStr">
        <is>
          <t>연결</t>
        </is>
      </c>
      <c r="D2084" s="6" t="inlineStr">
        <is>
          <t>2026Q1</t>
        </is>
      </c>
      <c r="E2084" s="6" t="inlineStr"/>
      <c r="F2084" s="7" t="inlineStr"/>
      <c r="G2084" s="8" t="inlineStr"/>
      <c r="H2084" s="8" t="inlineStr"/>
      <c r="I2084" s="9" t="n">
        <v>4877</v>
      </c>
      <c r="J2084" s="10" t="n">
        <v>-2466</v>
      </c>
      <c r="K2084" s="10" t="n">
        <v>-1854</v>
      </c>
      <c r="L2084" s="7" t="n">
        <v>7873</v>
      </c>
      <c r="M2084" s="8" t="n">
        <v>34</v>
      </c>
      <c r="N2084" s="8" t="n">
        <v>439</v>
      </c>
      <c r="O2084" s="9" t="n">
        <v>4722</v>
      </c>
      <c r="P2084" s="10" t="n">
        <v>10</v>
      </c>
      <c r="Q2084" s="10" t="n">
        <v>109</v>
      </c>
      <c r="R2084" s="7" t="n">
        <v>12277</v>
      </c>
      <c r="S2084" s="8" t="n">
        <v>8753</v>
      </c>
      <c r="T2084" s="8" t="n">
        <v>5591</v>
      </c>
      <c r="U2084" s="9" t="n">
        <v>6515</v>
      </c>
      <c r="V2084" s="10" t="n">
        <v>-1342</v>
      </c>
      <c r="W2084" s="10" t="n">
        <v>120</v>
      </c>
      <c r="X2084" s="7" t="n">
        <v>4323</v>
      </c>
      <c r="Y2084" s="8" t="n">
        <v>-266</v>
      </c>
      <c r="Z2084" s="8" t="n">
        <v>-315</v>
      </c>
      <c r="AA2084" s="9" t="n">
        <v>4594</v>
      </c>
      <c r="AB2084" s="10" t="n">
        <v>-1435</v>
      </c>
      <c r="AC2084" s="10" t="n">
        <v>-1202</v>
      </c>
      <c r="AD2084" s="7" t="n">
        <v>5641</v>
      </c>
      <c r="AE2084" s="8" t="n">
        <v>-3012</v>
      </c>
      <c r="AF2084" s="8" t="n">
        <v>-3835</v>
      </c>
      <c r="AG2084" s="9" t="n">
        <v>9149</v>
      </c>
      <c r="AH2084" s="10" t="n">
        <v>1571</v>
      </c>
      <c r="AI2084" s="10" t="n">
        <v>776</v>
      </c>
      <c r="AJ2084" s="11" t="inlineStr"/>
      <c r="AK2084" s="12" t="inlineStr"/>
      <c r="AL2084" s="12" t="inlineStr"/>
      <c r="AM2084" s="13" t="inlineStr"/>
      <c r="AN2084" s="13" t="inlineStr"/>
      <c r="AO2084" s="13" t="inlineStr"/>
      <c r="AP2084" s="13" t="inlineStr"/>
    </row>
    <row r="2085">
      <c r="A2085" s="5" t="inlineStr">
        <is>
          <t>자이언트스텝</t>
        </is>
      </c>
      <c r="B2085" s="6" t="inlineStr">
        <is>
          <t>289220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11517</v>
      </c>
      <c r="J2085" s="10" t="n">
        <v>-4683</v>
      </c>
      <c r="K2085" s="10" t="n">
        <v>-4066</v>
      </c>
      <c r="L2085" s="7" t="n">
        <v>14611</v>
      </c>
      <c r="M2085" s="8" t="n">
        <v>-5491</v>
      </c>
      <c r="N2085" s="8" t="n">
        <v>-4823</v>
      </c>
      <c r="O2085" s="9" t="n">
        <v>9742</v>
      </c>
      <c r="P2085" s="10" t="n">
        <v>-6389</v>
      </c>
      <c r="Q2085" s="10" t="n">
        <v>-6549</v>
      </c>
      <c r="R2085" s="7" t="n">
        <v>14218</v>
      </c>
      <c r="S2085" s="8" t="n">
        <v>-730</v>
      </c>
      <c r="T2085" s="8" t="n">
        <v>-12846</v>
      </c>
      <c r="U2085" s="9" t="n">
        <v>10065</v>
      </c>
      <c r="V2085" s="10" t="n">
        <v>-4244</v>
      </c>
      <c r="W2085" s="10" t="n">
        <v>-3793</v>
      </c>
      <c r="X2085" s="7" t="n">
        <v>7792</v>
      </c>
      <c r="Y2085" s="8" t="n">
        <v>-8405</v>
      </c>
      <c r="Z2085" s="8" t="n">
        <v>-8145</v>
      </c>
      <c r="AA2085" s="9" t="n">
        <v>8987</v>
      </c>
      <c r="AB2085" s="10" t="n">
        <v>-4855</v>
      </c>
      <c r="AC2085" s="10" t="n">
        <v>-4518</v>
      </c>
      <c r="AD2085" s="7" t="n">
        <v>9882</v>
      </c>
      <c r="AE2085" s="8" t="n">
        <v>-1493</v>
      </c>
      <c r="AF2085" s="8" t="n">
        <v>-1135</v>
      </c>
      <c r="AG2085" s="9" t="n">
        <v>9297</v>
      </c>
      <c r="AH2085" s="10" t="n">
        <v>-5554</v>
      </c>
      <c r="AI2085" s="10" t="n">
        <v>-5108</v>
      </c>
      <c r="AJ2085" s="11" t="n">
        <v>6555</v>
      </c>
      <c r="AK2085" s="12" t="n">
        <v>-2835</v>
      </c>
      <c r="AL2085" s="12" t="n">
        <v>-3023</v>
      </c>
      <c r="AM2085" s="13" t="n">
        <v>-29.5</v>
      </c>
      <c r="AN2085" s="13" t="n">
        <v>-15.9</v>
      </c>
      <c r="AO2085" s="13" t="n">
        <v>49</v>
      </c>
      <c r="AP2085" s="13" t="n">
        <v>66.3</v>
      </c>
    </row>
    <row r="2086">
      <c r="A2086" s="5" t="inlineStr">
        <is>
          <t>웨이비스</t>
        </is>
      </c>
      <c r="B2086" s="6" t="inlineStr">
        <is>
          <t>289930</t>
        </is>
      </c>
      <c r="C2086" s="6" t="inlineStr">
        <is>
          <t>별도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inlineStr"/>
      <c r="J2086" s="10" t="inlineStr"/>
      <c r="K2086" s="10" t="inlineStr"/>
      <c r="L2086" s="7" t="inlineStr"/>
      <c r="M2086" s="8" t="inlineStr"/>
      <c r="N2086" s="8" t="inlineStr"/>
      <c r="O2086" s="9" t="inlineStr"/>
      <c r="P2086" s="10" t="inlineStr"/>
      <c r="Q2086" s="10" t="inlineStr"/>
      <c r="R2086" s="7" t="inlineStr"/>
      <c r="S2086" s="8" t="inlineStr"/>
      <c r="T2086" s="8" t="inlineStr"/>
      <c r="U2086" s="9" t="n">
        <v>6493</v>
      </c>
      <c r="V2086" s="10" t="n">
        <v>-2387</v>
      </c>
      <c r="W2086" s="10" t="n">
        <v>-2275</v>
      </c>
      <c r="X2086" s="7" t="n">
        <v>8039</v>
      </c>
      <c r="Y2086" s="8" t="n">
        <v>-2498</v>
      </c>
      <c r="Z2086" s="8" t="n">
        <v>-2438</v>
      </c>
      <c r="AA2086" s="9" t="n">
        <v>8278</v>
      </c>
      <c r="AB2086" s="10" t="n">
        <v>-1178</v>
      </c>
      <c r="AC2086" s="10" t="n">
        <v>-773</v>
      </c>
      <c r="AD2086" s="7" t="n">
        <v>17896</v>
      </c>
      <c r="AE2086" s="8" t="n">
        <v>6690</v>
      </c>
      <c r="AF2086" s="8" t="n">
        <v>7282</v>
      </c>
      <c r="AG2086" s="9" t="n">
        <v>5191</v>
      </c>
      <c r="AH2086" s="10" t="n">
        <v>-3356</v>
      </c>
      <c r="AI2086" s="10" t="n">
        <v>1763</v>
      </c>
      <c r="AJ2086" s="11" t="n">
        <v>7749</v>
      </c>
      <c r="AK2086" s="12" t="n">
        <v>-707</v>
      </c>
      <c r="AL2086" s="12" t="n">
        <v>43324</v>
      </c>
      <c r="AM2086" s="13" t="n">
        <v>49.3</v>
      </c>
      <c r="AN2086" s="13" t="n">
        <v>-3.6</v>
      </c>
      <c r="AO2086" s="13" t="n">
        <v>78.90000000000001</v>
      </c>
      <c r="AP2086" s="13" t="n">
        <v>71.7</v>
      </c>
    </row>
    <row r="2087">
      <c r="A2087" s="5" t="inlineStr">
        <is>
          <t>트윔</t>
        </is>
      </c>
      <c r="B2087" s="6" t="inlineStr">
        <is>
          <t>290090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3694</v>
      </c>
      <c r="J2087" s="10" t="n">
        <v>-899</v>
      </c>
      <c r="K2087" s="10" t="n">
        <v>-498</v>
      </c>
      <c r="L2087" s="7" t="n">
        <v>10467</v>
      </c>
      <c r="M2087" s="8" t="n">
        <v>1226</v>
      </c>
      <c r="N2087" s="8" t="n">
        <v>2049</v>
      </c>
      <c r="O2087" s="9" t="n">
        <v>3157</v>
      </c>
      <c r="P2087" s="10" t="n">
        <v>-1339</v>
      </c>
      <c r="Q2087" s="10" t="n">
        <v>-1966</v>
      </c>
      <c r="R2087" s="7" t="n">
        <v>11963</v>
      </c>
      <c r="S2087" s="8" t="n">
        <v>1614</v>
      </c>
      <c r="T2087" s="8" t="n">
        <v>2041</v>
      </c>
      <c r="U2087" s="9" t="n">
        <v>3123</v>
      </c>
      <c r="V2087" s="10" t="n">
        <v>-860</v>
      </c>
      <c r="W2087" s="10" t="n">
        <v>-660</v>
      </c>
      <c r="X2087" s="7" t="n">
        <v>6699</v>
      </c>
      <c r="Y2087" s="8" t="n">
        <v>-749</v>
      </c>
      <c r="Z2087" s="8" t="n">
        <v>-953</v>
      </c>
      <c r="AA2087" s="9" t="n">
        <v>5016</v>
      </c>
      <c r="AB2087" s="10" t="n">
        <v>-1089</v>
      </c>
      <c r="AC2087" s="10" t="n">
        <v>-658</v>
      </c>
      <c r="AD2087" s="7" t="n">
        <v>6202</v>
      </c>
      <c r="AE2087" s="8" t="n">
        <v>-1385</v>
      </c>
      <c r="AF2087" s="8" t="n">
        <v>-830</v>
      </c>
      <c r="AG2087" s="9" t="n">
        <v>2930</v>
      </c>
      <c r="AH2087" s="10" t="n">
        <v>-1656</v>
      </c>
      <c r="AI2087" s="10" t="n">
        <v>-405</v>
      </c>
      <c r="AJ2087" s="11" t="n">
        <v>4666</v>
      </c>
      <c r="AK2087" s="12" t="n">
        <v>-1207</v>
      </c>
      <c r="AL2087" s="12" t="n">
        <v>1409</v>
      </c>
      <c r="AM2087" s="13" t="n">
        <v>59.2</v>
      </c>
      <c r="AN2087" s="13" t="n">
        <v>-30.3</v>
      </c>
      <c r="AO2087" s="13" t="n">
        <v>27.1</v>
      </c>
      <c r="AP2087" s="13" t="n">
        <v>-61.1</v>
      </c>
    </row>
    <row r="2088">
      <c r="A2088" s="5" t="inlineStr">
        <is>
          <t>DH오토리드</t>
        </is>
      </c>
      <c r="B2088" s="6" t="inlineStr">
        <is>
          <t>290120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63964</v>
      </c>
      <c r="J2088" s="10" t="n">
        <v>4312</v>
      </c>
      <c r="K2088" s="10" t="n">
        <v>3509</v>
      </c>
      <c r="L2088" s="7" t="n">
        <v>71762</v>
      </c>
      <c r="M2088" s="8" t="n">
        <v>5532</v>
      </c>
      <c r="N2088" s="8" t="n">
        <v>2863</v>
      </c>
      <c r="O2088" s="9" t="n">
        <v>65644</v>
      </c>
      <c r="P2088" s="10" t="n">
        <v>3377</v>
      </c>
      <c r="Q2088" s="10" t="n">
        <v>163</v>
      </c>
      <c r="R2088" s="7" t="n">
        <v>69025</v>
      </c>
      <c r="S2088" s="8" t="n">
        <v>3318</v>
      </c>
      <c r="T2088" s="8" t="n">
        <v>-4236</v>
      </c>
      <c r="U2088" s="9" t="n">
        <v>83260</v>
      </c>
      <c r="V2088" s="10" t="n">
        <v>4691</v>
      </c>
      <c r="W2088" s="10" t="n">
        <v>3639</v>
      </c>
      <c r="X2088" s="7" t="n">
        <v>88899</v>
      </c>
      <c r="Y2088" s="8" t="n">
        <v>6130</v>
      </c>
      <c r="Z2088" s="8" t="n">
        <v>1088</v>
      </c>
      <c r="AA2088" s="9" t="n">
        <v>87403</v>
      </c>
      <c r="AB2088" s="10" t="n">
        <v>6842</v>
      </c>
      <c r="AC2088" s="10" t="n">
        <v>6553</v>
      </c>
      <c r="AD2088" s="7" t="n">
        <v>96028</v>
      </c>
      <c r="AE2088" s="8" t="n">
        <v>4258</v>
      </c>
      <c r="AF2088" s="8" t="n">
        <v>2299</v>
      </c>
      <c r="AG2088" s="9" t="n">
        <v>97957</v>
      </c>
      <c r="AH2088" s="10" t="n">
        <v>5197</v>
      </c>
      <c r="AI2088" s="10" t="n">
        <v>3607</v>
      </c>
      <c r="AJ2088" s="11" t="n">
        <v>101924</v>
      </c>
      <c r="AK2088" s="12" t="n">
        <v>4063</v>
      </c>
      <c r="AL2088" s="12" t="n">
        <v>4800</v>
      </c>
      <c r="AM2088" s="13" t="n">
        <v>4</v>
      </c>
      <c r="AN2088" s="13" t="n">
        <v>14.7</v>
      </c>
      <c r="AO2088" s="13" t="n">
        <v>-21.8</v>
      </c>
      <c r="AP2088" s="13" t="n">
        <v>-33.7</v>
      </c>
    </row>
    <row r="2089">
      <c r="A2089" s="5" t="inlineStr">
        <is>
          <t>휴네시온</t>
        </is>
      </c>
      <c r="B2089" s="6" t="inlineStr">
        <is>
          <t>290270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5445</v>
      </c>
      <c r="J2089" s="10" t="n">
        <v>-1083</v>
      </c>
      <c r="K2089" s="10" t="n">
        <v>-1952</v>
      </c>
      <c r="L2089" s="7" t="n">
        <v>9238</v>
      </c>
      <c r="M2089" s="8" t="n">
        <v>982</v>
      </c>
      <c r="N2089" s="8" t="n">
        <v>1505</v>
      </c>
      <c r="O2089" s="9" t="n">
        <v>6453</v>
      </c>
      <c r="P2089" s="10" t="n">
        <v>-656</v>
      </c>
      <c r="Q2089" s="10" t="n">
        <v>-314</v>
      </c>
      <c r="R2089" s="7" t="n">
        <v>15757</v>
      </c>
      <c r="S2089" s="8" t="n">
        <v>3911</v>
      </c>
      <c r="T2089" s="8" t="n">
        <v>4489</v>
      </c>
      <c r="U2089" s="9" t="n">
        <v>4670</v>
      </c>
      <c r="V2089" s="10" t="n">
        <v>-1406</v>
      </c>
      <c r="W2089" s="10" t="n">
        <v>-1576</v>
      </c>
      <c r="X2089" s="7" t="n">
        <v>10498</v>
      </c>
      <c r="Y2089" s="8" t="n">
        <v>1798</v>
      </c>
      <c r="Z2089" s="8" t="n">
        <v>1773</v>
      </c>
      <c r="AA2089" s="9" t="n">
        <v>7637</v>
      </c>
      <c r="AB2089" s="10" t="n">
        <v>240</v>
      </c>
      <c r="AC2089" s="10" t="n">
        <v>580</v>
      </c>
      <c r="AD2089" s="7" t="n">
        <v>14925</v>
      </c>
      <c r="AE2089" s="8" t="n">
        <v>4170</v>
      </c>
      <c r="AF2089" s="8" t="n">
        <v>4992</v>
      </c>
      <c r="AG2089" s="9" t="n">
        <v>5215</v>
      </c>
      <c r="AH2089" s="10" t="n">
        <v>-1713</v>
      </c>
      <c r="AI2089" s="10" t="n">
        <v>-1985</v>
      </c>
      <c r="AJ2089" s="11" t="n">
        <v>8825</v>
      </c>
      <c r="AK2089" s="12" t="n">
        <v>881</v>
      </c>
      <c r="AL2089" s="12" t="n">
        <v>1035</v>
      </c>
      <c r="AM2089" s="13" t="n">
        <v>69.2</v>
      </c>
      <c r="AN2089" s="13" t="n">
        <v>-15.9</v>
      </c>
      <c r="AO2089" s="13" t="n">
        <v>151.4</v>
      </c>
      <c r="AP2089" s="13" t="n">
        <v>-51</v>
      </c>
    </row>
    <row r="2090">
      <c r="A2090" s="5" t="inlineStr">
        <is>
          <t>신도기연</t>
        </is>
      </c>
      <c r="B2090" s="6" t="inlineStr">
        <is>
          <t>290520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1972</v>
      </c>
      <c r="J2090" s="10" t="n">
        <v>-1368</v>
      </c>
      <c r="K2090" s="10" t="n">
        <v>659</v>
      </c>
      <c r="L2090" s="7" t="n">
        <v>3155</v>
      </c>
      <c r="M2090" s="8" t="n">
        <v>-1102</v>
      </c>
      <c r="N2090" s="8" t="n">
        <v>301</v>
      </c>
      <c r="O2090" s="9" t="n">
        <v>2540</v>
      </c>
      <c r="P2090" s="10" t="n">
        <v>905</v>
      </c>
      <c r="Q2090" s="10" t="n">
        <v>-931</v>
      </c>
      <c r="R2090" s="7" t="n">
        <v>2931</v>
      </c>
      <c r="S2090" s="8" t="n">
        <v>-2531</v>
      </c>
      <c r="T2090" s="8" t="n">
        <v>-593</v>
      </c>
      <c r="U2090" s="9" t="n">
        <v>636</v>
      </c>
      <c r="V2090" s="10" t="n">
        <v>-1122</v>
      </c>
      <c r="W2090" s="10" t="n">
        <v>-975</v>
      </c>
      <c r="X2090" s="7" t="n">
        <v>749</v>
      </c>
      <c r="Y2090" s="8" t="n">
        <v>-991</v>
      </c>
      <c r="Z2090" s="8" t="n">
        <v>-2732</v>
      </c>
      <c r="AA2090" s="9" t="n">
        <v>4418</v>
      </c>
      <c r="AB2090" s="10" t="n">
        <v>871</v>
      </c>
      <c r="AC2090" s="10" t="n">
        <v>1847</v>
      </c>
      <c r="AD2090" s="7" t="n">
        <v>26120</v>
      </c>
      <c r="AE2090" s="8" t="n">
        <v>3050</v>
      </c>
      <c r="AF2090" s="8" t="n">
        <v>3669</v>
      </c>
      <c r="AG2090" s="9" t="n">
        <v>1340</v>
      </c>
      <c r="AH2090" s="10" t="n">
        <v>-1327</v>
      </c>
      <c r="AI2090" s="10" t="n">
        <v>539</v>
      </c>
      <c r="AJ2090" s="11" t="n">
        <v>7619</v>
      </c>
      <c r="AK2090" s="12" t="n">
        <v>-7876</v>
      </c>
      <c r="AL2090" s="12" t="n">
        <v>-7155</v>
      </c>
      <c r="AM2090" s="13" t="n">
        <v>468.6</v>
      </c>
      <c r="AN2090" s="13" t="n">
        <v>917.2</v>
      </c>
      <c r="AO2090" s="13" t="n">
        <v>-493.5</v>
      </c>
      <c r="AP2090" s="13" t="n">
        <v>-694.8</v>
      </c>
    </row>
    <row r="2091">
      <c r="A2091" s="5" t="inlineStr">
        <is>
          <t>디케이티</t>
        </is>
      </c>
      <c r="B2091" s="6" t="inlineStr">
        <is>
          <t>290550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115764</v>
      </c>
      <c r="J2091" s="10" t="n">
        <v>7679</v>
      </c>
      <c r="K2091" s="10" t="n">
        <v>10493</v>
      </c>
      <c r="L2091" s="7" t="n">
        <v>107707</v>
      </c>
      <c r="M2091" s="8" t="n">
        <v>7597</v>
      </c>
      <c r="N2091" s="8" t="n">
        <v>6789</v>
      </c>
      <c r="O2091" s="9" t="n">
        <v>81697</v>
      </c>
      <c r="P2091" s="10" t="n">
        <v>5020</v>
      </c>
      <c r="Q2091" s="10" t="n">
        <v>3971</v>
      </c>
      <c r="R2091" s="7" t="n">
        <v>98182</v>
      </c>
      <c r="S2091" s="8" t="n">
        <v>2790</v>
      </c>
      <c r="T2091" s="8" t="n">
        <v>5619</v>
      </c>
      <c r="U2091" s="9" t="n">
        <v>86424</v>
      </c>
      <c r="V2091" s="10" t="n">
        <v>2458</v>
      </c>
      <c r="W2091" s="10" t="n">
        <v>4165</v>
      </c>
      <c r="X2091" s="7" t="n">
        <v>118775</v>
      </c>
      <c r="Y2091" s="8" t="n">
        <v>8240</v>
      </c>
      <c r="Z2091" s="8" t="n">
        <v>5956</v>
      </c>
      <c r="AA2091" s="9" t="n">
        <v>105771</v>
      </c>
      <c r="AB2091" s="10" t="n">
        <v>4809</v>
      </c>
      <c r="AC2091" s="10" t="n">
        <v>5056</v>
      </c>
      <c r="AD2091" s="7" t="n">
        <v>114806</v>
      </c>
      <c r="AE2091" s="8" t="n">
        <v>6067</v>
      </c>
      <c r="AF2091" s="8" t="n">
        <v>7995</v>
      </c>
      <c r="AG2091" s="9" t="n">
        <v>115648</v>
      </c>
      <c r="AH2091" s="10" t="n">
        <v>8846</v>
      </c>
      <c r="AI2091" s="10" t="n">
        <v>13873</v>
      </c>
      <c r="AJ2091" s="11" t="n">
        <v>147976</v>
      </c>
      <c r="AK2091" s="12" t="n">
        <v>10049</v>
      </c>
      <c r="AL2091" s="12" t="n">
        <v>10492</v>
      </c>
      <c r="AM2091" s="13" t="n">
        <v>28</v>
      </c>
      <c r="AN2091" s="13" t="n">
        <v>24.6</v>
      </c>
      <c r="AO2091" s="13" t="n">
        <v>13.6</v>
      </c>
      <c r="AP2091" s="13" t="n">
        <v>22</v>
      </c>
    </row>
    <row r="2092">
      <c r="A2092" s="5" t="inlineStr">
        <is>
          <t>파라택시스이더리움</t>
        </is>
      </c>
      <c r="B2092" s="6" t="inlineStr">
        <is>
          <t>290560</t>
        </is>
      </c>
      <c r="C2092" s="6" t="inlineStr">
        <is>
          <t>별도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1803</v>
      </c>
      <c r="J2092" s="10" t="n">
        <v>-322</v>
      </c>
      <c r="K2092" s="10" t="n">
        <v>-172</v>
      </c>
      <c r="L2092" s="7" t="n">
        <v>2533</v>
      </c>
      <c r="M2092" s="8" t="n">
        <v>411</v>
      </c>
      <c r="N2092" s="8" t="n">
        <v>537</v>
      </c>
      <c r="O2092" s="9" t="n">
        <v>2498</v>
      </c>
      <c r="P2092" s="10" t="n">
        <v>324</v>
      </c>
      <c r="Q2092" s="10" t="n">
        <v>375</v>
      </c>
      <c r="R2092" s="7" t="n">
        <v>4992</v>
      </c>
      <c r="S2092" s="8" t="n">
        <v>1968</v>
      </c>
      <c r="T2092" s="8" t="n">
        <v>1770</v>
      </c>
      <c r="U2092" s="9" t="n">
        <v>1984</v>
      </c>
      <c r="V2092" s="10" t="n">
        <v>-322</v>
      </c>
      <c r="W2092" s="10" t="n">
        <v>-222</v>
      </c>
      <c r="X2092" s="7" t="n">
        <v>3172</v>
      </c>
      <c r="Y2092" s="8" t="n">
        <v>728</v>
      </c>
      <c r="Z2092" s="8" t="n">
        <v>634</v>
      </c>
      <c r="AA2092" s="9" t="n">
        <v>2969</v>
      </c>
      <c r="AB2092" s="10" t="n">
        <v>824</v>
      </c>
      <c r="AC2092" s="10" t="n">
        <v>756</v>
      </c>
      <c r="AD2092" s="7" t="n">
        <v>5872</v>
      </c>
      <c r="AE2092" s="8" t="n">
        <v>2401</v>
      </c>
      <c r="AF2092" s="8" t="n">
        <v>2173</v>
      </c>
      <c r="AG2092" s="9" t="n">
        <v>2699</v>
      </c>
      <c r="AH2092" s="10" t="n">
        <v>-308</v>
      </c>
      <c r="AI2092" s="10" t="n">
        <v>-362</v>
      </c>
      <c r="AJ2092" s="11" t="n">
        <v>4241</v>
      </c>
      <c r="AK2092" s="12" t="n">
        <v>1126</v>
      </c>
      <c r="AL2092" s="12" t="n">
        <v>-2694</v>
      </c>
      <c r="AM2092" s="13" t="n">
        <v>57.1</v>
      </c>
      <c r="AN2092" s="13" t="n">
        <v>33.7</v>
      </c>
      <c r="AO2092" s="13" t="n">
        <v>465.6</v>
      </c>
      <c r="AP2092" s="13" t="n">
        <v>54.7</v>
      </c>
    </row>
    <row r="2093">
      <c r="A2093" s="5" t="inlineStr">
        <is>
          <t>엘앤씨바이오</t>
        </is>
      </c>
      <c r="B2093" s="6" t="inlineStr">
        <is>
          <t>290650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16562</v>
      </c>
      <c r="J2093" s="10" t="n">
        <v>1664</v>
      </c>
      <c r="K2093" s="10" t="n">
        <v>1872</v>
      </c>
      <c r="L2093" s="7" t="n">
        <v>17898</v>
      </c>
      <c r="M2093" s="8" t="n">
        <v>1326</v>
      </c>
      <c r="N2093" s="8" t="n">
        <v>1129</v>
      </c>
      <c r="O2093" s="9" t="n">
        <v>18546</v>
      </c>
      <c r="P2093" s="10" t="n">
        <v>175</v>
      </c>
      <c r="Q2093" s="10" t="n">
        <v>-5791</v>
      </c>
      <c r="R2093" s="7" t="n">
        <v>19087</v>
      </c>
      <c r="S2093" s="8" t="n">
        <v>-623</v>
      </c>
      <c r="T2093" s="8" t="n">
        <v>143755</v>
      </c>
      <c r="U2093" s="9" t="n">
        <v>17756</v>
      </c>
      <c r="V2093" s="10" t="n">
        <v>-433</v>
      </c>
      <c r="W2093" s="10" t="n">
        <v>-642</v>
      </c>
      <c r="X2093" s="7" t="n">
        <v>20581</v>
      </c>
      <c r="Y2093" s="8" t="n">
        <v>-245</v>
      </c>
      <c r="Z2093" s="8" t="n">
        <v>-14276</v>
      </c>
      <c r="AA2093" s="9" t="n">
        <v>22556</v>
      </c>
      <c r="AB2093" s="10" t="n">
        <v>2896</v>
      </c>
      <c r="AC2093" s="10" t="n">
        <v>-51338</v>
      </c>
      <c r="AD2093" s="7" t="n">
        <v>24583</v>
      </c>
      <c r="AE2093" s="8" t="n">
        <v>2198</v>
      </c>
      <c r="AF2093" s="8" t="n">
        <v>-71991</v>
      </c>
      <c r="AG2093" s="9" t="n">
        <v>30295</v>
      </c>
      <c r="AH2093" s="10" t="n">
        <v>5999</v>
      </c>
      <c r="AI2093" s="10" t="n">
        <v>2726</v>
      </c>
      <c r="AJ2093" s="11" t="n">
        <v>38785</v>
      </c>
      <c r="AK2093" s="12" t="n">
        <v>8580</v>
      </c>
      <c r="AL2093" s="12" t="n">
        <v>-28123</v>
      </c>
      <c r="AM2093" s="13" t="n">
        <v>28</v>
      </c>
      <c r="AN2093" s="13" t="n">
        <v>88.5</v>
      </c>
      <c r="AO2093" s="13" t="n">
        <v>43</v>
      </c>
      <c r="AP2093" s="13" t="n">
        <v>3602</v>
      </c>
    </row>
    <row r="2094">
      <c r="A2094" s="5" t="inlineStr">
        <is>
          <t>다이나믹솔루션</t>
        </is>
      </c>
      <c r="B2094" s="6" t="inlineStr">
        <is>
          <t>290660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4520</v>
      </c>
      <c r="J2094" s="10" t="n">
        <v>-1462</v>
      </c>
      <c r="K2094" s="10" t="n">
        <v>-1609</v>
      </c>
      <c r="L2094" s="7" t="n">
        <v>5378</v>
      </c>
      <c r="M2094" s="8" t="n">
        <v>-400</v>
      </c>
      <c r="N2094" s="8" t="n">
        <v>3285</v>
      </c>
      <c r="O2094" s="9" t="n">
        <v>4747</v>
      </c>
      <c r="P2094" s="10" t="n">
        <v>-558</v>
      </c>
      <c r="Q2094" s="10" t="n">
        <v>-2843</v>
      </c>
      <c r="R2094" s="7" t="n">
        <v>6467</v>
      </c>
      <c r="S2094" s="8" t="n">
        <v>8</v>
      </c>
      <c r="T2094" s="8" t="n">
        <v>-300</v>
      </c>
      <c r="U2094" s="9" t="n">
        <v>4519</v>
      </c>
      <c r="V2094" s="10" t="n">
        <v>-1401</v>
      </c>
      <c r="W2094" s="10" t="n">
        <v>-2285</v>
      </c>
      <c r="X2094" s="7" t="n">
        <v>6205</v>
      </c>
      <c r="Y2094" s="8" t="n">
        <v>515</v>
      </c>
      <c r="Z2094" s="8" t="n">
        <v>-15078</v>
      </c>
      <c r="AA2094" s="9" t="n">
        <v>3368</v>
      </c>
      <c r="AB2094" s="10" t="n">
        <v>-862</v>
      </c>
      <c r="AC2094" s="10" t="n">
        <v>125</v>
      </c>
      <c r="AD2094" s="7" t="n">
        <v>1961</v>
      </c>
      <c r="AE2094" s="8" t="n">
        <v>-1154</v>
      </c>
      <c r="AF2094" s="8" t="n">
        <v>4933</v>
      </c>
      <c r="AG2094" s="9" t="n">
        <v>3126</v>
      </c>
      <c r="AH2094" s="10" t="n">
        <v>-3071</v>
      </c>
      <c r="AI2094" s="10" t="n">
        <v>-5849</v>
      </c>
      <c r="AJ2094" s="11" t="n">
        <v>4172</v>
      </c>
      <c r="AK2094" s="12" t="n">
        <v>-950</v>
      </c>
      <c r="AL2094" s="12" t="n">
        <v>-4835</v>
      </c>
      <c r="AM2094" s="13" t="n">
        <v>33.5</v>
      </c>
      <c r="AN2094" s="13" t="n">
        <v>-32.8</v>
      </c>
      <c r="AO2094" s="13" t="n">
        <v>69.09999999999999</v>
      </c>
      <c r="AP2094" s="13" t="n">
        <v>-284.5</v>
      </c>
    </row>
    <row r="2095">
      <c r="A2095" s="5" t="inlineStr">
        <is>
          <t>대보마그네틱</t>
        </is>
      </c>
      <c r="B2095" s="6" t="inlineStr">
        <is>
          <t>290670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11250</v>
      </c>
      <c r="J2095" s="10" t="n">
        <v>896</v>
      </c>
      <c r="K2095" s="10" t="n">
        <v>993</v>
      </c>
      <c r="L2095" s="7" t="n">
        <v>5059</v>
      </c>
      <c r="M2095" s="8" t="n">
        <v>-1494</v>
      </c>
      <c r="N2095" s="8" t="n">
        <v>-533</v>
      </c>
      <c r="O2095" s="9" t="n">
        <v>5688</v>
      </c>
      <c r="P2095" s="10" t="n">
        <v>-3942</v>
      </c>
      <c r="Q2095" s="10" t="n">
        <v>-4097</v>
      </c>
      <c r="R2095" s="7" t="n">
        <v>6397</v>
      </c>
      <c r="S2095" s="8" t="n">
        <v>-5257</v>
      </c>
      <c r="T2095" s="8" t="n">
        <v>-12120</v>
      </c>
      <c r="U2095" s="9" t="n">
        <v>13744</v>
      </c>
      <c r="V2095" s="10" t="n">
        <v>-1224</v>
      </c>
      <c r="W2095" s="10" t="n">
        <v>-535</v>
      </c>
      <c r="X2095" s="7" t="n">
        <v>2032</v>
      </c>
      <c r="Y2095" s="8" t="n">
        <v>-2806</v>
      </c>
      <c r="Z2095" s="8" t="n">
        <v>-3376</v>
      </c>
      <c r="AA2095" s="9" t="n">
        <v>5765</v>
      </c>
      <c r="AB2095" s="10" t="n">
        <v>-1881</v>
      </c>
      <c r="AC2095" s="10" t="n">
        <v>-1728</v>
      </c>
      <c r="AD2095" s="7" t="n">
        <v>4606</v>
      </c>
      <c r="AE2095" s="8" t="n">
        <v>-4532</v>
      </c>
      <c r="AF2095" s="8" t="n">
        <v>-29862</v>
      </c>
      <c r="AG2095" s="9" t="n">
        <v>1139</v>
      </c>
      <c r="AH2095" s="10" t="n">
        <v>-1861</v>
      </c>
      <c r="AI2095" s="10" t="n">
        <v>-1868</v>
      </c>
      <c r="AJ2095" s="11" t="n">
        <v>2310</v>
      </c>
      <c r="AK2095" s="12" t="n">
        <v>-2077</v>
      </c>
      <c r="AL2095" s="12" t="n">
        <v>-2290</v>
      </c>
      <c r="AM2095" s="13" t="n">
        <v>102.8</v>
      </c>
      <c r="AN2095" s="13" t="n">
        <v>13.7</v>
      </c>
      <c r="AO2095" s="13" t="n">
        <v>-11.6</v>
      </c>
      <c r="AP2095" s="13" t="n">
        <v>26</v>
      </c>
    </row>
    <row r="2096">
      <c r="A2096" s="5" t="inlineStr">
        <is>
          <t>소룩스</t>
        </is>
      </c>
      <c r="B2096" s="6" t="inlineStr">
        <is>
          <t>290690</t>
        </is>
      </c>
      <c r="C2096" s="6" t="inlineStr">
        <is>
          <t>별도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10497</v>
      </c>
      <c r="J2096" s="10" t="n">
        <v>-1640</v>
      </c>
      <c r="K2096" s="10" t="n">
        <v>-1831</v>
      </c>
      <c r="L2096" s="7" t="n">
        <v>14172</v>
      </c>
      <c r="M2096" s="8" t="n">
        <v>-2287</v>
      </c>
      <c r="N2096" s="8" t="n">
        <v>-5493</v>
      </c>
      <c r="O2096" s="9" t="n">
        <v>16150</v>
      </c>
      <c r="P2096" s="10" t="n">
        <v>-813</v>
      </c>
      <c r="Q2096" s="10" t="n">
        <v>-2383</v>
      </c>
      <c r="R2096" s="7" t="n">
        <v>9870</v>
      </c>
      <c r="S2096" s="8" t="n">
        <v>-1879</v>
      </c>
      <c r="T2096" s="8" t="n">
        <v>-31267</v>
      </c>
      <c r="U2096" s="9" t="n">
        <v>5134</v>
      </c>
      <c r="V2096" s="10" t="n">
        <v>-1820</v>
      </c>
      <c r="W2096" s="10" t="n">
        <v>-4872</v>
      </c>
      <c r="X2096" s="7" t="n">
        <v>9767</v>
      </c>
      <c r="Y2096" s="8" t="n">
        <v>-2798</v>
      </c>
      <c r="Z2096" s="8" t="n">
        <v>-13551</v>
      </c>
      <c r="AA2096" s="9" t="n">
        <v>7903</v>
      </c>
      <c r="AB2096" s="10" t="n">
        <v>-2442</v>
      </c>
      <c r="AC2096" s="10" t="n">
        <v>-7367</v>
      </c>
      <c r="AD2096" s="7" t="n">
        <v>15464</v>
      </c>
      <c r="AE2096" s="8" t="n">
        <v>343</v>
      </c>
      <c r="AF2096" s="8" t="n">
        <v>18075</v>
      </c>
      <c r="AG2096" s="9" t="n">
        <v>7361</v>
      </c>
      <c r="AH2096" s="10" t="n">
        <v>-3060</v>
      </c>
      <c r="AI2096" s="10" t="n">
        <v>-8533</v>
      </c>
      <c r="AJ2096" s="11" t="n">
        <v>10652</v>
      </c>
      <c r="AK2096" s="12" t="n">
        <v>-2754</v>
      </c>
      <c r="AL2096" s="12" t="n">
        <v>11161</v>
      </c>
      <c r="AM2096" s="13" t="n">
        <v>44.7</v>
      </c>
      <c r="AN2096" s="13" t="n">
        <v>9.1</v>
      </c>
      <c r="AO2096" s="13" t="n">
        <v>10</v>
      </c>
      <c r="AP2096" s="13" t="n">
        <v>1.6</v>
      </c>
    </row>
    <row r="2097">
      <c r="A2097" s="5" t="inlineStr">
        <is>
          <t>푸드나무</t>
        </is>
      </c>
      <c r="B2097" s="6" t="inlineStr">
        <is>
          <t>290720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45616</v>
      </c>
      <c r="J2097" s="10" t="n">
        <v>-7395</v>
      </c>
      <c r="K2097" s="10" t="n">
        <v>-8552</v>
      </c>
      <c r="L2097" s="7" t="n">
        <v>44719</v>
      </c>
      <c r="M2097" s="8" t="n">
        <v>-5131</v>
      </c>
      <c r="N2097" s="8" t="n">
        <v>-5871</v>
      </c>
      <c r="O2097" s="9" t="n">
        <v>39011</v>
      </c>
      <c r="P2097" s="10" t="n">
        <v>-10172</v>
      </c>
      <c r="Q2097" s="10" t="n">
        <v>-10923</v>
      </c>
      <c r="R2097" s="7" t="n">
        <v>-5217</v>
      </c>
      <c r="S2097" s="8" t="n">
        <v>5272</v>
      </c>
      <c r="T2097" s="8" t="n">
        <v>-20127</v>
      </c>
      <c r="U2097" s="9" t="n">
        <v>23418</v>
      </c>
      <c r="V2097" s="10" t="n">
        <v>-2135</v>
      </c>
      <c r="W2097" s="10" t="n">
        <v>-2890</v>
      </c>
      <c r="X2097" s="7" t="n">
        <v>26292</v>
      </c>
      <c r="Y2097" s="8" t="n">
        <v>-2323</v>
      </c>
      <c r="Z2097" s="8" t="n">
        <v>-4726</v>
      </c>
      <c r="AA2097" s="9" t="n">
        <v>21806</v>
      </c>
      <c r="AB2097" s="10" t="n">
        <v>-2171</v>
      </c>
      <c r="AC2097" s="10" t="n">
        <v>-3280</v>
      </c>
      <c r="AD2097" s="7" t="n">
        <v>15290</v>
      </c>
      <c r="AE2097" s="8" t="n">
        <v>-1524</v>
      </c>
      <c r="AF2097" s="8" t="n">
        <v>12927</v>
      </c>
      <c r="AG2097" s="9" t="n">
        <v>16914</v>
      </c>
      <c r="AH2097" s="10" t="n">
        <v>-7021</v>
      </c>
      <c r="AI2097" s="10" t="n">
        <v>-7613</v>
      </c>
      <c r="AJ2097" s="11" t="n">
        <v>12912</v>
      </c>
      <c r="AK2097" s="12" t="n">
        <v>-3636</v>
      </c>
      <c r="AL2097" s="12" t="n">
        <v>-5899</v>
      </c>
      <c r="AM2097" s="13" t="n">
        <v>-23.7</v>
      </c>
      <c r="AN2097" s="13" t="n">
        <v>-50.9</v>
      </c>
      <c r="AO2097" s="13" t="n">
        <v>48.2</v>
      </c>
      <c r="AP2097" s="13" t="n">
        <v>-56.5</v>
      </c>
    </row>
    <row r="2098">
      <c r="A2098" s="5" t="inlineStr">
        <is>
          <t>액트로</t>
        </is>
      </c>
      <c r="B2098" s="6" t="inlineStr">
        <is>
          <t>290740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55162</v>
      </c>
      <c r="J2098" s="10" t="n">
        <v>591</v>
      </c>
      <c r="K2098" s="10" t="n">
        <v>2306</v>
      </c>
      <c r="L2098" s="7" t="n">
        <v>40908</v>
      </c>
      <c r="M2098" s="8" t="n">
        <v>25</v>
      </c>
      <c r="N2098" s="8" t="n">
        <v>1016</v>
      </c>
      <c r="O2098" s="9" t="n">
        <v>46036</v>
      </c>
      <c r="P2098" s="10" t="n">
        <v>-260</v>
      </c>
      <c r="Q2098" s="10" t="n">
        <v>-98</v>
      </c>
      <c r="R2098" s="7" t="n">
        <v>60978</v>
      </c>
      <c r="S2098" s="8" t="n">
        <v>2061</v>
      </c>
      <c r="T2098" s="8" t="n">
        <v>-1739</v>
      </c>
      <c r="U2098" s="9" t="n">
        <v>53043</v>
      </c>
      <c r="V2098" s="10" t="n">
        <v>-930</v>
      </c>
      <c r="W2098" s="10" t="n">
        <v>-501</v>
      </c>
      <c r="X2098" s="7" t="n">
        <v>58295</v>
      </c>
      <c r="Y2098" s="8" t="n">
        <v>2770</v>
      </c>
      <c r="Z2098" s="8" t="n">
        <v>148</v>
      </c>
      <c r="AA2098" s="9" t="n">
        <v>71272</v>
      </c>
      <c r="AB2098" s="10" t="n">
        <v>2647</v>
      </c>
      <c r="AC2098" s="10" t="n">
        <v>4326</v>
      </c>
      <c r="AD2098" s="7" t="n">
        <v>62329</v>
      </c>
      <c r="AE2098" s="8" t="n">
        <v>2092</v>
      </c>
      <c r="AF2098" s="8" t="n">
        <v>3344</v>
      </c>
      <c r="AG2098" s="9" t="n">
        <v>48675</v>
      </c>
      <c r="AH2098" s="10" t="n">
        <v>-487</v>
      </c>
      <c r="AI2098" s="10" t="n">
        <v>2510</v>
      </c>
      <c r="AJ2098" s="11" t="n">
        <v>52553</v>
      </c>
      <c r="AK2098" s="12" t="n">
        <v>-404</v>
      </c>
      <c r="AL2098" s="12" t="n">
        <v>1667</v>
      </c>
      <c r="AM2098" s="13" t="n">
        <v>8</v>
      </c>
      <c r="AN2098" s="13" t="n">
        <v>-9.800000000000001</v>
      </c>
      <c r="AO2098" s="13" t="n">
        <v>17</v>
      </c>
      <c r="AP2098" s="13" t="n">
        <v>-114.6</v>
      </c>
    </row>
    <row r="2099">
      <c r="A2099" s="5" t="inlineStr">
        <is>
          <t>컴투스엔</t>
        </is>
      </c>
      <c r="B2099" s="6" t="inlineStr">
        <is>
          <t>291230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inlineStr"/>
      <c r="J2099" s="10" t="n">
        <v>-1505</v>
      </c>
      <c r="K2099" s="10" t="n">
        <v>-1655</v>
      </c>
      <c r="L2099" s="7" t="inlineStr"/>
      <c r="M2099" s="8" t="n">
        <v>-1318</v>
      </c>
      <c r="N2099" s="8" t="n">
        <v>2745</v>
      </c>
      <c r="O2099" s="9" t="inlineStr"/>
      <c r="P2099" s="10" t="n">
        <v>-1027</v>
      </c>
      <c r="Q2099" s="10" t="n">
        <v>-1103</v>
      </c>
      <c r="R2099" s="7" t="inlineStr"/>
      <c r="S2099" s="8" t="n">
        <v>-296</v>
      </c>
      <c r="T2099" s="8" t="n">
        <v>-834</v>
      </c>
      <c r="U2099" s="9" t="inlineStr"/>
      <c r="V2099" s="10" t="n">
        <v>-1649</v>
      </c>
      <c r="W2099" s="10" t="n">
        <v>-1705</v>
      </c>
      <c r="X2099" s="7" t="inlineStr"/>
      <c r="Y2099" s="8" t="n">
        <v>-407</v>
      </c>
      <c r="Z2099" s="8" t="n">
        <v>-501</v>
      </c>
      <c r="AA2099" s="9" t="inlineStr"/>
      <c r="AB2099" s="10" t="n">
        <v>-1759</v>
      </c>
      <c r="AC2099" s="10" t="n">
        <v>-1839</v>
      </c>
      <c r="AD2099" s="7" t="inlineStr"/>
      <c r="AE2099" s="8" t="n">
        <v>767</v>
      </c>
      <c r="AF2099" s="8" t="n">
        <v>209</v>
      </c>
      <c r="AG2099" s="9" t="inlineStr"/>
      <c r="AH2099" s="10" t="n">
        <v>-1968</v>
      </c>
      <c r="AI2099" s="10" t="n">
        <v>-2056</v>
      </c>
      <c r="AJ2099" s="11" t="inlineStr"/>
      <c r="AK2099" s="12" t="n">
        <v>-1899</v>
      </c>
      <c r="AL2099" s="12" t="n">
        <v>-2295</v>
      </c>
      <c r="AM2099" s="13" t="inlineStr"/>
      <c r="AN2099" s="13" t="inlineStr"/>
      <c r="AO2099" s="13" t="n">
        <v>3.5</v>
      </c>
      <c r="AP2099" s="13" t="n">
        <v>-366.6</v>
      </c>
    </row>
    <row r="2100">
      <c r="A2100" s="5" t="inlineStr">
        <is>
          <t>압타머사이언스</t>
        </is>
      </c>
      <c r="B2100" s="6" t="inlineStr">
        <is>
          <t>291650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51</v>
      </c>
      <c r="J2100" s="10" t="n">
        <v>-2213</v>
      </c>
      <c r="K2100" s="10" t="n">
        <v>-2404</v>
      </c>
      <c r="L2100" s="7" t="n">
        <v>20</v>
      </c>
      <c r="M2100" s="8" t="n">
        <v>-1416</v>
      </c>
      <c r="N2100" s="8" t="n">
        <v>-3185</v>
      </c>
      <c r="O2100" s="9" t="n">
        <v>92</v>
      </c>
      <c r="P2100" s="10" t="n">
        <v>-1483</v>
      </c>
      <c r="Q2100" s="10" t="n">
        <v>-1511</v>
      </c>
      <c r="R2100" s="7" t="n">
        <v>920</v>
      </c>
      <c r="S2100" s="8" t="n">
        <v>-1940</v>
      </c>
      <c r="T2100" s="8" t="n">
        <v>-1602</v>
      </c>
      <c r="U2100" s="9" t="n">
        <v>594</v>
      </c>
      <c r="V2100" s="10" t="n">
        <v>-2230</v>
      </c>
      <c r="W2100" s="10" t="n">
        <v>-2182</v>
      </c>
      <c r="X2100" s="7" t="n">
        <v>611</v>
      </c>
      <c r="Y2100" s="8" t="n">
        <v>-1550</v>
      </c>
      <c r="Z2100" s="8" t="n">
        <v>-1405</v>
      </c>
      <c r="AA2100" s="9" t="n">
        <v>544</v>
      </c>
      <c r="AB2100" s="10" t="n">
        <v>-2078</v>
      </c>
      <c r="AC2100" s="10" t="n">
        <v>-2023</v>
      </c>
      <c r="AD2100" s="7" t="n">
        <v>1756</v>
      </c>
      <c r="AE2100" s="8" t="n">
        <v>-1943</v>
      </c>
      <c r="AF2100" s="8" t="n">
        <v>-3012</v>
      </c>
      <c r="AG2100" s="9" t="n">
        <v>707</v>
      </c>
      <c r="AH2100" s="10" t="n">
        <v>-1488</v>
      </c>
      <c r="AI2100" s="10" t="n">
        <v>-2362</v>
      </c>
      <c r="AJ2100" s="11" t="n">
        <v>2392</v>
      </c>
      <c r="AK2100" s="12" t="n">
        <v>-3083</v>
      </c>
      <c r="AL2100" s="12" t="n">
        <v>-4255</v>
      </c>
      <c r="AM2100" s="13" t="n">
        <v>238.3</v>
      </c>
      <c r="AN2100" s="13" t="n">
        <v>291.5</v>
      </c>
      <c r="AO2100" s="13" t="n">
        <v>-107.2</v>
      </c>
      <c r="AP2100" s="13" t="n">
        <v>-98.90000000000001</v>
      </c>
    </row>
    <row r="2101">
      <c r="A2101" s="5" t="inlineStr">
        <is>
          <t>핀텔</t>
        </is>
      </c>
      <c r="B2101" s="6" t="inlineStr">
        <is>
          <t>291810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3816</v>
      </c>
      <c r="J2101" s="10" t="n">
        <v>-705</v>
      </c>
      <c r="K2101" s="10" t="n">
        <v>-193</v>
      </c>
      <c r="L2101" s="7" t="n">
        <v>1903</v>
      </c>
      <c r="M2101" s="8" t="n">
        <v>-135</v>
      </c>
      <c r="N2101" s="8" t="n">
        <v>286</v>
      </c>
      <c r="O2101" s="9" t="n">
        <v>1392</v>
      </c>
      <c r="P2101" s="10" t="n">
        <v>-391</v>
      </c>
      <c r="Q2101" s="10" t="n">
        <v>-55</v>
      </c>
      <c r="R2101" s="7" t="n">
        <v>3532</v>
      </c>
      <c r="S2101" s="8" t="n">
        <v>-297</v>
      </c>
      <c r="T2101" s="8" t="n">
        <v>29</v>
      </c>
      <c r="U2101" s="9" t="n">
        <v>1161</v>
      </c>
      <c r="V2101" s="10" t="n">
        <v>-1111</v>
      </c>
      <c r="W2101" s="10" t="n">
        <v>-819</v>
      </c>
      <c r="X2101" s="7" t="n">
        <v>172</v>
      </c>
      <c r="Y2101" s="8" t="n">
        <v>-1547</v>
      </c>
      <c r="Z2101" s="8" t="n">
        <v>-1373</v>
      </c>
      <c r="AA2101" s="9" t="n">
        <v>1683</v>
      </c>
      <c r="AB2101" s="10" t="n">
        <v>-431</v>
      </c>
      <c r="AC2101" s="10" t="n">
        <v>-334</v>
      </c>
      <c r="AD2101" s="7" t="n">
        <v>2756</v>
      </c>
      <c r="AE2101" s="8" t="n">
        <v>-144</v>
      </c>
      <c r="AF2101" s="8" t="n">
        <v>-1237</v>
      </c>
      <c r="AG2101" s="9" t="n">
        <v>2826</v>
      </c>
      <c r="AH2101" s="10" t="n">
        <v>-670</v>
      </c>
      <c r="AI2101" s="10" t="n">
        <v>-626</v>
      </c>
      <c r="AJ2101" s="11" t="n">
        <v>1559</v>
      </c>
      <c r="AK2101" s="12" t="n">
        <v>-477</v>
      </c>
      <c r="AL2101" s="12" t="n">
        <v>-739</v>
      </c>
      <c r="AM2101" s="13" t="n">
        <v>-44.8</v>
      </c>
      <c r="AN2101" s="13" t="n">
        <v>806.4</v>
      </c>
      <c r="AO2101" s="13" t="n">
        <v>28.8</v>
      </c>
      <c r="AP2101" s="13" t="n">
        <v>69.2</v>
      </c>
    </row>
    <row r="2102">
      <c r="A2102" s="5" t="inlineStr">
        <is>
          <t>하나제약</t>
        </is>
      </c>
      <c r="B2102" s="6" t="inlineStr">
        <is>
          <t>293480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57066</v>
      </c>
      <c r="J2102" s="10" t="n">
        <v>7752</v>
      </c>
      <c r="K2102" s="10" t="n">
        <v>6075</v>
      </c>
      <c r="L2102" s="7" t="n">
        <v>53498</v>
      </c>
      <c r="M2102" s="8" t="n">
        <v>4569</v>
      </c>
      <c r="N2102" s="8" t="n">
        <v>5031</v>
      </c>
      <c r="O2102" s="9" t="n">
        <v>57250</v>
      </c>
      <c r="P2102" s="10" t="n">
        <v>3883</v>
      </c>
      <c r="Q2102" s="10" t="n">
        <v>2953</v>
      </c>
      <c r="R2102" s="7" t="n">
        <v>57526</v>
      </c>
      <c r="S2102" s="8" t="n">
        <v>8950</v>
      </c>
      <c r="T2102" s="8" t="n">
        <v>7191</v>
      </c>
      <c r="U2102" s="9" t="n">
        <v>57481</v>
      </c>
      <c r="V2102" s="10" t="n">
        <v>5629</v>
      </c>
      <c r="W2102" s="10" t="n">
        <v>4241</v>
      </c>
      <c r="X2102" s="7" t="n">
        <v>57879</v>
      </c>
      <c r="Y2102" s="8" t="n">
        <v>6022</v>
      </c>
      <c r="Z2102" s="8" t="n">
        <v>5528</v>
      </c>
      <c r="AA2102" s="9" t="n">
        <v>63774</v>
      </c>
      <c r="AB2102" s="10" t="n">
        <v>8335</v>
      </c>
      <c r="AC2102" s="10" t="n">
        <v>-4259</v>
      </c>
      <c r="AD2102" s="7" t="n">
        <v>60370</v>
      </c>
      <c r="AE2102" s="8" t="n">
        <v>5830</v>
      </c>
      <c r="AF2102" s="8" t="n">
        <v>3268</v>
      </c>
      <c r="AG2102" s="9" t="n">
        <v>62264</v>
      </c>
      <c r="AH2102" s="10" t="n">
        <v>7105</v>
      </c>
      <c r="AI2102" s="10" t="n">
        <v>10005</v>
      </c>
      <c r="AJ2102" s="11" t="n">
        <v>60904</v>
      </c>
      <c r="AK2102" s="12" t="n">
        <v>7286</v>
      </c>
      <c r="AL2102" s="12" t="n">
        <v>8450</v>
      </c>
      <c r="AM2102" s="13" t="n">
        <v>-2.2</v>
      </c>
      <c r="AN2102" s="13" t="n">
        <v>5.2</v>
      </c>
      <c r="AO2102" s="13" t="n">
        <v>2.5</v>
      </c>
      <c r="AP2102" s="13" t="n">
        <v>21</v>
      </c>
    </row>
    <row r="2103">
      <c r="A2103" s="5" t="inlineStr">
        <is>
          <t>카카오게임즈</t>
        </is>
      </c>
      <c r="B2103" s="6" t="inlineStr">
        <is>
          <t>293490</t>
        </is>
      </c>
      <c r="C2103" s="6" t="inlineStr">
        <is>
          <t>연결</t>
        </is>
      </c>
      <c r="D2103" s="6" t="inlineStr">
        <is>
          <t>2026Q2</t>
        </is>
      </c>
      <c r="E2103" s="6" t="inlineStr">
        <is>
          <t>2023Q4</t>
        </is>
      </c>
      <c r="F2103" s="14" t="n">
        <v>239155</v>
      </c>
      <c r="G2103" s="15" t="n">
        <v>14076</v>
      </c>
      <c r="H2103" s="15" t="n">
        <v>-346165</v>
      </c>
      <c r="I2103" s="9" t="n">
        <v>246278</v>
      </c>
      <c r="J2103" s="10" t="n">
        <v>12264</v>
      </c>
      <c r="K2103" s="10" t="n">
        <v>377</v>
      </c>
      <c r="L2103" s="7" t="n">
        <v>235613</v>
      </c>
      <c r="M2103" s="8" t="n">
        <v>2800</v>
      </c>
      <c r="N2103" s="8" t="n">
        <v>-11679</v>
      </c>
      <c r="O2103" s="9" t="n">
        <v>193899</v>
      </c>
      <c r="P2103" s="10" t="n">
        <v>5715</v>
      </c>
      <c r="Q2103" s="10" t="n">
        <v>24062</v>
      </c>
      <c r="R2103" s="7" t="n">
        <v>-48563</v>
      </c>
      <c r="S2103" s="8" t="n">
        <v>-1630</v>
      </c>
      <c r="T2103" s="8" t="n">
        <v>-140849</v>
      </c>
      <c r="U2103" s="9" t="n">
        <v>122854</v>
      </c>
      <c r="V2103" s="10" t="n">
        <v>-12440</v>
      </c>
      <c r="W2103" s="10" t="n">
        <v>-33428</v>
      </c>
      <c r="X2103" s="7" t="n">
        <v>115808</v>
      </c>
      <c r="Y2103" s="8" t="n">
        <v>-8615</v>
      </c>
      <c r="Z2103" s="8" t="n">
        <v>-33587</v>
      </c>
      <c r="AA2103" s="9" t="n">
        <v>127468</v>
      </c>
      <c r="AB2103" s="10" t="n">
        <v>-5447</v>
      </c>
      <c r="AC2103" s="10" t="n">
        <v>34615</v>
      </c>
      <c r="AD2103" s="7" t="n">
        <v>98889</v>
      </c>
      <c r="AE2103" s="8" t="n">
        <v>-13089</v>
      </c>
      <c r="AF2103" s="8" t="n">
        <v>-110685</v>
      </c>
      <c r="AG2103" s="9" t="n">
        <v>82926</v>
      </c>
      <c r="AH2103" s="10" t="n">
        <v>-25460</v>
      </c>
      <c r="AI2103" s="10" t="n">
        <v>-39504</v>
      </c>
      <c r="AJ2103" s="11" t="n">
        <v>75021</v>
      </c>
      <c r="AK2103" s="12" t="n">
        <v>-23026</v>
      </c>
      <c r="AL2103" s="12" t="n">
        <v>-56956</v>
      </c>
      <c r="AM2103" s="13" t="n">
        <v>-9.5</v>
      </c>
      <c r="AN2103" s="13" t="n">
        <v>-35.2</v>
      </c>
      <c r="AO2103" s="13" t="n">
        <v>9.6</v>
      </c>
      <c r="AP2103" s="13" t="n">
        <v>-167.3</v>
      </c>
    </row>
    <row r="2104">
      <c r="A2104" s="5" t="inlineStr">
        <is>
          <t>나우IB</t>
        </is>
      </c>
      <c r="B2104" s="6" t="inlineStr">
        <is>
          <t>293580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3972</v>
      </c>
      <c r="J2104" s="10" t="n">
        <v>-863</v>
      </c>
      <c r="K2104" s="10" t="n">
        <v>-656</v>
      </c>
      <c r="L2104" s="7" t="n">
        <v>34030</v>
      </c>
      <c r="M2104" s="8" t="n">
        <v>27053</v>
      </c>
      <c r="N2104" s="8" t="n">
        <v>20853</v>
      </c>
      <c r="O2104" s="9" t="n">
        <v>-6882</v>
      </c>
      <c r="P2104" s="10" t="n">
        <v>-8778</v>
      </c>
      <c r="Q2104" s="10" t="n">
        <v>-6913</v>
      </c>
      <c r="R2104" s="7" t="n">
        <v>297</v>
      </c>
      <c r="S2104" s="8" t="n">
        <v>-8401</v>
      </c>
      <c r="T2104" s="8" t="n">
        <v>-5353</v>
      </c>
      <c r="U2104" s="9" t="n">
        <v>14089</v>
      </c>
      <c r="V2104" s="10" t="n">
        <v>8824</v>
      </c>
      <c r="W2104" s="10" t="n">
        <v>7078</v>
      </c>
      <c r="X2104" s="7" t="n">
        <v>-1743</v>
      </c>
      <c r="Y2104" s="8" t="n">
        <v>-2680</v>
      </c>
      <c r="Z2104" s="8" t="n">
        <v>-2108</v>
      </c>
      <c r="AA2104" s="9" t="n">
        <v>10139</v>
      </c>
      <c r="AB2104" s="10" t="n">
        <v>6620</v>
      </c>
      <c r="AC2104" s="10" t="n">
        <v>5241</v>
      </c>
      <c r="AD2104" s="7" t="n">
        <v>6671</v>
      </c>
      <c r="AE2104" s="8" t="n">
        <v>-5463</v>
      </c>
      <c r="AF2104" s="8" t="n">
        <v>-4428</v>
      </c>
      <c r="AG2104" s="9" t="n">
        <v>6738</v>
      </c>
      <c r="AH2104" s="10" t="n">
        <v>312</v>
      </c>
      <c r="AI2104" s="10" t="n">
        <v>324</v>
      </c>
      <c r="AJ2104" s="11" t="n">
        <v>8829</v>
      </c>
      <c r="AK2104" s="12" t="n">
        <v>5057</v>
      </c>
      <c r="AL2104" s="12" t="n">
        <v>3928</v>
      </c>
      <c r="AM2104" s="13" t="n">
        <v>31</v>
      </c>
      <c r="AN2104" s="13" t="n">
        <v>606.5</v>
      </c>
      <c r="AO2104" s="13" t="n">
        <v>1520.8</v>
      </c>
      <c r="AP2104" s="13" t="n">
        <v>288.7</v>
      </c>
    </row>
    <row r="2105">
      <c r="A2105" s="5" t="inlineStr">
        <is>
          <t>압타바이오</t>
        </is>
      </c>
      <c r="B2105" s="6" t="inlineStr">
        <is>
          <t>293780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637</v>
      </c>
      <c r="J2105" s="10" t="n">
        <v>-3111</v>
      </c>
      <c r="K2105" s="10" t="n">
        <v>-3967</v>
      </c>
      <c r="L2105" s="7" t="n">
        <v>1120</v>
      </c>
      <c r="M2105" s="8" t="n">
        <v>-3235</v>
      </c>
      <c r="N2105" s="8" t="n">
        <v>-7033</v>
      </c>
      <c r="O2105" s="9" t="n">
        <v>859</v>
      </c>
      <c r="P2105" s="10" t="n">
        <v>-5904</v>
      </c>
      <c r="Q2105" s="10" t="n">
        <v>-8026</v>
      </c>
      <c r="R2105" s="7" t="n">
        <v>745</v>
      </c>
      <c r="S2105" s="8" t="n">
        <v>-6604</v>
      </c>
      <c r="T2105" s="8" t="n">
        <v>-10352</v>
      </c>
      <c r="U2105" s="9" t="n">
        <v>383</v>
      </c>
      <c r="V2105" s="10" t="n">
        <v>-2631</v>
      </c>
      <c r="W2105" s="10" t="n">
        <v>-2579</v>
      </c>
      <c r="X2105" s="7" t="n">
        <v>1122</v>
      </c>
      <c r="Y2105" s="8" t="n">
        <v>-4136</v>
      </c>
      <c r="Z2105" s="8" t="n">
        <v>-4227</v>
      </c>
      <c r="AA2105" s="9" t="n">
        <v>1192</v>
      </c>
      <c r="AB2105" s="10" t="n">
        <v>-3376</v>
      </c>
      <c r="AC2105" s="10" t="n">
        <v>-3068</v>
      </c>
      <c r="AD2105" s="7" t="n">
        <v>1001</v>
      </c>
      <c r="AE2105" s="8" t="n">
        <v>-5700</v>
      </c>
      <c r="AF2105" s="8" t="n">
        <v>-6472</v>
      </c>
      <c r="AG2105" s="9" t="n">
        <v>957</v>
      </c>
      <c r="AH2105" s="10" t="n">
        <v>-6095</v>
      </c>
      <c r="AI2105" s="10" t="n">
        <v>-6445</v>
      </c>
      <c r="AJ2105" s="11" t="n">
        <v>1603</v>
      </c>
      <c r="AK2105" s="12" t="n">
        <v>-3575</v>
      </c>
      <c r="AL2105" s="12" t="n">
        <v>1116</v>
      </c>
      <c r="AM2105" s="13" t="n">
        <v>67.5</v>
      </c>
      <c r="AN2105" s="13" t="n">
        <v>42.9</v>
      </c>
      <c r="AO2105" s="13" t="n">
        <v>41.3</v>
      </c>
      <c r="AP2105" s="13" t="n">
        <v>13.6</v>
      </c>
    </row>
    <row r="2106">
      <c r="A2106" s="5" t="inlineStr">
        <is>
          <t>신한알파리츠</t>
        </is>
      </c>
      <c r="B2106" s="6" t="inlineStr">
        <is>
          <t>293940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inlineStr"/>
      <c r="J2106" s="10" t="inlineStr"/>
      <c r="K2106" s="10" t="inlineStr"/>
      <c r="L2106" s="7" t="n">
        <v>30559</v>
      </c>
      <c r="M2106" s="8" t="n">
        <v>20230</v>
      </c>
      <c r="N2106" s="8" t="n">
        <v>5078</v>
      </c>
      <c r="O2106" s="9" t="inlineStr"/>
      <c r="P2106" s="10" t="inlineStr"/>
      <c r="Q2106" s="10" t="inlineStr"/>
      <c r="R2106" s="7" t="inlineStr"/>
      <c r="S2106" s="8" t="inlineStr"/>
      <c r="T2106" s="8" t="inlineStr"/>
      <c r="U2106" s="9" t="inlineStr"/>
      <c r="V2106" s="10" t="inlineStr"/>
      <c r="W2106" s="10" t="inlineStr"/>
      <c r="X2106" s="7" t="n">
        <v>41279</v>
      </c>
      <c r="Y2106" s="8" t="n">
        <v>27333</v>
      </c>
      <c r="Z2106" s="8" t="n">
        <v>6566</v>
      </c>
      <c r="AA2106" s="9" t="inlineStr"/>
      <c r="AB2106" s="10" t="inlineStr"/>
      <c r="AC2106" s="10" t="inlineStr"/>
      <c r="AD2106" s="7" t="inlineStr"/>
      <c r="AE2106" s="8" t="inlineStr"/>
      <c r="AF2106" s="8" t="inlineStr"/>
      <c r="AG2106" s="9" t="inlineStr"/>
      <c r="AH2106" s="10" t="inlineStr"/>
      <c r="AI2106" s="10" t="inlineStr"/>
      <c r="AJ2106" s="11" t="n">
        <v>44890</v>
      </c>
      <c r="AK2106" s="12" t="n">
        <v>25268</v>
      </c>
      <c r="AL2106" s="12" t="n">
        <v>2739</v>
      </c>
      <c r="AM2106" s="13" t="inlineStr"/>
      <c r="AN2106" s="13" t="n">
        <v>8.699999999999999</v>
      </c>
      <c r="AO2106" s="13" t="inlineStr"/>
      <c r="AP2106" s="13" t="n">
        <v>-7.6</v>
      </c>
    </row>
    <row r="2107">
      <c r="A2107" s="5" t="inlineStr">
        <is>
          <t>이오플로우</t>
        </is>
      </c>
      <c r="B2107" s="6" t="inlineStr">
        <is>
          <t>294090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1209</v>
      </c>
      <c r="J2107" s="10" t="n">
        <v>-8184</v>
      </c>
      <c r="K2107" s="10" t="n">
        <v>-8770</v>
      </c>
      <c r="L2107" s="7" t="n">
        <v>1917</v>
      </c>
      <c r="M2107" s="8" t="n">
        <v>-19131</v>
      </c>
      <c r="N2107" s="8" t="n">
        <v>-13273</v>
      </c>
      <c r="O2107" s="9" t="n">
        <v>1427</v>
      </c>
      <c r="P2107" s="10" t="n">
        <v>-13569</v>
      </c>
      <c r="Q2107" s="10" t="n">
        <v>-15182</v>
      </c>
      <c r="R2107" s="7" t="n">
        <v>478</v>
      </c>
      <c r="S2107" s="8" t="n">
        <v>-20126</v>
      </c>
      <c r="T2107" s="8" t="n">
        <v>-27501</v>
      </c>
      <c r="U2107" s="9" t="inlineStr"/>
      <c r="V2107" s="10" t="inlineStr"/>
      <c r="W2107" s="10" t="inlineStr"/>
      <c r="X2107" s="7" t="n">
        <v>927</v>
      </c>
      <c r="Y2107" s="8" t="n">
        <v>-12007</v>
      </c>
      <c r="Z2107" s="8" t="n">
        <v>-20710</v>
      </c>
      <c r="AA2107" s="9" t="n">
        <v>1602</v>
      </c>
      <c r="AB2107" s="10" t="n">
        <v>-3534</v>
      </c>
      <c r="AC2107" s="10" t="n">
        <v>-5758</v>
      </c>
      <c r="AD2107" s="7" t="inlineStr"/>
      <c r="AE2107" s="8" t="inlineStr"/>
      <c r="AF2107" s="8" t="inlineStr"/>
      <c r="AG2107" s="9" t="n">
        <v>98</v>
      </c>
      <c r="AH2107" s="10" t="n">
        <v>-3384</v>
      </c>
      <c r="AI2107" s="10" t="n">
        <v>-9104</v>
      </c>
      <c r="AJ2107" s="11" t="n">
        <v>124</v>
      </c>
      <c r="AK2107" s="12" t="n">
        <v>-2377</v>
      </c>
      <c r="AL2107" s="12" t="n">
        <v>-5516</v>
      </c>
      <c r="AM2107" s="13" t="n">
        <v>26.5</v>
      </c>
      <c r="AN2107" s="13" t="n">
        <v>-86.59999999999999</v>
      </c>
      <c r="AO2107" s="13" t="n">
        <v>29.8</v>
      </c>
      <c r="AP2107" s="13" t="n">
        <v>80.2</v>
      </c>
    </row>
    <row r="2108">
      <c r="A2108" s="5" t="inlineStr">
        <is>
          <t>레몬</t>
        </is>
      </c>
      <c r="B2108" s="6" t="inlineStr">
        <is>
          <t>294140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2939</v>
      </c>
      <c r="J2108" s="10" t="n">
        <v>-1242</v>
      </c>
      <c r="K2108" s="10" t="n">
        <v>250</v>
      </c>
      <c r="L2108" s="7" t="n">
        <v>1358</v>
      </c>
      <c r="M2108" s="8" t="n">
        <v>-2041</v>
      </c>
      <c r="N2108" s="8" t="n">
        <v>-2003</v>
      </c>
      <c r="O2108" s="9" t="n">
        <v>2039</v>
      </c>
      <c r="P2108" s="10" t="n">
        <v>-1534</v>
      </c>
      <c r="Q2108" s="10" t="n">
        <v>-1517</v>
      </c>
      <c r="R2108" s="7" t="n">
        <v>952</v>
      </c>
      <c r="S2108" s="8" t="n">
        <v>-1466</v>
      </c>
      <c r="T2108" s="8" t="n">
        <v>-1414</v>
      </c>
      <c r="U2108" s="9" t="n">
        <v>947</v>
      </c>
      <c r="V2108" s="10" t="n">
        <v>-1537</v>
      </c>
      <c r="W2108" s="10" t="n">
        <v>-1480</v>
      </c>
      <c r="X2108" s="7" t="n">
        <v>810</v>
      </c>
      <c r="Y2108" s="8" t="n">
        <v>-1314</v>
      </c>
      <c r="Z2108" s="8" t="n">
        <v>-1521</v>
      </c>
      <c r="AA2108" s="9" t="n">
        <v>1837</v>
      </c>
      <c r="AB2108" s="10" t="n">
        <v>-2222</v>
      </c>
      <c r="AC2108" s="10" t="n">
        <v>-2215</v>
      </c>
      <c r="AD2108" s="7" t="n">
        <v>3863</v>
      </c>
      <c r="AE2108" s="8" t="n">
        <v>-2072</v>
      </c>
      <c r="AF2108" s="8" t="n">
        <v>-6883</v>
      </c>
      <c r="AG2108" s="9" t="n">
        <v>3315</v>
      </c>
      <c r="AH2108" s="10" t="n">
        <v>-2085</v>
      </c>
      <c r="AI2108" s="10" t="n">
        <v>-2056</v>
      </c>
      <c r="AJ2108" s="11" t="n">
        <v>6006</v>
      </c>
      <c r="AK2108" s="12" t="n">
        <v>-854</v>
      </c>
      <c r="AL2108" s="12" t="n">
        <v>-204</v>
      </c>
      <c r="AM2108" s="13" t="n">
        <v>81.2</v>
      </c>
      <c r="AN2108" s="13" t="n">
        <v>641.5</v>
      </c>
      <c r="AO2108" s="13" t="n">
        <v>59</v>
      </c>
      <c r="AP2108" s="13" t="n">
        <v>35</v>
      </c>
    </row>
    <row r="2109">
      <c r="A2109" s="5" t="inlineStr">
        <is>
          <t>쿠콘</t>
        </is>
      </c>
      <c r="B2109" s="6" t="inlineStr">
        <is>
          <t>294570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17011</v>
      </c>
      <c r="J2109" s="10" t="n">
        <v>3425</v>
      </c>
      <c r="K2109" s="10" t="n">
        <v>2247</v>
      </c>
      <c r="L2109" s="7" t="n">
        <v>21542</v>
      </c>
      <c r="M2109" s="8" t="n">
        <v>4439</v>
      </c>
      <c r="N2109" s="8" t="n">
        <v>3705</v>
      </c>
      <c r="O2109" s="9" t="n">
        <v>16937</v>
      </c>
      <c r="P2109" s="10" t="n">
        <v>4508</v>
      </c>
      <c r="Q2109" s="10" t="n">
        <v>700</v>
      </c>
      <c r="R2109" s="7" t="n">
        <v>17548</v>
      </c>
      <c r="S2109" s="8" t="n">
        <v>4217</v>
      </c>
      <c r="T2109" s="8" t="n">
        <v>9124</v>
      </c>
      <c r="U2109" s="9" t="n">
        <v>17305</v>
      </c>
      <c r="V2109" s="10" t="n">
        <v>4388</v>
      </c>
      <c r="W2109" s="10" t="n">
        <v>4745</v>
      </c>
      <c r="X2109" s="7" t="n">
        <v>16729</v>
      </c>
      <c r="Y2109" s="8" t="n">
        <v>4665</v>
      </c>
      <c r="Z2109" s="8" t="n">
        <v>15379</v>
      </c>
      <c r="AA2109" s="9" t="n">
        <v>17337</v>
      </c>
      <c r="AB2109" s="10" t="n">
        <v>4794</v>
      </c>
      <c r="AC2109" s="10" t="n">
        <v>580</v>
      </c>
      <c r="AD2109" s="7" t="n">
        <v>18089</v>
      </c>
      <c r="AE2109" s="8" t="n">
        <v>5013</v>
      </c>
      <c r="AF2109" s="8" t="n">
        <v>781</v>
      </c>
      <c r="AG2109" s="9" t="n">
        <v>16010</v>
      </c>
      <c r="AH2109" s="10" t="n">
        <v>4470</v>
      </c>
      <c r="AI2109" s="10" t="n">
        <v>7427</v>
      </c>
      <c r="AJ2109" s="11" t="n">
        <v>17959</v>
      </c>
      <c r="AK2109" s="12" t="n">
        <v>4958</v>
      </c>
      <c r="AL2109" s="12" t="n">
        <v>13198</v>
      </c>
      <c r="AM2109" s="13" t="n">
        <v>12.2</v>
      </c>
      <c r="AN2109" s="13" t="n">
        <v>7.4</v>
      </c>
      <c r="AO2109" s="13" t="n">
        <v>10.9</v>
      </c>
      <c r="AP2109" s="13" t="n">
        <v>6.3</v>
      </c>
    </row>
    <row r="2110">
      <c r="A2110" s="5" t="inlineStr">
        <is>
          <t>서남</t>
        </is>
      </c>
      <c r="B2110" s="6" t="inlineStr">
        <is>
          <t>294630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415</v>
      </c>
      <c r="J2110" s="10" t="n">
        <v>-976</v>
      </c>
      <c r="K2110" s="10" t="n">
        <v>-860</v>
      </c>
      <c r="L2110" s="7" t="n">
        <v>259</v>
      </c>
      <c r="M2110" s="8" t="n">
        <v>-1030</v>
      </c>
      <c r="N2110" s="8" t="n">
        <v>-1034</v>
      </c>
      <c r="O2110" s="9" t="n">
        <v>229</v>
      </c>
      <c r="P2110" s="10" t="n">
        <v>-794</v>
      </c>
      <c r="Q2110" s="10" t="n">
        <v>-573</v>
      </c>
      <c r="R2110" s="7" t="n">
        <v>503</v>
      </c>
      <c r="S2110" s="8" t="n">
        <v>-1667</v>
      </c>
      <c r="T2110" s="8" t="n">
        <v>-1476</v>
      </c>
      <c r="U2110" s="9" t="n">
        <v>728</v>
      </c>
      <c r="V2110" s="10" t="n">
        <v>-817</v>
      </c>
      <c r="W2110" s="10" t="n">
        <v>-833</v>
      </c>
      <c r="X2110" s="7" t="n">
        <v>660</v>
      </c>
      <c r="Y2110" s="8" t="n">
        <v>-1073</v>
      </c>
      <c r="Z2110" s="8" t="n">
        <v>-1102</v>
      </c>
      <c r="AA2110" s="9" t="n">
        <v>958</v>
      </c>
      <c r="AB2110" s="10" t="n">
        <v>-712</v>
      </c>
      <c r="AC2110" s="10" t="n">
        <v>-733</v>
      </c>
      <c r="AD2110" s="7" t="n">
        <v>1040</v>
      </c>
      <c r="AE2110" s="8" t="n">
        <v>-1256</v>
      </c>
      <c r="AF2110" s="8" t="n">
        <v>-1307</v>
      </c>
      <c r="AG2110" s="9" t="n">
        <v>453</v>
      </c>
      <c r="AH2110" s="10" t="n">
        <v>-894</v>
      </c>
      <c r="AI2110" s="10" t="n">
        <v>-891</v>
      </c>
      <c r="AJ2110" s="11" t="n">
        <v>1198</v>
      </c>
      <c r="AK2110" s="12" t="n">
        <v>-1606</v>
      </c>
      <c r="AL2110" s="12" t="n">
        <v>-1603</v>
      </c>
      <c r="AM2110" s="13" t="n">
        <v>164.5</v>
      </c>
      <c r="AN2110" s="13" t="n">
        <v>81.5</v>
      </c>
      <c r="AO2110" s="13" t="n">
        <v>-79.59999999999999</v>
      </c>
      <c r="AP2110" s="13" t="n">
        <v>-49.7</v>
      </c>
    </row>
    <row r="2111">
      <c r="A2111" s="5" t="inlineStr">
        <is>
          <t>IPARK현대산업개발</t>
        </is>
      </c>
      <c r="B2111" s="6" t="inlineStr">
        <is>
          <t>294870</t>
        </is>
      </c>
      <c r="C2111" s="6" t="inlineStr">
        <is>
          <t>연결</t>
        </is>
      </c>
      <c r="D2111" s="6" t="inlineStr">
        <is>
          <t>2026Q2</t>
        </is>
      </c>
      <c r="E2111" s="6" t="inlineStr">
        <is>
          <t>2023Q4</t>
        </is>
      </c>
      <c r="F2111" s="14" t="n">
        <v>1149091</v>
      </c>
      <c r="G2111" s="15" t="n">
        <v>77465</v>
      </c>
      <c r="H2111" s="15" t="n">
        <v>56461</v>
      </c>
      <c r="I2111" s="9" t="n">
        <v>955435</v>
      </c>
      <c r="J2111" s="10" t="n">
        <v>41597</v>
      </c>
      <c r="K2111" s="10" t="n">
        <v>30471</v>
      </c>
      <c r="L2111" s="7" t="n">
        <v>1087159</v>
      </c>
      <c r="M2111" s="8" t="n">
        <v>53834</v>
      </c>
      <c r="N2111" s="8" t="n">
        <v>47386</v>
      </c>
      <c r="O2111" s="9" t="n">
        <v>1088600</v>
      </c>
      <c r="P2111" s="10" t="n">
        <v>47453</v>
      </c>
      <c r="Q2111" s="10" t="n">
        <v>32697</v>
      </c>
      <c r="R2111" s="7" t="n">
        <v>1125039</v>
      </c>
      <c r="S2111" s="8" t="n">
        <v>41753</v>
      </c>
      <c r="T2111" s="8" t="n">
        <v>45163</v>
      </c>
      <c r="U2111" s="9" t="n">
        <v>905748</v>
      </c>
      <c r="V2111" s="10" t="n">
        <v>53999</v>
      </c>
      <c r="W2111" s="10" t="n">
        <v>54186</v>
      </c>
      <c r="X2111" s="7" t="n">
        <v>1163210</v>
      </c>
      <c r="Y2111" s="8" t="n">
        <v>80278</v>
      </c>
      <c r="Z2111" s="8" t="n">
        <v>52692</v>
      </c>
      <c r="AA2111" s="9" t="n">
        <v>1053003</v>
      </c>
      <c r="AB2111" s="10" t="n">
        <v>72987</v>
      </c>
      <c r="AC2111" s="10" t="n">
        <v>39849</v>
      </c>
      <c r="AD2111" s="7" t="n">
        <v>1025046</v>
      </c>
      <c r="AE2111" s="8" t="n">
        <v>41350</v>
      </c>
      <c r="AF2111" s="8" t="n">
        <v>11422</v>
      </c>
      <c r="AG2111" s="9" t="n">
        <v>673945</v>
      </c>
      <c r="AH2111" s="10" t="n">
        <v>80141</v>
      </c>
      <c r="AI2111" s="10" t="n">
        <v>49293</v>
      </c>
      <c r="AJ2111" s="11" t="n">
        <v>914640</v>
      </c>
      <c r="AK2111" s="12" t="n">
        <v>122719</v>
      </c>
      <c r="AL2111" s="12" t="n">
        <v>83712</v>
      </c>
      <c r="AM2111" s="13" t="n">
        <v>35.7</v>
      </c>
      <c r="AN2111" s="13" t="n">
        <v>-21.4</v>
      </c>
      <c r="AO2111" s="13" t="n">
        <v>53.1</v>
      </c>
      <c r="AP2111" s="13" t="n">
        <v>52.9</v>
      </c>
    </row>
    <row r="2112">
      <c r="A2112" s="5" t="inlineStr">
        <is>
          <t>에이치브이엠</t>
        </is>
      </c>
      <c r="B2112" s="6" t="inlineStr">
        <is>
          <t>295310</t>
        </is>
      </c>
      <c r="C2112" s="6" t="inlineStr">
        <is>
          <t>별도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inlineStr"/>
      <c r="J2112" s="10" t="inlineStr"/>
      <c r="K2112" s="10" t="inlineStr"/>
      <c r="L2112" s="7" t="n">
        <v>15543</v>
      </c>
      <c r="M2112" s="8" t="n">
        <v>-31</v>
      </c>
      <c r="N2112" s="8" t="n">
        <v>-145</v>
      </c>
      <c r="O2112" s="9" t="n">
        <v>9140</v>
      </c>
      <c r="P2112" s="10" t="n">
        <v>960</v>
      </c>
      <c r="Q2112" s="10" t="n">
        <v>156</v>
      </c>
      <c r="R2112" s="7" t="inlineStr"/>
      <c r="S2112" s="8" t="inlineStr"/>
      <c r="T2112" s="8" t="inlineStr"/>
      <c r="U2112" s="9" t="n">
        <v>12973</v>
      </c>
      <c r="V2112" s="10" t="n">
        <v>1126</v>
      </c>
      <c r="W2112" s="10" t="n">
        <v>586</v>
      </c>
      <c r="X2112" s="7" t="n">
        <v>16727</v>
      </c>
      <c r="Y2112" s="8" t="n">
        <v>3769</v>
      </c>
      <c r="Z2112" s="8" t="n">
        <v>2991</v>
      </c>
      <c r="AA2112" s="9" t="n">
        <v>13405</v>
      </c>
      <c r="AB2112" s="10" t="n">
        <v>-296</v>
      </c>
      <c r="AC2112" s="10" t="n">
        <v>-783</v>
      </c>
      <c r="AD2112" s="7" t="n">
        <v>23427</v>
      </c>
      <c r="AE2112" s="8" t="n">
        <v>1238</v>
      </c>
      <c r="AF2112" s="8" t="n">
        <v>9817</v>
      </c>
      <c r="AG2112" s="9" t="n">
        <v>23268</v>
      </c>
      <c r="AH2112" s="10" t="n">
        <v>4417</v>
      </c>
      <c r="AI2112" s="10" t="n">
        <v>3414</v>
      </c>
      <c r="AJ2112" s="11" t="n">
        <v>29152</v>
      </c>
      <c r="AK2112" s="12" t="n">
        <v>2011</v>
      </c>
      <c r="AL2112" s="12" t="n">
        <v>-8999</v>
      </c>
      <c r="AM2112" s="13" t="n">
        <v>25.3</v>
      </c>
      <c r="AN2112" s="13" t="n">
        <v>74.3</v>
      </c>
      <c r="AO2112" s="13" t="n">
        <v>-54.5</v>
      </c>
      <c r="AP2112" s="13" t="n">
        <v>-46.6</v>
      </c>
    </row>
    <row r="2113">
      <c r="A2113" s="5" t="inlineStr">
        <is>
          <t>이노에이엑스</t>
        </is>
      </c>
      <c r="B2113" s="6" t="inlineStr">
        <is>
          <t>296640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4799</v>
      </c>
      <c r="J2113" s="10" t="n">
        <v>352</v>
      </c>
      <c r="K2113" s="10" t="n">
        <v>575</v>
      </c>
      <c r="L2113" s="7" t="n">
        <v>5470</v>
      </c>
      <c r="M2113" s="8" t="n">
        <v>329</v>
      </c>
      <c r="N2113" s="8" t="n">
        <v>546</v>
      </c>
      <c r="O2113" s="9" t="n">
        <v>6107</v>
      </c>
      <c r="P2113" s="10" t="n">
        <v>660</v>
      </c>
      <c r="Q2113" s="10" t="n">
        <v>887</v>
      </c>
      <c r="R2113" s="7" t="n">
        <v>7331</v>
      </c>
      <c r="S2113" s="8" t="n">
        <v>1055</v>
      </c>
      <c r="T2113" s="8" t="n">
        <v>1064</v>
      </c>
      <c r="U2113" s="9" t="n">
        <v>5736</v>
      </c>
      <c r="V2113" s="10" t="n">
        <v>465</v>
      </c>
      <c r="W2113" s="10" t="n">
        <v>697</v>
      </c>
      <c r="X2113" s="7" t="n">
        <v>5296</v>
      </c>
      <c r="Y2113" s="8" t="n">
        <v>78</v>
      </c>
      <c r="Z2113" s="8" t="n">
        <v>216</v>
      </c>
      <c r="AA2113" s="9" t="n">
        <v>5971</v>
      </c>
      <c r="AB2113" s="10" t="n">
        <v>317</v>
      </c>
      <c r="AC2113" s="10" t="n">
        <v>507</v>
      </c>
      <c r="AD2113" s="7" t="n">
        <v>5930</v>
      </c>
      <c r="AE2113" s="8" t="n">
        <v>62</v>
      </c>
      <c r="AF2113" s="8" t="n">
        <v>1164</v>
      </c>
      <c r="AG2113" s="9" t="n">
        <v>7142</v>
      </c>
      <c r="AH2113" s="10" t="n">
        <v>460</v>
      </c>
      <c r="AI2113" s="10" t="n">
        <v>624</v>
      </c>
      <c r="AJ2113" s="11" t="n">
        <v>7851</v>
      </c>
      <c r="AK2113" s="12" t="n">
        <v>288</v>
      </c>
      <c r="AL2113" s="12" t="n">
        <v>2897</v>
      </c>
      <c r="AM2113" s="13" t="n">
        <v>9.9</v>
      </c>
      <c r="AN2113" s="13" t="n">
        <v>48.2</v>
      </c>
      <c r="AO2113" s="13" t="n">
        <v>-37.4</v>
      </c>
      <c r="AP2113" s="13" t="n">
        <v>269.2</v>
      </c>
    </row>
    <row r="2114">
      <c r="A2114" s="5" t="inlineStr">
        <is>
          <t>씨에스베어링</t>
        </is>
      </c>
      <c r="B2114" s="6" t="inlineStr">
        <is>
          <t>297090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15643</v>
      </c>
      <c r="J2114" s="10" t="n">
        <v>-2115</v>
      </c>
      <c r="K2114" s="10" t="n">
        <v>-2247</v>
      </c>
      <c r="L2114" s="7" t="n">
        <v>24752</v>
      </c>
      <c r="M2114" s="8" t="n">
        <v>844</v>
      </c>
      <c r="N2114" s="8" t="n">
        <v>3021</v>
      </c>
      <c r="O2114" s="9" t="n">
        <v>28526</v>
      </c>
      <c r="P2114" s="10" t="n">
        <v>1626</v>
      </c>
      <c r="Q2114" s="10" t="n">
        <v>1359</v>
      </c>
      <c r="R2114" s="7" t="n">
        <v>36489</v>
      </c>
      <c r="S2114" s="8" t="n">
        <v>1755</v>
      </c>
      <c r="T2114" s="8" t="n">
        <v>375</v>
      </c>
      <c r="U2114" s="9" t="n">
        <v>28348</v>
      </c>
      <c r="V2114" s="10" t="n">
        <v>1238</v>
      </c>
      <c r="W2114" s="10" t="n">
        <v>1017</v>
      </c>
      <c r="X2114" s="7" t="n">
        <v>31978</v>
      </c>
      <c r="Y2114" s="8" t="n">
        <v>2770</v>
      </c>
      <c r="Z2114" s="8" t="n">
        <v>1710</v>
      </c>
      <c r="AA2114" s="9" t="n">
        <v>32161</v>
      </c>
      <c r="AB2114" s="10" t="n">
        <v>3347</v>
      </c>
      <c r="AC2114" s="10" t="n">
        <v>4380</v>
      </c>
      <c r="AD2114" s="7" t="n">
        <v>33661</v>
      </c>
      <c r="AE2114" s="8" t="n">
        <v>3731</v>
      </c>
      <c r="AF2114" s="8" t="n">
        <v>4126</v>
      </c>
      <c r="AG2114" s="9" t="n">
        <v>28837</v>
      </c>
      <c r="AH2114" s="10" t="n">
        <v>1826</v>
      </c>
      <c r="AI2114" s="10" t="n">
        <v>2089</v>
      </c>
      <c r="AJ2114" s="11" t="n">
        <v>37804</v>
      </c>
      <c r="AK2114" s="12" t="n">
        <v>3417</v>
      </c>
      <c r="AL2114" s="12" t="n">
        <v>3165</v>
      </c>
      <c r="AM2114" s="13" t="n">
        <v>31.1</v>
      </c>
      <c r="AN2114" s="13" t="n">
        <v>18.2</v>
      </c>
      <c r="AO2114" s="13" t="n">
        <v>87.09999999999999</v>
      </c>
      <c r="AP2114" s="13" t="n">
        <v>23.4</v>
      </c>
    </row>
    <row r="2115">
      <c r="A2115" s="5" t="inlineStr">
        <is>
          <t>아틀라스링크</t>
        </is>
      </c>
      <c r="B2115" s="6" t="inlineStr">
        <is>
          <t>297570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6580</v>
      </c>
      <c r="J2115" s="10" t="n">
        <v>1201</v>
      </c>
      <c r="K2115" s="10" t="n">
        <v>1026</v>
      </c>
      <c r="L2115" s="7" t="n">
        <v>7973</v>
      </c>
      <c r="M2115" s="8" t="n">
        <v>1390</v>
      </c>
      <c r="N2115" s="8" t="n">
        <v>460</v>
      </c>
      <c r="O2115" s="9" t="n">
        <v>7766</v>
      </c>
      <c r="P2115" s="10" t="n">
        <v>1553</v>
      </c>
      <c r="Q2115" s="10" t="n">
        <v>416</v>
      </c>
      <c r="R2115" s="7" t="n">
        <v>8628</v>
      </c>
      <c r="S2115" s="8" t="n">
        <v>663</v>
      </c>
      <c r="T2115" s="8" t="n">
        <v>-2305</v>
      </c>
      <c r="U2115" s="9" t="n">
        <v>8207</v>
      </c>
      <c r="V2115" s="10" t="n">
        <v>1718</v>
      </c>
      <c r="W2115" s="10" t="n">
        <v>1260</v>
      </c>
      <c r="X2115" s="7" t="n">
        <v>6975</v>
      </c>
      <c r="Y2115" s="8" t="n">
        <v>1388</v>
      </c>
      <c r="Z2115" s="8" t="n">
        <v>-401</v>
      </c>
      <c r="AA2115" s="9" t="n">
        <v>12392</v>
      </c>
      <c r="AB2115" s="10" t="n">
        <v>1230</v>
      </c>
      <c r="AC2115" s="10" t="n">
        <v>2533</v>
      </c>
      <c r="AD2115" s="7" t="n">
        <v>15339</v>
      </c>
      <c r="AE2115" s="8" t="n">
        <v>2203</v>
      </c>
      <c r="AF2115" s="8" t="n">
        <v>1077</v>
      </c>
      <c r="AG2115" s="9" t="n">
        <v>16557</v>
      </c>
      <c r="AH2115" s="10" t="n">
        <v>2676</v>
      </c>
      <c r="AI2115" s="10" t="n">
        <v>2277</v>
      </c>
      <c r="AJ2115" s="11" t="n">
        <v>17597</v>
      </c>
      <c r="AK2115" s="12" t="n">
        <v>3428</v>
      </c>
      <c r="AL2115" s="12" t="n">
        <v>2298</v>
      </c>
      <c r="AM2115" s="13" t="n">
        <v>6.3</v>
      </c>
      <c r="AN2115" s="13" t="n">
        <v>152.3</v>
      </c>
      <c r="AO2115" s="13" t="n">
        <v>28.1</v>
      </c>
      <c r="AP2115" s="13" t="n">
        <v>147</v>
      </c>
    </row>
    <row r="2116">
      <c r="A2116" s="5" t="inlineStr">
        <is>
          <t>HB솔루션</t>
        </is>
      </c>
      <c r="B2116" s="6" t="inlineStr">
        <is>
          <t>297890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11688</v>
      </c>
      <c r="J2116" s="10" t="n">
        <v>-685</v>
      </c>
      <c r="K2116" s="10" t="n">
        <v>21958</v>
      </c>
      <c r="L2116" s="7" t="n">
        <v>47754</v>
      </c>
      <c r="M2116" s="8" t="n">
        <v>9830</v>
      </c>
      <c r="N2116" s="8" t="n">
        <v>-19381</v>
      </c>
      <c r="O2116" s="9" t="n">
        <v>32361</v>
      </c>
      <c r="P2116" s="10" t="n">
        <v>4402</v>
      </c>
      <c r="Q2116" s="10" t="n">
        <v>-15051</v>
      </c>
      <c r="R2116" s="7" t="n">
        <v>39728</v>
      </c>
      <c r="S2116" s="8" t="n">
        <v>5795</v>
      </c>
      <c r="T2116" s="8" t="n">
        <v>-8281</v>
      </c>
      <c r="U2116" s="9" t="n">
        <v>20128</v>
      </c>
      <c r="V2116" s="10" t="n">
        <v>2884</v>
      </c>
      <c r="W2116" s="10" t="n">
        <v>2933</v>
      </c>
      <c r="X2116" s="7" t="n">
        <v>30016</v>
      </c>
      <c r="Y2116" s="8" t="n">
        <v>3807</v>
      </c>
      <c r="Z2116" s="8" t="n">
        <v>10745</v>
      </c>
      <c r="AA2116" s="9" t="n">
        <v>6359</v>
      </c>
      <c r="AB2116" s="10" t="n">
        <v>-1969</v>
      </c>
      <c r="AC2116" s="10" t="n">
        <v>13202</v>
      </c>
      <c r="AD2116" s="7" t="n">
        <v>6346</v>
      </c>
      <c r="AE2116" s="8" t="n">
        <v>-326</v>
      </c>
      <c r="AF2116" s="8" t="n">
        <v>-408</v>
      </c>
      <c r="AG2116" s="9" t="n">
        <v>14692</v>
      </c>
      <c r="AH2116" s="10" t="n">
        <v>-1132</v>
      </c>
      <c r="AI2116" s="10" t="n">
        <v>13420</v>
      </c>
      <c r="AJ2116" s="11" t="n">
        <v>10171</v>
      </c>
      <c r="AK2116" s="12" t="n">
        <v>-503</v>
      </c>
      <c r="AL2116" s="12" t="n">
        <v>16954</v>
      </c>
      <c r="AM2116" s="13" t="n">
        <v>-30.8</v>
      </c>
      <c r="AN2116" s="13" t="n">
        <v>-66.09999999999999</v>
      </c>
      <c r="AO2116" s="13" t="n">
        <v>55.6</v>
      </c>
      <c r="AP2116" s="13" t="n">
        <v>-113.2</v>
      </c>
    </row>
    <row r="2117">
      <c r="A2117" s="5" t="inlineStr">
        <is>
          <t>효성화학</t>
        </is>
      </c>
      <c r="B2117" s="6" t="inlineStr">
        <is>
          <t>298000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686533</v>
      </c>
      <c r="G2117" s="15" t="n">
        <v>-37464</v>
      </c>
      <c r="H2117" s="15" t="n">
        <v>-74110</v>
      </c>
      <c r="I2117" s="9" t="n">
        <v>710348</v>
      </c>
      <c r="J2117" s="10" t="n">
        <v>-34829</v>
      </c>
      <c r="K2117" s="10" t="n">
        <v>-73903</v>
      </c>
      <c r="L2117" s="7" t="n">
        <v>754482</v>
      </c>
      <c r="M2117" s="8" t="n">
        <v>-50719</v>
      </c>
      <c r="N2117" s="8" t="n">
        <v>-90066</v>
      </c>
      <c r="O2117" s="9" t="n">
        <v>768310</v>
      </c>
      <c r="P2117" s="10" t="n">
        <v>-26172</v>
      </c>
      <c r="Q2117" s="10" t="n">
        <v>-61201</v>
      </c>
      <c r="R2117" s="7" t="n">
        <v>605048</v>
      </c>
      <c r="S2117" s="8" t="n">
        <v>-58771</v>
      </c>
      <c r="T2117" s="8" t="n">
        <v>-100554</v>
      </c>
      <c r="U2117" s="9" t="n">
        <v>615032</v>
      </c>
      <c r="V2117" s="10" t="n">
        <v>-59682</v>
      </c>
      <c r="W2117" s="10" t="n">
        <v>374151</v>
      </c>
      <c r="X2117" s="7" t="n">
        <v>616979</v>
      </c>
      <c r="Y2117" s="8" t="n">
        <v>-8994</v>
      </c>
      <c r="Z2117" s="8" t="n">
        <v>102362</v>
      </c>
      <c r="AA2117" s="9" t="n">
        <v>580304</v>
      </c>
      <c r="AB2117" s="10" t="n">
        <v>-26062</v>
      </c>
      <c r="AC2117" s="10" t="n">
        <v>-40563</v>
      </c>
      <c r="AD2117" s="7" t="n">
        <v>528403</v>
      </c>
      <c r="AE2117" s="8" t="n">
        <v>-65762</v>
      </c>
      <c r="AF2117" s="8" t="n">
        <v>-109922</v>
      </c>
      <c r="AG2117" s="9" t="n">
        <v>587030</v>
      </c>
      <c r="AH2117" s="10" t="n">
        <v>277</v>
      </c>
      <c r="AI2117" s="10" t="n">
        <v>-17531</v>
      </c>
      <c r="AJ2117" s="11" t="n">
        <v>871289</v>
      </c>
      <c r="AK2117" s="12" t="n">
        <v>170771</v>
      </c>
      <c r="AL2117" s="12" t="n">
        <v>155952</v>
      </c>
      <c r="AM2117" s="13" t="n">
        <v>48.4</v>
      </c>
      <c r="AN2117" s="13" t="n">
        <v>41.2</v>
      </c>
      <c r="AO2117" s="13" t="n">
        <v>61550.2</v>
      </c>
      <c r="AP2117" s="13" t="n">
        <v>1998.7</v>
      </c>
    </row>
    <row r="2118">
      <c r="A2118" s="5" t="inlineStr">
        <is>
          <t>효성티앤씨</t>
        </is>
      </c>
      <c r="B2118" s="6" t="inlineStr">
        <is>
          <t>298020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1766968</v>
      </c>
      <c r="G2118" s="15" t="n">
        <v>28985</v>
      </c>
      <c r="H2118" s="15" t="n">
        <v>35474</v>
      </c>
      <c r="I2118" s="9" t="n">
        <v>1879562</v>
      </c>
      <c r="J2118" s="10" t="n">
        <v>76056</v>
      </c>
      <c r="K2118" s="15" t="n">
        <v>56099</v>
      </c>
      <c r="L2118" s="7" t="n">
        <v>1982565</v>
      </c>
      <c r="M2118" s="8" t="n">
        <v>84648</v>
      </c>
      <c r="N2118" s="15" t="n">
        <v>51766</v>
      </c>
      <c r="O2118" s="9" t="n">
        <v>1936282</v>
      </c>
      <c r="P2118" s="10" t="n">
        <v>67607</v>
      </c>
      <c r="Q2118" s="15" t="n">
        <v>27623</v>
      </c>
      <c r="R2118" s="7" t="n">
        <v>1977656</v>
      </c>
      <c r="S2118" s="8" t="n">
        <v>42417</v>
      </c>
      <c r="T2118" s="15" t="n">
        <v>183832</v>
      </c>
      <c r="U2118" s="9" t="n">
        <v>1952704</v>
      </c>
      <c r="V2118" s="10" t="n">
        <v>77386</v>
      </c>
      <c r="W2118" s="10" t="n">
        <v>24463</v>
      </c>
      <c r="X2118" s="7" t="n">
        <v>1889169</v>
      </c>
      <c r="Y2118" s="8" t="n">
        <v>73319</v>
      </c>
      <c r="Z2118" s="8" t="n">
        <v>21352</v>
      </c>
      <c r="AA2118" s="9" t="n">
        <v>2009801</v>
      </c>
      <c r="AB2118" s="10" t="n">
        <v>56059</v>
      </c>
      <c r="AC2118" s="10" t="n">
        <v>15661</v>
      </c>
      <c r="AD2118" s="7" t="n">
        <v>1843170</v>
      </c>
      <c r="AE2118" s="8" t="n">
        <v>44739</v>
      </c>
      <c r="AF2118" s="8" t="n">
        <v>-23280</v>
      </c>
      <c r="AG2118" s="9" t="n">
        <v>2094242</v>
      </c>
      <c r="AH2118" s="10" t="n">
        <v>86243</v>
      </c>
      <c r="AI2118" s="10" t="n">
        <v>50875</v>
      </c>
      <c r="AJ2118" s="11" t="n">
        <v>2416151</v>
      </c>
      <c r="AK2118" s="12" t="n">
        <v>188762</v>
      </c>
      <c r="AL2118" s="12" t="n">
        <v>123916</v>
      </c>
      <c r="AM2118" s="13" t="n">
        <v>15.4</v>
      </c>
      <c r="AN2118" s="13" t="n">
        <v>27.9</v>
      </c>
      <c r="AO2118" s="13" t="n">
        <v>118.9</v>
      </c>
      <c r="AP2118" s="13" t="n">
        <v>157.5</v>
      </c>
    </row>
    <row r="2119">
      <c r="A2119" s="5" t="inlineStr">
        <is>
          <t>효성중공업</t>
        </is>
      </c>
      <c r="B2119" s="6" t="inlineStr">
        <is>
          <t>298040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1292011</v>
      </c>
      <c r="G2119" s="15" t="n">
        <v>63444</v>
      </c>
      <c r="H2119" s="15" t="n">
        <v>28881</v>
      </c>
      <c r="I2119" s="9" t="n">
        <v>984508</v>
      </c>
      <c r="J2119" s="10" t="n">
        <v>56165</v>
      </c>
      <c r="K2119" s="10" t="n">
        <v>26229</v>
      </c>
      <c r="L2119" s="7" t="n">
        <v>1193776</v>
      </c>
      <c r="M2119" s="8" t="n">
        <v>62660</v>
      </c>
      <c r="N2119" s="8" t="n">
        <v>28204</v>
      </c>
      <c r="O2119" s="9" t="n">
        <v>1145185</v>
      </c>
      <c r="P2119" s="10" t="n">
        <v>111424</v>
      </c>
      <c r="Q2119" s="10" t="n">
        <v>72417</v>
      </c>
      <c r="R2119" s="7" t="n">
        <v>1571511</v>
      </c>
      <c r="S2119" s="8" t="n">
        <v>132230</v>
      </c>
      <c r="T2119" s="8" t="n">
        <v>96079</v>
      </c>
      <c r="U2119" s="9" t="n">
        <v>1076135</v>
      </c>
      <c r="V2119" s="10" t="n">
        <v>102387</v>
      </c>
      <c r="W2119" s="10" t="n">
        <v>103629</v>
      </c>
      <c r="X2119" s="7" t="n">
        <v>1525285</v>
      </c>
      <c r="Y2119" s="8" t="n">
        <v>164261</v>
      </c>
      <c r="Z2119" s="8" t="n">
        <v>87349</v>
      </c>
      <c r="AA2119" s="9" t="n">
        <v>1624136</v>
      </c>
      <c r="AB2119" s="10" t="n">
        <v>219809</v>
      </c>
      <c r="AC2119" s="10" t="n">
        <v>151766</v>
      </c>
      <c r="AD2119" s="7" t="n">
        <v>1742956</v>
      </c>
      <c r="AE2119" s="8" t="n">
        <v>260511</v>
      </c>
      <c r="AF2119" s="8" t="n">
        <v>160094</v>
      </c>
      <c r="AG2119" s="9" t="n">
        <v>1358209</v>
      </c>
      <c r="AH2119" s="10" t="n">
        <v>152322</v>
      </c>
      <c r="AI2119" s="10" t="n">
        <v>91328</v>
      </c>
      <c r="AJ2119" s="11" t="n">
        <v>1686978</v>
      </c>
      <c r="AK2119" s="12" t="n">
        <v>264286</v>
      </c>
      <c r="AL2119" s="12" t="n">
        <v>171741</v>
      </c>
      <c r="AM2119" s="13" t="n">
        <v>24.2</v>
      </c>
      <c r="AN2119" s="13" t="n">
        <v>10.6</v>
      </c>
      <c r="AO2119" s="13" t="n">
        <v>73.5</v>
      </c>
      <c r="AP2119" s="13" t="n">
        <v>60.9</v>
      </c>
    </row>
    <row r="2120">
      <c r="A2120" s="5" t="inlineStr">
        <is>
          <t>HS효성첨단소재</t>
        </is>
      </c>
      <c r="B2120" s="6" t="inlineStr">
        <is>
          <t>298050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768155</v>
      </c>
      <c r="G2120" s="15" t="n">
        <v>20760</v>
      </c>
      <c r="H2120" s="15" t="n">
        <v>-9398</v>
      </c>
      <c r="I2120" s="9" t="n">
        <v>836824</v>
      </c>
      <c r="J2120" s="10" t="n">
        <v>63675</v>
      </c>
      <c r="K2120" s="10" t="n">
        <v>25913</v>
      </c>
      <c r="L2120" s="7" t="n">
        <v>840489</v>
      </c>
      <c r="M2120" s="8" t="n">
        <v>65821</v>
      </c>
      <c r="N2120" s="8" t="n">
        <v>26152</v>
      </c>
      <c r="O2120" s="9" t="n">
        <v>829450</v>
      </c>
      <c r="P2120" s="10" t="n">
        <v>44232</v>
      </c>
      <c r="Q2120" s="10" t="n">
        <v>2285</v>
      </c>
      <c r="R2120" s="7" t="n">
        <v>804465</v>
      </c>
      <c r="S2120" s="8" t="n">
        <v>45994</v>
      </c>
      <c r="T2120" s="8" t="n">
        <v>23833</v>
      </c>
      <c r="U2120" s="9" t="n">
        <v>853558</v>
      </c>
      <c r="V2120" s="10" t="n">
        <v>49110</v>
      </c>
      <c r="W2120" s="10" t="n">
        <v>10066</v>
      </c>
      <c r="X2120" s="7" t="n">
        <v>843037</v>
      </c>
      <c r="Y2120" s="8" t="n">
        <v>58741</v>
      </c>
      <c r="Z2120" s="8" t="n">
        <v>1435</v>
      </c>
      <c r="AA2120" s="9" t="n">
        <v>800997</v>
      </c>
      <c r="AB2120" s="10" t="n">
        <v>19316</v>
      </c>
      <c r="AC2120" s="10" t="n">
        <v>-3474</v>
      </c>
      <c r="AD2120" s="7" t="n">
        <v>785453</v>
      </c>
      <c r="AE2120" s="8" t="n">
        <v>30266</v>
      </c>
      <c r="AF2120" s="8" t="n">
        <v>7626</v>
      </c>
      <c r="AG2120" s="9" t="n">
        <v>829031</v>
      </c>
      <c r="AH2120" s="10" t="n">
        <v>34409</v>
      </c>
      <c r="AI2120" s="10" t="n">
        <v>6731</v>
      </c>
      <c r="AJ2120" s="11" t="n">
        <v>952698</v>
      </c>
      <c r="AK2120" s="12" t="n">
        <v>77593</v>
      </c>
      <c r="AL2120" s="12" t="n">
        <v>45193</v>
      </c>
      <c r="AM2120" s="13" t="n">
        <v>14.9</v>
      </c>
      <c r="AN2120" s="13" t="n">
        <v>13</v>
      </c>
      <c r="AO2120" s="13" t="n">
        <v>125.5</v>
      </c>
      <c r="AP2120" s="13" t="n">
        <v>32.1</v>
      </c>
    </row>
    <row r="2121">
      <c r="A2121" s="5" t="inlineStr">
        <is>
          <t>풍전약품</t>
        </is>
      </c>
      <c r="B2121" s="6" t="inlineStr">
        <is>
          <t>298060</t>
        </is>
      </c>
      <c r="C2121" s="6" t="inlineStr">
        <is>
          <t>별도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228</v>
      </c>
      <c r="J2121" s="10" t="n">
        <v>-3262</v>
      </c>
      <c r="K2121" s="10" t="n">
        <v>-3214</v>
      </c>
      <c r="L2121" s="7" t="n">
        <v>267</v>
      </c>
      <c r="M2121" s="8" t="n">
        <v>-2472</v>
      </c>
      <c r="N2121" s="8" t="n">
        <v>-2723</v>
      </c>
      <c r="O2121" s="9" t="n">
        <v>170</v>
      </c>
      <c r="P2121" s="10" t="n">
        <v>-3042</v>
      </c>
      <c r="Q2121" s="10" t="n">
        <v>-3073</v>
      </c>
      <c r="R2121" s="7" t="n">
        <v>160</v>
      </c>
      <c r="S2121" s="8" t="n">
        <v>-2532</v>
      </c>
      <c r="T2121" s="8" t="n">
        <v>-3367</v>
      </c>
      <c r="U2121" s="9" t="n">
        <v>574</v>
      </c>
      <c r="V2121" s="10" t="n">
        <v>-1510</v>
      </c>
      <c r="W2121" s="10" t="n">
        <v>-1540</v>
      </c>
      <c r="X2121" s="7" t="n">
        <v>639</v>
      </c>
      <c r="Y2121" s="8" t="n">
        <v>-903</v>
      </c>
      <c r="Z2121" s="8" t="n">
        <v>4</v>
      </c>
      <c r="AA2121" s="9" t="n">
        <v>10541</v>
      </c>
      <c r="AB2121" s="10" t="n">
        <v>-940</v>
      </c>
      <c r="AC2121" s="10" t="n">
        <v>-895</v>
      </c>
      <c r="AD2121" s="7" t="n">
        <v>12085</v>
      </c>
      <c r="AE2121" s="8" t="n">
        <v>-1176</v>
      </c>
      <c r="AF2121" s="8" t="n">
        <v>2634</v>
      </c>
      <c r="AG2121" s="9" t="n">
        <v>15244</v>
      </c>
      <c r="AH2121" s="10" t="n">
        <v>-1482</v>
      </c>
      <c r="AI2121" s="10" t="n">
        <v>-1834</v>
      </c>
      <c r="AJ2121" s="11" t="n">
        <v>11991</v>
      </c>
      <c r="AK2121" s="12" t="n">
        <v>-986</v>
      </c>
      <c r="AL2121" s="12" t="n">
        <v>-3943</v>
      </c>
      <c r="AM2121" s="13" t="n">
        <v>-21.3</v>
      </c>
      <c r="AN2121" s="13" t="n">
        <v>1776.5</v>
      </c>
      <c r="AO2121" s="13" t="n">
        <v>33.5</v>
      </c>
      <c r="AP2121" s="13" t="n">
        <v>-9.199999999999999</v>
      </c>
    </row>
    <row r="2122">
      <c r="A2122" s="5" t="inlineStr">
        <is>
          <t>에이비엘바이오</t>
        </is>
      </c>
      <c r="B2122" s="6" t="inlineStr">
        <is>
          <t>298380</t>
        </is>
      </c>
      <c r="C2122" s="6" t="inlineStr">
        <is>
          <t>연결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7937</v>
      </c>
      <c r="J2122" s="10" t="n">
        <v>-14278</v>
      </c>
      <c r="K2122" s="10" t="n">
        <v>-11971</v>
      </c>
      <c r="L2122" s="7" t="n">
        <v>8442</v>
      </c>
      <c r="M2122" s="8" t="n">
        <v>-11282</v>
      </c>
      <c r="N2122" s="8" t="n">
        <v>-11409</v>
      </c>
      <c r="O2122" s="9" t="n">
        <v>7937</v>
      </c>
      <c r="P2122" s="10" t="n">
        <v>-14690</v>
      </c>
      <c r="Q2122" s="10" t="n">
        <v>-13148</v>
      </c>
      <c r="R2122" s="7" t="n">
        <v>9087</v>
      </c>
      <c r="S2122" s="8" t="n">
        <v>-19127</v>
      </c>
      <c r="T2122" s="8" t="n">
        <v>-19001</v>
      </c>
      <c r="U2122" s="9" t="n">
        <v>2165</v>
      </c>
      <c r="V2122" s="10" t="n">
        <v>-29034</v>
      </c>
      <c r="W2122" s="10" t="n">
        <v>-28148</v>
      </c>
      <c r="X2122" s="7" t="n">
        <v>75742</v>
      </c>
      <c r="Y2122" s="8" t="n">
        <v>40728</v>
      </c>
      <c r="Z2122" s="8" t="n">
        <v>39776</v>
      </c>
      <c r="AA2122" s="9" t="n">
        <v>1443</v>
      </c>
      <c r="AB2122" s="10" t="n">
        <v>-22409</v>
      </c>
      <c r="AC2122" s="10" t="n">
        <v>-21299</v>
      </c>
      <c r="AD2122" s="7" t="n">
        <v>0</v>
      </c>
      <c r="AE2122" s="8" t="n">
        <v>-29675</v>
      </c>
      <c r="AF2122" s="8" t="n">
        <v>-28206</v>
      </c>
      <c r="AG2122" s="9" t="n">
        <v>13136</v>
      </c>
      <c r="AH2122" s="10" t="n">
        <v>-17225</v>
      </c>
      <c r="AI2122" s="10" t="n">
        <v>-14661</v>
      </c>
      <c r="AJ2122" s="11" t="n">
        <v>19704</v>
      </c>
      <c r="AK2122" s="12" t="n">
        <v>-16810</v>
      </c>
      <c r="AL2122" s="12" t="n">
        <v>-15002</v>
      </c>
      <c r="AM2122" s="13" t="n">
        <v>50</v>
      </c>
      <c r="AN2122" s="13" t="n">
        <v>-74</v>
      </c>
      <c r="AO2122" s="13" t="n">
        <v>2.4</v>
      </c>
      <c r="AP2122" s="13" t="n">
        <v>-141.3</v>
      </c>
    </row>
    <row r="2123">
      <c r="A2123" s="5" t="inlineStr">
        <is>
          <t>더네이쳐홀딩스</t>
        </is>
      </c>
      <c r="B2123" s="6" t="inlineStr">
        <is>
          <t>298540</t>
        </is>
      </c>
      <c r="C2123" s="6" t="inlineStr">
        <is>
          <t>연결</t>
        </is>
      </c>
      <c r="D2123" s="6" t="inlineStr">
        <is>
          <t>2026Q2</t>
        </is>
      </c>
      <c r="E2123" s="6" t="inlineStr">
        <is>
          <t>2023Q4</t>
        </is>
      </c>
      <c r="F2123" s="14" t="n">
        <v>203097</v>
      </c>
      <c r="G2123" s="15" t="n">
        <v>29072</v>
      </c>
      <c r="H2123" s="15" t="n">
        <v>24003</v>
      </c>
      <c r="I2123" s="9" t="n">
        <v>127210</v>
      </c>
      <c r="J2123" s="10" t="n">
        <v>7036</v>
      </c>
      <c r="K2123" s="10" t="n">
        <v>7753</v>
      </c>
      <c r="L2123" s="7" t="n">
        <v>111231</v>
      </c>
      <c r="M2123" s="8" t="n">
        <v>6795</v>
      </c>
      <c r="N2123" s="8" t="n">
        <v>6038</v>
      </c>
      <c r="O2123" s="9" t="n">
        <v>96189</v>
      </c>
      <c r="P2123" s="10" t="n">
        <v>-2488</v>
      </c>
      <c r="Q2123" s="10" t="n">
        <v>-6181</v>
      </c>
      <c r="R2123" s="7" t="n">
        <v>182267</v>
      </c>
      <c r="S2123" s="8" t="n">
        <v>18751</v>
      </c>
      <c r="T2123" s="8" t="n">
        <v>11381</v>
      </c>
      <c r="U2123" s="9" t="n">
        <v>128794</v>
      </c>
      <c r="V2123" s="10" t="n">
        <v>9510</v>
      </c>
      <c r="W2123" s="10" t="n">
        <v>8557</v>
      </c>
      <c r="X2123" s="7" t="n">
        <v>96753</v>
      </c>
      <c r="Y2123" s="8" t="n">
        <v>-384</v>
      </c>
      <c r="Z2123" s="8" t="n">
        <v>-4270</v>
      </c>
      <c r="AA2123" s="9" t="n">
        <v>93370</v>
      </c>
      <c r="AB2123" s="10" t="n">
        <v>-6744</v>
      </c>
      <c r="AC2123" s="10" t="n">
        <v>-7004</v>
      </c>
      <c r="AD2123" s="7" t="n">
        <v>158605</v>
      </c>
      <c r="AE2123" s="8" t="n">
        <v>4586</v>
      </c>
      <c r="AF2123" s="8" t="n">
        <v>3742</v>
      </c>
      <c r="AG2123" s="9" t="n">
        <v>112789</v>
      </c>
      <c r="AH2123" s="10" t="n">
        <v>-877</v>
      </c>
      <c r="AI2123" s="10" t="n">
        <v>-1841</v>
      </c>
      <c r="AJ2123" s="11" t="n">
        <v>95559</v>
      </c>
      <c r="AK2123" s="12" t="n">
        <v>-1786</v>
      </c>
      <c r="AL2123" s="12" t="n">
        <v>2154</v>
      </c>
      <c r="AM2123" s="13" t="n">
        <v>-15.3</v>
      </c>
      <c r="AN2123" s="13" t="n">
        <v>-1.2</v>
      </c>
      <c r="AO2123" s="13" t="n">
        <v>-103.6</v>
      </c>
      <c r="AP2123" s="13" t="n">
        <v>-365.1</v>
      </c>
    </row>
    <row r="2124">
      <c r="A2124" s="5" t="inlineStr">
        <is>
          <t>에어부산</t>
        </is>
      </c>
      <c r="B2124" s="6" t="inlineStr">
        <is>
          <t>298690</t>
        </is>
      </c>
      <c r="C2124" s="6" t="inlineStr">
        <is>
          <t>별도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272242</v>
      </c>
      <c r="J2124" s="10" t="n">
        <v>70940</v>
      </c>
      <c r="K2124" s="15" t="n">
        <v>22733</v>
      </c>
      <c r="L2124" s="7" t="n">
        <v>235400</v>
      </c>
      <c r="M2124" s="8" t="n">
        <v>18075</v>
      </c>
      <c r="N2124" s="8" t="n">
        <v>-12792</v>
      </c>
      <c r="O2124" s="9" t="n">
        <v>250179</v>
      </c>
      <c r="P2124" s="10" t="n">
        <v>37494</v>
      </c>
      <c r="Q2124" s="10" t="n">
        <v>50942</v>
      </c>
      <c r="R2124" s="7" t="n">
        <v>248942</v>
      </c>
      <c r="S2124" s="8" t="n">
        <v>19771</v>
      </c>
      <c r="T2124" s="8" t="inlineStr"/>
      <c r="U2124" s="9" t="n">
        <v>249576</v>
      </c>
      <c r="V2124" s="10" t="n">
        <v>40154</v>
      </c>
      <c r="W2124" s="10" t="n">
        <v>32187</v>
      </c>
      <c r="X2124" s="7" t="n">
        <v>171362</v>
      </c>
      <c r="Y2124" s="8" t="n">
        <v>-11125</v>
      </c>
      <c r="Z2124" s="8" t="n">
        <v>27738</v>
      </c>
      <c r="AA2124" s="9" t="n">
        <v>176284</v>
      </c>
      <c r="AB2124" s="10" t="n">
        <v>-28523</v>
      </c>
      <c r="AC2124" s="10" t="n">
        <v>-50412</v>
      </c>
      <c r="AD2124" s="7" t="n">
        <v>235363</v>
      </c>
      <c r="AE2124" s="8" t="n">
        <v>-5027</v>
      </c>
      <c r="AF2124" s="8" t="n">
        <v>-31596</v>
      </c>
      <c r="AG2124" s="9" t="n">
        <v>257722</v>
      </c>
      <c r="AH2124" s="10" t="n">
        <v>30443</v>
      </c>
      <c r="AI2124" s="10" t="n">
        <v>-16124</v>
      </c>
      <c r="AJ2124" s="11" t="n">
        <v>235319</v>
      </c>
      <c r="AK2124" s="12" t="n">
        <v>-35515</v>
      </c>
      <c r="AL2124" s="12" t="n">
        <v>-61757</v>
      </c>
      <c r="AM2124" s="13" t="n">
        <v>-8.699999999999999</v>
      </c>
      <c r="AN2124" s="13" t="n">
        <v>37.3</v>
      </c>
      <c r="AO2124" s="13" t="n">
        <v>-216.7</v>
      </c>
      <c r="AP2124" s="13" t="n">
        <v>-219.2</v>
      </c>
    </row>
    <row r="2125">
      <c r="A2125" s="5" t="inlineStr">
        <is>
          <t>슈어소프트테크</t>
        </is>
      </c>
      <c r="B2125" s="6" t="inlineStr">
        <is>
          <t>298830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inlineStr"/>
      <c r="J2125" s="10" t="n">
        <v>-1859</v>
      </c>
      <c r="K2125" s="10" t="n">
        <v>-1733</v>
      </c>
      <c r="L2125" s="7" t="inlineStr"/>
      <c r="M2125" s="8" t="n">
        <v>-235</v>
      </c>
      <c r="N2125" s="8" t="n">
        <v>2447</v>
      </c>
      <c r="O2125" s="9" t="inlineStr"/>
      <c r="P2125" s="10" t="n">
        <v>2437</v>
      </c>
      <c r="Q2125" s="10" t="n">
        <v>1706</v>
      </c>
      <c r="R2125" s="7" t="inlineStr"/>
      <c r="S2125" s="8" t="n">
        <v>7548</v>
      </c>
      <c r="T2125" s="8" t="n">
        <v>7658</v>
      </c>
      <c r="U2125" s="9" t="inlineStr"/>
      <c r="V2125" s="10" t="n">
        <v>-2089</v>
      </c>
      <c r="W2125" s="10" t="n">
        <v>-2153</v>
      </c>
      <c r="X2125" s="7" t="inlineStr"/>
      <c r="Y2125" s="8" t="n">
        <v>188</v>
      </c>
      <c r="Z2125" s="8" t="n">
        <v>532</v>
      </c>
      <c r="AA2125" s="9" t="inlineStr"/>
      <c r="AB2125" s="10" t="n">
        <v>3599</v>
      </c>
      <c r="AC2125" s="10" t="n">
        <v>1469</v>
      </c>
      <c r="AD2125" s="7" t="inlineStr"/>
      <c r="AE2125" s="8" t="n">
        <v>10902</v>
      </c>
      <c r="AF2125" s="8" t="n">
        <v>9784</v>
      </c>
      <c r="AG2125" s="9" t="inlineStr"/>
      <c r="AH2125" s="10" t="n">
        <v>-415</v>
      </c>
      <c r="AI2125" s="10" t="n">
        <v>-651</v>
      </c>
      <c r="AJ2125" s="11" t="inlineStr"/>
      <c r="AK2125" s="12" t="n">
        <v>2755</v>
      </c>
      <c r="AL2125" s="12" t="n">
        <v>2753</v>
      </c>
      <c r="AM2125" s="13" t="inlineStr"/>
      <c r="AN2125" s="13" t="inlineStr"/>
      <c r="AO2125" s="13" t="n">
        <v>763.9</v>
      </c>
      <c r="AP2125" s="13" t="n">
        <v>1365.4</v>
      </c>
    </row>
    <row r="2126">
      <c r="A2126" s="5" t="inlineStr">
        <is>
          <t>하나기술</t>
        </is>
      </c>
      <c r="B2126" s="6" t="inlineStr">
        <is>
          <t>299030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32323</v>
      </c>
      <c r="J2126" s="10" t="n">
        <v>-5214</v>
      </c>
      <c r="K2126" s="10" t="n">
        <v>-2430</v>
      </c>
      <c r="L2126" s="7" t="n">
        <v>13174</v>
      </c>
      <c r="M2126" s="8" t="n">
        <v>-6141</v>
      </c>
      <c r="N2126" s="8" t="n">
        <v>1843</v>
      </c>
      <c r="O2126" s="9" t="n">
        <v>23107</v>
      </c>
      <c r="P2126" s="10" t="n">
        <v>-5644</v>
      </c>
      <c r="Q2126" s="10" t="n">
        <v>-10211</v>
      </c>
      <c r="R2126" s="7" t="n">
        <v>25615</v>
      </c>
      <c r="S2126" s="8" t="n">
        <v>-9398</v>
      </c>
      <c r="T2126" s="8" t="n">
        <v>-4713</v>
      </c>
      <c r="U2126" s="9" t="n">
        <v>14344</v>
      </c>
      <c r="V2126" s="10" t="n">
        <v>-1535</v>
      </c>
      <c r="W2126" s="10" t="n">
        <v>-1905</v>
      </c>
      <c r="X2126" s="7" t="n">
        <v>17236</v>
      </c>
      <c r="Y2126" s="8" t="n">
        <v>-3053</v>
      </c>
      <c r="Z2126" s="8" t="n">
        <v>-8486</v>
      </c>
      <c r="AA2126" s="9" t="n">
        <v>52459</v>
      </c>
      <c r="AB2126" s="10" t="n">
        <v>4271</v>
      </c>
      <c r="AC2126" s="10" t="n">
        <v>4277</v>
      </c>
      <c r="AD2126" s="7" t="n">
        <v>9794</v>
      </c>
      <c r="AE2126" s="8" t="n">
        <v>277</v>
      </c>
      <c r="AF2126" s="8" t="n">
        <v>309</v>
      </c>
      <c r="AG2126" s="9" t="n">
        <v>8261</v>
      </c>
      <c r="AH2126" s="10" t="n">
        <v>-3655</v>
      </c>
      <c r="AI2126" s="10" t="n">
        <v>-3733</v>
      </c>
      <c r="AJ2126" s="11" t="n">
        <v>5293</v>
      </c>
      <c r="AK2126" s="12" t="n">
        <v>-6370</v>
      </c>
      <c r="AL2126" s="12" t="n">
        <v>1226</v>
      </c>
      <c r="AM2126" s="13" t="n">
        <v>-35.9</v>
      </c>
      <c r="AN2126" s="13" t="n">
        <v>-69.3</v>
      </c>
      <c r="AO2126" s="13" t="n">
        <v>-74.3</v>
      </c>
      <c r="AP2126" s="13" t="n">
        <v>-108.6</v>
      </c>
    </row>
    <row r="2127">
      <c r="A2127" s="5" t="inlineStr">
        <is>
          <t>더블유에스아이</t>
        </is>
      </c>
      <c r="B2127" s="6" t="inlineStr">
        <is>
          <t>299170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7816</v>
      </c>
      <c r="J2127" s="10" t="n">
        <v>1010</v>
      </c>
      <c r="K2127" s="10" t="n">
        <v>439</v>
      </c>
      <c r="L2127" s="7" t="n">
        <v>8445</v>
      </c>
      <c r="M2127" s="8" t="n">
        <v>956</v>
      </c>
      <c r="N2127" s="8" t="n">
        <v>174</v>
      </c>
      <c r="O2127" s="9" t="n">
        <v>12857</v>
      </c>
      <c r="P2127" s="10" t="n">
        <v>697</v>
      </c>
      <c r="Q2127" s="10" t="n">
        <v>-444</v>
      </c>
      <c r="R2127" s="7" t="n">
        <v>11293</v>
      </c>
      <c r="S2127" s="8" t="n">
        <v>1187</v>
      </c>
      <c r="T2127" s="8" t="n">
        <v>1072</v>
      </c>
      <c r="U2127" s="9" t="n">
        <v>12824</v>
      </c>
      <c r="V2127" s="10" t="n">
        <v>1049</v>
      </c>
      <c r="W2127" s="10" t="n">
        <v>823</v>
      </c>
      <c r="X2127" s="7" t="n">
        <v>12984</v>
      </c>
      <c r="Y2127" s="8" t="n">
        <v>1113</v>
      </c>
      <c r="Z2127" s="8" t="n">
        <v>-2431</v>
      </c>
      <c r="AA2127" s="9" t="n">
        <v>13421</v>
      </c>
      <c r="AB2127" s="10" t="n">
        <v>1143</v>
      </c>
      <c r="AC2127" s="10" t="n">
        <v>992</v>
      </c>
      <c r="AD2127" s="7" t="n">
        <v>12477</v>
      </c>
      <c r="AE2127" s="8" t="n">
        <v>611</v>
      </c>
      <c r="AF2127" s="8" t="n">
        <v>-2878</v>
      </c>
      <c r="AG2127" s="9" t="n">
        <v>11946</v>
      </c>
      <c r="AH2127" s="10" t="n">
        <v>-172</v>
      </c>
      <c r="AI2127" s="10" t="n">
        <v>-59</v>
      </c>
      <c r="AJ2127" s="11" t="n">
        <v>12925</v>
      </c>
      <c r="AK2127" s="12" t="n">
        <v>1027</v>
      </c>
      <c r="AL2127" s="12" t="n">
        <v>818</v>
      </c>
      <c r="AM2127" s="13" t="n">
        <v>8.199999999999999</v>
      </c>
      <c r="AN2127" s="13" t="n">
        <v>-0.5</v>
      </c>
      <c r="AO2127" s="13" t="n">
        <v>697.1</v>
      </c>
      <c r="AP2127" s="13" t="n">
        <v>-7.7</v>
      </c>
    </row>
    <row r="2128">
      <c r="A2128" s="5" t="inlineStr">
        <is>
          <t>셀리드</t>
        </is>
      </c>
      <c r="B2128" s="6" t="inlineStr">
        <is>
          <t>299660</t>
        </is>
      </c>
      <c r="C2128" s="6" t="inlineStr">
        <is>
          <t>별도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315</v>
      </c>
      <c r="J2128" s="10" t="n">
        <v>-2420</v>
      </c>
      <c r="K2128" s="10" t="n">
        <v>-3291</v>
      </c>
      <c r="L2128" s="7" t="n">
        <v>599</v>
      </c>
      <c r="M2128" s="8" t="n">
        <v>-3241</v>
      </c>
      <c r="N2128" s="8" t="n">
        <v>-2613</v>
      </c>
      <c r="O2128" s="9" t="n">
        <v>1369</v>
      </c>
      <c r="P2128" s="10" t="n">
        <v>-2714</v>
      </c>
      <c r="Q2128" s="10" t="n">
        <v>-2770</v>
      </c>
      <c r="R2128" s="7" t="n">
        <v>1882</v>
      </c>
      <c r="S2128" s="8" t="n">
        <v>-3605</v>
      </c>
      <c r="T2128" s="8" t="n">
        <v>-3585</v>
      </c>
      <c r="U2128" s="9" t="n">
        <v>1573</v>
      </c>
      <c r="V2128" s="10" t="n">
        <v>-2705</v>
      </c>
      <c r="W2128" s="10" t="n">
        <v>-2681</v>
      </c>
      <c r="X2128" s="7" t="n">
        <v>2129</v>
      </c>
      <c r="Y2128" s="8" t="n">
        <v>-2410</v>
      </c>
      <c r="Z2128" s="8" t="n">
        <v>-2510</v>
      </c>
      <c r="AA2128" s="9" t="n">
        <v>2333</v>
      </c>
      <c r="AB2128" s="10" t="n">
        <v>-2548</v>
      </c>
      <c r="AC2128" s="10" t="n">
        <v>-2374</v>
      </c>
      <c r="AD2128" s="7" t="n">
        <v>2807</v>
      </c>
      <c r="AE2128" s="8" t="n">
        <v>-3680</v>
      </c>
      <c r="AF2128" s="8" t="n">
        <v>-4504</v>
      </c>
      <c r="AG2128" s="9" t="n">
        <v>3215</v>
      </c>
      <c r="AH2128" s="10" t="n">
        <v>-1618</v>
      </c>
      <c r="AI2128" s="10" t="n">
        <v>-1483</v>
      </c>
      <c r="AJ2128" s="11" t="n">
        <v>2066</v>
      </c>
      <c r="AK2128" s="12" t="n">
        <v>-2502</v>
      </c>
      <c r="AL2128" s="12" t="n">
        <v>-19024</v>
      </c>
      <c r="AM2128" s="13" t="n">
        <v>-35.7</v>
      </c>
      <c r="AN2128" s="13" t="n">
        <v>-3</v>
      </c>
      <c r="AO2128" s="13" t="n">
        <v>-54.6</v>
      </c>
      <c r="AP2128" s="13" t="n">
        <v>-3.8</v>
      </c>
    </row>
    <row r="2129">
      <c r="A2129" s="5" t="inlineStr">
        <is>
          <t>위지윅스튜디오</t>
        </is>
      </c>
      <c r="B2129" s="6" t="inlineStr">
        <is>
          <t>299900</t>
        </is>
      </c>
      <c r="C2129" s="6" t="inlineStr">
        <is>
          <t>연결</t>
        </is>
      </c>
      <c r="D2129" s="6" t="inlineStr">
        <is>
          <t>2026Q1</t>
        </is>
      </c>
      <c r="E2129" s="6" t="inlineStr"/>
      <c r="F2129" s="7" t="inlineStr"/>
      <c r="G2129" s="8" t="inlineStr"/>
      <c r="H2129" s="8" t="inlineStr"/>
      <c r="I2129" s="9" t="n">
        <v>17040</v>
      </c>
      <c r="J2129" s="10" t="n">
        <v>-3660</v>
      </c>
      <c r="K2129" s="10" t="n">
        <v>-8900</v>
      </c>
      <c r="L2129" s="7" t="n">
        <v>6855</v>
      </c>
      <c r="M2129" s="8" t="n">
        <v>-4832</v>
      </c>
      <c r="N2129" s="8" t="n">
        <v>-7590</v>
      </c>
      <c r="O2129" s="9" t="n">
        <v>25317</v>
      </c>
      <c r="P2129" s="10" t="n">
        <v>-1604</v>
      </c>
      <c r="Q2129" s="10" t="n">
        <v>1316</v>
      </c>
      <c r="R2129" s="7" t="n">
        <v>31221</v>
      </c>
      <c r="S2129" s="8" t="n">
        <v>-1720</v>
      </c>
      <c r="T2129" s="8" t="n">
        <v>-45125</v>
      </c>
      <c r="U2129" s="9" t="n">
        <v>20792</v>
      </c>
      <c r="V2129" s="10" t="n">
        <v>-3454</v>
      </c>
      <c r="W2129" s="10" t="n">
        <v>-6542</v>
      </c>
      <c r="X2129" s="7" t="n">
        <v>24507</v>
      </c>
      <c r="Y2129" s="8" t="n">
        <v>-3298</v>
      </c>
      <c r="Z2129" s="8" t="n">
        <v>-6601</v>
      </c>
      <c r="AA2129" s="9" t="n">
        <v>29615</v>
      </c>
      <c r="AB2129" s="10" t="n">
        <v>-1674</v>
      </c>
      <c r="AC2129" s="10" t="n">
        <v>-3612</v>
      </c>
      <c r="AD2129" s="7" t="n">
        <v>27081</v>
      </c>
      <c r="AE2129" s="8" t="n">
        <v>-1131</v>
      </c>
      <c r="AF2129" s="8" t="n">
        <v>-25027</v>
      </c>
      <c r="AG2129" s="9" t="n">
        <v>13691</v>
      </c>
      <c r="AH2129" s="10" t="n">
        <v>-1826</v>
      </c>
      <c r="AI2129" s="10" t="n">
        <v>5937</v>
      </c>
      <c r="AJ2129" s="11" t="inlineStr"/>
      <c r="AK2129" s="12" t="inlineStr"/>
      <c r="AL2129" s="12" t="inlineStr"/>
      <c r="AM2129" s="13" t="inlineStr"/>
      <c r="AN2129" s="13" t="inlineStr"/>
      <c r="AO2129" s="13" t="inlineStr"/>
      <c r="AP2129" s="13" t="inlineStr"/>
    </row>
    <row r="2130">
      <c r="A2130" s="5" t="inlineStr">
        <is>
          <t>플리토</t>
        </is>
      </c>
      <c r="B2130" s="6" t="inlineStr">
        <is>
          <t>300080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4171</v>
      </c>
      <c r="J2130" s="10" t="n">
        <v>-444</v>
      </c>
      <c r="K2130" s="10" t="n">
        <v>222</v>
      </c>
      <c r="L2130" s="7" t="n">
        <v>3661</v>
      </c>
      <c r="M2130" s="8" t="n">
        <v>-1414</v>
      </c>
      <c r="N2130" s="8" t="n">
        <v>-1077</v>
      </c>
      <c r="O2130" s="9" t="n">
        <v>6888</v>
      </c>
      <c r="P2130" s="10" t="n">
        <v>1225</v>
      </c>
      <c r="Q2130" s="10" t="n">
        <v>1192</v>
      </c>
      <c r="R2130" s="7" t="n">
        <v>5581</v>
      </c>
      <c r="S2130" s="8" t="n">
        <v>237</v>
      </c>
      <c r="T2130" s="8" t="n">
        <v>472</v>
      </c>
      <c r="U2130" s="9" t="n">
        <v>4609</v>
      </c>
      <c r="V2130" s="10" t="n">
        <v>174</v>
      </c>
      <c r="W2130" s="10" t="n">
        <v>212</v>
      </c>
      <c r="X2130" s="7" t="n">
        <v>9378</v>
      </c>
      <c r="Y2130" s="8" t="n">
        <v>2430</v>
      </c>
      <c r="Z2130" s="8" t="n">
        <v>2326</v>
      </c>
      <c r="AA2130" s="9" t="n">
        <v>11781</v>
      </c>
      <c r="AB2130" s="10" t="n">
        <v>2830</v>
      </c>
      <c r="AC2130" s="10" t="n">
        <v>3012</v>
      </c>
      <c r="AD2130" s="7" t="n">
        <v>10212</v>
      </c>
      <c r="AE2130" s="8" t="n">
        <v>720</v>
      </c>
      <c r="AF2130" s="8" t="n">
        <v>898</v>
      </c>
      <c r="AG2130" s="9" t="n">
        <v>5214</v>
      </c>
      <c r="AH2130" s="10" t="n">
        <v>-64</v>
      </c>
      <c r="AI2130" s="10" t="n">
        <v>167</v>
      </c>
      <c r="AJ2130" s="11" t="n">
        <v>8106</v>
      </c>
      <c r="AK2130" s="12" t="n">
        <v>1398</v>
      </c>
      <c r="AL2130" s="12" t="n">
        <v>1556</v>
      </c>
      <c r="AM2130" s="13" t="n">
        <v>55.5</v>
      </c>
      <c r="AN2130" s="13" t="n">
        <v>-13.6</v>
      </c>
      <c r="AO2130" s="13" t="n">
        <v>2284.4</v>
      </c>
      <c r="AP2130" s="13" t="n">
        <v>-42.5</v>
      </c>
    </row>
    <row r="2131">
      <c r="A2131" s="5" t="inlineStr">
        <is>
          <t>라온피플</t>
        </is>
      </c>
      <c r="B2131" s="6" t="inlineStr">
        <is>
          <t>300120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34030</v>
      </c>
      <c r="J2131" s="10" t="n">
        <v>-4888</v>
      </c>
      <c r="K2131" s="10" t="n">
        <v>-4416</v>
      </c>
      <c r="L2131" s="7" t="n">
        <v>63953</v>
      </c>
      <c r="M2131" s="8" t="n">
        <v>-3235</v>
      </c>
      <c r="N2131" s="8" t="n">
        <v>-1309</v>
      </c>
      <c r="O2131" s="9" t="n">
        <v>27980</v>
      </c>
      <c r="P2131" s="10" t="n">
        <v>-7089</v>
      </c>
      <c r="Q2131" s="10" t="n">
        <v>-7664</v>
      </c>
      <c r="R2131" s="7" t="n">
        <v>94263</v>
      </c>
      <c r="S2131" s="8" t="n">
        <v>-1037</v>
      </c>
      <c r="T2131" s="8" t="n">
        <v>-547</v>
      </c>
      <c r="U2131" s="9" t="n">
        <v>44927</v>
      </c>
      <c r="V2131" s="10" t="n">
        <v>-7832</v>
      </c>
      <c r="W2131" s="10" t="n">
        <v>-8603</v>
      </c>
      <c r="X2131" s="7" t="n">
        <v>63996</v>
      </c>
      <c r="Y2131" s="8" t="n">
        <v>-4548</v>
      </c>
      <c r="Z2131" s="8" t="n">
        <v>-7188</v>
      </c>
      <c r="AA2131" s="9" t="n">
        <v>19893</v>
      </c>
      <c r="AB2131" s="10" t="n">
        <v>-6223</v>
      </c>
      <c r="AC2131" s="10" t="n">
        <v>-7231</v>
      </c>
      <c r="AD2131" s="7" t="n">
        <v>94992</v>
      </c>
      <c r="AE2131" s="8" t="n">
        <v>2411</v>
      </c>
      <c r="AF2131" s="8" t="n">
        <v>2586</v>
      </c>
      <c r="AG2131" s="9" t="n">
        <v>39877</v>
      </c>
      <c r="AH2131" s="10" t="n">
        <v>-2693</v>
      </c>
      <c r="AI2131" s="10" t="n">
        <v>-3496</v>
      </c>
      <c r="AJ2131" s="11" t="n">
        <v>64079</v>
      </c>
      <c r="AK2131" s="12" t="n">
        <v>-495</v>
      </c>
      <c r="AL2131" s="12" t="n">
        <v>140</v>
      </c>
      <c r="AM2131" s="13" t="n">
        <v>60.7</v>
      </c>
      <c r="AN2131" s="13" t="n">
        <v>0.1</v>
      </c>
      <c r="AO2131" s="13" t="n">
        <v>81.59999999999999</v>
      </c>
      <c r="AP2131" s="13" t="n">
        <v>89.09999999999999</v>
      </c>
    </row>
    <row r="2132">
      <c r="A2132" s="5" t="inlineStr">
        <is>
          <t>한일시멘트</t>
        </is>
      </c>
      <c r="B2132" s="6" t="inlineStr">
        <is>
          <t>300720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411647</v>
      </c>
      <c r="J2132" s="10" t="n">
        <v>55567</v>
      </c>
      <c r="K2132" s="10" t="n">
        <v>55231</v>
      </c>
      <c r="L2132" s="7" t="n">
        <v>498127</v>
      </c>
      <c r="M2132" s="8" t="n">
        <v>106996</v>
      </c>
      <c r="N2132" s="8" t="n">
        <v>73854</v>
      </c>
      <c r="O2132" s="9" t="n">
        <v>389404</v>
      </c>
      <c r="P2132" s="10" t="n">
        <v>73262</v>
      </c>
      <c r="Q2132" s="10" t="n">
        <v>54153</v>
      </c>
      <c r="R2132" s="7" t="n">
        <v>442493</v>
      </c>
      <c r="S2132" s="8" t="n">
        <v>35565</v>
      </c>
      <c r="T2132" s="8" t="n">
        <v>15778</v>
      </c>
      <c r="U2132" s="9" t="n">
        <v>298176</v>
      </c>
      <c r="V2132" s="10" t="n">
        <v>16959</v>
      </c>
      <c r="W2132" s="10" t="n">
        <v>10581</v>
      </c>
      <c r="X2132" s="7" t="n">
        <v>407648</v>
      </c>
      <c r="Y2132" s="8" t="n">
        <v>47496</v>
      </c>
      <c r="Z2132" s="8" t="n">
        <v>24007</v>
      </c>
      <c r="AA2132" s="9" t="n">
        <v>357793</v>
      </c>
      <c r="AB2132" s="10" t="n">
        <v>50690</v>
      </c>
      <c r="AC2132" s="10" t="n">
        <v>36355</v>
      </c>
      <c r="AD2132" s="7" t="n">
        <v>360243</v>
      </c>
      <c r="AE2132" s="8" t="n">
        <v>17594</v>
      </c>
      <c r="AF2132" s="8" t="n">
        <v>10199</v>
      </c>
      <c r="AG2132" s="9" t="n">
        <v>293028</v>
      </c>
      <c r="AH2132" s="10" t="n">
        <v>17028</v>
      </c>
      <c r="AI2132" s="10" t="n">
        <v>9394</v>
      </c>
      <c r="AJ2132" s="11" t="n">
        <v>370951</v>
      </c>
      <c r="AK2132" s="12" t="n">
        <v>61562</v>
      </c>
      <c r="AL2132" s="12" t="n">
        <v>48364</v>
      </c>
      <c r="AM2132" s="13" t="n">
        <v>26.6</v>
      </c>
      <c r="AN2132" s="13" t="n">
        <v>-9</v>
      </c>
      <c r="AO2132" s="13" t="n">
        <v>261.5</v>
      </c>
      <c r="AP2132" s="13" t="n">
        <v>29.6</v>
      </c>
    </row>
    <row r="2133">
      <c r="A2133" s="5" t="inlineStr">
        <is>
          <t>바이브컴퍼니</t>
        </is>
      </c>
      <c r="B2133" s="6" t="inlineStr">
        <is>
          <t>301300</t>
        </is>
      </c>
      <c r="C2133" s="6" t="inlineStr">
        <is>
          <t>별도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5511</v>
      </c>
      <c r="J2133" s="10" t="n">
        <v>-2849</v>
      </c>
      <c r="K2133" s="10" t="n">
        <v>-3734</v>
      </c>
      <c r="L2133" s="7" t="n">
        <v>6246</v>
      </c>
      <c r="M2133" s="8" t="n">
        <v>-2223</v>
      </c>
      <c r="N2133" s="8" t="n">
        <v>-4322</v>
      </c>
      <c r="O2133" s="9" t="n">
        <v>5730</v>
      </c>
      <c r="P2133" s="10" t="n">
        <v>-1943</v>
      </c>
      <c r="Q2133" s="10" t="n">
        <v>-3670</v>
      </c>
      <c r="R2133" s="7" t="n">
        <v>8854</v>
      </c>
      <c r="S2133" s="8" t="n">
        <v>1023</v>
      </c>
      <c r="T2133" s="8" t="n">
        <v>2396</v>
      </c>
      <c r="U2133" s="9" t="n">
        <v>3481</v>
      </c>
      <c r="V2133" s="10" t="n">
        <v>-2480</v>
      </c>
      <c r="W2133" s="10" t="n">
        <v>-4166</v>
      </c>
      <c r="X2133" s="7" t="n">
        <v>3804</v>
      </c>
      <c r="Y2133" s="8" t="n">
        <v>-1169</v>
      </c>
      <c r="Z2133" s="8" t="n">
        <v>2788</v>
      </c>
      <c r="AA2133" s="9" t="n">
        <v>5263</v>
      </c>
      <c r="AB2133" s="10" t="n">
        <v>-766</v>
      </c>
      <c r="AC2133" s="10" t="n">
        <v>-1729</v>
      </c>
      <c r="AD2133" s="7" t="n">
        <v>6461</v>
      </c>
      <c r="AE2133" s="8" t="n">
        <v>660</v>
      </c>
      <c r="AF2133" s="8" t="n">
        <v>-15321</v>
      </c>
      <c r="AG2133" s="9" t="n">
        <v>3132</v>
      </c>
      <c r="AH2133" s="10" t="n">
        <v>-675</v>
      </c>
      <c r="AI2133" s="10" t="n">
        <v>-3028</v>
      </c>
      <c r="AJ2133" s="11" t="n">
        <v>2715</v>
      </c>
      <c r="AK2133" s="12" t="n">
        <v>-839</v>
      </c>
      <c r="AL2133" s="12" t="n">
        <v>-1317</v>
      </c>
      <c r="AM2133" s="13" t="n">
        <v>-13.3</v>
      </c>
      <c r="AN2133" s="13" t="n">
        <v>-28.6</v>
      </c>
      <c r="AO2133" s="13" t="n">
        <v>-24.3</v>
      </c>
      <c r="AP2133" s="13" t="n">
        <v>28.2</v>
      </c>
    </row>
    <row r="2134">
      <c r="A2134" s="5" t="inlineStr">
        <is>
          <t>이노메트리</t>
        </is>
      </c>
      <c r="B2134" s="6" t="inlineStr">
        <is>
          <t>302430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14254</v>
      </c>
      <c r="J2134" s="10" t="n">
        <v>813</v>
      </c>
      <c r="K2134" s="10" t="n">
        <v>2116</v>
      </c>
      <c r="L2134" s="7" t="n">
        <v>16347</v>
      </c>
      <c r="M2134" s="8" t="n">
        <v>1536</v>
      </c>
      <c r="N2134" s="8" t="n">
        <v>2668</v>
      </c>
      <c r="O2134" s="9" t="n">
        <v>13300</v>
      </c>
      <c r="P2134" s="10" t="n">
        <v>917</v>
      </c>
      <c r="Q2134" s="10" t="n">
        <v>505</v>
      </c>
      <c r="R2134" s="7" t="n">
        <v>9095</v>
      </c>
      <c r="S2134" s="8" t="n">
        <v>-10494</v>
      </c>
      <c r="T2134" s="8" t="n">
        <v>-6756</v>
      </c>
      <c r="U2134" s="9" t="n">
        <v>8669</v>
      </c>
      <c r="V2134" s="10" t="n">
        <v>-2189</v>
      </c>
      <c r="W2134" s="10" t="n">
        <v>-1902</v>
      </c>
      <c r="X2134" s="7" t="n">
        <v>10616</v>
      </c>
      <c r="Y2134" s="8" t="n">
        <v>989</v>
      </c>
      <c r="Z2134" s="8" t="n">
        <v>559</v>
      </c>
      <c r="AA2134" s="9" t="n">
        <v>9541</v>
      </c>
      <c r="AB2134" s="10" t="n">
        <v>-273</v>
      </c>
      <c r="AC2134" s="10" t="n">
        <v>540</v>
      </c>
      <c r="AD2134" s="7" t="n">
        <v>9742</v>
      </c>
      <c r="AE2134" s="8" t="n">
        <v>-4230</v>
      </c>
      <c r="AF2134" s="8" t="n">
        <v>-3493</v>
      </c>
      <c r="AG2134" s="9" t="n">
        <v>17523</v>
      </c>
      <c r="AH2134" s="10" t="n">
        <v>246</v>
      </c>
      <c r="AI2134" s="10" t="n">
        <v>1314</v>
      </c>
      <c r="AJ2134" s="11" t="n">
        <v>14631</v>
      </c>
      <c r="AK2134" s="12" t="n">
        <v>-2155</v>
      </c>
      <c r="AL2134" s="12" t="n">
        <v>-2225</v>
      </c>
      <c r="AM2134" s="13" t="n">
        <v>-16.5</v>
      </c>
      <c r="AN2134" s="13" t="n">
        <v>37.8</v>
      </c>
      <c r="AO2134" s="13" t="n">
        <v>-976</v>
      </c>
      <c r="AP2134" s="13" t="n">
        <v>-317.9</v>
      </c>
    </row>
    <row r="2135">
      <c r="A2135" s="5" t="inlineStr">
        <is>
          <t>SK바이오사이언스</t>
        </is>
      </c>
      <c r="B2135" s="6" t="inlineStr">
        <is>
          <t>302440</t>
        </is>
      </c>
      <c r="C2135" s="6" t="inlineStr">
        <is>
          <t>연결</t>
        </is>
      </c>
      <c r="D2135" s="6" t="inlineStr">
        <is>
          <t>2026Q2</t>
        </is>
      </c>
      <c r="E2135" s="6" t="inlineStr">
        <is>
          <t>2023Q4</t>
        </is>
      </c>
      <c r="F2135" s="14" t="n">
        <v>90604</v>
      </c>
      <c r="G2135" s="15" t="n">
        <v>-8427</v>
      </c>
      <c r="H2135" s="15" t="n">
        <v>4170</v>
      </c>
      <c r="I2135" s="9" t="n">
        <v>22271</v>
      </c>
      <c r="J2135" s="10" t="n">
        <v>-28102</v>
      </c>
      <c r="K2135" s="10" t="n">
        <v>-13718</v>
      </c>
      <c r="L2135" s="7" t="n">
        <v>26777</v>
      </c>
      <c r="M2135" s="8" t="n">
        <v>-19940</v>
      </c>
      <c r="N2135" s="8" t="n">
        <v>-11409</v>
      </c>
      <c r="O2135" s="9" t="n">
        <v>61648</v>
      </c>
      <c r="P2135" s="10" t="n">
        <v>-39614</v>
      </c>
      <c r="Q2135" s="10" t="n">
        <v>-22317</v>
      </c>
      <c r="R2135" s="7" t="n">
        <v>156849</v>
      </c>
      <c r="S2135" s="8" t="n">
        <v>-50775</v>
      </c>
      <c r="T2135" s="8" t="n">
        <v>-2673</v>
      </c>
      <c r="U2135" s="9" t="n">
        <v>154558</v>
      </c>
      <c r="V2135" s="10" t="n">
        <v>-15126</v>
      </c>
      <c r="W2135" s="10" t="n">
        <v>-4071</v>
      </c>
      <c r="X2135" s="7" t="n">
        <v>161860</v>
      </c>
      <c r="Y2135" s="8" t="n">
        <v>-37395</v>
      </c>
      <c r="Z2135" s="8" t="n">
        <v>-16779</v>
      </c>
      <c r="AA2135" s="9" t="n">
        <v>150765</v>
      </c>
      <c r="AB2135" s="10" t="n">
        <v>-19371</v>
      </c>
      <c r="AC2135" s="10" t="n">
        <v>21083</v>
      </c>
      <c r="AD2135" s="7" t="n">
        <v>184185</v>
      </c>
      <c r="AE2135" s="8" t="n">
        <v>-51610</v>
      </c>
      <c r="AF2135" s="8" t="n">
        <v>-56406</v>
      </c>
      <c r="AG2135" s="9" t="n">
        <v>168611</v>
      </c>
      <c r="AH2135" s="10" t="n">
        <v>-44535</v>
      </c>
      <c r="AI2135" s="10" t="n">
        <v>-36164</v>
      </c>
      <c r="AJ2135" s="11" t="n">
        <v>155705</v>
      </c>
      <c r="AK2135" s="12" t="n">
        <v>-15738</v>
      </c>
      <c r="AL2135" s="12" t="n">
        <v>-14086</v>
      </c>
      <c r="AM2135" s="13" t="n">
        <v>-7.7</v>
      </c>
      <c r="AN2135" s="13" t="n">
        <v>-3.8</v>
      </c>
      <c r="AO2135" s="13" t="n">
        <v>64.7</v>
      </c>
      <c r="AP2135" s="13" t="n">
        <v>57.9</v>
      </c>
    </row>
    <row r="2136">
      <c r="A2136" s="5" t="inlineStr">
        <is>
          <t>리메드</t>
        </is>
      </c>
      <c r="B2136" s="6" t="inlineStr">
        <is>
          <t>302550</t>
        </is>
      </c>
      <c r="C2136" s="6" t="inlineStr">
        <is>
          <t>연결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5316</v>
      </c>
      <c r="J2136" s="10" t="n">
        <v>-185</v>
      </c>
      <c r="K2136" s="10" t="n">
        <v>-149</v>
      </c>
      <c r="L2136" s="7" t="n">
        <v>7757</v>
      </c>
      <c r="M2136" s="8" t="n">
        <v>1432</v>
      </c>
      <c r="N2136" s="8" t="n">
        <v>972</v>
      </c>
      <c r="O2136" s="9" t="n">
        <v>6034</v>
      </c>
      <c r="P2136" s="10" t="n">
        <v>124</v>
      </c>
      <c r="Q2136" s="10" t="n">
        <v>3444</v>
      </c>
      <c r="R2136" s="7" t="n">
        <v>6447</v>
      </c>
      <c r="S2136" s="8" t="n">
        <v>-250</v>
      </c>
      <c r="T2136" s="8" t="n">
        <v>3114</v>
      </c>
      <c r="U2136" s="9" t="n">
        <v>6443</v>
      </c>
      <c r="V2136" s="10" t="n">
        <v>377</v>
      </c>
      <c r="W2136" s="10" t="n">
        <v>218</v>
      </c>
      <c r="X2136" s="7" t="n">
        <v>5554</v>
      </c>
      <c r="Y2136" s="8" t="n">
        <v>25</v>
      </c>
      <c r="Z2136" s="8" t="n">
        <v>-217</v>
      </c>
      <c r="AA2136" s="9" t="n">
        <v>5812</v>
      </c>
      <c r="AB2136" s="10" t="n">
        <v>272</v>
      </c>
      <c r="AC2136" s="10" t="n">
        <v>168</v>
      </c>
      <c r="AD2136" s="7" t="n">
        <v>6696</v>
      </c>
      <c r="AE2136" s="8" t="n">
        <v>52</v>
      </c>
      <c r="AF2136" s="8" t="n">
        <v>-204</v>
      </c>
      <c r="AG2136" s="9" t="n">
        <v>7176</v>
      </c>
      <c r="AH2136" s="10" t="n">
        <v>684</v>
      </c>
      <c r="AI2136" s="10" t="n">
        <v>1018</v>
      </c>
      <c r="AJ2136" s="11" t="n">
        <v>7369</v>
      </c>
      <c r="AK2136" s="12" t="n">
        <v>945</v>
      </c>
      <c r="AL2136" s="12" t="n">
        <v>272</v>
      </c>
      <c r="AM2136" s="13" t="n">
        <v>2.7</v>
      </c>
      <c r="AN2136" s="13" t="n">
        <v>32.7</v>
      </c>
      <c r="AO2136" s="13" t="n">
        <v>38.2</v>
      </c>
      <c r="AP2136" s="13" t="n">
        <v>3680</v>
      </c>
    </row>
    <row r="2137">
      <c r="A2137" s="5" t="inlineStr">
        <is>
          <t>지니틱스</t>
        </is>
      </c>
      <c r="B2137" s="6" t="inlineStr">
        <is>
          <t>303030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15952</v>
      </c>
      <c r="J2137" s="10" t="n">
        <v>-399</v>
      </c>
      <c r="K2137" s="10" t="n">
        <v>-238</v>
      </c>
      <c r="L2137" s="7" t="n">
        <v>13831</v>
      </c>
      <c r="M2137" s="8" t="n">
        <v>776</v>
      </c>
      <c r="N2137" s="8" t="n">
        <v>884</v>
      </c>
      <c r="O2137" s="9" t="n">
        <v>12677</v>
      </c>
      <c r="P2137" s="10" t="n">
        <v>175</v>
      </c>
      <c r="Q2137" s="10" t="n">
        <v>2</v>
      </c>
      <c r="R2137" s="7" t="n">
        <v>11616</v>
      </c>
      <c r="S2137" s="8" t="n">
        <v>-270</v>
      </c>
      <c r="T2137" s="8" t="n">
        <v>5</v>
      </c>
      <c r="U2137" s="9" t="n">
        <v>9615</v>
      </c>
      <c r="V2137" s="10" t="n">
        <v>-256</v>
      </c>
      <c r="W2137" s="10" t="n">
        <v>-143</v>
      </c>
      <c r="X2137" s="7" t="n">
        <v>9541</v>
      </c>
      <c r="Y2137" s="8" t="n">
        <v>-2206</v>
      </c>
      <c r="Z2137" s="8" t="n">
        <v>-2592</v>
      </c>
      <c r="AA2137" s="9" t="n">
        <v>9584</v>
      </c>
      <c r="AB2137" s="10" t="n">
        <v>-1899</v>
      </c>
      <c r="AC2137" s="10" t="n">
        <v>-1759</v>
      </c>
      <c r="AD2137" s="7" t="n">
        <v>7640</v>
      </c>
      <c r="AE2137" s="8" t="n">
        <v>-4192</v>
      </c>
      <c r="AF2137" s="8" t="n">
        <v>-5084</v>
      </c>
      <c r="AG2137" s="9" t="n">
        <v>8506</v>
      </c>
      <c r="AH2137" s="10" t="n">
        <v>-862</v>
      </c>
      <c r="AI2137" s="10" t="n">
        <v>-743</v>
      </c>
      <c r="AJ2137" s="11" t="n">
        <v>9113</v>
      </c>
      <c r="AK2137" s="12" t="n">
        <v>-1009</v>
      </c>
      <c r="AL2137" s="12" t="n">
        <v>-1116</v>
      </c>
      <c r="AM2137" s="13" t="n">
        <v>7.1</v>
      </c>
      <c r="AN2137" s="13" t="n">
        <v>-4.5</v>
      </c>
      <c r="AO2137" s="13" t="n">
        <v>-17.1</v>
      </c>
      <c r="AP2137" s="13" t="n">
        <v>54.3</v>
      </c>
    </row>
    <row r="2138">
      <c r="A2138" s="5" t="inlineStr">
        <is>
          <t>프로티아</t>
        </is>
      </c>
      <c r="B2138" s="6" t="inlineStr">
        <is>
          <t>303360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2166</v>
      </c>
      <c r="J2138" s="10" t="n">
        <v>-164</v>
      </c>
      <c r="K2138" s="10" t="n">
        <v>95</v>
      </c>
      <c r="L2138" s="7" t="n">
        <v>2456</v>
      </c>
      <c r="M2138" s="8" t="n">
        <v>574</v>
      </c>
      <c r="N2138" s="8" t="n">
        <v>988</v>
      </c>
      <c r="O2138" s="9" t="n">
        <v>2945</v>
      </c>
      <c r="P2138" s="10" t="n">
        <v>540</v>
      </c>
      <c r="Q2138" s="10" t="n">
        <v>351</v>
      </c>
      <c r="R2138" s="7" t="n">
        <v>2948</v>
      </c>
      <c r="S2138" s="8" t="n">
        <v>552</v>
      </c>
      <c r="T2138" s="8" t="n">
        <v>1008</v>
      </c>
      <c r="U2138" s="9" t="n">
        <v>2696</v>
      </c>
      <c r="V2138" s="10" t="n">
        <v>412</v>
      </c>
      <c r="W2138" s="10" t="n">
        <v>714</v>
      </c>
      <c r="X2138" s="7" t="n">
        <v>3845</v>
      </c>
      <c r="Y2138" s="8" t="n">
        <v>1044</v>
      </c>
      <c r="Z2138" s="8" t="n">
        <v>787</v>
      </c>
      <c r="AA2138" s="9" t="n">
        <v>4034</v>
      </c>
      <c r="AB2138" s="10" t="n">
        <v>1175</v>
      </c>
      <c r="AC2138" s="10" t="n">
        <v>1289</v>
      </c>
      <c r="AD2138" s="7" t="n">
        <v>4545</v>
      </c>
      <c r="AE2138" s="8" t="n">
        <v>1090</v>
      </c>
      <c r="AF2138" s="8" t="n">
        <v>1681</v>
      </c>
      <c r="AG2138" s="9" t="n">
        <v>3822</v>
      </c>
      <c r="AH2138" s="10" t="n">
        <v>760</v>
      </c>
      <c r="AI2138" s="10" t="n">
        <v>978</v>
      </c>
      <c r="AJ2138" s="11" t="n">
        <v>5347</v>
      </c>
      <c r="AK2138" s="12" t="n">
        <v>1637</v>
      </c>
      <c r="AL2138" s="12" t="n">
        <v>1551</v>
      </c>
      <c r="AM2138" s="13" t="n">
        <v>39.9</v>
      </c>
      <c r="AN2138" s="13" t="n">
        <v>39.1</v>
      </c>
      <c r="AO2138" s="13" t="n">
        <v>115.4</v>
      </c>
      <c r="AP2138" s="13" t="n">
        <v>56.8</v>
      </c>
    </row>
    <row r="2139">
      <c r="A2139" s="5" t="inlineStr">
        <is>
          <t>이노뎁</t>
        </is>
      </c>
      <c r="B2139" s="6" t="inlineStr">
        <is>
          <t>303530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10174</v>
      </c>
      <c r="J2139" s="10" t="n">
        <v>-6066</v>
      </c>
      <c r="K2139" s="10" t="n">
        <v>-5981</v>
      </c>
      <c r="L2139" s="7" t="n">
        <v>25990</v>
      </c>
      <c r="M2139" s="8" t="n">
        <v>657</v>
      </c>
      <c r="N2139" s="8" t="n">
        <v>698</v>
      </c>
      <c r="O2139" s="9" t="n">
        <v>14061</v>
      </c>
      <c r="P2139" s="10" t="n">
        <v>-2329</v>
      </c>
      <c r="Q2139" s="10" t="n">
        <v>-2177</v>
      </c>
      <c r="R2139" s="7" t="n">
        <v>36551</v>
      </c>
      <c r="S2139" s="8" t="n">
        <v>5804</v>
      </c>
      <c r="T2139" s="8" t="n">
        <v>5917</v>
      </c>
      <c r="U2139" s="9" t="n">
        <v>9392</v>
      </c>
      <c r="V2139" s="10" t="n">
        <v>-3635</v>
      </c>
      <c r="W2139" s="10" t="n">
        <v>-3557</v>
      </c>
      <c r="X2139" s="7" t="n">
        <v>19650</v>
      </c>
      <c r="Y2139" s="8" t="n">
        <v>359</v>
      </c>
      <c r="Z2139" s="8" t="n">
        <v>361</v>
      </c>
      <c r="AA2139" s="9" t="n">
        <v>13534</v>
      </c>
      <c r="AB2139" s="10" t="n">
        <v>-2156</v>
      </c>
      <c r="AC2139" s="10" t="n">
        <v>-2119</v>
      </c>
      <c r="AD2139" s="7" t="n">
        <v>28168</v>
      </c>
      <c r="AE2139" s="8" t="n">
        <v>2535</v>
      </c>
      <c r="AF2139" s="8" t="n">
        <v>2298</v>
      </c>
      <c r="AG2139" s="9" t="n">
        <v>8521</v>
      </c>
      <c r="AH2139" s="10" t="n">
        <v>-3649</v>
      </c>
      <c r="AI2139" s="10" t="n">
        <v>-3059</v>
      </c>
      <c r="AJ2139" s="11" t="n">
        <v>19185</v>
      </c>
      <c r="AK2139" s="12" t="n">
        <v>-601</v>
      </c>
      <c r="AL2139" s="12" t="n">
        <v>-385</v>
      </c>
      <c r="AM2139" s="13" t="n">
        <v>125.1</v>
      </c>
      <c r="AN2139" s="13" t="n">
        <v>-2.4</v>
      </c>
      <c r="AO2139" s="13" t="n">
        <v>83.5</v>
      </c>
      <c r="AP2139" s="13" t="n">
        <v>-267.4</v>
      </c>
    </row>
    <row r="2140">
      <c r="A2140" s="5" t="inlineStr">
        <is>
          <t>동국생명과학</t>
        </is>
      </c>
      <c r="B2140" s="6" t="inlineStr">
        <is>
          <t>303810</t>
        </is>
      </c>
      <c r="C2140" s="6" t="inlineStr">
        <is>
          <t>별도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inlineStr"/>
      <c r="K2140" s="10" t="inlineStr"/>
      <c r="L2140" s="7" t="inlineStr"/>
      <c r="M2140" s="8" t="inlineStr"/>
      <c r="N2140" s="8" t="inlineStr"/>
      <c r="O2140" s="9" t="inlineStr"/>
      <c r="P2140" s="10" t="inlineStr"/>
      <c r="Q2140" s="10" t="inlineStr"/>
      <c r="R2140" s="7" t="inlineStr"/>
      <c r="S2140" s="8" t="inlineStr"/>
      <c r="T2140" s="8" t="inlineStr"/>
      <c r="U2140" s="9" t="n">
        <v>35050</v>
      </c>
      <c r="V2140" s="10" t="n">
        <v>3103</v>
      </c>
      <c r="W2140" s="10" t="n">
        <v>2250</v>
      </c>
      <c r="X2140" s="7" t="n">
        <v>34889</v>
      </c>
      <c r="Y2140" s="8" t="n">
        <v>3212</v>
      </c>
      <c r="Z2140" s="8" t="n">
        <v>2852</v>
      </c>
      <c r="AA2140" s="9" t="n">
        <v>29438</v>
      </c>
      <c r="AB2140" s="10" t="n">
        <v>4276</v>
      </c>
      <c r="AC2140" s="10" t="n">
        <v>2411</v>
      </c>
      <c r="AD2140" s="7" t="n">
        <v>30967</v>
      </c>
      <c r="AE2140" s="8" t="n">
        <v>2454</v>
      </c>
      <c r="AF2140" s="8" t="n">
        <v>1145</v>
      </c>
      <c r="AG2140" s="9" t="n">
        <v>33084</v>
      </c>
      <c r="AH2140" s="10" t="n">
        <v>3439</v>
      </c>
      <c r="AI2140" s="10" t="n">
        <v>2306</v>
      </c>
      <c r="AJ2140" s="11" t="n">
        <v>24258</v>
      </c>
      <c r="AK2140" s="12" t="n">
        <v>22</v>
      </c>
      <c r="AL2140" s="12" t="n">
        <v>-888</v>
      </c>
      <c r="AM2140" s="13" t="n">
        <v>-26.7</v>
      </c>
      <c r="AN2140" s="13" t="n">
        <v>-30.5</v>
      </c>
      <c r="AO2140" s="13" t="n">
        <v>-99.40000000000001</v>
      </c>
      <c r="AP2140" s="13" t="n">
        <v>-99.3</v>
      </c>
    </row>
    <row r="2141">
      <c r="A2141" s="5" t="inlineStr">
        <is>
          <t>솔트룩스</t>
        </is>
      </c>
      <c r="B2141" s="6" t="inlineStr">
        <is>
          <t>304100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n">
        <v>-5674</v>
      </c>
      <c r="K2141" s="10" t="n">
        <v>-5666</v>
      </c>
      <c r="L2141" s="7" t="inlineStr"/>
      <c r="M2141" s="8" t="n">
        <v>-3928</v>
      </c>
      <c r="N2141" s="8" t="n">
        <v>-2900</v>
      </c>
      <c r="O2141" s="9" t="inlineStr"/>
      <c r="P2141" s="10" t="n">
        <v>1852</v>
      </c>
      <c r="Q2141" s="10" t="n">
        <v>2248</v>
      </c>
      <c r="R2141" s="7" t="inlineStr"/>
      <c r="S2141" s="8" t="n">
        <v>1118</v>
      </c>
      <c r="T2141" s="8" t="n">
        <v>460</v>
      </c>
      <c r="U2141" s="9" t="n">
        <v>5765</v>
      </c>
      <c r="V2141" s="10" t="n">
        <v>-5925</v>
      </c>
      <c r="W2141" s="10" t="n">
        <v>-6053</v>
      </c>
      <c r="X2141" s="7" t="n">
        <v>7014</v>
      </c>
      <c r="Y2141" s="8" t="n">
        <v>-3280</v>
      </c>
      <c r="Z2141" s="8" t="n">
        <v>-3360</v>
      </c>
      <c r="AA2141" s="9" t="n">
        <v>9113</v>
      </c>
      <c r="AB2141" s="10" t="n">
        <v>-2655</v>
      </c>
      <c r="AC2141" s="10" t="n">
        <v>-2646</v>
      </c>
      <c r="AD2141" s="7" t="n">
        <v>19744</v>
      </c>
      <c r="AE2141" s="8" t="n">
        <v>3818</v>
      </c>
      <c r="AF2141" s="8" t="n">
        <v>61</v>
      </c>
      <c r="AG2141" s="9" t="n">
        <v>8943</v>
      </c>
      <c r="AH2141" s="10" t="n">
        <v>-4864</v>
      </c>
      <c r="AI2141" s="10" t="n">
        <v>-5121</v>
      </c>
      <c r="AJ2141" s="11" t="n">
        <v>11526</v>
      </c>
      <c r="AK2141" s="12" t="n">
        <v>-3520</v>
      </c>
      <c r="AL2141" s="12" t="n">
        <v>-3279</v>
      </c>
      <c r="AM2141" s="13" t="n">
        <v>28.9</v>
      </c>
      <c r="AN2141" s="13" t="n">
        <v>64.3</v>
      </c>
      <c r="AO2141" s="13" t="n">
        <v>27.6</v>
      </c>
      <c r="AP2141" s="13" t="n">
        <v>-7.3</v>
      </c>
    </row>
    <row r="2142">
      <c r="A2142" s="5" t="inlineStr">
        <is>
          <t>에스바이오메딕스</t>
        </is>
      </c>
      <c r="B2142" s="6" t="inlineStr">
        <is>
          <t>304360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2607</v>
      </c>
      <c r="J2142" s="10" t="n">
        <v>-1754</v>
      </c>
      <c r="K2142" s="10" t="n">
        <v>-1969</v>
      </c>
      <c r="L2142" s="7" t="n">
        <v>3299</v>
      </c>
      <c r="M2142" s="8" t="n">
        <v>-1249</v>
      </c>
      <c r="N2142" s="8" t="n">
        <v>-4113</v>
      </c>
      <c r="O2142" s="9" t="n">
        <v>3378</v>
      </c>
      <c r="P2142" s="10" t="n">
        <v>-1332</v>
      </c>
      <c r="Q2142" s="10" t="n">
        <v>-1421</v>
      </c>
      <c r="R2142" s="7" t="n">
        <v>4450</v>
      </c>
      <c r="S2142" s="8" t="n">
        <v>-1110</v>
      </c>
      <c r="T2142" s="8" t="n">
        <v>1682</v>
      </c>
      <c r="U2142" s="9" t="n">
        <v>4462</v>
      </c>
      <c r="V2142" s="10" t="n">
        <v>-1691</v>
      </c>
      <c r="W2142" s="10" t="n">
        <v>-2268</v>
      </c>
      <c r="X2142" s="7" t="n">
        <v>4807</v>
      </c>
      <c r="Y2142" s="8" t="n">
        <v>-2046</v>
      </c>
      <c r="Z2142" s="8" t="inlineStr"/>
      <c r="AA2142" s="9" t="n">
        <v>3245</v>
      </c>
      <c r="AB2142" s="10" t="n">
        <v>-1928</v>
      </c>
      <c r="AC2142" s="10" t="inlineStr"/>
      <c r="AD2142" s="7" t="n">
        <v>4034</v>
      </c>
      <c r="AE2142" s="8" t="n">
        <v>-2679</v>
      </c>
      <c r="AF2142" s="8" t="inlineStr"/>
      <c r="AG2142" s="9" t="n">
        <v>4397</v>
      </c>
      <c r="AH2142" s="10" t="n">
        <v>-2992</v>
      </c>
      <c r="AI2142" s="10" t="inlineStr"/>
      <c r="AJ2142" s="11" t="n">
        <v>4816</v>
      </c>
      <c r="AK2142" s="12" t="n">
        <v>-3686</v>
      </c>
      <c r="AL2142" s="12" t="n">
        <v>-6842</v>
      </c>
      <c r="AM2142" s="13" t="n">
        <v>9.5</v>
      </c>
      <c r="AN2142" s="13" t="n">
        <v>0.2</v>
      </c>
      <c r="AO2142" s="13" t="n">
        <v>-23.2</v>
      </c>
      <c r="AP2142" s="13" t="n">
        <v>-80.2</v>
      </c>
    </row>
    <row r="2143">
      <c r="A2143" s="5" t="inlineStr">
        <is>
          <t>피플바이오</t>
        </is>
      </c>
      <c r="B2143" s="6" t="inlineStr">
        <is>
          <t>304840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744</v>
      </c>
      <c r="J2143" s="10" t="n">
        <v>-3259</v>
      </c>
      <c r="K2143" s="10" t="n">
        <v>-3165</v>
      </c>
      <c r="L2143" s="7" t="n">
        <v>1367</v>
      </c>
      <c r="M2143" s="8" t="n">
        <v>-3038</v>
      </c>
      <c r="N2143" s="8" t="n">
        <v>-2991</v>
      </c>
      <c r="O2143" s="9" t="n">
        <v>962</v>
      </c>
      <c r="P2143" s="10" t="n">
        <v>-3346</v>
      </c>
      <c r="Q2143" s="10" t="n">
        <v>-3067</v>
      </c>
      <c r="R2143" s="7" t="n">
        <v>659</v>
      </c>
      <c r="S2143" s="8" t="n">
        <v>-1858</v>
      </c>
      <c r="T2143" s="8" t="n">
        <v>-2905</v>
      </c>
      <c r="U2143" s="9" t="n">
        <v>780</v>
      </c>
      <c r="V2143" s="10" t="n">
        <v>-2593</v>
      </c>
      <c r="W2143" s="10" t="n">
        <v>-2870</v>
      </c>
      <c r="X2143" s="7" t="n">
        <v>733</v>
      </c>
      <c r="Y2143" s="8" t="n">
        <v>-1976</v>
      </c>
      <c r="Z2143" s="8" t="n">
        <v>-1473</v>
      </c>
      <c r="AA2143" s="9" t="n">
        <v>1185</v>
      </c>
      <c r="AB2143" s="10" t="n">
        <v>-2069</v>
      </c>
      <c r="AC2143" s="10" t="n">
        <v>-1122</v>
      </c>
      <c r="AD2143" s="7" t="n">
        <v>153</v>
      </c>
      <c r="AE2143" s="8" t="n">
        <v>-1739</v>
      </c>
      <c r="AF2143" s="8" t="n">
        <v>-11474</v>
      </c>
      <c r="AG2143" s="9" t="n">
        <v>643</v>
      </c>
      <c r="AH2143" s="10" t="n">
        <v>-1483</v>
      </c>
      <c r="AI2143" s="10" t="n">
        <v>-2054</v>
      </c>
      <c r="AJ2143" s="11" t="n">
        <v>1669</v>
      </c>
      <c r="AK2143" s="12" t="n">
        <v>-749</v>
      </c>
      <c r="AL2143" s="12" t="n">
        <v>-1943</v>
      </c>
      <c r="AM2143" s="13" t="n">
        <v>159.6</v>
      </c>
      <c r="AN2143" s="13" t="n">
        <v>127.7</v>
      </c>
      <c r="AO2143" s="13" t="n">
        <v>49.5</v>
      </c>
      <c r="AP2143" s="13" t="n">
        <v>62.1</v>
      </c>
    </row>
    <row r="2144">
      <c r="A2144" s="5" t="inlineStr">
        <is>
          <t>마이크로디지탈</t>
        </is>
      </c>
      <c r="B2144" s="6" t="inlineStr">
        <is>
          <t>305090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2685</v>
      </c>
      <c r="J2144" s="10" t="n">
        <v>47</v>
      </c>
      <c r="K2144" s="10" t="n">
        <v>33</v>
      </c>
      <c r="L2144" s="7" t="n">
        <v>2425</v>
      </c>
      <c r="M2144" s="8" t="n">
        <v>-783</v>
      </c>
      <c r="N2144" s="8" t="n">
        <v>656</v>
      </c>
      <c r="O2144" s="9" t="n">
        <v>2293</v>
      </c>
      <c r="P2144" s="10" t="n">
        <v>158</v>
      </c>
      <c r="Q2144" s="10" t="n">
        <v>-555</v>
      </c>
      <c r="R2144" s="7" t="n">
        <v>4130</v>
      </c>
      <c r="S2144" s="8" t="n">
        <v>858</v>
      </c>
      <c r="T2144" s="8" t="n">
        <v>316</v>
      </c>
      <c r="U2144" s="9" t="n">
        <v>3156</v>
      </c>
      <c r="V2144" s="10" t="n">
        <v>3</v>
      </c>
      <c r="W2144" s="10" t="n">
        <v>-1203</v>
      </c>
      <c r="X2144" s="7" t="n">
        <v>3240</v>
      </c>
      <c r="Y2144" s="8" t="n">
        <v>-2107</v>
      </c>
      <c r="Z2144" s="8" t="n">
        <v>-3430</v>
      </c>
      <c r="AA2144" s="9" t="n">
        <v>3978</v>
      </c>
      <c r="AB2144" s="10" t="n">
        <v>115</v>
      </c>
      <c r="AC2144" s="10" t="n">
        <v>-223</v>
      </c>
      <c r="AD2144" s="7" t="n">
        <v>2469</v>
      </c>
      <c r="AE2144" s="8" t="n">
        <v>-7182</v>
      </c>
      <c r="AF2144" s="8" t="n">
        <v>-8290</v>
      </c>
      <c r="AG2144" s="9" t="n">
        <v>2525</v>
      </c>
      <c r="AH2144" s="10" t="n">
        <v>-3918</v>
      </c>
      <c r="AI2144" s="10" t="n">
        <v>-4264</v>
      </c>
      <c r="AJ2144" s="11" t="n">
        <v>1136</v>
      </c>
      <c r="AK2144" s="12" t="n">
        <v>-5316</v>
      </c>
      <c r="AL2144" s="12" t="n">
        <v>-8069</v>
      </c>
      <c r="AM2144" s="13" t="n">
        <v>-55</v>
      </c>
      <c r="AN2144" s="13" t="n">
        <v>-64.90000000000001</v>
      </c>
      <c r="AO2144" s="13" t="n">
        <v>-35.7</v>
      </c>
      <c r="AP2144" s="13" t="n">
        <v>-152.3</v>
      </c>
    </row>
    <row r="2145">
      <c r="A2145" s="5" t="inlineStr">
        <is>
          <t>에스제이그룹</t>
        </is>
      </c>
      <c r="B2145" s="6" t="inlineStr">
        <is>
          <t>306040</t>
        </is>
      </c>
      <c r="C2145" s="6" t="inlineStr">
        <is>
          <t>연결</t>
        </is>
      </c>
      <c r="D2145" s="6" t="inlineStr">
        <is>
          <t>2026Q2</t>
        </is>
      </c>
      <c r="E2145" s="6" t="inlineStr">
        <is>
          <t>2023Q4</t>
        </is>
      </c>
      <c r="F2145" s="14" t="n">
        <v>49316</v>
      </c>
      <c r="G2145" s="15" t="n">
        <v>1422</v>
      </c>
      <c r="H2145" s="15" t="n">
        <v>1138</v>
      </c>
      <c r="I2145" s="9" t="n">
        <v>48045</v>
      </c>
      <c r="J2145" s="10" t="n">
        <v>880</v>
      </c>
      <c r="K2145" s="10" t="n">
        <v>432</v>
      </c>
      <c r="L2145" s="7" t="n">
        <v>52502</v>
      </c>
      <c r="M2145" s="8" t="n">
        <v>2877</v>
      </c>
      <c r="N2145" s="8" t="n">
        <v>1737</v>
      </c>
      <c r="O2145" s="9" t="n">
        <v>37643</v>
      </c>
      <c r="P2145" s="10" t="n">
        <v>-3451</v>
      </c>
      <c r="Q2145" s="10" t="n">
        <v>-3490</v>
      </c>
      <c r="R2145" s="7" t="n">
        <v>43605</v>
      </c>
      <c r="S2145" s="8" t="n">
        <v>-3544</v>
      </c>
      <c r="T2145" s="8" t="n">
        <v>-2757</v>
      </c>
      <c r="U2145" s="9" t="n">
        <v>44281</v>
      </c>
      <c r="V2145" s="10" t="n">
        <v>-3072</v>
      </c>
      <c r="W2145" s="10" t="n">
        <v>-4026</v>
      </c>
      <c r="X2145" s="7" t="n">
        <v>44569</v>
      </c>
      <c r="Y2145" s="8" t="n">
        <v>-3608</v>
      </c>
      <c r="Z2145" s="8" t="n">
        <v>-2590</v>
      </c>
      <c r="AA2145" s="9" t="n">
        <v>34805</v>
      </c>
      <c r="AB2145" s="10" t="n">
        <v>-3938</v>
      </c>
      <c r="AC2145" s="10" t="n">
        <v>-1652</v>
      </c>
      <c r="AD2145" s="7" t="n">
        <v>39759</v>
      </c>
      <c r="AE2145" s="8" t="n">
        <v>-5245</v>
      </c>
      <c r="AF2145" s="8" t="n">
        <v>-2433</v>
      </c>
      <c r="AG2145" s="9" t="n">
        <v>36932</v>
      </c>
      <c r="AH2145" s="10" t="n">
        <v>-3852</v>
      </c>
      <c r="AI2145" s="10" t="n">
        <v>-6031</v>
      </c>
      <c r="AJ2145" s="11" t="n">
        <v>38488</v>
      </c>
      <c r="AK2145" s="12" t="n">
        <v>288</v>
      </c>
      <c r="AL2145" s="12" t="n">
        <v>-171</v>
      </c>
      <c r="AM2145" s="13" t="n">
        <v>4.2</v>
      </c>
      <c r="AN2145" s="13" t="n">
        <v>-13.6</v>
      </c>
      <c r="AO2145" s="13" t="n">
        <v>107.5</v>
      </c>
      <c r="AP2145" s="13" t="n">
        <v>108</v>
      </c>
    </row>
    <row r="2146">
      <c r="A2146" s="5" t="inlineStr">
        <is>
          <t>세아제강</t>
        </is>
      </c>
      <c r="B2146" s="6" t="inlineStr">
        <is>
          <t>306200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455745</v>
      </c>
      <c r="J2146" s="10" t="n">
        <v>31763</v>
      </c>
      <c r="K2146" s="10" t="n">
        <v>26821</v>
      </c>
      <c r="L2146" s="7" t="n">
        <v>439503</v>
      </c>
      <c r="M2146" s="8" t="n">
        <v>35949</v>
      </c>
      <c r="N2146" s="8" t="n">
        <v>29397</v>
      </c>
      <c r="O2146" s="9" t="n">
        <v>367670</v>
      </c>
      <c r="P2146" s="10" t="n">
        <v>11144</v>
      </c>
      <c r="Q2146" s="10" t="n">
        <v>6322</v>
      </c>
      <c r="R2146" s="7" t="n">
        <v>546515</v>
      </c>
      <c r="S2146" s="8" t="n">
        <v>124053</v>
      </c>
      <c r="T2146" s="8" t="n">
        <v>74522</v>
      </c>
      <c r="U2146" s="9" t="n">
        <v>378861</v>
      </c>
      <c r="V2146" s="10" t="n">
        <v>25581</v>
      </c>
      <c r="W2146" s="10" t="n">
        <v>18832</v>
      </c>
      <c r="X2146" s="7" t="n">
        <v>414879</v>
      </c>
      <c r="Y2146" s="8" t="n">
        <v>20928</v>
      </c>
      <c r="Z2146" s="8" t="n">
        <v>8674</v>
      </c>
      <c r="AA2146" s="9" t="n">
        <v>331742</v>
      </c>
      <c r="AB2146" s="10" t="n">
        <v>-5186</v>
      </c>
      <c r="AC2146" s="10" t="n">
        <v>-8965</v>
      </c>
      <c r="AD2146" s="7" t="n">
        <v>359315</v>
      </c>
      <c r="AE2146" s="8" t="n">
        <v>8278</v>
      </c>
      <c r="AF2146" s="8" t="n">
        <v>11458</v>
      </c>
      <c r="AG2146" s="9" t="n">
        <v>448578</v>
      </c>
      <c r="AH2146" s="10" t="n">
        <v>24108</v>
      </c>
      <c r="AI2146" s="10" t="n">
        <v>20992</v>
      </c>
      <c r="AJ2146" s="11" t="n">
        <v>495161</v>
      </c>
      <c r="AK2146" s="12" t="n">
        <v>34935</v>
      </c>
      <c r="AL2146" s="12" t="n">
        <v>32518</v>
      </c>
      <c r="AM2146" s="13" t="n">
        <v>10.4</v>
      </c>
      <c r="AN2146" s="13" t="n">
        <v>19.4</v>
      </c>
      <c r="AO2146" s="13" t="n">
        <v>44.9</v>
      </c>
      <c r="AP2146" s="13" t="n">
        <v>66.90000000000001</v>
      </c>
    </row>
    <row r="2147">
      <c r="A2147" s="5" t="inlineStr">
        <is>
          <t>지아이에스</t>
        </is>
      </c>
      <c r="B2147" s="6" t="inlineStr">
        <is>
          <t>306620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45444</v>
      </c>
      <c r="J2147" s="10" t="n">
        <v>3911</v>
      </c>
      <c r="K2147" s="10" t="n">
        <v>3751</v>
      </c>
      <c r="L2147" s="7" t="n">
        <v>24293</v>
      </c>
      <c r="M2147" s="8" t="n">
        <v>1059</v>
      </c>
      <c r="N2147" s="8" t="n">
        <v>660</v>
      </c>
      <c r="O2147" s="9" t="n">
        <v>17029</v>
      </c>
      <c r="P2147" s="10" t="n">
        <v>-792</v>
      </c>
      <c r="Q2147" s="10" t="n">
        <v>-821</v>
      </c>
      <c r="R2147" s="7" t="n">
        <v>17686</v>
      </c>
      <c r="S2147" s="8" t="n">
        <v>-552</v>
      </c>
      <c r="T2147" s="8" t="n">
        <v>-3329</v>
      </c>
      <c r="U2147" s="9" t="n">
        <v>7594</v>
      </c>
      <c r="V2147" s="10" t="n">
        <v>-3162</v>
      </c>
      <c r="W2147" s="10" t="n">
        <v>-3271</v>
      </c>
      <c r="X2147" s="7" t="n">
        <v>23986</v>
      </c>
      <c r="Y2147" s="8" t="n">
        <v>945</v>
      </c>
      <c r="Z2147" s="8" t="n">
        <v>316</v>
      </c>
      <c r="AA2147" s="9" t="n">
        <v>23130</v>
      </c>
      <c r="AB2147" s="10" t="n">
        <v>1316</v>
      </c>
      <c r="AC2147" s="10" t="n">
        <v>-249</v>
      </c>
      <c r="AD2147" s="7" t="n">
        <v>21101</v>
      </c>
      <c r="AE2147" s="8" t="n">
        <v>2533</v>
      </c>
      <c r="AF2147" s="8" t="n">
        <v>-444</v>
      </c>
      <c r="AG2147" s="9" t="n">
        <v>13888</v>
      </c>
      <c r="AH2147" s="10" t="n">
        <v>-1413</v>
      </c>
      <c r="AI2147" s="10" t="n">
        <v>-1793</v>
      </c>
      <c r="AJ2147" s="11" t="n">
        <v>34007</v>
      </c>
      <c r="AK2147" s="12" t="n">
        <v>2580</v>
      </c>
      <c r="AL2147" s="12" t="n">
        <v>-880</v>
      </c>
      <c r="AM2147" s="13" t="n">
        <v>144.9</v>
      </c>
      <c r="AN2147" s="13" t="n">
        <v>41.8</v>
      </c>
      <c r="AO2147" s="13" t="n">
        <v>282.6</v>
      </c>
      <c r="AP2147" s="13" t="n">
        <v>173</v>
      </c>
    </row>
    <row r="2148">
      <c r="A2148" s="5" t="inlineStr">
        <is>
          <t>아이엘</t>
        </is>
      </c>
      <c r="B2148" s="6" t="inlineStr">
        <is>
          <t>307180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20084</v>
      </c>
      <c r="J2148" s="10" t="n">
        <v>1973</v>
      </c>
      <c r="K2148" s="10" t="n">
        <v>2035</v>
      </c>
      <c r="L2148" s="7" t="n">
        <v>26307</v>
      </c>
      <c r="M2148" s="8" t="n">
        <v>2661</v>
      </c>
      <c r="N2148" s="8" t="n">
        <v>3655</v>
      </c>
      <c r="O2148" s="9" t="n">
        <v>15834</v>
      </c>
      <c r="P2148" s="10" t="n">
        <v>-365</v>
      </c>
      <c r="Q2148" s="10" t="n">
        <v>-2683</v>
      </c>
      <c r="R2148" s="7" t="n">
        <v>21273</v>
      </c>
      <c r="S2148" s="8" t="n">
        <v>769</v>
      </c>
      <c r="T2148" s="8" t="n">
        <v>-2108</v>
      </c>
      <c r="U2148" s="9" t="n">
        <v>25486</v>
      </c>
      <c r="V2148" s="10" t="n">
        <v>1934</v>
      </c>
      <c r="W2148" s="10" t="n">
        <v>45</v>
      </c>
      <c r="X2148" s="7" t="n">
        <v>28904</v>
      </c>
      <c r="Y2148" s="8" t="n">
        <v>-2410</v>
      </c>
      <c r="Z2148" s="8" t="n">
        <v>-1284</v>
      </c>
      <c r="AA2148" s="9" t="n">
        <v>29179</v>
      </c>
      <c r="AB2148" s="10" t="n">
        <v>1168</v>
      </c>
      <c r="AC2148" s="10" t="n">
        <v>69</v>
      </c>
      <c r="AD2148" s="7" t="n">
        <v>19295</v>
      </c>
      <c r="AE2148" s="8" t="n">
        <v>-9194</v>
      </c>
      <c r="AF2148" s="8" t="n">
        <v>-9661</v>
      </c>
      <c r="AG2148" s="9" t="n">
        <v>25234</v>
      </c>
      <c r="AH2148" s="10" t="n">
        <v>154</v>
      </c>
      <c r="AI2148" s="10" t="n">
        <v>-438</v>
      </c>
      <c r="AJ2148" s="11" t="n">
        <v>24870</v>
      </c>
      <c r="AK2148" s="12" t="n">
        <v>2763</v>
      </c>
      <c r="AL2148" s="12" t="n">
        <v>-596</v>
      </c>
      <c r="AM2148" s="13" t="n">
        <v>-1.4</v>
      </c>
      <c r="AN2148" s="13" t="n">
        <v>-14</v>
      </c>
      <c r="AO2148" s="13" t="n">
        <v>1694.2</v>
      </c>
      <c r="AP2148" s="13" t="n">
        <v>214.6</v>
      </c>
    </row>
    <row r="2149">
      <c r="A2149" s="5" t="inlineStr">
        <is>
          <t>원바이오젠</t>
        </is>
      </c>
      <c r="B2149" s="6" t="inlineStr">
        <is>
          <t>307280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7071</v>
      </c>
      <c r="J2149" s="10" t="n">
        <v>1181</v>
      </c>
      <c r="K2149" s="10" t="n">
        <v>1042</v>
      </c>
      <c r="L2149" s="7" t="n">
        <v>7995</v>
      </c>
      <c r="M2149" s="8" t="n">
        <v>2048</v>
      </c>
      <c r="N2149" s="8" t="n">
        <v>1623</v>
      </c>
      <c r="O2149" s="9" t="n">
        <v>6863</v>
      </c>
      <c r="P2149" s="10" t="n">
        <v>1681</v>
      </c>
      <c r="Q2149" s="10" t="n">
        <v>1347</v>
      </c>
      <c r="R2149" s="7" t="n">
        <v>8511</v>
      </c>
      <c r="S2149" s="8" t="n">
        <v>1497</v>
      </c>
      <c r="T2149" s="8" t="n">
        <v>1327</v>
      </c>
      <c r="U2149" s="9" t="n">
        <v>8255</v>
      </c>
      <c r="V2149" s="10" t="n">
        <v>1533</v>
      </c>
      <c r="W2149" s="10" t="n">
        <v>1252</v>
      </c>
      <c r="X2149" s="7" t="n">
        <v>8397</v>
      </c>
      <c r="Y2149" s="8" t="n">
        <v>1892</v>
      </c>
      <c r="Z2149" s="8" t="n">
        <v>1448</v>
      </c>
      <c r="AA2149" s="9" t="n">
        <v>9219</v>
      </c>
      <c r="AB2149" s="10" t="n">
        <v>2398</v>
      </c>
      <c r="AC2149" s="10" t="n">
        <v>2214</v>
      </c>
      <c r="AD2149" s="7" t="n">
        <v>9373</v>
      </c>
      <c r="AE2149" s="8" t="n">
        <v>2103</v>
      </c>
      <c r="AF2149" s="8" t="n">
        <v>1545</v>
      </c>
      <c r="AG2149" s="9" t="n">
        <v>9281</v>
      </c>
      <c r="AH2149" s="10" t="n">
        <v>2118</v>
      </c>
      <c r="AI2149" s="10" t="n">
        <v>1861</v>
      </c>
      <c r="AJ2149" s="11" t="n">
        <v>9931</v>
      </c>
      <c r="AK2149" s="12" t="n">
        <v>2780</v>
      </c>
      <c r="AL2149" s="12" t="n">
        <v>2801</v>
      </c>
      <c r="AM2149" s="13" t="n">
        <v>7</v>
      </c>
      <c r="AN2149" s="13" t="n">
        <v>18.3</v>
      </c>
      <c r="AO2149" s="13" t="n">
        <v>31.3</v>
      </c>
      <c r="AP2149" s="13" t="n">
        <v>46.9</v>
      </c>
    </row>
    <row r="2150">
      <c r="A2150" s="5" t="inlineStr">
        <is>
          <t>국전</t>
        </is>
      </c>
      <c r="B2150" s="6" t="inlineStr">
        <is>
          <t>307750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39310</v>
      </c>
      <c r="J2150" s="10" t="n">
        <v>1605</v>
      </c>
      <c r="K2150" s="10" t="n">
        <v>867</v>
      </c>
      <c r="L2150" s="7" t="n">
        <v>33704</v>
      </c>
      <c r="M2150" s="8" t="n">
        <v>427</v>
      </c>
      <c r="N2150" s="8" t="n">
        <v>2026</v>
      </c>
      <c r="O2150" s="9" t="n">
        <v>31314</v>
      </c>
      <c r="P2150" s="10" t="n">
        <v>-2</v>
      </c>
      <c r="Q2150" s="10" t="n">
        <v>-310</v>
      </c>
      <c r="R2150" s="7" t="n">
        <v>32140</v>
      </c>
      <c r="S2150" s="8" t="n">
        <v>-1662</v>
      </c>
      <c r="T2150" s="8" t="n">
        <v>-2045</v>
      </c>
      <c r="U2150" s="9" t="n">
        <v>38284</v>
      </c>
      <c r="V2150" s="10" t="n">
        <v>113</v>
      </c>
      <c r="W2150" s="10" t="n">
        <v>648</v>
      </c>
      <c r="X2150" s="7" t="n">
        <v>33339</v>
      </c>
      <c r="Y2150" s="8" t="n">
        <v>-792</v>
      </c>
      <c r="Z2150" s="8" t="n">
        <v>-29</v>
      </c>
      <c r="AA2150" s="9" t="n">
        <v>29205</v>
      </c>
      <c r="AB2150" s="10" t="n">
        <v>-2032</v>
      </c>
      <c r="AC2150" s="10" t="n">
        <v>-2905</v>
      </c>
      <c r="AD2150" s="7" t="n">
        <v>30211</v>
      </c>
      <c r="AE2150" s="8" t="n">
        <v>135</v>
      </c>
      <c r="AF2150" s="8" t="n">
        <v>-2534</v>
      </c>
      <c r="AG2150" s="9" t="n">
        <v>34672</v>
      </c>
      <c r="AH2150" s="10" t="n">
        <v>2663</v>
      </c>
      <c r="AI2150" s="10" t="n">
        <v>-2777</v>
      </c>
      <c r="AJ2150" s="11" t="n">
        <v>40484</v>
      </c>
      <c r="AK2150" s="12" t="n">
        <v>1496</v>
      </c>
      <c r="AL2150" s="12" t="n">
        <v>6133</v>
      </c>
      <c r="AM2150" s="13" t="n">
        <v>16.8</v>
      </c>
      <c r="AN2150" s="13" t="n">
        <v>21.4</v>
      </c>
      <c r="AO2150" s="13" t="n">
        <v>-43.8</v>
      </c>
      <c r="AP2150" s="13" t="n">
        <v>288.9</v>
      </c>
    </row>
    <row r="2151">
      <c r="A2151" s="5" t="inlineStr">
        <is>
          <t>비투엔</t>
        </is>
      </c>
      <c r="B2151" s="6" t="inlineStr">
        <is>
          <t>307870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6609</v>
      </c>
      <c r="J2151" s="10" t="n">
        <v>-1949</v>
      </c>
      <c r="K2151" s="10" t="n">
        <v>-2148</v>
      </c>
      <c r="L2151" s="7" t="n">
        <v>6443</v>
      </c>
      <c r="M2151" s="8" t="n">
        <v>-1064</v>
      </c>
      <c r="N2151" s="8" t="n">
        <v>-4350</v>
      </c>
      <c r="O2151" s="9" t="n">
        <v>5256</v>
      </c>
      <c r="P2151" s="10" t="n">
        <v>-559</v>
      </c>
      <c r="Q2151" s="10" t="n">
        <v>-1347</v>
      </c>
      <c r="R2151" s="7" t="n">
        <v>6790</v>
      </c>
      <c r="S2151" s="8" t="n">
        <v>927</v>
      </c>
      <c r="T2151" s="8" t="n">
        <v>919</v>
      </c>
      <c r="U2151" s="9" t="n">
        <v>3909</v>
      </c>
      <c r="V2151" s="10" t="n">
        <v>-2142</v>
      </c>
      <c r="W2151" s="10" t="n">
        <v>-2960</v>
      </c>
      <c r="X2151" s="7" t="n">
        <v>4321</v>
      </c>
      <c r="Y2151" s="8" t="n">
        <v>-1410</v>
      </c>
      <c r="Z2151" s="8" t="n">
        <v>-1442</v>
      </c>
      <c r="AA2151" s="9" t="n">
        <v>2643</v>
      </c>
      <c r="AB2151" s="10" t="n">
        <v>-1690</v>
      </c>
      <c r="AC2151" s="10" t="n">
        <v>-4687</v>
      </c>
      <c r="AD2151" s="7" t="n">
        <v>3752</v>
      </c>
      <c r="AE2151" s="8" t="n">
        <v>-1504</v>
      </c>
      <c r="AF2151" s="8" t="n">
        <v>-3127</v>
      </c>
      <c r="AG2151" s="9" t="n">
        <v>2762</v>
      </c>
      <c r="AH2151" s="10" t="n">
        <v>-1377</v>
      </c>
      <c r="AI2151" s="10" t="n">
        <v>-427</v>
      </c>
      <c r="AJ2151" s="11" t="n">
        <v>2726</v>
      </c>
      <c r="AK2151" s="12" t="n">
        <v>-882</v>
      </c>
      <c r="AL2151" s="12" t="n">
        <v>-2065</v>
      </c>
      <c r="AM2151" s="13" t="n">
        <v>-1.3</v>
      </c>
      <c r="AN2151" s="13" t="n">
        <v>-36.9</v>
      </c>
      <c r="AO2151" s="13" t="n">
        <v>35.9</v>
      </c>
      <c r="AP2151" s="13" t="n">
        <v>37.4</v>
      </c>
    </row>
    <row r="2152">
      <c r="A2152" s="5" t="inlineStr">
        <is>
          <t>컴퍼니케이</t>
        </is>
      </c>
      <c r="B2152" s="6" t="inlineStr">
        <is>
          <t>307930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3223</v>
      </c>
      <c r="J2152" s="10" t="n">
        <v>1458</v>
      </c>
      <c r="K2152" s="10" t="n">
        <v>1309</v>
      </c>
      <c r="L2152" s="7" t="n">
        <v>3329</v>
      </c>
      <c r="M2152" s="8" t="n">
        <v>1039</v>
      </c>
      <c r="N2152" s="8" t="n">
        <v>756</v>
      </c>
      <c r="O2152" s="9" t="n">
        <v>3078</v>
      </c>
      <c r="P2152" s="10" t="n">
        <v>1336</v>
      </c>
      <c r="Q2152" s="10" t="n">
        <v>933</v>
      </c>
      <c r="R2152" s="7" t="n">
        <v>5443</v>
      </c>
      <c r="S2152" s="8" t="n">
        <v>-571</v>
      </c>
      <c r="T2152" s="8" t="n">
        <v>-907</v>
      </c>
      <c r="U2152" s="9" t="n">
        <v>3919</v>
      </c>
      <c r="V2152" s="10" t="n">
        <v>1747</v>
      </c>
      <c r="W2152" s="10" t="n">
        <v>1387</v>
      </c>
      <c r="X2152" s="7" t="n">
        <v>4424</v>
      </c>
      <c r="Y2152" s="8" t="n">
        <v>2556</v>
      </c>
      <c r="Z2152" s="8" t="n">
        <v>2154</v>
      </c>
      <c r="AA2152" s="9" t="n">
        <v>4135</v>
      </c>
      <c r="AB2152" s="10" t="n">
        <v>1910</v>
      </c>
      <c r="AC2152" s="10" t="n">
        <v>1569</v>
      </c>
      <c r="AD2152" s="7" t="n">
        <v>9124</v>
      </c>
      <c r="AE2152" s="8" t="n">
        <v>3557</v>
      </c>
      <c r="AF2152" s="8" t="n">
        <v>2131</v>
      </c>
      <c r="AG2152" s="9" t="n">
        <v>7785</v>
      </c>
      <c r="AH2152" s="10" t="n">
        <v>5440</v>
      </c>
      <c r="AI2152" s="10" t="n">
        <v>4214</v>
      </c>
      <c r="AJ2152" s="11" t="n">
        <v>1046</v>
      </c>
      <c r="AK2152" s="12" t="n">
        <v>-3982</v>
      </c>
      <c r="AL2152" s="12" t="n">
        <v>-3152</v>
      </c>
      <c r="AM2152" s="13" t="n">
        <v>-86.59999999999999</v>
      </c>
      <c r="AN2152" s="13" t="n">
        <v>-76.40000000000001</v>
      </c>
      <c r="AO2152" s="13" t="n">
        <v>-173.2</v>
      </c>
      <c r="AP2152" s="13" t="n">
        <v>-255.8</v>
      </c>
    </row>
    <row r="2153">
      <c r="A2153" s="5" t="inlineStr">
        <is>
          <t>현대오토에버</t>
        </is>
      </c>
      <c r="B2153" s="6" t="inlineStr">
        <is>
          <t>307950</t>
        </is>
      </c>
      <c r="C2153" s="6" t="inlineStr">
        <is>
          <t>연결</t>
        </is>
      </c>
      <c r="D2153" s="6" t="inlineStr">
        <is>
          <t>2026Q2</t>
        </is>
      </c>
      <c r="E2153" s="6" t="inlineStr">
        <is>
          <t>2023Q4</t>
        </is>
      </c>
      <c r="F2153" s="14" t="n">
        <v>899369</v>
      </c>
      <c r="G2153" s="15" t="n">
        <v>52864</v>
      </c>
      <c r="H2153" s="15" t="n">
        <v>33088</v>
      </c>
      <c r="I2153" s="9" t="n">
        <v>731292</v>
      </c>
      <c r="J2153" s="10" t="n">
        <v>30740</v>
      </c>
      <c r="K2153" s="10" t="n">
        <v>26095</v>
      </c>
      <c r="L2153" s="7" t="n">
        <v>918097</v>
      </c>
      <c r="M2153" s="8" t="n">
        <v>68547</v>
      </c>
      <c r="N2153" s="8" t="n">
        <v>52651</v>
      </c>
      <c r="O2153" s="9" t="n">
        <v>904634</v>
      </c>
      <c r="P2153" s="10" t="n">
        <v>52495</v>
      </c>
      <c r="Q2153" s="10" t="n">
        <v>44713</v>
      </c>
      <c r="R2153" s="7" t="n">
        <v>1159594</v>
      </c>
      <c r="S2153" s="8" t="n">
        <v>72652</v>
      </c>
      <c r="T2153" s="8" t="n">
        <v>51723</v>
      </c>
      <c r="U2153" s="9" t="n">
        <v>833010</v>
      </c>
      <c r="V2153" s="10" t="n">
        <v>26710</v>
      </c>
      <c r="W2153" s="10" t="n">
        <v>19904</v>
      </c>
      <c r="X2153" s="7" t="n">
        <v>1042052</v>
      </c>
      <c r="Y2153" s="8" t="n">
        <v>81370</v>
      </c>
      <c r="Z2153" s="8" t="n">
        <v>59732</v>
      </c>
      <c r="AA2153" s="9" t="n">
        <v>1054258</v>
      </c>
      <c r="AB2153" s="10" t="n">
        <v>70755</v>
      </c>
      <c r="AC2153" s="10" t="n">
        <v>52786</v>
      </c>
      <c r="AD2153" s="7" t="n">
        <v>1322747</v>
      </c>
      <c r="AE2153" s="8" t="n">
        <v>76467</v>
      </c>
      <c r="AF2153" s="8" t="n">
        <v>54367</v>
      </c>
      <c r="AG2153" s="9" t="n">
        <v>935709</v>
      </c>
      <c r="AH2153" s="10" t="n">
        <v>21175</v>
      </c>
      <c r="AI2153" s="10" t="n">
        <v>18603</v>
      </c>
      <c r="AJ2153" s="11" t="n">
        <v>1250739</v>
      </c>
      <c r="AK2153" s="12" t="n">
        <v>90547</v>
      </c>
      <c r="AL2153" s="12" t="n">
        <v>69590</v>
      </c>
      <c r="AM2153" s="13" t="n">
        <v>33.7</v>
      </c>
      <c r="AN2153" s="13" t="n">
        <v>20</v>
      </c>
      <c r="AO2153" s="13" t="n">
        <v>327.6</v>
      </c>
      <c r="AP2153" s="13" t="n">
        <v>11.3</v>
      </c>
    </row>
    <row r="2154">
      <c r="A2154" s="5" t="inlineStr">
        <is>
          <t>바이젠셀</t>
        </is>
      </c>
      <c r="B2154" s="6" t="inlineStr">
        <is>
          <t>308080</t>
        </is>
      </c>
      <c r="C2154" s="6" t="inlineStr">
        <is>
          <t>별도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0</v>
      </c>
      <c r="J2154" s="10" t="n">
        <v>-4455</v>
      </c>
      <c r="K2154" s="10" t="n">
        <v>-4070</v>
      </c>
      <c r="L2154" s="7" t="n">
        <v>55</v>
      </c>
      <c r="M2154" s="8" t="n">
        <v>-3591</v>
      </c>
      <c r="N2154" s="8" t="n">
        <v>-3090</v>
      </c>
      <c r="O2154" s="9" t="n">
        <v>0</v>
      </c>
      <c r="P2154" s="10" t="n">
        <v>-3631</v>
      </c>
      <c r="Q2154" s="10" t="n">
        <v>-3222</v>
      </c>
      <c r="R2154" s="7" t="n">
        <v>224</v>
      </c>
      <c r="S2154" s="8" t="n">
        <v>-3653</v>
      </c>
      <c r="T2154" s="8" t="n">
        <v>-3674</v>
      </c>
      <c r="U2154" s="9" t="n">
        <v>0</v>
      </c>
      <c r="V2154" s="10" t="n">
        <v>-2686</v>
      </c>
      <c r="W2154" s="10" t="n">
        <v>-2574</v>
      </c>
      <c r="X2154" s="7" t="n">
        <v>1</v>
      </c>
      <c r="Y2154" s="8" t="n">
        <v>-5656</v>
      </c>
      <c r="Z2154" s="8" t="n">
        <v>-5403</v>
      </c>
      <c r="AA2154" s="9" t="n">
        <v>8</v>
      </c>
      <c r="AB2154" s="10" t="n">
        <v>-2433</v>
      </c>
      <c r="AC2154" s="10" t="n">
        <v>-2241</v>
      </c>
      <c r="AD2154" s="7" t="n">
        <v>14</v>
      </c>
      <c r="AE2154" s="8" t="n">
        <v>-6333</v>
      </c>
      <c r="AF2154" s="8" t="n">
        <v>-6104</v>
      </c>
      <c r="AG2154" s="9" t="n">
        <v>329</v>
      </c>
      <c r="AH2154" s="10" t="n">
        <v>-2835</v>
      </c>
      <c r="AI2154" s="10" t="n">
        <v>-2587</v>
      </c>
      <c r="AJ2154" s="11" t="n">
        <v>571</v>
      </c>
      <c r="AK2154" s="12" t="n">
        <v>-2536</v>
      </c>
      <c r="AL2154" s="12" t="n">
        <v>-2342</v>
      </c>
      <c r="AM2154" s="13" t="n">
        <v>73.59999999999999</v>
      </c>
      <c r="AN2154" s="13" t="n">
        <v>57000</v>
      </c>
      <c r="AO2154" s="13" t="n">
        <v>10.5</v>
      </c>
      <c r="AP2154" s="13" t="n">
        <v>55.2</v>
      </c>
    </row>
    <row r="2155">
      <c r="A2155" s="5" t="inlineStr">
        <is>
          <t>형지글로벌</t>
        </is>
      </c>
      <c r="B2155" s="6" t="inlineStr">
        <is>
          <t>308100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13312</v>
      </c>
      <c r="J2155" s="10" t="n">
        <v>290</v>
      </c>
      <c r="K2155" s="10" t="inlineStr"/>
      <c r="L2155" s="7" t="n">
        <v>10874</v>
      </c>
      <c r="M2155" s="8" t="n">
        <v>-1554</v>
      </c>
      <c r="N2155" s="8" t="inlineStr"/>
      <c r="O2155" s="9" t="n">
        <v>8468</v>
      </c>
      <c r="P2155" s="10" t="n">
        <v>-1086</v>
      </c>
      <c r="Q2155" s="10" t="inlineStr"/>
      <c r="R2155" s="7" t="n">
        <v>7146</v>
      </c>
      <c r="S2155" s="8" t="n">
        <v>-7036</v>
      </c>
      <c r="T2155" s="8" t="inlineStr"/>
      <c r="U2155" s="9" t="n">
        <v>8576</v>
      </c>
      <c r="V2155" s="10" t="n">
        <v>1112</v>
      </c>
      <c r="W2155" s="10" t="inlineStr"/>
      <c r="X2155" s="7" t="n">
        <v>10129</v>
      </c>
      <c r="Y2155" s="8" t="n">
        <v>-963</v>
      </c>
      <c r="Z2155" s="8" t="inlineStr"/>
      <c r="AA2155" s="9" t="n">
        <v>9799</v>
      </c>
      <c r="AB2155" s="10" t="n">
        <v>-1928</v>
      </c>
      <c r="AC2155" s="10" t="inlineStr"/>
      <c r="AD2155" s="7" t="n">
        <v>9179</v>
      </c>
      <c r="AE2155" s="8" t="n">
        <v>-6306</v>
      </c>
      <c r="AF2155" s="8" t="inlineStr"/>
      <c r="AG2155" s="9" t="n">
        <v>8219</v>
      </c>
      <c r="AH2155" s="10" t="n">
        <v>615</v>
      </c>
      <c r="AI2155" s="10" t="inlineStr"/>
      <c r="AJ2155" s="11" t="n">
        <v>23339</v>
      </c>
      <c r="AK2155" s="12" t="n">
        <v>264</v>
      </c>
      <c r="AL2155" s="12" t="inlineStr"/>
      <c r="AM2155" s="13" t="n">
        <v>184</v>
      </c>
      <c r="AN2155" s="13" t="n">
        <v>130.4</v>
      </c>
      <c r="AO2155" s="13" t="n">
        <v>-57.1</v>
      </c>
      <c r="AP2155" s="13" t="n">
        <v>127.4</v>
      </c>
    </row>
    <row r="2156">
      <c r="A2156" s="5" t="inlineStr">
        <is>
          <t>씨티알모빌리티</t>
        </is>
      </c>
      <c r="B2156" s="6" t="inlineStr">
        <is>
          <t>308170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112129</v>
      </c>
      <c r="J2156" s="10" t="n">
        <v>44</v>
      </c>
      <c r="K2156" s="10" t="n">
        <v>-1900</v>
      </c>
      <c r="L2156" s="7" t="n">
        <v>109168</v>
      </c>
      <c r="M2156" s="8" t="n">
        <v>1529</v>
      </c>
      <c r="N2156" s="8" t="n">
        <v>201</v>
      </c>
      <c r="O2156" s="9" t="n">
        <v>105723</v>
      </c>
      <c r="P2156" s="10" t="n">
        <v>1154</v>
      </c>
      <c r="Q2156" s="10" t="n">
        <v>-1021</v>
      </c>
      <c r="R2156" s="7" t="n">
        <v>105251</v>
      </c>
      <c r="S2156" s="8" t="n">
        <v>1193</v>
      </c>
      <c r="T2156" s="8" t="n">
        <v>-13887</v>
      </c>
      <c r="U2156" s="9" t="n">
        <v>115410</v>
      </c>
      <c r="V2156" s="10" t="n">
        <v>982</v>
      </c>
      <c r="W2156" s="10" t="n">
        <v>-1088</v>
      </c>
      <c r="X2156" s="7" t="n">
        <v>123441</v>
      </c>
      <c r="Y2156" s="8" t="n">
        <v>2123</v>
      </c>
      <c r="Z2156" s="8" t="n">
        <v>-656</v>
      </c>
      <c r="AA2156" s="9" t="n">
        <v>114576</v>
      </c>
      <c r="AB2156" s="10" t="n">
        <v>1401</v>
      </c>
      <c r="AC2156" s="10" t="n">
        <v>-792</v>
      </c>
      <c r="AD2156" s="7" t="n">
        <v>108032</v>
      </c>
      <c r="AE2156" s="8" t="n">
        <v>1308</v>
      </c>
      <c r="AF2156" s="8" t="n">
        <v>-696</v>
      </c>
      <c r="AG2156" s="9" t="n">
        <v>109524</v>
      </c>
      <c r="AH2156" s="10" t="n">
        <v>324</v>
      </c>
      <c r="AI2156" s="10" t="n">
        <v>-1905</v>
      </c>
      <c r="AJ2156" s="11" t="n">
        <v>114178</v>
      </c>
      <c r="AK2156" s="12" t="n">
        <v>1246</v>
      </c>
      <c r="AL2156" s="12" t="n">
        <v>-868</v>
      </c>
      <c r="AM2156" s="13" t="n">
        <v>4.2</v>
      </c>
      <c r="AN2156" s="13" t="n">
        <v>-7.5</v>
      </c>
      <c r="AO2156" s="13" t="n">
        <v>284.6</v>
      </c>
      <c r="AP2156" s="13" t="n">
        <v>-41.3</v>
      </c>
    </row>
    <row r="2157">
      <c r="A2157" s="5" t="inlineStr">
        <is>
          <t>셀비온</t>
        </is>
      </c>
      <c r="B2157" s="6" t="inlineStr">
        <is>
          <t>308430</t>
        </is>
      </c>
      <c r="C2157" s="6" t="inlineStr">
        <is>
          <t>별도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n">
        <v>1178</v>
      </c>
      <c r="P2157" s="10" t="n">
        <v>-1727</v>
      </c>
      <c r="Q2157" s="10" t="n">
        <v>-1706</v>
      </c>
      <c r="R2157" s="7" t="inlineStr"/>
      <c r="S2157" s="8" t="inlineStr"/>
      <c r="T2157" s="8" t="inlineStr"/>
      <c r="U2157" s="9" t="n">
        <v>480</v>
      </c>
      <c r="V2157" s="10" t="n">
        <v>-1652</v>
      </c>
      <c r="W2157" s="10" t="n">
        <v>-1427</v>
      </c>
      <c r="X2157" s="7" t="n">
        <v>404</v>
      </c>
      <c r="Y2157" s="8" t="n">
        <v>-2084</v>
      </c>
      <c r="Z2157" s="8" t="n">
        <v>-1893</v>
      </c>
      <c r="AA2157" s="9" t="n">
        <v>679</v>
      </c>
      <c r="AB2157" s="10" t="n">
        <v>-1997</v>
      </c>
      <c r="AC2157" s="10" t="n">
        <v>-1830</v>
      </c>
      <c r="AD2157" s="7" t="n">
        <v>382</v>
      </c>
      <c r="AE2157" s="8" t="n">
        <v>-2512</v>
      </c>
      <c r="AF2157" s="8" t="n">
        <v>-2424</v>
      </c>
      <c r="AG2157" s="9" t="n">
        <v>613</v>
      </c>
      <c r="AH2157" s="10" t="n">
        <v>-2444</v>
      </c>
      <c r="AI2157" s="10" t="n">
        <v>-2398</v>
      </c>
      <c r="AJ2157" s="11" t="n">
        <v>472</v>
      </c>
      <c r="AK2157" s="12" t="n">
        <v>-2642</v>
      </c>
      <c r="AL2157" s="12" t="n">
        <v>14402</v>
      </c>
      <c r="AM2157" s="13" t="n">
        <v>-23</v>
      </c>
      <c r="AN2157" s="13" t="n">
        <v>16.8</v>
      </c>
      <c r="AO2157" s="13" t="n">
        <v>-8.1</v>
      </c>
      <c r="AP2157" s="13" t="n">
        <v>-26.8</v>
      </c>
    </row>
    <row r="2158">
      <c r="A2158" s="5" t="inlineStr">
        <is>
          <t>아이티켐</t>
        </is>
      </c>
      <c r="B2158" s="6" t="inlineStr">
        <is>
          <t>309710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inlineStr"/>
      <c r="P2158" s="10" t="inlineStr"/>
      <c r="Q2158" s="10" t="inlineStr"/>
      <c r="R2158" s="7" t="inlineStr"/>
      <c r="S2158" s="8" t="inlineStr"/>
      <c r="T2158" s="8" t="inlineStr"/>
      <c r="U2158" s="9" t="inlineStr"/>
      <c r="V2158" s="10" t="inlineStr"/>
      <c r="W2158" s="10" t="inlineStr"/>
      <c r="X2158" s="7" t="n">
        <v>19830</v>
      </c>
      <c r="Y2158" s="8" t="n">
        <v>-725</v>
      </c>
      <c r="Z2158" s="8" t="n">
        <v>-1837</v>
      </c>
      <c r="AA2158" s="9" t="n">
        <v>27157</v>
      </c>
      <c r="AB2158" s="10" t="n">
        <v>-1205</v>
      </c>
      <c r="AC2158" s="10" t="n">
        <v>-3737</v>
      </c>
      <c r="AD2158" s="7" t="inlineStr"/>
      <c r="AE2158" s="8" t="inlineStr"/>
      <c r="AF2158" s="8" t="inlineStr"/>
      <c r="AG2158" s="9" t="n">
        <v>12699</v>
      </c>
      <c r="AH2158" s="10" t="n">
        <v>-1722</v>
      </c>
      <c r="AI2158" s="10" t="n">
        <v>-4303</v>
      </c>
      <c r="AJ2158" s="11" t="n">
        <v>15091</v>
      </c>
      <c r="AK2158" s="12" t="n">
        <v>-2773</v>
      </c>
      <c r="AL2158" s="12" t="n">
        <v>-1458</v>
      </c>
      <c r="AM2158" s="13" t="n">
        <v>18.8</v>
      </c>
      <c r="AN2158" s="13" t="n">
        <v>-23.9</v>
      </c>
      <c r="AO2158" s="13" t="n">
        <v>-61</v>
      </c>
      <c r="AP2158" s="13" t="n">
        <v>-282.5</v>
      </c>
    </row>
    <row r="2159">
      <c r="A2159" s="5" t="inlineStr">
        <is>
          <t>조이웍스앤코</t>
        </is>
      </c>
      <c r="B2159" s="6" t="inlineStr">
        <is>
          <t>309930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12406</v>
      </c>
      <c r="J2159" s="10" t="n">
        <v>573</v>
      </c>
      <c r="K2159" s="10" t="n">
        <v>744</v>
      </c>
      <c r="L2159" s="7" t="n">
        <v>11997</v>
      </c>
      <c r="M2159" s="8" t="n">
        <v>-537</v>
      </c>
      <c r="N2159" s="8" t="n">
        <v>2580</v>
      </c>
      <c r="O2159" s="9" t="n">
        <v>10949</v>
      </c>
      <c r="P2159" s="10" t="n">
        <v>-1726</v>
      </c>
      <c r="Q2159" s="10" t="n">
        <v>-2517</v>
      </c>
      <c r="R2159" s="7" t="n">
        <v>11917</v>
      </c>
      <c r="S2159" s="8" t="n">
        <v>-699</v>
      </c>
      <c r="T2159" s="8" t="n">
        <v>233</v>
      </c>
      <c r="U2159" s="9" t="n">
        <v>11348</v>
      </c>
      <c r="V2159" s="10" t="n">
        <v>-1055</v>
      </c>
      <c r="W2159" s="10" t="n">
        <v>-977</v>
      </c>
      <c r="X2159" s="7" t="n">
        <v>8156</v>
      </c>
      <c r="Y2159" s="8" t="n">
        <v>-2012</v>
      </c>
      <c r="Z2159" s="8" t="n">
        <v>-2212</v>
      </c>
      <c r="AA2159" s="9" t="n">
        <v>7414</v>
      </c>
      <c r="AB2159" s="10" t="n">
        <v>-1179</v>
      </c>
      <c r="AC2159" s="10" t="n">
        <v>-4784</v>
      </c>
      <c r="AD2159" s="7" t="n">
        <v>19063</v>
      </c>
      <c r="AE2159" s="8" t="n">
        <v>-4523</v>
      </c>
      <c r="AF2159" s="8" t="n">
        <v>-12750</v>
      </c>
      <c r="AG2159" s="9" t="n">
        <v>21221</v>
      </c>
      <c r="AH2159" s="10" t="n">
        <v>3377</v>
      </c>
      <c r="AI2159" s="10" t="n">
        <v>2628</v>
      </c>
      <c r="AJ2159" s="11" t="n">
        <v>12043</v>
      </c>
      <c r="AK2159" s="12" t="n">
        <v>-1304</v>
      </c>
      <c r="AL2159" s="12" t="n">
        <v>20</v>
      </c>
      <c r="AM2159" s="13" t="n">
        <v>-43.2</v>
      </c>
      <c r="AN2159" s="13" t="n">
        <v>47.7</v>
      </c>
      <c r="AO2159" s="13" t="n">
        <v>-138.6</v>
      </c>
      <c r="AP2159" s="13" t="n">
        <v>35.2</v>
      </c>
    </row>
    <row r="2160">
      <c r="A2160" s="5" t="inlineStr">
        <is>
          <t>LB인베스트먼트</t>
        </is>
      </c>
      <c r="B2160" s="6" t="inlineStr">
        <is>
          <t>309960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5354</v>
      </c>
      <c r="J2160" s="10" t="n">
        <v>455</v>
      </c>
      <c r="K2160" s="10" t="n">
        <v>426</v>
      </c>
      <c r="L2160" s="7" t="n">
        <v>5475</v>
      </c>
      <c r="M2160" s="8" t="n">
        <v>2304</v>
      </c>
      <c r="N2160" s="8" t="n">
        <v>1917</v>
      </c>
      <c r="O2160" s="9" t="n">
        <v>2777</v>
      </c>
      <c r="P2160" s="10" t="n">
        <v>-369</v>
      </c>
      <c r="Q2160" s="10" t="n">
        <v>-328</v>
      </c>
      <c r="R2160" s="7" t="n">
        <v>16651</v>
      </c>
      <c r="S2160" s="8" t="n">
        <v>8462</v>
      </c>
      <c r="T2160" s="8" t="n">
        <v>6563</v>
      </c>
      <c r="U2160" s="9" t="n">
        <v>5294</v>
      </c>
      <c r="V2160" s="10" t="n">
        <v>1019</v>
      </c>
      <c r="W2160" s="10" t="n">
        <v>784</v>
      </c>
      <c r="X2160" s="7" t="n">
        <v>6885</v>
      </c>
      <c r="Y2160" s="8" t="n">
        <v>2642</v>
      </c>
      <c r="Z2160" s="8" t="n">
        <v>2133</v>
      </c>
      <c r="AA2160" s="9" t="n">
        <v>8142</v>
      </c>
      <c r="AB2160" s="10" t="n">
        <v>5285</v>
      </c>
      <c r="AC2160" s="10" t="n">
        <v>4638</v>
      </c>
      <c r="AD2160" s="7" t="n">
        <v>6094</v>
      </c>
      <c r="AE2160" s="8" t="n">
        <v>719</v>
      </c>
      <c r="AF2160" s="8" t="n">
        <v>4878</v>
      </c>
      <c r="AG2160" s="9" t="n">
        <v>13117</v>
      </c>
      <c r="AH2160" s="10" t="n">
        <v>2111</v>
      </c>
      <c r="AI2160" s="10" t="n">
        <v>1265</v>
      </c>
      <c r="AJ2160" s="11" t="n">
        <v>8537</v>
      </c>
      <c r="AK2160" s="12" t="n">
        <v>3435</v>
      </c>
      <c r="AL2160" s="12" t="n">
        <v>3154</v>
      </c>
      <c r="AM2160" s="13" t="n">
        <v>-34.9</v>
      </c>
      <c r="AN2160" s="13" t="n">
        <v>24</v>
      </c>
      <c r="AO2160" s="13" t="n">
        <v>62.7</v>
      </c>
      <c r="AP2160" s="13" t="n">
        <v>30</v>
      </c>
    </row>
    <row r="2161">
      <c r="A2161" s="5" t="inlineStr">
        <is>
          <t>애니플러스</t>
        </is>
      </c>
      <c r="B2161" s="6" t="inlineStr">
        <is>
          <t>310200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25724</v>
      </c>
      <c r="J2161" s="10" t="n">
        <v>5152</v>
      </c>
      <c r="K2161" s="10" t="n">
        <v>2596</v>
      </c>
      <c r="L2161" s="7" t="n">
        <v>34328</v>
      </c>
      <c r="M2161" s="8" t="n">
        <v>8114</v>
      </c>
      <c r="N2161" s="8" t="n">
        <v>4428</v>
      </c>
      <c r="O2161" s="9" t="n">
        <v>38620</v>
      </c>
      <c r="P2161" s="10" t="n">
        <v>6050</v>
      </c>
      <c r="Q2161" s="10" t="n">
        <v>4520</v>
      </c>
      <c r="R2161" s="7" t="n">
        <v>32304</v>
      </c>
      <c r="S2161" s="8" t="n">
        <v>5823</v>
      </c>
      <c r="T2161" s="8" t="n">
        <v>6485</v>
      </c>
      <c r="U2161" s="9" t="n">
        <v>29369</v>
      </c>
      <c r="V2161" s="10" t="n">
        <v>5245</v>
      </c>
      <c r="W2161" s="10" t="n">
        <v>4195</v>
      </c>
      <c r="X2161" s="7" t="n">
        <v>28611</v>
      </c>
      <c r="Y2161" s="8" t="n">
        <v>3056</v>
      </c>
      <c r="Z2161" s="8" t="n">
        <v>2189</v>
      </c>
      <c r="AA2161" s="9" t="n">
        <v>55713</v>
      </c>
      <c r="AB2161" s="10" t="n">
        <v>16437</v>
      </c>
      <c r="AC2161" s="10" t="n">
        <v>12256</v>
      </c>
      <c r="AD2161" s="7" t="n">
        <v>36607</v>
      </c>
      <c r="AE2161" s="8" t="n">
        <v>-2054</v>
      </c>
      <c r="AF2161" s="8" t="n">
        <v>-4595</v>
      </c>
      <c r="AG2161" s="9" t="n">
        <v>29612</v>
      </c>
      <c r="AH2161" s="10" t="n">
        <v>2420</v>
      </c>
      <c r="AI2161" s="10" t="n">
        <v>2199</v>
      </c>
      <c r="AJ2161" s="11" t="n">
        <v>32305</v>
      </c>
      <c r="AK2161" s="12" t="n">
        <v>3279</v>
      </c>
      <c r="AL2161" s="12" t="n">
        <v>1059</v>
      </c>
      <c r="AM2161" s="13" t="n">
        <v>9.1</v>
      </c>
      <c r="AN2161" s="13" t="n">
        <v>12.9</v>
      </c>
      <c r="AO2161" s="13" t="n">
        <v>35.5</v>
      </c>
      <c r="AP2161" s="13" t="n">
        <v>7.3</v>
      </c>
    </row>
    <row r="2162">
      <c r="A2162" s="5" t="inlineStr">
        <is>
          <t>보로노이</t>
        </is>
      </c>
      <c r="B2162" s="6" t="inlineStr">
        <is>
          <t>310210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0</v>
      </c>
      <c r="J2162" s="10" t="n">
        <v>-7616</v>
      </c>
      <c r="K2162" s="10" t="n">
        <v>-6570</v>
      </c>
      <c r="L2162" s="7" t="n">
        <v>0</v>
      </c>
      <c r="M2162" s="8" t="n">
        <v>-8638</v>
      </c>
      <c r="N2162" s="8" t="n">
        <v>-7740</v>
      </c>
      <c r="O2162" s="9" t="n">
        <v>0</v>
      </c>
      <c r="P2162" s="10" t="n">
        <v>-9494</v>
      </c>
      <c r="Q2162" s="10" t="n">
        <v>-9437</v>
      </c>
      <c r="R2162" s="7" t="n">
        <v>0</v>
      </c>
      <c r="S2162" s="8" t="n">
        <v>-10591</v>
      </c>
      <c r="T2162" s="8" t="n">
        <v>-8866</v>
      </c>
      <c r="U2162" s="9" t="n">
        <v>0</v>
      </c>
      <c r="V2162" s="10" t="n">
        <v>-14485</v>
      </c>
      <c r="W2162" s="10" t="n">
        <v>-14108</v>
      </c>
      <c r="X2162" s="7" t="n">
        <v>3350</v>
      </c>
      <c r="Y2162" s="8" t="n">
        <v>-10161</v>
      </c>
      <c r="Z2162" s="8" t="n">
        <v>-10483</v>
      </c>
      <c r="AA2162" s="9" t="n">
        <v>4140</v>
      </c>
      <c r="AB2162" s="10" t="n">
        <v>-13563</v>
      </c>
      <c r="AC2162" s="10" t="n">
        <v>-13805</v>
      </c>
      <c r="AD2162" s="7" t="n">
        <v>22</v>
      </c>
      <c r="AE2162" s="8" t="n">
        <v>-16176</v>
      </c>
      <c r="AF2162" s="8" t="n">
        <v>-4310</v>
      </c>
      <c r="AG2162" s="9" t="n">
        <v>0</v>
      </c>
      <c r="AH2162" s="10" t="n">
        <v>-22002</v>
      </c>
      <c r="AI2162" s="10" t="n">
        <v>-22003</v>
      </c>
      <c r="AJ2162" s="11" t="n">
        <v>0</v>
      </c>
      <c r="AK2162" s="12" t="n">
        <v>-29298</v>
      </c>
      <c r="AL2162" s="12" t="n">
        <v>-29015</v>
      </c>
      <c r="AM2162" s="13" t="inlineStr"/>
      <c r="AN2162" s="13" t="n">
        <v>-100</v>
      </c>
      <c r="AO2162" s="13" t="n">
        <v>-33.2</v>
      </c>
      <c r="AP2162" s="13" t="n">
        <v>-188.3</v>
      </c>
    </row>
    <row r="2163">
      <c r="A2163" s="5" t="inlineStr">
        <is>
          <t>디와이씨</t>
        </is>
      </c>
      <c r="B2163" s="6" t="inlineStr">
        <is>
          <t>310870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27992</v>
      </c>
      <c r="J2163" s="10" t="n">
        <v>2099</v>
      </c>
      <c r="K2163" s="10" t="n">
        <v>507</v>
      </c>
      <c r="L2163" s="7" t="n">
        <v>25158</v>
      </c>
      <c r="M2163" s="8" t="n">
        <v>1830</v>
      </c>
      <c r="N2163" s="8" t="n">
        <v>136</v>
      </c>
      <c r="O2163" s="9" t="n">
        <v>23687</v>
      </c>
      <c r="P2163" s="10" t="n">
        <v>267</v>
      </c>
      <c r="Q2163" s="10" t="n">
        <v>764</v>
      </c>
      <c r="R2163" s="7" t="n">
        <v>23275</v>
      </c>
      <c r="S2163" s="8" t="n">
        <v>708</v>
      </c>
      <c r="T2163" s="8" t="n">
        <v>-776</v>
      </c>
      <c r="U2163" s="9" t="n">
        <v>26077</v>
      </c>
      <c r="V2163" s="10" t="n">
        <v>2451</v>
      </c>
      <c r="W2163" s="10" t="n">
        <v>2141</v>
      </c>
      <c r="X2163" s="7" t="n">
        <v>25761</v>
      </c>
      <c r="Y2163" s="8" t="n">
        <v>469</v>
      </c>
      <c r="Z2163" s="8" t="n">
        <v>-198</v>
      </c>
      <c r="AA2163" s="9" t="n">
        <v>28450</v>
      </c>
      <c r="AB2163" s="10" t="n">
        <v>702</v>
      </c>
      <c r="AC2163" s="10" t="n">
        <v>877</v>
      </c>
      <c r="AD2163" s="7" t="n">
        <v>30751</v>
      </c>
      <c r="AE2163" s="8" t="n">
        <v>1501</v>
      </c>
      <c r="AF2163" s="8" t="n">
        <v>855</v>
      </c>
      <c r="AG2163" s="9" t="n">
        <v>33165</v>
      </c>
      <c r="AH2163" s="10" t="n">
        <v>2559</v>
      </c>
      <c r="AI2163" s="10" t="n">
        <v>2647</v>
      </c>
      <c r="AJ2163" s="11" t="n">
        <v>36544</v>
      </c>
      <c r="AK2163" s="12" t="n">
        <v>3728</v>
      </c>
      <c r="AL2163" s="12" t="n">
        <v>3030</v>
      </c>
      <c r="AM2163" s="13" t="n">
        <v>10.2</v>
      </c>
      <c r="AN2163" s="13" t="n">
        <v>41.9</v>
      </c>
      <c r="AO2163" s="13" t="n">
        <v>45.7</v>
      </c>
      <c r="AP2163" s="13" t="n">
        <v>694.9</v>
      </c>
    </row>
    <row r="2164">
      <c r="A2164" s="5" t="inlineStr">
        <is>
          <t>지오엘리먼트</t>
        </is>
      </c>
      <c r="B2164" s="6" t="inlineStr">
        <is>
          <t>311320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7108</v>
      </c>
      <c r="J2164" s="10" t="n">
        <v>1357</v>
      </c>
      <c r="K2164" s="10" t="n">
        <v>1252</v>
      </c>
      <c r="L2164" s="7" t="n">
        <v>13389</v>
      </c>
      <c r="M2164" s="8" t="n">
        <v>1650</v>
      </c>
      <c r="N2164" s="8" t="n">
        <v>1387</v>
      </c>
      <c r="O2164" s="9" t="n">
        <v>13686</v>
      </c>
      <c r="P2164" s="10" t="n">
        <v>1824</v>
      </c>
      <c r="Q2164" s="10" t="n">
        <v>1612</v>
      </c>
      <c r="R2164" s="7" t="n">
        <v>10594</v>
      </c>
      <c r="S2164" s="8" t="n">
        <v>483</v>
      </c>
      <c r="T2164" s="8" t="n">
        <v>-1151</v>
      </c>
      <c r="U2164" s="9" t="n">
        <v>13202</v>
      </c>
      <c r="V2164" s="10" t="n">
        <v>762</v>
      </c>
      <c r="W2164" s="10" t="n">
        <v>1617</v>
      </c>
      <c r="X2164" s="7" t="n">
        <v>12738</v>
      </c>
      <c r="Y2164" s="8" t="n">
        <v>1168</v>
      </c>
      <c r="Z2164" s="8" t="n">
        <v>976</v>
      </c>
      <c r="AA2164" s="9" t="n">
        <v>15619</v>
      </c>
      <c r="AB2164" s="10" t="n">
        <v>1436</v>
      </c>
      <c r="AC2164" s="10" t="n">
        <v>1063</v>
      </c>
      <c r="AD2164" s="7" t="n">
        <v>13065</v>
      </c>
      <c r="AE2164" s="8" t="n">
        <v>1063</v>
      </c>
      <c r="AF2164" s="8" t="n">
        <v>1129</v>
      </c>
      <c r="AG2164" s="9" t="n">
        <v>14851</v>
      </c>
      <c r="AH2164" s="10" t="n">
        <v>2080</v>
      </c>
      <c r="AI2164" s="10" t="n">
        <v>1834</v>
      </c>
      <c r="AJ2164" s="11" t="n">
        <v>17374</v>
      </c>
      <c r="AK2164" s="12" t="n">
        <v>3394</v>
      </c>
      <c r="AL2164" s="12" t="n">
        <v>2890</v>
      </c>
      <c r="AM2164" s="13" t="n">
        <v>17</v>
      </c>
      <c r="AN2164" s="13" t="n">
        <v>36.4</v>
      </c>
      <c r="AO2164" s="13" t="n">
        <v>63.2</v>
      </c>
      <c r="AP2164" s="13" t="n">
        <v>190.6</v>
      </c>
    </row>
    <row r="2165">
      <c r="A2165" s="5" t="inlineStr">
        <is>
          <t>네오크레마</t>
        </is>
      </c>
      <c r="B2165" s="6" t="inlineStr">
        <is>
          <t>311390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5385</v>
      </c>
      <c r="J2165" s="10" t="n">
        <v>274</v>
      </c>
      <c r="K2165" s="10" t="n">
        <v>-1672</v>
      </c>
      <c r="L2165" s="7" t="n">
        <v>6279</v>
      </c>
      <c r="M2165" s="8" t="n">
        <v>-648</v>
      </c>
      <c r="N2165" s="8" t="n">
        <v>3363</v>
      </c>
      <c r="O2165" s="9" t="n">
        <v>5922</v>
      </c>
      <c r="P2165" s="10" t="n">
        <v>-1244</v>
      </c>
      <c r="Q2165" s="10" t="n">
        <v>-1127</v>
      </c>
      <c r="R2165" s="7" t="n">
        <v>22728</v>
      </c>
      <c r="S2165" s="8" t="n">
        <v>927</v>
      </c>
      <c r="T2165" s="8" t="n">
        <v>366</v>
      </c>
      <c r="U2165" s="9" t="n">
        <v>20798</v>
      </c>
      <c r="V2165" s="10" t="n">
        <v>2765</v>
      </c>
      <c r="W2165" s="10" t="n">
        <v>2892</v>
      </c>
      <c r="X2165" s="7" t="n">
        <v>21446</v>
      </c>
      <c r="Y2165" s="8" t="n">
        <v>3266</v>
      </c>
      <c r="Z2165" s="8" t="n">
        <v>1461</v>
      </c>
      <c r="AA2165" s="9" t="n">
        <v>18051</v>
      </c>
      <c r="AB2165" s="10" t="n">
        <v>462</v>
      </c>
      <c r="AC2165" s="10" t="n">
        <v>1681</v>
      </c>
      <c r="AD2165" s="7" t="n">
        <v>21649</v>
      </c>
      <c r="AE2165" s="8" t="n">
        <v>-1084</v>
      </c>
      <c r="AF2165" s="8" t="n">
        <v>-861</v>
      </c>
      <c r="AG2165" s="9" t="n">
        <v>19084</v>
      </c>
      <c r="AH2165" s="10" t="n">
        <v>666</v>
      </c>
      <c r="AI2165" s="10" t="n">
        <v>1886</v>
      </c>
      <c r="AJ2165" s="11" t="n">
        <v>22845</v>
      </c>
      <c r="AK2165" s="12" t="n">
        <v>3536</v>
      </c>
      <c r="AL2165" s="12" t="n">
        <v>4602</v>
      </c>
      <c r="AM2165" s="13" t="n">
        <v>19.7</v>
      </c>
      <c r="AN2165" s="13" t="n">
        <v>6.5</v>
      </c>
      <c r="AO2165" s="13" t="n">
        <v>430.9</v>
      </c>
      <c r="AP2165" s="13" t="n">
        <v>8.300000000000001</v>
      </c>
    </row>
    <row r="2166">
      <c r="A2166" s="5" t="inlineStr">
        <is>
          <t>CJ 바이오사이언스</t>
        </is>
      </c>
      <c r="B2166" s="6" t="inlineStr">
        <is>
          <t>311690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1004</v>
      </c>
      <c r="J2166" s="10" t="n">
        <v>-7807</v>
      </c>
      <c r="K2166" s="10" t="n">
        <v>-7375</v>
      </c>
      <c r="L2166" s="7" t="n">
        <v>777</v>
      </c>
      <c r="M2166" s="8" t="n">
        <v>-8061</v>
      </c>
      <c r="N2166" s="8" t="n">
        <v>-7730</v>
      </c>
      <c r="O2166" s="9" t="n">
        <v>744</v>
      </c>
      <c r="P2166" s="10" t="n">
        <v>-8563</v>
      </c>
      <c r="Q2166" s="10" t="n">
        <v>-8261</v>
      </c>
      <c r="R2166" s="7" t="n">
        <v>942</v>
      </c>
      <c r="S2166" s="8" t="n">
        <v>-9810</v>
      </c>
      <c r="T2166" s="8" t="n">
        <v>-9472</v>
      </c>
      <c r="U2166" s="9" t="n">
        <v>913</v>
      </c>
      <c r="V2166" s="10" t="n">
        <v>-6597</v>
      </c>
      <c r="W2166" s="10" t="n">
        <v>-6129</v>
      </c>
      <c r="X2166" s="7" t="n">
        <v>784</v>
      </c>
      <c r="Y2166" s="8" t="n">
        <v>-6954</v>
      </c>
      <c r="Z2166" s="8" t="n">
        <v>-6885</v>
      </c>
      <c r="AA2166" s="9" t="n">
        <v>738</v>
      </c>
      <c r="AB2166" s="10" t="n">
        <v>-6078</v>
      </c>
      <c r="AC2166" s="10" t="n">
        <v>-5829</v>
      </c>
      <c r="AD2166" s="7" t="n">
        <v>1258</v>
      </c>
      <c r="AE2166" s="8" t="n">
        <v>-5157</v>
      </c>
      <c r="AF2166" s="8" t="n">
        <v>-5162</v>
      </c>
      <c r="AG2166" s="9" t="n">
        <v>783</v>
      </c>
      <c r="AH2166" s="10" t="n">
        <v>-5342</v>
      </c>
      <c r="AI2166" s="10" t="n">
        <v>-5128</v>
      </c>
      <c r="AJ2166" s="11" t="n">
        <v>898</v>
      </c>
      <c r="AK2166" s="12" t="n">
        <v>-6399</v>
      </c>
      <c r="AL2166" s="12" t="n">
        <v>-6208</v>
      </c>
      <c r="AM2166" s="13" t="n">
        <v>14.7</v>
      </c>
      <c r="AN2166" s="13" t="n">
        <v>14.5</v>
      </c>
      <c r="AO2166" s="13" t="n">
        <v>-19.8</v>
      </c>
      <c r="AP2166" s="13" t="n">
        <v>8</v>
      </c>
    </row>
    <row r="2167">
      <c r="A2167" s="5" t="inlineStr">
        <is>
          <t>에이에프더블류</t>
        </is>
      </c>
      <c r="B2167" s="6" t="inlineStr">
        <is>
          <t>312610</t>
        </is>
      </c>
      <c r="C2167" s="6" t="inlineStr">
        <is>
          <t>별도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4695</v>
      </c>
      <c r="J2167" s="10" t="n">
        <v>-1212</v>
      </c>
      <c r="K2167" s="10" t="n">
        <v>-936</v>
      </c>
      <c r="L2167" s="7" t="n">
        <v>4424</v>
      </c>
      <c r="M2167" s="8" t="n">
        <v>-1278</v>
      </c>
      <c r="N2167" s="8" t="n">
        <v>-950</v>
      </c>
      <c r="O2167" s="9" t="n">
        <v>3150</v>
      </c>
      <c r="P2167" s="10" t="n">
        <v>-2010</v>
      </c>
      <c r="Q2167" s="10" t="n">
        <v>-1909</v>
      </c>
      <c r="R2167" s="7" t="n">
        <v>3475</v>
      </c>
      <c r="S2167" s="8" t="n">
        <v>-1976</v>
      </c>
      <c r="T2167" s="8" t="n">
        <v>-1818</v>
      </c>
      <c r="U2167" s="9" t="n">
        <v>2808</v>
      </c>
      <c r="V2167" s="10" t="n">
        <v>-2032</v>
      </c>
      <c r="W2167" s="10" t="n">
        <v>-1990</v>
      </c>
      <c r="X2167" s="7" t="n">
        <v>3647</v>
      </c>
      <c r="Y2167" s="8" t="n">
        <v>-2473</v>
      </c>
      <c r="Z2167" s="8" t="n">
        <v>-2809</v>
      </c>
      <c r="AA2167" s="9" t="n">
        <v>3305</v>
      </c>
      <c r="AB2167" s="10" t="n">
        <v>-2478</v>
      </c>
      <c r="AC2167" s="10" t="n">
        <v>-2420</v>
      </c>
      <c r="AD2167" s="7" t="n">
        <v>3948</v>
      </c>
      <c r="AE2167" s="8" t="n">
        <v>-2538</v>
      </c>
      <c r="AF2167" s="8" t="n">
        <v>-3041</v>
      </c>
      <c r="AG2167" s="9" t="n">
        <v>4271</v>
      </c>
      <c r="AH2167" s="10" t="n">
        <v>-2024</v>
      </c>
      <c r="AI2167" s="10" t="n">
        <v>-2023</v>
      </c>
      <c r="AJ2167" s="11" t="n">
        <v>6454</v>
      </c>
      <c r="AK2167" s="12" t="n">
        <v>-2632</v>
      </c>
      <c r="AL2167" s="12" t="n">
        <v>-2609</v>
      </c>
      <c r="AM2167" s="13" t="n">
        <v>51.1</v>
      </c>
      <c r="AN2167" s="13" t="n">
        <v>77</v>
      </c>
      <c r="AO2167" s="13" t="n">
        <v>-30</v>
      </c>
      <c r="AP2167" s="13" t="n">
        <v>-6.4</v>
      </c>
    </row>
    <row r="2168">
      <c r="A2168" s="5" t="inlineStr">
        <is>
          <t>캐리</t>
        </is>
      </c>
      <c r="B2168" s="6" t="inlineStr">
        <is>
          <t>313760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3113</v>
      </c>
      <c r="J2168" s="10" t="n">
        <v>-2195</v>
      </c>
      <c r="K2168" s="10" t="n">
        <v>-2204</v>
      </c>
      <c r="L2168" s="7" t="n">
        <v>2021</v>
      </c>
      <c r="M2168" s="8" t="n">
        <v>-4739</v>
      </c>
      <c r="N2168" s="8" t="n">
        <v>-7333</v>
      </c>
      <c r="O2168" s="9" t="n">
        <v>2029</v>
      </c>
      <c r="P2168" s="10" t="n">
        <v>-1580</v>
      </c>
      <c r="Q2168" s="10" t="n">
        <v>-1140</v>
      </c>
      <c r="R2168" s="7" t="n">
        <v>1011</v>
      </c>
      <c r="S2168" s="8" t="n">
        <v>4496</v>
      </c>
      <c r="T2168" s="8" t="n">
        <v>-2329</v>
      </c>
      <c r="U2168" s="9" t="n">
        <v>2163</v>
      </c>
      <c r="V2168" s="10" t="n">
        <v>-1390</v>
      </c>
      <c r="W2168" s="10" t="n">
        <v>-887</v>
      </c>
      <c r="X2168" s="7" t="n">
        <v>1732</v>
      </c>
      <c r="Y2168" s="8" t="n">
        <v>-1147</v>
      </c>
      <c r="Z2168" s="8" t="n">
        <v>-2607</v>
      </c>
      <c r="AA2168" s="9" t="n">
        <v>1753</v>
      </c>
      <c r="AB2168" s="10" t="n">
        <v>-1242</v>
      </c>
      <c r="AC2168" s="10" t="n">
        <v>-1623</v>
      </c>
      <c r="AD2168" s="7" t="n">
        <v>1833</v>
      </c>
      <c r="AE2168" s="8" t="n">
        <v>-1093</v>
      </c>
      <c r="AF2168" s="8" t="n">
        <v>-3279</v>
      </c>
      <c r="AG2168" s="9" t="n">
        <v>521</v>
      </c>
      <c r="AH2168" s="10" t="n">
        <v>-696</v>
      </c>
      <c r="AI2168" s="10" t="n">
        <v>-1086</v>
      </c>
      <c r="AJ2168" s="11" t="n">
        <v>23</v>
      </c>
      <c r="AK2168" s="12" t="n">
        <v>-528</v>
      </c>
      <c r="AL2168" s="12" t="n">
        <v>-1162</v>
      </c>
      <c r="AM2168" s="13" t="n">
        <v>-95.59999999999999</v>
      </c>
      <c r="AN2168" s="13" t="n">
        <v>-98.7</v>
      </c>
      <c r="AO2168" s="13" t="n">
        <v>24.1</v>
      </c>
      <c r="AP2168" s="13" t="n">
        <v>54</v>
      </c>
    </row>
    <row r="2169">
      <c r="A2169" s="5" t="inlineStr">
        <is>
          <t>지놈앤컴퍼니</t>
        </is>
      </c>
      <c r="B2169" s="6" t="inlineStr">
        <is>
          <t>314130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4261</v>
      </c>
      <c r="J2169" s="10" t="n">
        <v>-9329</v>
      </c>
      <c r="K2169" s="10" t="n">
        <v>-8714</v>
      </c>
      <c r="L2169" s="7" t="n">
        <v>11628</v>
      </c>
      <c r="M2169" s="8" t="n">
        <v>-1708</v>
      </c>
      <c r="N2169" s="8" t="n">
        <v>898</v>
      </c>
      <c r="O2169" s="9" t="n">
        <v>4623</v>
      </c>
      <c r="P2169" s="10" t="n">
        <v>-7848</v>
      </c>
      <c r="Q2169" s="10" t="n">
        <v>-7210</v>
      </c>
      <c r="R2169" s="7" t="n">
        <v>7233</v>
      </c>
      <c r="S2169" s="8" t="n">
        <v>-5314</v>
      </c>
      <c r="T2169" s="8" t="n">
        <v>-11824</v>
      </c>
      <c r="U2169" s="9" t="n">
        <v>6354</v>
      </c>
      <c r="V2169" s="10" t="n">
        <v>-6705</v>
      </c>
      <c r="W2169" s="10" t="n">
        <v>-7125</v>
      </c>
      <c r="X2169" s="7" t="n">
        <v>5809</v>
      </c>
      <c r="Y2169" s="8" t="n">
        <v>-7410</v>
      </c>
      <c r="Z2169" s="8" t="n">
        <v>-6837</v>
      </c>
      <c r="AA2169" s="9" t="n">
        <v>6558</v>
      </c>
      <c r="AB2169" s="10" t="n">
        <v>-8090</v>
      </c>
      <c r="AC2169" s="10" t="n">
        <v>-8044</v>
      </c>
      <c r="AD2169" s="7" t="n">
        <v>5866</v>
      </c>
      <c r="AE2169" s="8" t="n">
        <v>-7029</v>
      </c>
      <c r="AF2169" s="8" t="n">
        <v>14319</v>
      </c>
      <c r="AG2169" s="9" t="n">
        <v>5782</v>
      </c>
      <c r="AH2169" s="10" t="n">
        <v>-6096</v>
      </c>
      <c r="AI2169" s="10" t="n">
        <v>-6811</v>
      </c>
      <c r="AJ2169" s="11" t="n">
        <v>6254</v>
      </c>
      <c r="AK2169" s="12" t="n">
        <v>-7974</v>
      </c>
      <c r="AL2169" s="12" t="n">
        <v>-42648</v>
      </c>
      <c r="AM2169" s="13" t="n">
        <v>8.199999999999999</v>
      </c>
      <c r="AN2169" s="13" t="n">
        <v>7.7</v>
      </c>
      <c r="AO2169" s="13" t="n">
        <v>-30.8</v>
      </c>
      <c r="AP2169" s="13" t="n">
        <v>-7.6</v>
      </c>
    </row>
    <row r="2170">
      <c r="A2170" s="5" t="inlineStr">
        <is>
          <t>알피바이오</t>
        </is>
      </c>
      <c r="B2170" s="6" t="inlineStr">
        <is>
          <t>314140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32488</v>
      </c>
      <c r="J2170" s="10" t="n">
        <v>-262</v>
      </c>
      <c r="K2170" s="10" t="n">
        <v>-518</v>
      </c>
      <c r="L2170" s="7" t="n">
        <v>32079</v>
      </c>
      <c r="M2170" s="8" t="n">
        <v>484</v>
      </c>
      <c r="N2170" s="8" t="n">
        <v>119</v>
      </c>
      <c r="O2170" s="9" t="n">
        <v>28100</v>
      </c>
      <c r="P2170" s="10" t="n">
        <v>-1273</v>
      </c>
      <c r="Q2170" s="10" t="n">
        <v>-1578</v>
      </c>
      <c r="R2170" s="7" t="n">
        <v>31300</v>
      </c>
      <c r="S2170" s="8" t="n">
        <v>357</v>
      </c>
      <c r="T2170" s="8" t="n">
        <v>1070</v>
      </c>
      <c r="U2170" s="9" t="n">
        <v>33992</v>
      </c>
      <c r="V2170" s="10" t="n">
        <v>1805</v>
      </c>
      <c r="W2170" s="10" t="n">
        <v>1696</v>
      </c>
      <c r="X2170" s="7" t="n">
        <v>35699</v>
      </c>
      <c r="Y2170" s="8" t="n">
        <v>2325</v>
      </c>
      <c r="Z2170" s="8" t="n">
        <v>1847</v>
      </c>
      <c r="AA2170" s="9" t="n">
        <v>33216</v>
      </c>
      <c r="AB2170" s="10" t="n">
        <v>273</v>
      </c>
      <c r="AC2170" s="10" t="n">
        <v>276</v>
      </c>
      <c r="AD2170" s="7" t="n">
        <v>33312</v>
      </c>
      <c r="AE2170" s="8" t="n">
        <v>684</v>
      </c>
      <c r="AF2170" s="8" t="n">
        <v>863</v>
      </c>
      <c r="AG2170" s="9" t="n">
        <v>35127</v>
      </c>
      <c r="AH2170" s="10" t="n">
        <v>2423</v>
      </c>
      <c r="AI2170" s="10" t="n">
        <v>2617</v>
      </c>
      <c r="AJ2170" s="11" t="n">
        <v>39770</v>
      </c>
      <c r="AK2170" s="12" t="n">
        <v>4091</v>
      </c>
      <c r="AL2170" s="12" t="n">
        <v>2970</v>
      </c>
      <c r="AM2170" s="13" t="n">
        <v>13.2</v>
      </c>
      <c r="AN2170" s="13" t="n">
        <v>11.4</v>
      </c>
      <c r="AO2170" s="13" t="n">
        <v>68.8</v>
      </c>
      <c r="AP2170" s="13" t="n">
        <v>76</v>
      </c>
    </row>
    <row r="2171">
      <c r="A2171" s="5" t="inlineStr">
        <is>
          <t>바이오다인</t>
        </is>
      </c>
      <c r="B2171" s="6" t="inlineStr">
        <is>
          <t>314930</t>
        </is>
      </c>
      <c r="C2171" s="6" t="inlineStr">
        <is>
          <t>연결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1106</v>
      </c>
      <c r="J2171" s="10" t="n">
        <v>-455</v>
      </c>
      <c r="K2171" s="10" t="n">
        <v>-203</v>
      </c>
      <c r="L2171" s="7" t="n">
        <v>1232</v>
      </c>
      <c r="M2171" s="8" t="n">
        <v>-278</v>
      </c>
      <c r="N2171" s="8" t="n">
        <v>150</v>
      </c>
      <c r="O2171" s="9" t="n">
        <v>1520</v>
      </c>
      <c r="P2171" s="10" t="n">
        <v>-425</v>
      </c>
      <c r="Q2171" s="10" t="n">
        <v>-384</v>
      </c>
      <c r="R2171" s="7" t="n">
        <v>1413</v>
      </c>
      <c r="S2171" s="8" t="n">
        <v>-572</v>
      </c>
      <c r="T2171" s="8" t="n">
        <v>448</v>
      </c>
      <c r="U2171" s="9" t="n">
        <v>917</v>
      </c>
      <c r="V2171" s="10" t="n">
        <v>-808</v>
      </c>
      <c r="W2171" s="10" t="n">
        <v>-435</v>
      </c>
      <c r="X2171" s="7" t="n">
        <v>1791</v>
      </c>
      <c r="Y2171" s="8" t="n">
        <v>299</v>
      </c>
      <c r="Z2171" s="8" t="n">
        <v>-104</v>
      </c>
      <c r="AA2171" s="9" t="n">
        <v>859</v>
      </c>
      <c r="AB2171" s="10" t="n">
        <v>-383</v>
      </c>
      <c r="AC2171" s="10" t="n">
        <v>13</v>
      </c>
      <c r="AD2171" s="7" t="n">
        <v>3461</v>
      </c>
      <c r="AE2171" s="8" t="n">
        <v>1544</v>
      </c>
      <c r="AF2171" s="8" t="n">
        <v>1378</v>
      </c>
      <c r="AG2171" s="9" t="n">
        <v>867</v>
      </c>
      <c r="AH2171" s="10" t="n">
        <v>-403</v>
      </c>
      <c r="AI2171" s="10" t="n">
        <v>155</v>
      </c>
      <c r="AJ2171" s="11" t="n">
        <v>587</v>
      </c>
      <c r="AK2171" s="12" t="n">
        <v>-681</v>
      </c>
      <c r="AL2171" s="12" t="n">
        <v>-323</v>
      </c>
      <c r="AM2171" s="13" t="n">
        <v>-32.3</v>
      </c>
      <c r="AN2171" s="13" t="n">
        <v>-67.2</v>
      </c>
      <c r="AO2171" s="13" t="n">
        <v>-69</v>
      </c>
      <c r="AP2171" s="13" t="n">
        <v>-327.8</v>
      </c>
    </row>
    <row r="2172">
      <c r="A2172" s="5" t="inlineStr">
        <is>
          <t>딥노이드</t>
        </is>
      </c>
      <c r="B2172" s="6" t="inlineStr">
        <is>
          <t>315640</t>
        </is>
      </c>
      <c r="C2172" s="6" t="inlineStr">
        <is>
          <t>별도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358</v>
      </c>
      <c r="J2172" s="10" t="n">
        <v>-2758</v>
      </c>
      <c r="K2172" s="10" t="n">
        <v>-2540</v>
      </c>
      <c r="L2172" s="7" t="n">
        <v>3872</v>
      </c>
      <c r="M2172" s="8" t="n">
        <v>-2742</v>
      </c>
      <c r="N2172" s="8" t="n">
        <v>-2350</v>
      </c>
      <c r="O2172" s="9" t="n">
        <v>3979</v>
      </c>
      <c r="P2172" s="10" t="n">
        <v>-1845</v>
      </c>
      <c r="Q2172" s="10" t="n">
        <v>-1697</v>
      </c>
      <c r="R2172" s="7" t="n">
        <v>2638</v>
      </c>
      <c r="S2172" s="8" t="n">
        <v>-2751</v>
      </c>
      <c r="T2172" s="8" t="n">
        <v>-2491</v>
      </c>
      <c r="U2172" s="9" t="n">
        <v>961</v>
      </c>
      <c r="V2172" s="10" t="n">
        <v>-3569</v>
      </c>
      <c r="W2172" s="10" t="n">
        <v>-3500</v>
      </c>
      <c r="X2172" s="7" t="n">
        <v>3671</v>
      </c>
      <c r="Y2172" s="8" t="n">
        <v>-233</v>
      </c>
      <c r="Z2172" s="8" t="n">
        <v>-33</v>
      </c>
      <c r="AA2172" s="9" t="n">
        <v>2180</v>
      </c>
      <c r="AB2172" s="10" t="n">
        <v>-3035</v>
      </c>
      <c r="AC2172" s="10" t="n">
        <v>-3078</v>
      </c>
      <c r="AD2172" s="7" t="n">
        <v>660</v>
      </c>
      <c r="AE2172" s="8" t="n">
        <v>-3720</v>
      </c>
      <c r="AF2172" s="8" t="n">
        <v>-4137</v>
      </c>
      <c r="AG2172" s="9" t="n">
        <v>357</v>
      </c>
      <c r="AH2172" s="10" t="n">
        <v>-3981</v>
      </c>
      <c r="AI2172" s="10" t="n">
        <v>-3873</v>
      </c>
      <c r="AJ2172" s="11" t="n">
        <v>1311</v>
      </c>
      <c r="AK2172" s="12" t="n">
        <v>-3297</v>
      </c>
      <c r="AL2172" s="12" t="n">
        <v>-3234</v>
      </c>
      <c r="AM2172" s="13" t="n">
        <v>267.2</v>
      </c>
      <c r="AN2172" s="13" t="n">
        <v>-64.3</v>
      </c>
      <c r="AO2172" s="13" t="n">
        <v>17.2</v>
      </c>
      <c r="AP2172" s="13" t="n">
        <v>-1315</v>
      </c>
    </row>
    <row r="2173">
      <c r="A2173" s="5" t="inlineStr">
        <is>
          <t>우리금융지주</t>
        </is>
      </c>
      <c r="B2173" s="6" t="inlineStr">
        <is>
          <t>316140</t>
        </is>
      </c>
      <c r="C2173" s="6" t="inlineStr">
        <is>
          <t>연결</t>
        </is>
      </c>
      <c r="D2173" s="6" t="inlineStr">
        <is>
          <t>2026Q2</t>
        </is>
      </c>
      <c r="E2173" s="6" t="inlineStr">
        <is>
          <t>2023Q4</t>
        </is>
      </c>
      <c r="F2173" s="14" t="n">
        <v>42033487</v>
      </c>
      <c r="G2173" s="15" t="n">
        <v>3512682</v>
      </c>
      <c r="H2173" s="15" t="n">
        <v>2637249</v>
      </c>
      <c r="I2173" s="14" t="n">
        <v>12851290</v>
      </c>
      <c r="J2173" s="10" t="n">
        <v>1150689</v>
      </c>
      <c r="K2173" s="10" t="n">
        <v>838911</v>
      </c>
      <c r="L2173" s="14" t="n">
        <v>23737884</v>
      </c>
      <c r="M2173" s="8" t="n">
        <v>1253320</v>
      </c>
      <c r="N2173" s="8" t="n">
        <v>961509</v>
      </c>
      <c r="O2173" s="14" t="n">
        <v>7440508</v>
      </c>
      <c r="P2173" s="10" t="n">
        <v>1177021</v>
      </c>
      <c r="Q2173" s="10" t="n">
        <v>916978</v>
      </c>
      <c r="R2173" s="14" t="n">
        <v>46680933</v>
      </c>
      <c r="S2173" s="8" t="n">
        <v>674160</v>
      </c>
      <c r="T2173" s="8" t="n">
        <v>454071</v>
      </c>
      <c r="U2173" s="14" t="n">
        <v>9657830</v>
      </c>
      <c r="V2173" s="10" t="n">
        <v>869263</v>
      </c>
      <c r="W2173" s="10" t="n">
        <v>654556</v>
      </c>
      <c r="X2173" s="14" t="n">
        <v>12254598</v>
      </c>
      <c r="Y2173" s="8" t="n">
        <v>1108451</v>
      </c>
      <c r="Z2173" s="8" t="n">
        <v>939743</v>
      </c>
      <c r="AA2173" s="14" t="n">
        <v>5062405</v>
      </c>
      <c r="AB2173" s="10" t="n">
        <v>988030</v>
      </c>
      <c r="AC2173" s="10" t="n">
        <v>1291504</v>
      </c>
      <c r="AD2173" s="14" t="n">
        <v>7297279</v>
      </c>
      <c r="AE2173" s="8" t="n">
        <v>709064</v>
      </c>
      <c r="AF2173" s="8" t="n">
        <v>341705</v>
      </c>
      <c r="AG2173" s="14" t="n">
        <v>15282383</v>
      </c>
      <c r="AH2173" s="10" t="n">
        <v>808155</v>
      </c>
      <c r="AI2173" s="10" t="n">
        <v>639433</v>
      </c>
      <c r="AJ2173" s="14" t="n">
        <v>13165152</v>
      </c>
      <c r="AK2173" s="12" t="n">
        <v>1315672</v>
      </c>
      <c r="AL2173" s="12" t="n">
        <v>1026482</v>
      </c>
      <c r="AM2173" s="13" t="n">
        <v>-13.9</v>
      </c>
      <c r="AN2173" s="13" t="n">
        <v>7.4</v>
      </c>
      <c r="AO2173" s="13" t="n">
        <v>62.8</v>
      </c>
      <c r="AP2173" s="13" t="n">
        <v>18.7</v>
      </c>
    </row>
    <row r="2174">
      <c r="A2174" s="5" t="inlineStr">
        <is>
          <t>라닉스</t>
        </is>
      </c>
      <c r="B2174" s="6" t="inlineStr">
        <is>
          <t>317120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1847</v>
      </c>
      <c r="J2174" s="10" t="n">
        <v>-1612</v>
      </c>
      <c r="K2174" s="10" t="n">
        <v>-1870</v>
      </c>
      <c r="L2174" s="7" t="n">
        <v>2031</v>
      </c>
      <c r="M2174" s="8" t="n">
        <v>-1226</v>
      </c>
      <c r="N2174" s="8" t="n">
        <v>-1590</v>
      </c>
      <c r="O2174" s="9" t="n">
        <v>1197</v>
      </c>
      <c r="P2174" s="10" t="n">
        <v>-1547</v>
      </c>
      <c r="Q2174" s="10" t="n">
        <v>-1842</v>
      </c>
      <c r="R2174" s="7" t="n">
        <v>2638</v>
      </c>
      <c r="S2174" s="8" t="n">
        <v>-1034</v>
      </c>
      <c r="T2174" s="8" t="n">
        <v>-1432</v>
      </c>
      <c r="U2174" s="9" t="n">
        <v>2074</v>
      </c>
      <c r="V2174" s="10" t="n">
        <v>-1443</v>
      </c>
      <c r="W2174" s="10" t="n">
        <v>-1779</v>
      </c>
      <c r="X2174" s="7" t="n">
        <v>1501</v>
      </c>
      <c r="Y2174" s="8" t="n">
        <v>-1921</v>
      </c>
      <c r="Z2174" s="8" t="n">
        <v>-2420</v>
      </c>
      <c r="AA2174" s="9" t="n">
        <v>2107</v>
      </c>
      <c r="AB2174" s="10" t="n">
        <v>-934</v>
      </c>
      <c r="AC2174" s="10" t="n">
        <v>-1372</v>
      </c>
      <c r="AD2174" s="7" t="n">
        <v>1786</v>
      </c>
      <c r="AE2174" s="8" t="n">
        <v>-1754</v>
      </c>
      <c r="AF2174" s="8" t="n">
        <v>-2201</v>
      </c>
      <c r="AG2174" s="9" t="n">
        <v>1563</v>
      </c>
      <c r="AH2174" s="10" t="n">
        <v>-1569</v>
      </c>
      <c r="AI2174" s="10" t="n">
        <v>-1813</v>
      </c>
      <c r="AJ2174" s="11" t="n">
        <v>1936</v>
      </c>
      <c r="AK2174" s="12" t="n">
        <v>-1551</v>
      </c>
      <c r="AL2174" s="12" t="n">
        <v>-2135</v>
      </c>
      <c r="AM2174" s="13" t="n">
        <v>23.9</v>
      </c>
      <c r="AN2174" s="13" t="n">
        <v>29</v>
      </c>
      <c r="AO2174" s="13" t="n">
        <v>1.1</v>
      </c>
      <c r="AP2174" s="13" t="n">
        <v>19.3</v>
      </c>
    </row>
    <row r="2175">
      <c r="A2175" s="5" t="inlineStr">
        <is>
          <t>TS트릴리온</t>
        </is>
      </c>
      <c r="B2175" s="6" t="inlineStr">
        <is>
          <t>317240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7767</v>
      </c>
      <c r="J2175" s="10" t="n">
        <v>384</v>
      </c>
      <c r="K2175" s="10" t="n">
        <v>-176</v>
      </c>
      <c r="L2175" s="7" t="n">
        <v>7362</v>
      </c>
      <c r="M2175" s="8" t="n">
        <v>-107</v>
      </c>
      <c r="N2175" s="8" t="n">
        <v>-804</v>
      </c>
      <c r="O2175" s="9" t="n">
        <v>7656</v>
      </c>
      <c r="P2175" s="10" t="n">
        <v>213</v>
      </c>
      <c r="Q2175" s="10" t="n">
        <v>-272</v>
      </c>
      <c r="R2175" s="7" t="n">
        <v>7973</v>
      </c>
      <c r="S2175" s="8" t="n">
        <v>-109</v>
      </c>
      <c r="T2175" s="8" t="n">
        <v>-3743</v>
      </c>
      <c r="U2175" s="9" t="n">
        <v>7160</v>
      </c>
      <c r="V2175" s="10" t="n">
        <v>395</v>
      </c>
      <c r="W2175" s="10" t="n">
        <v>-119</v>
      </c>
      <c r="X2175" s="7" t="n">
        <v>5507</v>
      </c>
      <c r="Y2175" s="8" t="n">
        <v>-678</v>
      </c>
      <c r="Z2175" s="8" t="n">
        <v>-1176</v>
      </c>
      <c r="AA2175" s="9" t="n">
        <v>7305</v>
      </c>
      <c r="AB2175" s="10" t="n">
        <v>184</v>
      </c>
      <c r="AC2175" s="10" t="n">
        <v>-246</v>
      </c>
      <c r="AD2175" s="7" t="n">
        <v>6062</v>
      </c>
      <c r="AE2175" s="8" t="n">
        <v>125</v>
      </c>
      <c r="AF2175" s="8" t="n">
        <v>-468</v>
      </c>
      <c r="AG2175" s="9" t="n">
        <v>10069</v>
      </c>
      <c r="AH2175" s="10" t="n">
        <v>1109</v>
      </c>
      <c r="AI2175" s="10" t="n">
        <v>922</v>
      </c>
      <c r="AJ2175" s="11" t="n">
        <v>7897</v>
      </c>
      <c r="AK2175" s="12" t="n">
        <v>290</v>
      </c>
      <c r="AL2175" s="12" t="n">
        <v>-131</v>
      </c>
      <c r="AM2175" s="13" t="n">
        <v>-21.6</v>
      </c>
      <c r="AN2175" s="13" t="n">
        <v>43.4</v>
      </c>
      <c r="AO2175" s="13" t="n">
        <v>-73.90000000000001</v>
      </c>
      <c r="AP2175" s="13" t="n">
        <v>142.8</v>
      </c>
    </row>
    <row r="2176">
      <c r="A2176" s="5" t="inlineStr">
        <is>
          <t>덕산테코피아</t>
        </is>
      </c>
      <c r="B2176" s="6" t="inlineStr">
        <is>
          <t>317330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29768</v>
      </c>
      <c r="J2176" s="10" t="n">
        <v>-4909</v>
      </c>
      <c r="K2176" s="10" t="n">
        <v>-6894</v>
      </c>
      <c r="L2176" s="7" t="n">
        <v>23528</v>
      </c>
      <c r="M2176" s="8" t="n">
        <v>-5882</v>
      </c>
      <c r="N2176" s="8" t="n">
        <v>-44537</v>
      </c>
      <c r="O2176" s="9" t="n">
        <v>26139</v>
      </c>
      <c r="P2176" s="10" t="n">
        <v>-6091</v>
      </c>
      <c r="Q2176" s="10" t="n">
        <v>-4540</v>
      </c>
      <c r="R2176" s="7" t="n">
        <v>20259</v>
      </c>
      <c r="S2176" s="8" t="n">
        <v>-13337</v>
      </c>
      <c r="T2176" s="8" t="n">
        <v>-16608</v>
      </c>
      <c r="U2176" s="9" t="n">
        <v>24249</v>
      </c>
      <c r="V2176" s="10" t="n">
        <v>-9730</v>
      </c>
      <c r="W2176" s="10" t="n">
        <v>-14902</v>
      </c>
      <c r="X2176" s="7" t="n">
        <v>28967</v>
      </c>
      <c r="Y2176" s="8" t="n">
        <v>-8714</v>
      </c>
      <c r="Z2176" s="8" t="n">
        <v>-7808</v>
      </c>
      <c r="AA2176" s="9" t="n">
        <v>30053</v>
      </c>
      <c r="AB2176" s="10" t="n">
        <v>-14859</v>
      </c>
      <c r="AC2176" s="10" t="n">
        <v>-20889</v>
      </c>
      <c r="AD2176" s="7" t="n">
        <v>28810</v>
      </c>
      <c r="AE2176" s="8" t="n">
        <v>-9723</v>
      </c>
      <c r="AF2176" s="8" t="n">
        <v>-61951</v>
      </c>
      <c r="AG2176" s="9" t="n">
        <v>39140</v>
      </c>
      <c r="AH2176" s="10" t="n">
        <v>-10383</v>
      </c>
      <c r="AI2176" s="10" t="n">
        <v>-15109</v>
      </c>
      <c r="AJ2176" s="11" t="n">
        <v>42182</v>
      </c>
      <c r="AK2176" s="12" t="n">
        <v>-10562</v>
      </c>
      <c r="AL2176" s="12" t="n">
        <v>-18128</v>
      </c>
      <c r="AM2176" s="13" t="n">
        <v>7.8</v>
      </c>
      <c r="AN2176" s="13" t="n">
        <v>45.6</v>
      </c>
      <c r="AO2176" s="13" t="n">
        <v>-1.7</v>
      </c>
      <c r="AP2176" s="13" t="n">
        <v>-21.2</v>
      </c>
    </row>
    <row r="2177">
      <c r="A2177" s="5" t="inlineStr">
        <is>
          <t>자이에스앤디</t>
        </is>
      </c>
      <c r="B2177" s="6" t="inlineStr">
        <is>
          <t>317400</t>
        </is>
      </c>
      <c r="C2177" s="6" t="inlineStr">
        <is>
          <t>연결</t>
        </is>
      </c>
      <c r="D2177" s="6" t="inlineStr">
        <is>
          <t>2026Q2</t>
        </is>
      </c>
      <c r="E2177" s="6" t="inlineStr">
        <is>
          <t>2023Q4</t>
        </is>
      </c>
      <c r="F2177" s="14" t="n">
        <v>479750</v>
      </c>
      <c r="G2177" s="15" t="n">
        <v>19973</v>
      </c>
      <c r="H2177" s="15" t="n">
        <v>16077</v>
      </c>
      <c r="I2177" s="9" t="n">
        <v>400475</v>
      </c>
      <c r="J2177" s="10" t="n">
        <v>591</v>
      </c>
      <c r="K2177" s="10" t="n">
        <v>500</v>
      </c>
      <c r="L2177" s="7" t="n">
        <v>427369</v>
      </c>
      <c r="M2177" s="8" t="n">
        <v>1083</v>
      </c>
      <c r="N2177" s="8" t="n">
        <v>1708</v>
      </c>
      <c r="O2177" s="9" t="n">
        <v>375839</v>
      </c>
      <c r="P2177" s="10" t="n">
        <v>2489</v>
      </c>
      <c r="Q2177" s="10" t="n">
        <v>3693</v>
      </c>
      <c r="R2177" s="7" t="n">
        <v>374490</v>
      </c>
      <c r="S2177" s="8" t="n">
        <v>-1787</v>
      </c>
      <c r="T2177" s="8" t="n">
        <v>743</v>
      </c>
      <c r="U2177" s="9" t="n">
        <v>312684</v>
      </c>
      <c r="V2177" s="10" t="n">
        <v>-10602</v>
      </c>
      <c r="W2177" s="10" t="n">
        <v>-8069</v>
      </c>
      <c r="X2177" s="7" t="n">
        <v>336954</v>
      </c>
      <c r="Y2177" s="8" t="n">
        <v>-2719</v>
      </c>
      <c r="Z2177" s="8" t="n">
        <v>4324</v>
      </c>
      <c r="AA2177" s="9" t="n">
        <v>402990</v>
      </c>
      <c r="AB2177" s="10" t="n">
        <v>28354</v>
      </c>
      <c r="AC2177" s="10" t="n">
        <v>37440</v>
      </c>
      <c r="AD2177" s="7" t="n">
        <v>334968</v>
      </c>
      <c r="AE2177" s="8" t="n">
        <v>-2527</v>
      </c>
      <c r="AF2177" s="8" t="n">
        <v>3424</v>
      </c>
      <c r="AG2177" s="9" t="n">
        <v>270257</v>
      </c>
      <c r="AH2177" s="10" t="n">
        <v>11343</v>
      </c>
      <c r="AI2177" s="10" t="n">
        <v>8511</v>
      </c>
      <c r="AJ2177" s="11" t="n">
        <v>303337</v>
      </c>
      <c r="AK2177" s="12" t="n">
        <v>9036</v>
      </c>
      <c r="AL2177" s="12" t="n">
        <v>9852</v>
      </c>
      <c r="AM2177" s="13" t="n">
        <v>12.2</v>
      </c>
      <c r="AN2177" s="13" t="n">
        <v>-10</v>
      </c>
      <c r="AO2177" s="13" t="n">
        <v>-20.3</v>
      </c>
      <c r="AP2177" s="13" t="n">
        <v>432.3</v>
      </c>
    </row>
    <row r="2178">
      <c r="A2178" s="5" t="inlineStr">
        <is>
          <t>명인제약</t>
        </is>
      </c>
      <c r="B2178" s="6" t="inlineStr">
        <is>
          <t>317450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inlineStr"/>
      <c r="J2178" s="10" t="inlineStr"/>
      <c r="K2178" s="10" t="inlineStr"/>
      <c r="L2178" s="7" t="inlineStr"/>
      <c r="M2178" s="8" t="inlineStr"/>
      <c r="N2178" s="8" t="inlineStr"/>
      <c r="O2178" s="9" t="inlineStr"/>
      <c r="P2178" s="10" t="inlineStr"/>
      <c r="Q2178" s="10" t="inlineStr"/>
      <c r="R2178" s="7" t="inlineStr"/>
      <c r="S2178" s="8" t="inlineStr"/>
      <c r="T2178" s="8" t="inlineStr"/>
      <c r="U2178" s="9" t="inlineStr"/>
      <c r="V2178" s="10" t="inlineStr"/>
      <c r="W2178" s="10" t="inlineStr"/>
      <c r="X2178" s="7" t="inlineStr"/>
      <c r="Y2178" s="8" t="inlineStr"/>
      <c r="Z2178" s="8" t="inlineStr"/>
      <c r="AA2178" s="9" t="n">
        <v>72697</v>
      </c>
      <c r="AB2178" s="10" t="n">
        <v>21915</v>
      </c>
      <c r="AC2178" s="10" t="n">
        <v>18548</v>
      </c>
      <c r="AD2178" s="7" t="inlineStr"/>
      <c r="AE2178" s="8" t="inlineStr"/>
      <c r="AF2178" s="8" t="inlineStr"/>
      <c r="AG2178" s="9" t="n">
        <v>72136</v>
      </c>
      <c r="AH2178" s="10" t="n">
        <v>25109</v>
      </c>
      <c r="AI2178" s="10" t="n">
        <v>22731</v>
      </c>
      <c r="AJ2178" s="11" t="n">
        <v>76106</v>
      </c>
      <c r="AK2178" s="12" t="n">
        <v>27612</v>
      </c>
      <c r="AL2178" s="12" t="n">
        <v>24322</v>
      </c>
      <c r="AM2178" s="13" t="n">
        <v>5.5</v>
      </c>
      <c r="AN2178" s="13" t="inlineStr"/>
      <c r="AO2178" s="13" t="n">
        <v>10</v>
      </c>
      <c r="AP2178" s="13" t="inlineStr"/>
    </row>
    <row r="2179">
      <c r="A2179" s="5" t="inlineStr">
        <is>
          <t>에피소드컴퍼니</t>
        </is>
      </c>
      <c r="B2179" s="6" t="inlineStr">
        <is>
          <t>317530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1223</v>
      </c>
      <c r="J2179" s="10" t="n">
        <v>-1101</v>
      </c>
      <c r="K2179" s="10" t="n">
        <v>-1115</v>
      </c>
      <c r="L2179" s="7" t="n">
        <v>1566</v>
      </c>
      <c r="M2179" s="8" t="n">
        <v>-954</v>
      </c>
      <c r="N2179" s="8" t="n">
        <v>-785</v>
      </c>
      <c r="O2179" s="9" t="n">
        <v>1809</v>
      </c>
      <c r="P2179" s="10" t="n">
        <v>-290</v>
      </c>
      <c r="Q2179" s="10" t="n">
        <v>-435</v>
      </c>
      <c r="R2179" s="7" t="n">
        <v>1080</v>
      </c>
      <c r="S2179" s="8" t="n">
        <v>-1266</v>
      </c>
      <c r="T2179" s="8" t="n">
        <v>-2560</v>
      </c>
      <c r="U2179" s="9" t="n">
        <v>970</v>
      </c>
      <c r="V2179" s="10" t="n">
        <v>-842</v>
      </c>
      <c r="W2179" s="10" t="n">
        <v>-843</v>
      </c>
      <c r="X2179" s="7" t="n">
        <v>2362</v>
      </c>
      <c r="Y2179" s="8" t="n">
        <v>22</v>
      </c>
      <c r="Z2179" s="8" t="n">
        <v>-250</v>
      </c>
      <c r="AA2179" s="9" t="n">
        <v>1227</v>
      </c>
      <c r="AB2179" s="10" t="n">
        <v>-1027</v>
      </c>
      <c r="AC2179" s="10" t="n">
        <v>-1205</v>
      </c>
      <c r="AD2179" s="7" t="n">
        <v>1124</v>
      </c>
      <c r="AE2179" s="8" t="n">
        <v>-1709</v>
      </c>
      <c r="AF2179" s="8" t="n">
        <v>-4023</v>
      </c>
      <c r="AG2179" s="9" t="n">
        <v>15305</v>
      </c>
      <c r="AH2179" s="10" t="n">
        <v>-180</v>
      </c>
      <c r="AI2179" s="10" t="n">
        <v>-466</v>
      </c>
      <c r="AJ2179" s="11" t="n">
        <v>19429</v>
      </c>
      <c r="AK2179" s="12" t="n">
        <v>-3100</v>
      </c>
      <c r="AL2179" s="12" t="n">
        <v>-2893</v>
      </c>
      <c r="AM2179" s="13" t="n">
        <v>26.9</v>
      </c>
      <c r="AN2179" s="13" t="n">
        <v>722.6</v>
      </c>
      <c r="AO2179" s="13" t="n">
        <v>-1622.2</v>
      </c>
      <c r="AP2179" s="13" t="n">
        <v>-14190.9</v>
      </c>
    </row>
    <row r="2180">
      <c r="A2180" s="5" t="inlineStr">
        <is>
          <t>퀀타매트릭스</t>
        </is>
      </c>
      <c r="B2180" s="6" t="inlineStr">
        <is>
          <t>317690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788</v>
      </c>
      <c r="J2180" s="10" t="n">
        <v>-4316</v>
      </c>
      <c r="K2180" s="10" t="n">
        <v>-4311</v>
      </c>
      <c r="L2180" s="7" t="n">
        <v>607</v>
      </c>
      <c r="M2180" s="8" t="n">
        <v>-4121</v>
      </c>
      <c r="N2180" s="8" t="n">
        <v>-2621</v>
      </c>
      <c r="O2180" s="9" t="n">
        <v>647</v>
      </c>
      <c r="P2180" s="10" t="n">
        <v>-3658</v>
      </c>
      <c r="Q2180" s="10" t="n">
        <v>-3966</v>
      </c>
      <c r="R2180" s="7" t="n">
        <v>455</v>
      </c>
      <c r="S2180" s="8" t="n">
        <v>-4053</v>
      </c>
      <c r="T2180" s="8" t="n">
        <v>-9271</v>
      </c>
      <c r="U2180" s="9" t="n">
        <v>1018</v>
      </c>
      <c r="V2180" s="10" t="n">
        <v>-3784</v>
      </c>
      <c r="W2180" s="10" t="n">
        <v>-4129</v>
      </c>
      <c r="X2180" s="7" t="n">
        <v>898</v>
      </c>
      <c r="Y2180" s="8" t="n">
        <v>-3457</v>
      </c>
      <c r="Z2180" s="8" t="n">
        <v>-5943</v>
      </c>
      <c r="AA2180" s="9" t="n">
        <v>980</v>
      </c>
      <c r="AB2180" s="10" t="n">
        <v>-3718</v>
      </c>
      <c r="AC2180" s="10" t="n">
        <v>-3973</v>
      </c>
      <c r="AD2180" s="7" t="n">
        <v>792</v>
      </c>
      <c r="AE2180" s="8" t="n">
        <v>-4597</v>
      </c>
      <c r="AF2180" s="8" t="n">
        <v>-5415</v>
      </c>
      <c r="AG2180" s="9" t="n">
        <v>726</v>
      </c>
      <c r="AH2180" s="10" t="n">
        <v>-4036</v>
      </c>
      <c r="AI2180" s="10" t="n">
        <v>-4652</v>
      </c>
      <c r="AJ2180" s="11" t="n">
        <v>646</v>
      </c>
      <c r="AK2180" s="12" t="n">
        <v>-4218</v>
      </c>
      <c r="AL2180" s="12" t="n">
        <v>-3808</v>
      </c>
      <c r="AM2180" s="13" t="n">
        <v>-11</v>
      </c>
      <c r="AN2180" s="13" t="n">
        <v>-28.1</v>
      </c>
      <c r="AO2180" s="13" t="n">
        <v>-4.5</v>
      </c>
      <c r="AP2180" s="13" t="n">
        <v>-22</v>
      </c>
    </row>
    <row r="2181">
      <c r="A2181" s="5" t="inlineStr">
        <is>
          <t>엑스페릭스</t>
        </is>
      </c>
      <c r="B2181" s="6" t="inlineStr">
        <is>
          <t>317770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2028</v>
      </c>
      <c r="J2181" s="10" t="n">
        <v>-580</v>
      </c>
      <c r="K2181" s="10" t="n">
        <v>-532</v>
      </c>
      <c r="L2181" s="7" t="n">
        <v>2812</v>
      </c>
      <c r="M2181" s="8" t="n">
        <v>-1437</v>
      </c>
      <c r="N2181" s="8" t="n">
        <v>-2904</v>
      </c>
      <c r="O2181" s="9" t="n">
        <v>4577</v>
      </c>
      <c r="P2181" s="10" t="n">
        <v>-172</v>
      </c>
      <c r="Q2181" s="10" t="n">
        <v>-574</v>
      </c>
      <c r="R2181" s="7" t="n">
        <v>5330</v>
      </c>
      <c r="S2181" s="8" t="n">
        <v>-1059</v>
      </c>
      <c r="T2181" s="8" t="n">
        <v>646</v>
      </c>
      <c r="U2181" s="9" t="n">
        <v>4993</v>
      </c>
      <c r="V2181" s="10" t="n">
        <v>-473</v>
      </c>
      <c r="W2181" s="10" t="n">
        <v>-2470</v>
      </c>
      <c r="X2181" s="7" t="n">
        <v>3495</v>
      </c>
      <c r="Y2181" s="8" t="n">
        <v>-1223</v>
      </c>
      <c r="Z2181" s="8" t="n">
        <v>-13570</v>
      </c>
      <c r="AA2181" s="9" t="n">
        <v>5964</v>
      </c>
      <c r="AB2181" s="10" t="n">
        <v>-763</v>
      </c>
      <c r="AC2181" s="10" t="n">
        <v>234</v>
      </c>
      <c r="AD2181" s="7" t="n">
        <v>7035</v>
      </c>
      <c r="AE2181" s="8" t="n">
        <v>1052</v>
      </c>
      <c r="AF2181" s="8" t="n">
        <v>-4624</v>
      </c>
      <c r="AG2181" s="9" t="n">
        <v>6728</v>
      </c>
      <c r="AH2181" s="10" t="n">
        <v>-816</v>
      </c>
      <c r="AI2181" s="10" t="n">
        <v>2921</v>
      </c>
      <c r="AJ2181" s="11" t="n">
        <v>5259</v>
      </c>
      <c r="AK2181" s="12" t="n">
        <v>-808</v>
      </c>
      <c r="AL2181" s="12" t="n">
        <v>757</v>
      </c>
      <c r="AM2181" s="13" t="n">
        <v>-21.8</v>
      </c>
      <c r="AN2181" s="13" t="n">
        <v>50.5</v>
      </c>
      <c r="AO2181" s="13" t="n">
        <v>1</v>
      </c>
      <c r="AP2181" s="13" t="n">
        <v>33.9</v>
      </c>
    </row>
    <row r="2182">
      <c r="A2182" s="5" t="inlineStr">
        <is>
          <t>에스피시스템스</t>
        </is>
      </c>
      <c r="B2182" s="6" t="inlineStr">
        <is>
          <t>317830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17014</v>
      </c>
      <c r="J2182" s="10" t="n">
        <v>-584</v>
      </c>
      <c r="K2182" s="10" t="n">
        <v>-351</v>
      </c>
      <c r="L2182" s="7" t="n">
        <v>16728</v>
      </c>
      <c r="M2182" s="8" t="n">
        <v>-1413</v>
      </c>
      <c r="N2182" s="8" t="n">
        <v>-1179</v>
      </c>
      <c r="O2182" s="9" t="n">
        <v>17837</v>
      </c>
      <c r="P2182" s="10" t="n">
        <v>192</v>
      </c>
      <c r="Q2182" s="10" t="n">
        <v>185</v>
      </c>
      <c r="R2182" s="7" t="n">
        <v>19463</v>
      </c>
      <c r="S2182" s="8" t="n">
        <v>-993</v>
      </c>
      <c r="T2182" s="8" t="n">
        <v>-850</v>
      </c>
      <c r="U2182" s="9" t="n">
        <v>15444</v>
      </c>
      <c r="V2182" s="10" t="n">
        <v>-1513</v>
      </c>
      <c r="W2182" s="10" t="n">
        <v>-1441</v>
      </c>
      <c r="X2182" s="7" t="n">
        <v>15296</v>
      </c>
      <c r="Y2182" s="8" t="n">
        <v>-614</v>
      </c>
      <c r="Z2182" s="8" t="n">
        <v>-667</v>
      </c>
      <c r="AA2182" s="9" t="n">
        <v>15881</v>
      </c>
      <c r="AB2182" s="10" t="n">
        <v>-498</v>
      </c>
      <c r="AC2182" s="10" t="n">
        <v>-211</v>
      </c>
      <c r="AD2182" s="7" t="n">
        <v>14992</v>
      </c>
      <c r="AE2182" s="8" t="n">
        <v>1861</v>
      </c>
      <c r="AF2182" s="8" t="n">
        <v>-2971</v>
      </c>
      <c r="AG2182" s="9" t="n">
        <v>10803</v>
      </c>
      <c r="AH2182" s="10" t="n">
        <v>-1585</v>
      </c>
      <c r="AI2182" s="10" t="n">
        <v>-1311</v>
      </c>
      <c r="AJ2182" s="11" t="n">
        <v>11882</v>
      </c>
      <c r="AK2182" s="12" t="n">
        <v>-184</v>
      </c>
      <c r="AL2182" s="12" t="n">
        <v>96</v>
      </c>
      <c r="AM2182" s="13" t="n">
        <v>10</v>
      </c>
      <c r="AN2182" s="13" t="n">
        <v>-22.3</v>
      </c>
      <c r="AO2182" s="13" t="n">
        <v>88.40000000000001</v>
      </c>
      <c r="AP2182" s="13" t="n">
        <v>70</v>
      </c>
    </row>
    <row r="2183">
      <c r="A2183" s="5" t="inlineStr">
        <is>
          <t>대모</t>
        </is>
      </c>
      <c r="B2183" s="6" t="inlineStr">
        <is>
          <t>317850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10950</v>
      </c>
      <c r="J2183" s="10" t="n">
        <v>73</v>
      </c>
      <c r="K2183" s="10" t="n">
        <v>64</v>
      </c>
      <c r="L2183" s="7" t="n">
        <v>10470</v>
      </c>
      <c r="M2183" s="8" t="n">
        <v>92</v>
      </c>
      <c r="N2183" s="8" t="n">
        <v>104</v>
      </c>
      <c r="O2183" s="9" t="n">
        <v>10652</v>
      </c>
      <c r="P2183" s="10" t="n">
        <v>162</v>
      </c>
      <c r="Q2183" s="10" t="n">
        <v>-325</v>
      </c>
      <c r="R2183" s="7" t="n">
        <v>9247</v>
      </c>
      <c r="S2183" s="8" t="n">
        <v>-210</v>
      </c>
      <c r="T2183" s="8" t="n">
        <v>289</v>
      </c>
      <c r="U2183" s="9" t="n">
        <v>8933</v>
      </c>
      <c r="V2183" s="10" t="n">
        <v>471</v>
      </c>
      <c r="W2183" s="10" t="n">
        <v>564</v>
      </c>
      <c r="X2183" s="7" t="n">
        <v>13313</v>
      </c>
      <c r="Y2183" s="8" t="n">
        <v>2046</v>
      </c>
      <c r="Z2183" s="8" t="n">
        <v>1193</v>
      </c>
      <c r="AA2183" s="9" t="n">
        <v>8803</v>
      </c>
      <c r="AB2183" s="10" t="n">
        <v>-118</v>
      </c>
      <c r="AC2183" s="10" t="n">
        <v>225</v>
      </c>
      <c r="AD2183" s="7" t="n">
        <v>9682</v>
      </c>
      <c r="AE2183" s="8" t="n">
        <v>-489</v>
      </c>
      <c r="AF2183" s="8" t="n">
        <v>-88</v>
      </c>
      <c r="AG2183" s="9" t="n">
        <v>11741</v>
      </c>
      <c r="AH2183" s="10" t="n">
        <v>1018</v>
      </c>
      <c r="AI2183" s="10" t="n">
        <v>1118</v>
      </c>
      <c r="AJ2183" s="11" t="n">
        <v>11590</v>
      </c>
      <c r="AK2183" s="12" t="n">
        <v>974</v>
      </c>
      <c r="AL2183" s="12" t="n">
        <v>1045</v>
      </c>
      <c r="AM2183" s="13" t="n">
        <v>-1.3</v>
      </c>
      <c r="AN2183" s="13" t="n">
        <v>-12.9</v>
      </c>
      <c r="AO2183" s="13" t="n">
        <v>-4.3</v>
      </c>
      <c r="AP2183" s="13" t="n">
        <v>-52.4</v>
      </c>
    </row>
    <row r="2184">
      <c r="A2184" s="5" t="inlineStr">
        <is>
          <t>엔바이오니아</t>
        </is>
      </c>
      <c r="B2184" s="6" t="inlineStr">
        <is>
          <t>317870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4715</v>
      </c>
      <c r="J2184" s="10" t="n">
        <v>325</v>
      </c>
      <c r="K2184" s="10" t="n">
        <v>207</v>
      </c>
      <c r="L2184" s="7" t="n">
        <v>3426</v>
      </c>
      <c r="M2184" s="8" t="n">
        <v>-470</v>
      </c>
      <c r="N2184" s="8" t="n">
        <v>-486</v>
      </c>
      <c r="O2184" s="9" t="n">
        <v>2945</v>
      </c>
      <c r="P2184" s="10" t="n">
        <v>-917</v>
      </c>
      <c r="Q2184" s="10" t="n">
        <v>-947</v>
      </c>
      <c r="R2184" s="7" t="n">
        <v>3138</v>
      </c>
      <c r="S2184" s="8" t="n">
        <v>-1047</v>
      </c>
      <c r="T2184" s="8" t="n">
        <v>-890</v>
      </c>
      <c r="U2184" s="9" t="n">
        <v>3282</v>
      </c>
      <c r="V2184" s="10" t="n">
        <v>-1266</v>
      </c>
      <c r="W2184" s="10" t="n">
        <v>-1348</v>
      </c>
      <c r="X2184" s="7" t="n">
        <v>2874</v>
      </c>
      <c r="Y2184" s="8" t="n">
        <v>-1656</v>
      </c>
      <c r="Z2184" s="8" t="n">
        <v>-351</v>
      </c>
      <c r="AA2184" s="9" t="n">
        <v>3621</v>
      </c>
      <c r="AB2184" s="10" t="n">
        <v>-1230</v>
      </c>
      <c r="AC2184" s="10" t="n">
        <v>-1370</v>
      </c>
      <c r="AD2184" s="7" t="n">
        <v>4502</v>
      </c>
      <c r="AE2184" s="8" t="n">
        <v>-2070</v>
      </c>
      <c r="AF2184" s="8" t="n">
        <v>-8183</v>
      </c>
      <c r="AG2184" s="9" t="n">
        <v>5085</v>
      </c>
      <c r="AH2184" s="10" t="n">
        <v>-662</v>
      </c>
      <c r="AI2184" s="10" t="n">
        <v>-339</v>
      </c>
      <c r="AJ2184" s="11" t="n">
        <v>4614</v>
      </c>
      <c r="AK2184" s="12" t="n">
        <v>-784</v>
      </c>
      <c r="AL2184" s="12" t="n">
        <v>548</v>
      </c>
      <c r="AM2184" s="13" t="n">
        <v>-9.300000000000001</v>
      </c>
      <c r="AN2184" s="13" t="n">
        <v>60.5</v>
      </c>
      <c r="AO2184" s="13" t="n">
        <v>-18.4</v>
      </c>
      <c r="AP2184" s="13" t="n">
        <v>52.7</v>
      </c>
    </row>
    <row r="2185">
      <c r="A2185" s="5" t="inlineStr">
        <is>
          <t>KBG</t>
        </is>
      </c>
      <c r="B2185" s="6" t="inlineStr">
        <is>
          <t>318000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6536</v>
      </c>
      <c r="J2185" s="10" t="n">
        <v>1227</v>
      </c>
      <c r="K2185" s="10" t="n">
        <v>1227</v>
      </c>
      <c r="L2185" s="7" t="n">
        <v>6436</v>
      </c>
      <c r="M2185" s="8" t="n">
        <v>1672</v>
      </c>
      <c r="N2185" s="8" t="n">
        <v>1463</v>
      </c>
      <c r="O2185" s="9" t="n">
        <v>6209</v>
      </c>
      <c r="P2185" s="10" t="n">
        <v>77</v>
      </c>
      <c r="Q2185" s="10" t="n">
        <v>520</v>
      </c>
      <c r="R2185" s="7" t="n">
        <v>5734</v>
      </c>
      <c r="S2185" s="8" t="n">
        <v>181</v>
      </c>
      <c r="T2185" s="8" t="n">
        <v>556</v>
      </c>
      <c r="U2185" s="9" t="n">
        <v>6085</v>
      </c>
      <c r="V2185" s="10" t="n">
        <v>521</v>
      </c>
      <c r="W2185" s="10" t="n">
        <v>493</v>
      </c>
      <c r="X2185" s="7" t="n">
        <v>6240</v>
      </c>
      <c r="Y2185" s="8" t="n">
        <v>1123</v>
      </c>
      <c r="Z2185" s="8" t="n">
        <v>1085</v>
      </c>
      <c r="AA2185" s="9" t="n">
        <v>4707</v>
      </c>
      <c r="AB2185" s="10" t="n">
        <v>338</v>
      </c>
      <c r="AC2185" s="10" t="n">
        <v>392</v>
      </c>
      <c r="AD2185" s="7" t="n">
        <v>6889</v>
      </c>
      <c r="AE2185" s="8" t="n">
        <v>344</v>
      </c>
      <c r="AF2185" s="8" t="n">
        <v>622</v>
      </c>
      <c r="AG2185" s="9" t="n">
        <v>5357</v>
      </c>
      <c r="AH2185" s="10" t="n">
        <v>720</v>
      </c>
      <c r="AI2185" s="10" t="n">
        <v>762</v>
      </c>
      <c r="AJ2185" s="11" t="n">
        <v>6307</v>
      </c>
      <c r="AK2185" s="12" t="n">
        <v>-283</v>
      </c>
      <c r="AL2185" s="12" t="n">
        <v>-181</v>
      </c>
      <c r="AM2185" s="13" t="n">
        <v>17.7</v>
      </c>
      <c r="AN2185" s="13" t="n">
        <v>1.1</v>
      </c>
      <c r="AO2185" s="13" t="n">
        <v>-139.3</v>
      </c>
      <c r="AP2185" s="13" t="n">
        <v>-125.2</v>
      </c>
    </row>
    <row r="2186">
      <c r="A2186" s="5" t="inlineStr">
        <is>
          <t>팜스빌</t>
        </is>
      </c>
      <c r="B2186" s="6" t="inlineStr">
        <is>
          <t>318010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4792</v>
      </c>
      <c r="J2186" s="10" t="n">
        <v>528</v>
      </c>
      <c r="K2186" s="10" t="n">
        <v>828</v>
      </c>
      <c r="L2186" s="7" t="n">
        <v>4089</v>
      </c>
      <c r="M2186" s="8" t="n">
        <v>-390</v>
      </c>
      <c r="N2186" s="8" t="n">
        <v>-440</v>
      </c>
      <c r="O2186" s="9" t="n">
        <v>4249</v>
      </c>
      <c r="P2186" s="10" t="n">
        <v>-213</v>
      </c>
      <c r="Q2186" s="10" t="n">
        <v>245</v>
      </c>
      <c r="R2186" s="7" t="n">
        <v>3595</v>
      </c>
      <c r="S2186" s="8" t="n">
        <v>-183</v>
      </c>
      <c r="T2186" s="8" t="n">
        <v>950</v>
      </c>
      <c r="U2186" s="9" t="n">
        <v>3338</v>
      </c>
      <c r="V2186" s="10" t="n">
        <v>89</v>
      </c>
      <c r="W2186" s="10" t="n">
        <v>1105</v>
      </c>
      <c r="X2186" s="7" t="n">
        <v>3338</v>
      </c>
      <c r="Y2186" s="8" t="n">
        <v>89</v>
      </c>
      <c r="Z2186" s="8" t="n">
        <v>1105</v>
      </c>
      <c r="AA2186" s="9" t="n">
        <v>3370</v>
      </c>
      <c r="AB2186" s="10" t="n">
        <v>-119</v>
      </c>
      <c r="AC2186" s="10" t="n">
        <v>500</v>
      </c>
      <c r="AD2186" s="7" t="n">
        <v>2682</v>
      </c>
      <c r="AE2186" s="8" t="n">
        <v>-732</v>
      </c>
      <c r="AF2186" s="8" t="n">
        <v>192</v>
      </c>
      <c r="AG2186" s="9" t="n">
        <v>2486</v>
      </c>
      <c r="AH2186" s="10" t="n">
        <v>-55</v>
      </c>
      <c r="AI2186" s="10" t="n">
        <v>1215</v>
      </c>
      <c r="AJ2186" s="11" t="n">
        <v>2383</v>
      </c>
      <c r="AK2186" s="12" t="n">
        <v>-162</v>
      </c>
      <c r="AL2186" s="12" t="n">
        <v>475</v>
      </c>
      <c r="AM2186" s="13" t="n">
        <v>-4.1</v>
      </c>
      <c r="AN2186" s="13" t="n">
        <v>-28.6</v>
      </c>
      <c r="AO2186" s="13" t="n">
        <v>-194.5</v>
      </c>
      <c r="AP2186" s="13" t="n">
        <v>-282</v>
      </c>
    </row>
    <row r="2187">
      <c r="A2187" s="5" t="inlineStr">
        <is>
          <t>포인트모바일</t>
        </is>
      </c>
      <c r="B2187" s="6" t="inlineStr">
        <is>
          <t>318020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16760</v>
      </c>
      <c r="J2187" s="10" t="n">
        <v>487</v>
      </c>
      <c r="K2187" s="10" t="n">
        <v>707</v>
      </c>
      <c r="L2187" s="7" t="n">
        <v>16732</v>
      </c>
      <c r="M2187" s="8" t="n">
        <v>-361</v>
      </c>
      <c r="N2187" s="8" t="n">
        <v>-1956</v>
      </c>
      <c r="O2187" s="9" t="n">
        <v>20779</v>
      </c>
      <c r="P2187" s="10" t="n">
        <v>1987</v>
      </c>
      <c r="Q2187" s="10" t="n">
        <v>-697</v>
      </c>
      <c r="R2187" s="7" t="n">
        <v>23025</v>
      </c>
      <c r="S2187" s="8" t="n">
        <v>-3521</v>
      </c>
      <c r="T2187" s="8" t="n">
        <v>3535</v>
      </c>
      <c r="U2187" s="9" t="n">
        <v>12629</v>
      </c>
      <c r="V2187" s="10" t="n">
        <v>-1276</v>
      </c>
      <c r="W2187" s="10" t="n">
        <v>-2671</v>
      </c>
      <c r="X2187" s="7" t="n">
        <v>17063</v>
      </c>
      <c r="Y2187" s="8" t="n">
        <v>-1302</v>
      </c>
      <c r="Z2187" s="8" t="n">
        <v>-2408</v>
      </c>
      <c r="AA2187" s="9" t="n">
        <v>27529</v>
      </c>
      <c r="AB2187" s="10" t="n">
        <v>3238</v>
      </c>
      <c r="AC2187" s="10" t="n">
        <v>3530</v>
      </c>
      <c r="AD2187" s="7" t="n">
        <v>29983</v>
      </c>
      <c r="AE2187" s="8" t="n">
        <v>2347</v>
      </c>
      <c r="AF2187" s="8" t="n">
        <v>4402</v>
      </c>
      <c r="AG2187" s="9" t="n">
        <v>18135</v>
      </c>
      <c r="AH2187" s="10" t="n">
        <v>372</v>
      </c>
      <c r="AI2187" s="10" t="n">
        <v>1623</v>
      </c>
      <c r="AJ2187" s="11" t="n">
        <v>28450</v>
      </c>
      <c r="AK2187" s="12" t="n">
        <v>4203</v>
      </c>
      <c r="AL2187" s="12" t="n">
        <v>4603</v>
      </c>
      <c r="AM2187" s="13" t="n">
        <v>56.9</v>
      </c>
      <c r="AN2187" s="13" t="n">
        <v>66.7</v>
      </c>
      <c r="AO2187" s="13" t="n">
        <v>1029.8</v>
      </c>
      <c r="AP2187" s="13" t="n">
        <v>422.8</v>
      </c>
    </row>
    <row r="2188">
      <c r="A2188" s="5" t="inlineStr">
        <is>
          <t>그래피</t>
        </is>
      </c>
      <c r="B2188" s="6" t="inlineStr">
        <is>
          <t>318060</t>
        </is>
      </c>
      <c r="C2188" s="6" t="inlineStr">
        <is>
          <t>연결</t>
        </is>
      </c>
      <c r="D2188" s="6" t="inlineStr">
        <is>
          <t>2026Q2</t>
        </is>
      </c>
      <c r="E2188" s="6" t="inlineStr">
        <is>
          <t>2025Q4</t>
        </is>
      </c>
      <c r="F2188" s="7" t="inlineStr"/>
      <c r="G2188" s="8" t="inlineStr"/>
      <c r="H2188" s="8" t="inlineStr"/>
      <c r="I2188" s="9" t="inlineStr"/>
      <c r="J2188" s="10" t="inlineStr"/>
      <c r="K2188" s="10" t="inlineStr"/>
      <c r="L2188" s="7" t="inlineStr"/>
      <c r="M2188" s="8" t="inlineStr"/>
      <c r="N2188" s="8" t="inlineStr"/>
      <c r="O2188" s="9" t="inlineStr"/>
      <c r="P2188" s="10" t="inlineStr"/>
      <c r="Q2188" s="10" t="inlineStr"/>
      <c r="R2188" s="7" t="inlineStr"/>
      <c r="S2188" s="8" t="inlineStr"/>
      <c r="T2188" s="8" t="inlineStr"/>
      <c r="U2188" s="9" t="inlineStr"/>
      <c r="V2188" s="10" t="inlineStr"/>
      <c r="W2188" s="10" t="inlineStr"/>
      <c r="X2188" s="7" t="n">
        <v>4380</v>
      </c>
      <c r="Y2188" s="8" t="n">
        <v>-2523</v>
      </c>
      <c r="Z2188" s="8" t="n">
        <v>-2936</v>
      </c>
      <c r="AA2188" s="9" t="n">
        <v>3440</v>
      </c>
      <c r="AB2188" s="10" t="n">
        <v>-3720</v>
      </c>
      <c r="AC2188" s="10" t="n">
        <v>-3584</v>
      </c>
      <c r="AD2188" s="14" t="n">
        <v>10383</v>
      </c>
      <c r="AE2188" s="15" t="n">
        <v>-1112</v>
      </c>
      <c r="AF2188" s="15" t="n">
        <v>-1193</v>
      </c>
      <c r="AG2188" s="9" t="n">
        <v>3353</v>
      </c>
      <c r="AH2188" s="10" t="n">
        <v>-3189</v>
      </c>
      <c r="AI2188" s="10" t="n">
        <v>-2821</v>
      </c>
      <c r="AJ2188" s="11" t="n">
        <v>6279</v>
      </c>
      <c r="AK2188" s="12" t="n">
        <v>-3692</v>
      </c>
      <c r="AL2188" s="12" t="n">
        <v>-3563</v>
      </c>
      <c r="AM2188" s="13" t="n">
        <v>87.3</v>
      </c>
      <c r="AN2188" s="13" t="n">
        <v>43.4</v>
      </c>
      <c r="AO2188" s="13" t="n">
        <v>-15.8</v>
      </c>
      <c r="AP2188" s="13" t="n">
        <v>-46.3</v>
      </c>
    </row>
    <row r="2189">
      <c r="A2189" s="5" t="inlineStr">
        <is>
          <t>셀바이오휴먼텍</t>
        </is>
      </c>
      <c r="B2189" s="6" t="inlineStr">
        <is>
          <t>318160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5956</v>
      </c>
      <c r="J2189" s="10" t="n">
        <v>692</v>
      </c>
      <c r="K2189" s="10" t="n">
        <v>647</v>
      </c>
      <c r="L2189" s="7" t="n">
        <v>7130</v>
      </c>
      <c r="M2189" s="8" t="n">
        <v>865</v>
      </c>
      <c r="N2189" s="8" t="n">
        <v>819</v>
      </c>
      <c r="O2189" s="9" t="n">
        <v>7082</v>
      </c>
      <c r="P2189" s="10" t="n">
        <v>1180</v>
      </c>
      <c r="Q2189" s="10" t="n">
        <v>955</v>
      </c>
      <c r="R2189" s="7" t="n">
        <v>8251</v>
      </c>
      <c r="S2189" s="8" t="n">
        <v>1300</v>
      </c>
      <c r="T2189" s="8" t="n">
        <v>1958</v>
      </c>
      <c r="U2189" s="9" t="n">
        <v>8288</v>
      </c>
      <c r="V2189" s="10" t="n">
        <v>1467</v>
      </c>
      <c r="W2189" s="10" t="n">
        <v>1378</v>
      </c>
      <c r="X2189" s="7" t="n">
        <v>13988</v>
      </c>
      <c r="Y2189" s="8" t="n">
        <v>3020</v>
      </c>
      <c r="Z2189" s="8" t="n">
        <v>1621</v>
      </c>
      <c r="AA2189" s="9" t="n">
        <v>14539</v>
      </c>
      <c r="AB2189" s="10" t="n">
        <v>3613</v>
      </c>
      <c r="AC2189" s="10" t="n">
        <v>3516</v>
      </c>
      <c r="AD2189" s="7" t="n">
        <v>14251</v>
      </c>
      <c r="AE2189" s="8" t="n">
        <v>1217</v>
      </c>
      <c r="AF2189" s="8" t="n">
        <v>2180</v>
      </c>
      <c r="AG2189" s="9" t="n">
        <v>12747</v>
      </c>
      <c r="AH2189" s="10" t="n">
        <v>1456</v>
      </c>
      <c r="AI2189" s="10" t="n">
        <v>1825</v>
      </c>
      <c r="AJ2189" s="11" t="n">
        <v>19363</v>
      </c>
      <c r="AK2189" s="12" t="n">
        <v>3489</v>
      </c>
      <c r="AL2189" s="12" t="n">
        <v>2938</v>
      </c>
      <c r="AM2189" s="13" t="n">
        <v>51.9</v>
      </c>
      <c r="AN2189" s="13" t="n">
        <v>38.4</v>
      </c>
      <c r="AO2189" s="13" t="n">
        <v>139.6</v>
      </c>
      <c r="AP2189" s="13" t="n">
        <v>15.5</v>
      </c>
    </row>
    <row r="2190">
      <c r="A2190" s="5" t="inlineStr">
        <is>
          <t>비비씨</t>
        </is>
      </c>
      <c r="B2190" s="6" t="inlineStr">
        <is>
          <t>318410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16829</v>
      </c>
      <c r="J2190" s="10" t="n">
        <v>346</v>
      </c>
      <c r="K2190" s="10" t="n">
        <v>241</v>
      </c>
      <c r="L2190" s="7" t="n">
        <v>14205</v>
      </c>
      <c r="M2190" s="8" t="n">
        <v>1310</v>
      </c>
      <c r="N2190" s="8" t="n">
        <v>949</v>
      </c>
      <c r="O2190" s="9" t="n">
        <v>13644</v>
      </c>
      <c r="P2190" s="10" t="n">
        <v>2330</v>
      </c>
      <c r="Q2190" s="10" t="n">
        <v>1929</v>
      </c>
      <c r="R2190" s="7" t="n">
        <v>15984</v>
      </c>
      <c r="S2190" s="8" t="n">
        <v>1743</v>
      </c>
      <c r="T2190" s="8" t="n">
        <v>645</v>
      </c>
      <c r="U2190" s="9" t="n">
        <v>13565</v>
      </c>
      <c r="V2190" s="10" t="n">
        <v>3052</v>
      </c>
      <c r="W2190" s="10" t="n">
        <v>3087</v>
      </c>
      <c r="X2190" s="7" t="n">
        <v>11938</v>
      </c>
      <c r="Y2190" s="8" t="n">
        <v>1931</v>
      </c>
      <c r="Z2190" s="8" t="n">
        <v>816</v>
      </c>
      <c r="AA2190" s="9" t="n">
        <v>10603</v>
      </c>
      <c r="AB2190" s="10" t="n">
        <v>743</v>
      </c>
      <c r="AC2190" s="10" t="n">
        <v>1463</v>
      </c>
      <c r="AD2190" s="7" t="n">
        <v>15542</v>
      </c>
      <c r="AE2190" s="8" t="n">
        <v>467</v>
      </c>
      <c r="AF2190" s="8" t="n">
        <v>96</v>
      </c>
      <c r="AG2190" s="9" t="n">
        <v>13665</v>
      </c>
      <c r="AH2190" s="10" t="n">
        <v>2117</v>
      </c>
      <c r="AI2190" s="10" t="n">
        <v>3124</v>
      </c>
      <c r="AJ2190" s="11" t="n">
        <v>15323</v>
      </c>
      <c r="AK2190" s="12" t="n">
        <v>3794</v>
      </c>
      <c r="AL2190" s="12" t="n">
        <v>5335</v>
      </c>
      <c r="AM2190" s="13" t="n">
        <v>12.1</v>
      </c>
      <c r="AN2190" s="13" t="n">
        <v>28.4</v>
      </c>
      <c r="AO2190" s="13" t="n">
        <v>79.2</v>
      </c>
      <c r="AP2190" s="13" t="n">
        <v>96.5</v>
      </c>
    </row>
    <row r="2191">
      <c r="A2191" s="5" t="inlineStr">
        <is>
          <t>현대무벡스</t>
        </is>
      </c>
      <c r="B2191" s="6" t="inlineStr">
        <is>
          <t>319400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60808</v>
      </c>
      <c r="J2191" s="10" t="n">
        <v>4169</v>
      </c>
      <c r="K2191" s="10" t="n">
        <v>5752</v>
      </c>
      <c r="L2191" s="7" t="n">
        <v>72649</v>
      </c>
      <c r="M2191" s="8" t="n">
        <v>4850</v>
      </c>
      <c r="N2191" s="8" t="n">
        <v>415</v>
      </c>
      <c r="O2191" s="9" t="n">
        <v>83965</v>
      </c>
      <c r="P2191" s="10" t="n">
        <v>7275</v>
      </c>
      <c r="Q2191" s="10" t="n">
        <v>4581</v>
      </c>
      <c r="R2191" s="7" t="n">
        <v>123961</v>
      </c>
      <c r="S2191" s="8" t="n">
        <v>8277</v>
      </c>
      <c r="T2191" s="8" t="n">
        <v>16169</v>
      </c>
      <c r="U2191" s="9" t="n">
        <v>77712</v>
      </c>
      <c r="V2191" s="10" t="n">
        <v>5178</v>
      </c>
      <c r="W2191" s="10" t="n">
        <v>993</v>
      </c>
      <c r="X2191" s="7" t="n">
        <v>98851</v>
      </c>
      <c r="Y2191" s="8" t="n">
        <v>4451</v>
      </c>
      <c r="Z2191" s="8" t="n">
        <v>4100</v>
      </c>
      <c r="AA2191" s="9" t="n">
        <v>103477</v>
      </c>
      <c r="AB2191" s="10" t="n">
        <v>6722</v>
      </c>
      <c r="AC2191" s="10" t="n">
        <v>5007</v>
      </c>
      <c r="AD2191" s="7" t="n">
        <v>113901</v>
      </c>
      <c r="AE2191" s="8" t="n">
        <v>1862</v>
      </c>
      <c r="AF2191" s="8" t="n">
        <v>1194</v>
      </c>
      <c r="AG2191" s="9" t="n">
        <v>74965</v>
      </c>
      <c r="AH2191" s="10" t="n">
        <v>-640</v>
      </c>
      <c r="AI2191" s="10" t="n">
        <v>-181</v>
      </c>
      <c r="AJ2191" s="11" t="n">
        <v>100360</v>
      </c>
      <c r="AK2191" s="12" t="n">
        <v>3196</v>
      </c>
      <c r="AL2191" s="12" t="n">
        <v>11343</v>
      </c>
      <c r="AM2191" s="13" t="n">
        <v>33.9</v>
      </c>
      <c r="AN2191" s="13" t="n">
        <v>1.5</v>
      </c>
      <c r="AO2191" s="13" t="n">
        <v>599.4</v>
      </c>
      <c r="AP2191" s="13" t="n">
        <v>-28.2</v>
      </c>
    </row>
    <row r="2192">
      <c r="A2192" s="5" t="inlineStr">
        <is>
          <t>피에스케이</t>
        </is>
      </c>
      <c r="B2192" s="6" t="inlineStr">
        <is>
          <t>319660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77740</v>
      </c>
      <c r="J2192" s="10" t="n">
        <v>21343</v>
      </c>
      <c r="K2192" s="10" t="n">
        <v>20646</v>
      </c>
      <c r="L2192" s="7" t="n">
        <v>97133</v>
      </c>
      <c r="M2192" s="8" t="n">
        <v>22782</v>
      </c>
      <c r="N2192" s="8" t="n">
        <v>19657</v>
      </c>
      <c r="O2192" s="9" t="n">
        <v>118006</v>
      </c>
      <c r="P2192" s="10" t="n">
        <v>29125</v>
      </c>
      <c r="Q2192" s="10" t="n">
        <v>23444</v>
      </c>
      <c r="R2192" s="7" t="n">
        <v>105172</v>
      </c>
      <c r="S2192" s="8" t="n">
        <v>10674</v>
      </c>
      <c r="T2192" s="8" t="n">
        <v>15381</v>
      </c>
      <c r="U2192" s="9" t="n">
        <v>101959</v>
      </c>
      <c r="V2192" s="10" t="n">
        <v>22634</v>
      </c>
      <c r="W2192" s="10" t="n">
        <v>19958</v>
      </c>
      <c r="X2192" s="7" t="n">
        <v>108451</v>
      </c>
      <c r="Y2192" s="8" t="n">
        <v>20564</v>
      </c>
      <c r="Z2192" s="8" t="n">
        <v>18617</v>
      </c>
      <c r="AA2192" s="9" t="n">
        <v>104136</v>
      </c>
      <c r="AB2192" s="10" t="n">
        <v>23399</v>
      </c>
      <c r="AC2192" s="10" t="n">
        <v>20612</v>
      </c>
      <c r="AD2192" s="7" t="n">
        <v>142667</v>
      </c>
      <c r="AE2192" s="8" t="n">
        <v>21897</v>
      </c>
      <c r="AF2192" s="8" t="n">
        <v>19359</v>
      </c>
      <c r="AG2192" s="9" t="n">
        <v>156594</v>
      </c>
      <c r="AH2192" s="10" t="n">
        <v>47177</v>
      </c>
      <c r="AI2192" s="10" t="n">
        <v>41030</v>
      </c>
      <c r="AJ2192" s="11" t="n">
        <v>167474</v>
      </c>
      <c r="AK2192" s="12" t="n">
        <v>50264</v>
      </c>
      <c r="AL2192" s="12" t="n">
        <v>43954</v>
      </c>
      <c r="AM2192" s="13" t="n">
        <v>6.9</v>
      </c>
      <c r="AN2192" s="13" t="n">
        <v>54.4</v>
      </c>
      <c r="AO2192" s="13" t="n">
        <v>6.5</v>
      </c>
      <c r="AP2192" s="13" t="n">
        <v>144.4</v>
      </c>
    </row>
    <row r="2193">
      <c r="A2193" s="5" t="inlineStr">
        <is>
          <t>한울반도체</t>
        </is>
      </c>
      <c r="B2193" s="6" t="inlineStr">
        <is>
          <t>320000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2427</v>
      </c>
      <c r="J2193" s="10" t="n">
        <v>-1074</v>
      </c>
      <c r="K2193" s="10" t="n">
        <v>-1206</v>
      </c>
      <c r="L2193" s="7" t="n">
        <v>3706</v>
      </c>
      <c r="M2193" s="8" t="n">
        <v>-344</v>
      </c>
      <c r="N2193" s="8" t="n">
        <v>-3578</v>
      </c>
      <c r="O2193" s="9" t="n">
        <v>1522</v>
      </c>
      <c r="P2193" s="10" t="n">
        <v>-1395</v>
      </c>
      <c r="Q2193" s="10" t="n">
        <v>-3058</v>
      </c>
      <c r="R2193" s="7" t="n">
        <v>1798</v>
      </c>
      <c r="S2193" s="8" t="n">
        <v>-1585</v>
      </c>
      <c r="T2193" s="8" t="n">
        <v>-13008</v>
      </c>
      <c r="U2193" s="9" t="n">
        <v>2203</v>
      </c>
      <c r="V2193" s="10" t="n">
        <v>-1664</v>
      </c>
      <c r="W2193" s="10" t="n">
        <v>-2377</v>
      </c>
      <c r="X2193" s="7" t="n">
        <v>1391</v>
      </c>
      <c r="Y2193" s="8" t="n">
        <v>-1755</v>
      </c>
      <c r="Z2193" s="8" t="n">
        <v>-3524</v>
      </c>
      <c r="AA2193" s="9" t="n">
        <v>1909</v>
      </c>
      <c r="AB2193" s="10" t="n">
        <v>-1449</v>
      </c>
      <c r="AC2193" s="10" t="n">
        <v>-2174</v>
      </c>
      <c r="AD2193" s="7" t="n">
        <v>5960</v>
      </c>
      <c r="AE2193" s="8" t="n">
        <v>-180</v>
      </c>
      <c r="AF2193" s="8" t="n">
        <v>-13849</v>
      </c>
      <c r="AG2193" s="9" t="n">
        <v>11332</v>
      </c>
      <c r="AH2193" s="10" t="n">
        <v>-4242</v>
      </c>
      <c r="AI2193" s="10" t="n">
        <v>-6061</v>
      </c>
      <c r="AJ2193" s="11" t="n">
        <v>14108</v>
      </c>
      <c r="AK2193" s="12" t="n">
        <v>-3352</v>
      </c>
      <c r="AL2193" s="12" t="n">
        <v>-11354</v>
      </c>
      <c r="AM2193" s="13" t="n">
        <v>24.5</v>
      </c>
      <c r="AN2193" s="13" t="n">
        <v>914.2</v>
      </c>
      <c r="AO2193" s="13" t="n">
        <v>21</v>
      </c>
      <c r="AP2193" s="13" t="n">
        <v>-91</v>
      </c>
    </row>
    <row r="2194">
      <c r="A2194" s="5" t="inlineStr">
        <is>
          <t>프로이천</t>
        </is>
      </c>
      <c r="B2194" s="6" t="inlineStr">
        <is>
          <t>321260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7113</v>
      </c>
      <c r="J2194" s="10" t="n">
        <v>-185</v>
      </c>
      <c r="K2194" s="10" t="n">
        <v>1313</v>
      </c>
      <c r="L2194" s="7" t="n">
        <v>15515</v>
      </c>
      <c r="M2194" s="8" t="n">
        <v>1701</v>
      </c>
      <c r="N2194" s="8" t="n">
        <v>2590</v>
      </c>
      <c r="O2194" s="9" t="n">
        <v>6883</v>
      </c>
      <c r="P2194" s="10" t="n">
        <v>-142</v>
      </c>
      <c r="Q2194" s="10" t="n">
        <v>-998</v>
      </c>
      <c r="R2194" s="7" t="n">
        <v>6517</v>
      </c>
      <c r="S2194" s="8" t="n">
        <v>-197</v>
      </c>
      <c r="T2194" s="8" t="n">
        <v>2696</v>
      </c>
      <c r="U2194" s="9" t="n">
        <v>9135</v>
      </c>
      <c r="V2194" s="10" t="n">
        <v>1555</v>
      </c>
      <c r="W2194" s="10" t="n">
        <v>1853</v>
      </c>
      <c r="X2194" s="7" t="n">
        <v>8180</v>
      </c>
      <c r="Y2194" s="8" t="n">
        <v>-111</v>
      </c>
      <c r="Z2194" s="8" t="n">
        <v>-1309</v>
      </c>
      <c r="AA2194" s="9" t="n">
        <v>6001</v>
      </c>
      <c r="AB2194" s="10" t="n">
        <v>-347</v>
      </c>
      <c r="AC2194" s="10" t="n">
        <v>820</v>
      </c>
      <c r="AD2194" s="7" t="n">
        <v>8218</v>
      </c>
      <c r="AE2194" s="8" t="n">
        <v>1675</v>
      </c>
      <c r="AF2194" s="8" t="n">
        <v>2553</v>
      </c>
      <c r="AG2194" s="9" t="n">
        <v>6675</v>
      </c>
      <c r="AH2194" s="10" t="n">
        <v>-740</v>
      </c>
      <c r="AI2194" s="10" t="n">
        <v>970</v>
      </c>
      <c r="AJ2194" s="11" t="n">
        <v>8964</v>
      </c>
      <c r="AK2194" s="12" t="n">
        <v>1231</v>
      </c>
      <c r="AL2194" s="12" t="n">
        <v>5115</v>
      </c>
      <c r="AM2194" s="13" t="n">
        <v>34.3</v>
      </c>
      <c r="AN2194" s="13" t="n">
        <v>9.6</v>
      </c>
      <c r="AO2194" s="13" t="n">
        <v>266.4</v>
      </c>
      <c r="AP2194" s="13" t="n">
        <v>1209</v>
      </c>
    </row>
    <row r="2195">
      <c r="A2195" s="5" t="inlineStr">
        <is>
          <t>센서뷰</t>
        </is>
      </c>
      <c r="B2195" s="6" t="inlineStr">
        <is>
          <t>321370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4068</v>
      </c>
      <c r="J2195" s="10" t="n">
        <v>-4916</v>
      </c>
      <c r="K2195" s="10" t="n">
        <v>-5029</v>
      </c>
      <c r="L2195" s="7" t="n">
        <v>3974</v>
      </c>
      <c r="M2195" s="8" t="n">
        <v>-2610</v>
      </c>
      <c r="N2195" s="8" t="n">
        <v>-2804</v>
      </c>
      <c r="O2195" s="9" t="n">
        <v>3212</v>
      </c>
      <c r="P2195" s="10" t="n">
        <v>-3902</v>
      </c>
      <c r="Q2195" s="10" t="n">
        <v>-4307</v>
      </c>
      <c r="R2195" s="7" t="n">
        <v>4348</v>
      </c>
      <c r="S2195" s="8" t="n">
        <v>-4358</v>
      </c>
      <c r="T2195" s="8" t="n">
        <v>-5696</v>
      </c>
      <c r="U2195" s="9" t="n">
        <v>5469</v>
      </c>
      <c r="V2195" s="10" t="n">
        <v>-3140</v>
      </c>
      <c r="W2195" s="10" t="n">
        <v>-3030</v>
      </c>
      <c r="X2195" s="7" t="n">
        <v>4254</v>
      </c>
      <c r="Y2195" s="8" t="n">
        <v>-3707</v>
      </c>
      <c r="Z2195" s="8" t="n">
        <v>-5073</v>
      </c>
      <c r="AA2195" s="9" t="n">
        <v>3387</v>
      </c>
      <c r="AB2195" s="10" t="n">
        <v>-3370</v>
      </c>
      <c r="AC2195" s="10" t="n">
        <v>-3672</v>
      </c>
      <c r="AD2195" s="7" t="n">
        <v>5906</v>
      </c>
      <c r="AE2195" s="8" t="n">
        <v>-1341</v>
      </c>
      <c r="AF2195" s="8" t="n">
        <v>-3422</v>
      </c>
      <c r="AG2195" s="9" t="n">
        <v>2085</v>
      </c>
      <c r="AH2195" s="10" t="n">
        <v>-3359</v>
      </c>
      <c r="AI2195" s="10" t="n">
        <v>-4236</v>
      </c>
      <c r="AJ2195" s="11" t="n">
        <v>2527</v>
      </c>
      <c r="AK2195" s="12" t="n">
        <v>-2198</v>
      </c>
      <c r="AL2195" s="12" t="n">
        <v>-2611</v>
      </c>
      <c r="AM2195" s="13" t="n">
        <v>21.2</v>
      </c>
      <c r="AN2195" s="13" t="n">
        <v>-40.6</v>
      </c>
      <c r="AO2195" s="13" t="n">
        <v>34.6</v>
      </c>
      <c r="AP2195" s="13" t="n">
        <v>40.7</v>
      </c>
    </row>
    <row r="2196">
      <c r="A2196" s="5" t="inlineStr">
        <is>
          <t>티움바이오</t>
        </is>
      </c>
      <c r="B2196" s="6" t="inlineStr">
        <is>
          <t>321550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inlineStr"/>
      <c r="J2196" s="10" t="n">
        <v>-4616</v>
      </c>
      <c r="K2196" s="10" t="n">
        <v>-7767</v>
      </c>
      <c r="L2196" s="7" t="inlineStr"/>
      <c r="M2196" s="8" t="n">
        <v>-4487</v>
      </c>
      <c r="N2196" s="8" t="n">
        <v>-13871</v>
      </c>
      <c r="O2196" s="9" t="inlineStr"/>
      <c r="P2196" s="10" t="n">
        <v>-4388</v>
      </c>
      <c r="Q2196" s="10" t="n">
        <v>-4860</v>
      </c>
      <c r="R2196" s="7" t="inlineStr"/>
      <c r="S2196" s="8" t="n">
        <v>-5208</v>
      </c>
      <c r="T2196" s="8" t="n">
        <v>2952</v>
      </c>
      <c r="U2196" s="9" t="n">
        <v>2106</v>
      </c>
      <c r="V2196" s="10" t="n">
        <v>-5346</v>
      </c>
      <c r="W2196" s="10" t="n">
        <v>-8389</v>
      </c>
      <c r="X2196" s="7" t="n">
        <v>2613</v>
      </c>
      <c r="Y2196" s="8" t="n">
        <v>-3495</v>
      </c>
      <c r="Z2196" s="8" t="n">
        <v>-2257</v>
      </c>
      <c r="AA2196" s="9" t="n">
        <v>3121</v>
      </c>
      <c r="AB2196" s="10" t="n">
        <v>-4519</v>
      </c>
      <c r="AC2196" s="10" t="n">
        <v>-5837</v>
      </c>
      <c r="AD2196" s="7" t="n">
        <v>4449</v>
      </c>
      <c r="AE2196" s="8" t="n">
        <v>-2787</v>
      </c>
      <c r="AF2196" s="8" t="n">
        <v>-2304</v>
      </c>
      <c r="AG2196" s="9" t="n">
        <v>2950</v>
      </c>
      <c r="AH2196" s="10" t="n">
        <v>-4539</v>
      </c>
      <c r="AI2196" s="10" t="n">
        <v>-5761</v>
      </c>
      <c r="AJ2196" s="11" t="n">
        <v>4477</v>
      </c>
      <c r="AK2196" s="12" t="n">
        <v>-4245</v>
      </c>
      <c r="AL2196" s="12" t="n">
        <v>-4502</v>
      </c>
      <c r="AM2196" s="13" t="n">
        <v>51.8</v>
      </c>
      <c r="AN2196" s="13" t="n">
        <v>71.3</v>
      </c>
      <c r="AO2196" s="13" t="n">
        <v>6.5</v>
      </c>
      <c r="AP2196" s="13" t="n">
        <v>-21.5</v>
      </c>
    </row>
    <row r="2197">
      <c r="A2197" s="5" t="inlineStr">
        <is>
          <t>아티스트컴퍼니</t>
        </is>
      </c>
      <c r="B2197" s="6" t="inlineStr">
        <is>
          <t>321820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3966</v>
      </c>
      <c r="J2197" s="10" t="n">
        <v>-969</v>
      </c>
      <c r="K2197" s="10" t="n">
        <v>-2002</v>
      </c>
      <c r="L2197" s="7" t="n">
        <v>9243</v>
      </c>
      <c r="M2197" s="8" t="n">
        <v>-596</v>
      </c>
      <c r="N2197" s="8" t="n">
        <v>1040</v>
      </c>
      <c r="O2197" s="9" t="n">
        <v>2792</v>
      </c>
      <c r="P2197" s="10" t="n">
        <v>-608</v>
      </c>
      <c r="Q2197" s="10" t="n">
        <v>-3899</v>
      </c>
      <c r="R2197" s="7" t="n">
        <v>5264</v>
      </c>
      <c r="S2197" s="8" t="n">
        <v>-975</v>
      </c>
      <c r="T2197" s="8" t="n">
        <v>-2953</v>
      </c>
      <c r="U2197" s="9" t="n">
        <v>6505</v>
      </c>
      <c r="V2197" s="10" t="n">
        <v>-1976</v>
      </c>
      <c r="W2197" s="10" t="n">
        <v>-2054</v>
      </c>
      <c r="X2197" s="7" t="n">
        <v>19268</v>
      </c>
      <c r="Y2197" s="8" t="n">
        <v>-517</v>
      </c>
      <c r="Z2197" s="8" t="n">
        <v>4609</v>
      </c>
      <c r="AA2197" s="9" t="n">
        <v>13520</v>
      </c>
      <c r="AB2197" s="10" t="n">
        <v>540</v>
      </c>
      <c r="AC2197" s="10" t="n">
        <v>-318</v>
      </c>
      <c r="AD2197" s="7" t="n">
        <v>7357</v>
      </c>
      <c r="AE2197" s="8" t="n">
        <v>-2006</v>
      </c>
      <c r="AF2197" s="8" t="n">
        <v>-1116</v>
      </c>
      <c r="AG2197" s="9" t="n">
        <v>7395</v>
      </c>
      <c r="AH2197" s="10" t="n">
        <v>-1439</v>
      </c>
      <c r="AI2197" s="10" t="n">
        <v>-1720</v>
      </c>
      <c r="AJ2197" s="11" t="n">
        <v>9325</v>
      </c>
      <c r="AK2197" s="12" t="n">
        <v>-1088</v>
      </c>
      <c r="AL2197" s="12" t="n">
        <v>-728</v>
      </c>
      <c r="AM2197" s="13" t="n">
        <v>26.1</v>
      </c>
      <c r="AN2197" s="13" t="n">
        <v>-51.6</v>
      </c>
      <c r="AO2197" s="13" t="n">
        <v>24.4</v>
      </c>
      <c r="AP2197" s="13" t="n">
        <v>-110.4</v>
      </c>
    </row>
    <row r="2198">
      <c r="A2198" s="5" t="inlineStr">
        <is>
          <t>HD현대에너지솔루션</t>
        </is>
      </c>
      <c r="B2198" s="6" t="inlineStr">
        <is>
          <t>322000</t>
        </is>
      </c>
      <c r="C2198" s="6" t="inlineStr">
        <is>
          <t>연결</t>
        </is>
      </c>
      <c r="D2198" s="6" t="inlineStr">
        <is>
          <t>2026Q2</t>
        </is>
      </c>
      <c r="E2198" s="6" t="inlineStr">
        <is>
          <t>2023Q4</t>
        </is>
      </c>
      <c r="F2198" s="14" t="n">
        <v>113326</v>
      </c>
      <c r="G2198" s="15" t="n">
        <v>-4876</v>
      </c>
      <c r="H2198" s="15" t="n">
        <v>-17370</v>
      </c>
      <c r="I2198" s="9" t="n">
        <v>97590</v>
      </c>
      <c r="J2198" s="10" t="n">
        <v>-14239</v>
      </c>
      <c r="K2198" s="10" t="n">
        <v>-19403</v>
      </c>
      <c r="L2198" s="7" t="n">
        <v>112760</v>
      </c>
      <c r="M2198" s="8" t="n">
        <v>7904</v>
      </c>
      <c r="N2198" s="8" t="n">
        <v>10344</v>
      </c>
      <c r="O2198" s="9" t="n">
        <v>100643</v>
      </c>
      <c r="P2198" s="10" t="n">
        <v>3423</v>
      </c>
      <c r="Q2198" s="10" t="n">
        <v>737</v>
      </c>
      <c r="R2198" s="7" t="n">
        <v>111378</v>
      </c>
      <c r="S2198" s="8" t="n">
        <v>6415</v>
      </c>
      <c r="T2198" s="8" t="n">
        <v>8436</v>
      </c>
      <c r="U2198" s="9" t="n">
        <v>85252</v>
      </c>
      <c r="V2198" s="10" t="n">
        <v>-3034</v>
      </c>
      <c r="W2198" s="10" t="n">
        <v>-1084</v>
      </c>
      <c r="X2198" s="7" t="n">
        <v>133713</v>
      </c>
      <c r="Y2198" s="8" t="n">
        <v>15061</v>
      </c>
      <c r="Z2198" s="8" t="n">
        <v>11395</v>
      </c>
      <c r="AA2198" s="9" t="n">
        <v>121049</v>
      </c>
      <c r="AB2198" s="10" t="n">
        <v>14675</v>
      </c>
      <c r="AC2198" s="10" t="n">
        <v>11971</v>
      </c>
      <c r="AD2198" s="7" t="n">
        <v>152646</v>
      </c>
      <c r="AE2198" s="8" t="n">
        <v>14521</v>
      </c>
      <c r="AF2198" s="8" t="n">
        <v>19395</v>
      </c>
      <c r="AG2198" s="9" t="n">
        <v>159891</v>
      </c>
      <c r="AH2198" s="10" t="n">
        <v>29019</v>
      </c>
      <c r="AI2198" s="10" t="n">
        <v>22253</v>
      </c>
      <c r="AJ2198" s="11" t="n">
        <v>165037</v>
      </c>
      <c r="AK2198" s="12" t="n">
        <v>36115</v>
      </c>
      <c r="AL2198" s="12" t="n">
        <v>30745</v>
      </c>
      <c r="AM2198" s="13" t="n">
        <v>3.2</v>
      </c>
      <c r="AN2198" s="13" t="n">
        <v>23.4</v>
      </c>
      <c r="AO2198" s="13" t="n">
        <v>24.5</v>
      </c>
      <c r="AP2198" s="13" t="n">
        <v>139.8</v>
      </c>
    </row>
    <row r="2199">
      <c r="A2199" s="5" t="inlineStr">
        <is>
          <t>LS티라유텍</t>
        </is>
      </c>
      <c r="B2199" s="6" t="inlineStr">
        <is>
          <t>322180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14426</v>
      </c>
      <c r="J2199" s="10" t="n">
        <v>-2397</v>
      </c>
      <c r="K2199" s="10" t="n">
        <v>-3244</v>
      </c>
      <c r="L2199" s="7" t="n">
        <v>14915</v>
      </c>
      <c r="M2199" s="8" t="n">
        <v>-1258</v>
      </c>
      <c r="N2199" s="8" t="n">
        <v>-686</v>
      </c>
      <c r="O2199" s="9" t="n">
        <v>12668</v>
      </c>
      <c r="P2199" s="10" t="n">
        <v>-1975</v>
      </c>
      <c r="Q2199" s="10" t="n">
        <v>-3225</v>
      </c>
      <c r="R2199" s="7" t="n">
        <v>15458</v>
      </c>
      <c r="S2199" s="8" t="n">
        <v>-2282</v>
      </c>
      <c r="T2199" s="8" t="n">
        <v>5132</v>
      </c>
      <c r="U2199" s="9" t="n">
        <v>12123</v>
      </c>
      <c r="V2199" s="10" t="n">
        <v>-2906</v>
      </c>
      <c r="W2199" s="10" t="n">
        <v>-3166</v>
      </c>
      <c r="X2199" s="7" t="n">
        <v>15418</v>
      </c>
      <c r="Y2199" s="8" t="n">
        <v>130</v>
      </c>
      <c r="Z2199" s="8" t="n">
        <v>-805</v>
      </c>
      <c r="AA2199" s="9" t="n">
        <v>12951</v>
      </c>
      <c r="AB2199" s="10" t="n">
        <v>-1631</v>
      </c>
      <c r="AC2199" s="10" t="n">
        <v>-4911</v>
      </c>
      <c r="AD2199" s="7" t="n">
        <v>18449</v>
      </c>
      <c r="AE2199" s="8" t="n">
        <v>114</v>
      </c>
      <c r="AF2199" s="8" t="n">
        <v>-2526</v>
      </c>
      <c r="AG2199" s="9" t="n">
        <v>13984</v>
      </c>
      <c r="AH2199" s="10" t="n">
        <v>-2601</v>
      </c>
      <c r="AI2199" s="10" t="n">
        <v>-2743</v>
      </c>
      <c r="AJ2199" s="11" t="n">
        <v>16790</v>
      </c>
      <c r="AK2199" s="12" t="n">
        <v>-2646</v>
      </c>
      <c r="AL2199" s="12" t="n">
        <v>-6798</v>
      </c>
      <c r="AM2199" s="13" t="n">
        <v>20.1</v>
      </c>
      <c r="AN2199" s="13" t="n">
        <v>8.9</v>
      </c>
      <c r="AO2199" s="13" t="n">
        <v>-1.7</v>
      </c>
      <c r="AP2199" s="13" t="n">
        <v>-2135.4</v>
      </c>
    </row>
    <row r="2200">
      <c r="A2200" s="5" t="inlineStr">
        <is>
          <t>오로스테크놀로지</t>
        </is>
      </c>
      <c r="B2200" s="6" t="inlineStr">
        <is>
          <t>322310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3813</v>
      </c>
      <c r="J2200" s="10" t="n">
        <v>-5987</v>
      </c>
      <c r="K2200" s="10" t="n">
        <v>-5346</v>
      </c>
      <c r="L2200" s="7" t="n">
        <v>12026</v>
      </c>
      <c r="M2200" s="8" t="n">
        <v>-523</v>
      </c>
      <c r="N2200" s="8" t="n">
        <v>-340</v>
      </c>
      <c r="O2200" s="9" t="n">
        <v>16645</v>
      </c>
      <c r="P2200" s="10" t="n">
        <v>2460</v>
      </c>
      <c r="Q2200" s="10" t="n">
        <v>2834</v>
      </c>
      <c r="R2200" s="7" t="n">
        <v>28928</v>
      </c>
      <c r="S2200" s="8" t="n">
        <v>10133</v>
      </c>
      <c r="T2200" s="8" t="n">
        <v>8759</v>
      </c>
      <c r="U2200" s="9" t="n">
        <v>16878</v>
      </c>
      <c r="V2200" s="10" t="n">
        <v>-304</v>
      </c>
      <c r="W2200" s="10" t="n">
        <v>-369</v>
      </c>
      <c r="X2200" s="7" t="n">
        <v>13868</v>
      </c>
      <c r="Y2200" s="8" t="n">
        <v>-662</v>
      </c>
      <c r="Z2200" s="8" t="n">
        <v>-1001</v>
      </c>
      <c r="AA2200" s="9" t="n">
        <v>7567</v>
      </c>
      <c r="AB2200" s="10" t="n">
        <v>-5811</v>
      </c>
      <c r="AC2200" s="10" t="n">
        <v>-5421</v>
      </c>
      <c r="AD2200" s="7" t="n">
        <v>13824</v>
      </c>
      <c r="AE2200" s="8" t="n">
        <v>-1594</v>
      </c>
      <c r="AF2200" s="8" t="n">
        <v>370</v>
      </c>
      <c r="AG2200" s="9" t="n">
        <v>6813</v>
      </c>
      <c r="AH2200" s="10" t="n">
        <v>-6823</v>
      </c>
      <c r="AI2200" s="10" t="n">
        <v>-5107</v>
      </c>
      <c r="AJ2200" s="11" t="n">
        <v>11366</v>
      </c>
      <c r="AK2200" s="12" t="n">
        <v>-2294</v>
      </c>
      <c r="AL2200" s="12" t="n">
        <v>-3571</v>
      </c>
      <c r="AM2200" s="13" t="n">
        <v>66.8</v>
      </c>
      <c r="AN2200" s="13" t="n">
        <v>-18</v>
      </c>
      <c r="AO2200" s="13" t="n">
        <v>66.40000000000001</v>
      </c>
      <c r="AP2200" s="13" t="n">
        <v>-246.5</v>
      </c>
    </row>
    <row r="2201">
      <c r="A2201" s="5" t="inlineStr">
        <is>
          <t>제이엘케이</t>
        </is>
      </c>
      <c r="B2201" s="6" t="inlineStr">
        <is>
          <t>322510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136</v>
      </c>
      <c r="J2201" s="10" t="n">
        <v>-3666</v>
      </c>
      <c r="K2201" s="10" t="n">
        <v>-3881</v>
      </c>
      <c r="L2201" s="7" t="n">
        <v>228</v>
      </c>
      <c r="M2201" s="8" t="n">
        <v>-3028</v>
      </c>
      <c r="N2201" s="8" t="n">
        <v>-3291</v>
      </c>
      <c r="O2201" s="9" t="n">
        <v>250</v>
      </c>
      <c r="P2201" s="10" t="n">
        <v>-3228</v>
      </c>
      <c r="Q2201" s="10" t="n">
        <v>-3489</v>
      </c>
      <c r="R2201" s="7" t="n">
        <v>814</v>
      </c>
      <c r="S2201" s="8" t="n">
        <v>-2810</v>
      </c>
      <c r="T2201" s="8" t="n">
        <v>-2787</v>
      </c>
      <c r="U2201" s="9" t="n">
        <v>485</v>
      </c>
      <c r="V2201" s="10" t="n">
        <v>-3342</v>
      </c>
      <c r="W2201" s="10" t="n">
        <v>-3214</v>
      </c>
      <c r="X2201" s="7" t="n">
        <v>1063</v>
      </c>
      <c r="Y2201" s="8" t="n">
        <v>-2893</v>
      </c>
      <c r="Z2201" s="8" t="n">
        <v>-2824</v>
      </c>
      <c r="AA2201" s="9" t="n">
        <v>895</v>
      </c>
      <c r="AB2201" s="10" t="n">
        <v>-2675</v>
      </c>
      <c r="AC2201" s="10" t="n">
        <v>-2166</v>
      </c>
      <c r="AD2201" s="7" t="n">
        <v>896</v>
      </c>
      <c r="AE2201" s="8" t="n">
        <v>-4292</v>
      </c>
      <c r="AF2201" s="8" t="n">
        <v>-5402</v>
      </c>
      <c r="AG2201" s="9" t="n">
        <v>412</v>
      </c>
      <c r="AH2201" s="10" t="n">
        <v>-3353</v>
      </c>
      <c r="AI2201" s="10" t="n">
        <v>-3815</v>
      </c>
      <c r="AJ2201" s="11" t="n">
        <v>520</v>
      </c>
      <c r="AK2201" s="12" t="n">
        <v>-3347</v>
      </c>
      <c r="AL2201" s="12" t="n">
        <v>-3742</v>
      </c>
      <c r="AM2201" s="13" t="n">
        <v>26.2</v>
      </c>
      <c r="AN2201" s="13" t="n">
        <v>-51.1</v>
      </c>
      <c r="AO2201" s="13" t="n">
        <v>0.2</v>
      </c>
      <c r="AP2201" s="13" t="n">
        <v>-15.7</v>
      </c>
    </row>
    <row r="2202">
      <c r="A2202" s="5" t="inlineStr">
        <is>
          <t>코퍼스코리아</t>
        </is>
      </c>
      <c r="B2202" s="6" t="inlineStr">
        <is>
          <t>322780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8808</v>
      </c>
      <c r="J2202" s="10" t="n">
        <v>-3811</v>
      </c>
      <c r="K2202" s="10" t="n">
        <v>-4148</v>
      </c>
      <c r="L2202" s="7" t="n">
        <v>15750</v>
      </c>
      <c r="M2202" s="8" t="n">
        <v>-9001</v>
      </c>
      <c r="N2202" s="8" t="n">
        <v>-6071</v>
      </c>
      <c r="O2202" s="9" t="n">
        <v>12789</v>
      </c>
      <c r="P2202" s="10" t="n">
        <v>-4331</v>
      </c>
      <c r="Q2202" s="10" t="n">
        <v>-3927</v>
      </c>
      <c r="R2202" s="7" t="n">
        <v>4485</v>
      </c>
      <c r="S2202" s="8" t="n">
        <v>-12219</v>
      </c>
      <c r="T2202" s="8" t="n">
        <v>-10974</v>
      </c>
      <c r="U2202" s="9" t="n">
        <v>3986</v>
      </c>
      <c r="V2202" s="10" t="n">
        <v>-1046</v>
      </c>
      <c r="W2202" s="10" t="n">
        <v>-1143</v>
      </c>
      <c r="X2202" s="7" t="n">
        <v>2498</v>
      </c>
      <c r="Y2202" s="8" t="n">
        <v>-3140</v>
      </c>
      <c r="Z2202" s="8" t="n">
        <v>-5824</v>
      </c>
      <c r="AA2202" s="9" t="n">
        <v>11828</v>
      </c>
      <c r="AB2202" s="10" t="n">
        <v>-2439</v>
      </c>
      <c r="AC2202" s="10" t="n">
        <v>-2612</v>
      </c>
      <c r="AD2202" s="7" t="n">
        <v>14588</v>
      </c>
      <c r="AE2202" s="8" t="n">
        <v>-469</v>
      </c>
      <c r="AF2202" s="8" t="n">
        <v>-4017</v>
      </c>
      <c r="AG2202" s="9" t="n">
        <v>10796</v>
      </c>
      <c r="AH2202" s="10" t="n">
        <v>-2493</v>
      </c>
      <c r="AI2202" s="10" t="n">
        <v>-150</v>
      </c>
      <c r="AJ2202" s="11" t="n">
        <v>7175</v>
      </c>
      <c r="AK2202" s="12" t="n">
        <v>-1079</v>
      </c>
      <c r="AL2202" s="12" t="n">
        <v>-389</v>
      </c>
      <c r="AM2202" s="13" t="n">
        <v>-33.5</v>
      </c>
      <c r="AN2202" s="13" t="n">
        <v>187.2</v>
      </c>
      <c r="AO2202" s="13" t="n">
        <v>56.7</v>
      </c>
      <c r="AP2202" s="13" t="n">
        <v>65.59999999999999</v>
      </c>
    </row>
    <row r="2203">
      <c r="A2203" s="5" t="inlineStr">
        <is>
          <t>태성</t>
        </is>
      </c>
      <c r="B2203" s="6" t="inlineStr">
        <is>
          <t>323280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17744</v>
      </c>
      <c r="J2203" s="10" t="n">
        <v>2083</v>
      </c>
      <c r="K2203" s="10" t="n">
        <v>2336</v>
      </c>
      <c r="L2203" s="7" t="n">
        <v>14551</v>
      </c>
      <c r="M2203" s="8" t="n">
        <v>2697</v>
      </c>
      <c r="N2203" s="8" t="n">
        <v>1323</v>
      </c>
      <c r="O2203" s="9" t="n">
        <v>12657</v>
      </c>
      <c r="P2203" s="10" t="n">
        <v>-1017</v>
      </c>
      <c r="Q2203" s="10" t="n">
        <v>-1026</v>
      </c>
      <c r="R2203" s="7" t="n">
        <v>14260</v>
      </c>
      <c r="S2203" s="8" t="n">
        <v>2275</v>
      </c>
      <c r="T2203" s="8" t="n">
        <v>3335</v>
      </c>
      <c r="U2203" s="9" t="n">
        <v>7549</v>
      </c>
      <c r="V2203" s="10" t="n">
        <v>-1563</v>
      </c>
      <c r="W2203" s="10" t="n">
        <v>-1296</v>
      </c>
      <c r="X2203" s="7" t="n">
        <v>8638</v>
      </c>
      <c r="Y2203" s="8" t="n">
        <v>-1179</v>
      </c>
      <c r="Z2203" s="8" t="n">
        <v>-768</v>
      </c>
      <c r="AA2203" s="9" t="n">
        <v>8793</v>
      </c>
      <c r="AB2203" s="10" t="n">
        <v>-1176</v>
      </c>
      <c r="AC2203" s="10" t="n">
        <v>-3209</v>
      </c>
      <c r="AD2203" s="7" t="n">
        <v>12879</v>
      </c>
      <c r="AE2203" s="8" t="n">
        <v>1412</v>
      </c>
      <c r="AF2203" s="8" t="n">
        <v>2736</v>
      </c>
      <c r="AG2203" s="9" t="n">
        <v>19868</v>
      </c>
      <c r="AH2203" s="10" t="n">
        <v>-883</v>
      </c>
      <c r="AI2203" s="10" t="n">
        <v>-488</v>
      </c>
      <c r="AJ2203" s="11" t="n">
        <v>30518</v>
      </c>
      <c r="AK2203" s="12" t="n">
        <v>3118</v>
      </c>
      <c r="AL2203" s="12" t="n">
        <v>3466</v>
      </c>
      <c r="AM2203" s="13" t="n">
        <v>53.6</v>
      </c>
      <c r="AN2203" s="13" t="n">
        <v>253.3</v>
      </c>
      <c r="AO2203" s="13" t="n">
        <v>453.1</v>
      </c>
      <c r="AP2203" s="13" t="n">
        <v>364.5</v>
      </c>
    </row>
    <row r="2204">
      <c r="A2204" s="5" t="inlineStr">
        <is>
          <t>다원넥스뷰</t>
        </is>
      </c>
      <c r="B2204" s="6" t="inlineStr">
        <is>
          <t>323350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inlineStr"/>
      <c r="J2204" s="10" t="inlineStr"/>
      <c r="K2204" s="10" t="inlineStr"/>
      <c r="L2204" s="7" t="n">
        <v>5025160349</v>
      </c>
      <c r="M2204" s="8" t="n">
        <v>-203617264</v>
      </c>
      <c r="N2204" s="8" t="n">
        <v>-5712257033</v>
      </c>
      <c r="O2204" s="9" t="n">
        <v>2761</v>
      </c>
      <c r="P2204" s="10" t="n">
        <v>-109</v>
      </c>
      <c r="Q2204" s="10" t="n">
        <v>-108</v>
      </c>
      <c r="R2204" s="7" t="inlineStr"/>
      <c r="S2204" s="8" t="inlineStr"/>
      <c r="T2204" s="8" t="inlineStr"/>
      <c r="U2204" s="9" t="n">
        <v>2743</v>
      </c>
      <c r="V2204" s="10" t="n">
        <v>102</v>
      </c>
      <c r="W2204" s="10" t="n">
        <v>105</v>
      </c>
      <c r="X2204" s="7" t="n">
        <v>5960</v>
      </c>
      <c r="Y2204" s="8" t="n">
        <v>597</v>
      </c>
      <c r="Z2204" s="8" t="n">
        <v>606</v>
      </c>
      <c r="AA2204" s="9" t="n">
        <v>3975</v>
      </c>
      <c r="AB2204" s="10" t="n">
        <v>124</v>
      </c>
      <c r="AC2204" s="10" t="n">
        <v>232</v>
      </c>
      <c r="AD2204" s="7" t="n">
        <v>14259</v>
      </c>
      <c r="AE2204" s="8" t="n">
        <v>3207</v>
      </c>
      <c r="AF2204" s="8" t="n">
        <v>2536</v>
      </c>
      <c r="AG2204" s="9" t="n">
        <v>3164</v>
      </c>
      <c r="AH2204" s="10" t="n">
        <v>634</v>
      </c>
      <c r="AI2204" s="10" t="n">
        <v>847</v>
      </c>
      <c r="AJ2204" s="11" t="n">
        <v>8017</v>
      </c>
      <c r="AK2204" s="12" t="n">
        <v>1693</v>
      </c>
      <c r="AL2204" s="12" t="n">
        <v>1425</v>
      </c>
      <c r="AM2204" s="13" t="n">
        <v>153.4</v>
      </c>
      <c r="AN2204" s="13" t="n">
        <v>34.5</v>
      </c>
      <c r="AO2204" s="13" t="n">
        <v>167</v>
      </c>
      <c r="AP2204" s="13" t="n">
        <v>183.6</v>
      </c>
    </row>
    <row r="2205">
      <c r="A2205" s="5" t="inlineStr">
        <is>
          <t>카카오뱅크</t>
        </is>
      </c>
      <c r="B2205" s="6" t="inlineStr">
        <is>
          <t>323410</t>
        </is>
      </c>
      <c r="C2205" s="6" t="inlineStr">
        <is>
          <t>별도</t>
        </is>
      </c>
      <c r="D2205" s="6" t="inlineStr">
        <is>
          <t>2026Q2</t>
        </is>
      </c>
      <c r="E2205" s="6" t="inlineStr">
        <is>
          <t>2023Q4</t>
        </is>
      </c>
      <c r="F2205" s="14" t="n">
        <v>663674</v>
      </c>
      <c r="G2205" s="15" t="n">
        <v>102793</v>
      </c>
      <c r="H2205" s="15" t="n">
        <v>75660</v>
      </c>
      <c r="I2205" s="9" t="n">
        <v>717859</v>
      </c>
      <c r="J2205" s="10" t="n">
        <v>148405</v>
      </c>
      <c r="K2205" s="10" t="n">
        <v>111197</v>
      </c>
      <c r="L2205" s="7" t="n">
        <v>734144</v>
      </c>
      <c r="M2205" s="8" t="n">
        <v>169769</v>
      </c>
      <c r="N2205" s="8" t="n">
        <v>120245</v>
      </c>
      <c r="O2205" s="9" t="n">
        <v>746339</v>
      </c>
      <c r="P2205" s="10" t="n">
        <v>173735</v>
      </c>
      <c r="Q2205" s="10" t="n">
        <v>124166</v>
      </c>
      <c r="R2205" s="7" t="n">
        <v>747279</v>
      </c>
      <c r="S2205" s="8" t="n">
        <v>114971</v>
      </c>
      <c r="T2205" s="8" t="n">
        <v>84457</v>
      </c>
      <c r="U2205" s="9" t="n">
        <v>784562</v>
      </c>
      <c r="V2205" s="10" t="n">
        <v>183039</v>
      </c>
      <c r="W2205" s="10" t="n">
        <v>137416</v>
      </c>
      <c r="X2205" s="7" t="n">
        <v>778033</v>
      </c>
      <c r="Y2205" s="8" t="n">
        <v>170127</v>
      </c>
      <c r="Z2205" s="8" t="n">
        <v>126257</v>
      </c>
      <c r="AA2205" s="9" t="n">
        <v>764658</v>
      </c>
      <c r="AB2205" s="10" t="n">
        <v>151119</v>
      </c>
      <c r="AC2205" s="10" t="n">
        <v>111400</v>
      </c>
      <c r="AD2205" s="7" t="n">
        <v>759038</v>
      </c>
      <c r="AE2205" s="8" t="n">
        <v>145086</v>
      </c>
      <c r="AF2205" s="8" t="n">
        <v>105207</v>
      </c>
      <c r="AG2205" s="9" t="n">
        <v>819336</v>
      </c>
      <c r="AH2205" s="10" t="n">
        <v>157614</v>
      </c>
      <c r="AI2205" s="10" t="n">
        <v>187296</v>
      </c>
      <c r="AJ2205" s="11" t="n">
        <v>828980</v>
      </c>
      <c r="AK2205" s="12" t="n">
        <v>193977</v>
      </c>
      <c r="AL2205" s="12" t="n">
        <v>140752</v>
      </c>
      <c r="AM2205" s="13" t="n">
        <v>1.2</v>
      </c>
      <c r="AN2205" s="13" t="n">
        <v>6.5</v>
      </c>
      <c r="AO2205" s="13" t="n">
        <v>23.1</v>
      </c>
      <c r="AP2205" s="13" t="n">
        <v>14</v>
      </c>
    </row>
    <row r="2206">
      <c r="A2206" s="5" t="inlineStr">
        <is>
          <t>박셀바이오</t>
        </is>
      </c>
      <c r="B2206" s="6" t="inlineStr">
        <is>
          <t>323990</t>
        </is>
      </c>
      <c r="C2206" s="6" t="inlineStr">
        <is>
          <t>별도</t>
        </is>
      </c>
      <c r="D2206" s="6" t="inlineStr">
        <is>
          <t>2026Q2</t>
        </is>
      </c>
      <c r="E2206" s="6" t="inlineStr"/>
      <c r="F2206" s="7" t="inlineStr"/>
      <c r="G2206" s="8" t="inlineStr"/>
      <c r="H2206" s="8" t="inlineStr"/>
      <c r="I2206" s="9" t="n">
        <v>27</v>
      </c>
      <c r="J2206" s="10" t="n">
        <v>-3242</v>
      </c>
      <c r="K2206" s="10" t="n">
        <v>-2450</v>
      </c>
      <c r="L2206" s="7" t="n">
        <v>29</v>
      </c>
      <c r="M2206" s="8" t="n">
        <v>-3914</v>
      </c>
      <c r="N2206" s="8" t="n">
        <v>-2445</v>
      </c>
      <c r="O2206" s="9" t="n">
        <v>483</v>
      </c>
      <c r="P2206" s="10" t="n">
        <v>-3530</v>
      </c>
      <c r="Q2206" s="10" t="n">
        <v>-2409</v>
      </c>
      <c r="R2206" s="7" t="n">
        <v>1360</v>
      </c>
      <c r="S2206" s="8" t="n">
        <v>-4352</v>
      </c>
      <c r="T2206" s="8" t="n">
        <v>-3320</v>
      </c>
      <c r="U2206" s="9" t="n">
        <v>1719</v>
      </c>
      <c r="V2206" s="10" t="n">
        <v>-4305</v>
      </c>
      <c r="W2206" s="10" t="n">
        <v>-2616</v>
      </c>
      <c r="X2206" s="7" t="n">
        <v>1986</v>
      </c>
      <c r="Y2206" s="8" t="n">
        <v>-4105</v>
      </c>
      <c r="Z2206" s="8" t="n">
        <v>-3822</v>
      </c>
      <c r="AA2206" s="9" t="n">
        <v>1654</v>
      </c>
      <c r="AB2206" s="10" t="n">
        <v>-3443</v>
      </c>
      <c r="AC2206" s="10" t="n">
        <v>-2683</v>
      </c>
      <c r="AD2206" s="7" t="n">
        <v>1697</v>
      </c>
      <c r="AE2206" s="8" t="n">
        <v>-3645</v>
      </c>
      <c r="AF2206" s="8" t="n">
        <v>-4219</v>
      </c>
      <c r="AG2206" s="9" t="n">
        <v>1536</v>
      </c>
      <c r="AH2206" s="10" t="n">
        <v>-4625</v>
      </c>
      <c r="AI2206" s="10" t="n">
        <v>-3969</v>
      </c>
      <c r="AJ2206" s="11" t="n">
        <v>1625</v>
      </c>
      <c r="AK2206" s="12" t="n">
        <v>-5025</v>
      </c>
      <c r="AL2206" s="12" t="n">
        <v>-4046</v>
      </c>
      <c r="AM2206" s="13" t="n">
        <v>5.8</v>
      </c>
      <c r="AN2206" s="13" t="n">
        <v>-18.2</v>
      </c>
      <c r="AO2206" s="13" t="n">
        <v>-8.6</v>
      </c>
      <c r="AP2206" s="13" t="n">
        <v>-22.4</v>
      </c>
    </row>
    <row r="2207">
      <c r="A2207" s="5" t="inlineStr">
        <is>
          <t>에스케이바이오팜</t>
        </is>
      </c>
      <c r="B2207" s="6" t="inlineStr">
        <is>
          <t>326030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126756</v>
      </c>
      <c r="G2207" s="15" t="n">
        <v>15214</v>
      </c>
      <c r="H2207" s="15" t="n">
        <v>7810</v>
      </c>
      <c r="I2207" s="9" t="n">
        <v>113975</v>
      </c>
      <c r="J2207" s="10" t="n">
        <v>10296</v>
      </c>
      <c r="K2207" s="10" t="n">
        <v>9698</v>
      </c>
      <c r="L2207" s="7" t="n">
        <v>133995</v>
      </c>
      <c r="M2207" s="8" t="n">
        <v>26046</v>
      </c>
      <c r="N2207" s="8" t="n">
        <v>24558</v>
      </c>
      <c r="O2207" s="9" t="n">
        <v>136602</v>
      </c>
      <c r="P2207" s="10" t="n">
        <v>19344</v>
      </c>
      <c r="Q2207" s="10" t="n">
        <v>6308</v>
      </c>
      <c r="R2207" s="7" t="n">
        <v>163024</v>
      </c>
      <c r="S2207" s="8" t="n">
        <v>40654</v>
      </c>
      <c r="T2207" s="8" t="n">
        <v>186409</v>
      </c>
      <c r="U2207" s="9" t="n">
        <v>144377</v>
      </c>
      <c r="V2207" s="10" t="n">
        <v>25672</v>
      </c>
      <c r="W2207" s="10" t="n">
        <v>19623</v>
      </c>
      <c r="X2207" s="7" t="n">
        <v>176277</v>
      </c>
      <c r="Y2207" s="8" t="n">
        <v>61883</v>
      </c>
      <c r="Z2207" s="8" t="n">
        <v>29524</v>
      </c>
      <c r="AA2207" s="9" t="n">
        <v>191727</v>
      </c>
      <c r="AB2207" s="10" t="n">
        <v>70106</v>
      </c>
      <c r="AC2207" s="10" t="n">
        <v>71367</v>
      </c>
      <c r="AD2207" s="7" t="n">
        <v>194360</v>
      </c>
      <c r="AE2207" s="8" t="n">
        <v>46277</v>
      </c>
      <c r="AF2207" s="8" t="n">
        <v>132740</v>
      </c>
      <c r="AG2207" s="9" t="n">
        <v>227886</v>
      </c>
      <c r="AH2207" s="10" t="n">
        <v>89768</v>
      </c>
      <c r="AI2207" s="10" t="n">
        <v>102734</v>
      </c>
      <c r="AJ2207" s="11" t="n">
        <v>247367</v>
      </c>
      <c r="AK2207" s="12" t="n">
        <v>97064</v>
      </c>
      <c r="AL2207" s="12" t="n">
        <v>85065</v>
      </c>
      <c r="AM2207" s="13" t="n">
        <v>8.5</v>
      </c>
      <c r="AN2207" s="13" t="n">
        <v>40.3</v>
      </c>
      <c r="AO2207" s="13" t="n">
        <v>8.1</v>
      </c>
      <c r="AP2207" s="13" t="n">
        <v>56.9</v>
      </c>
    </row>
    <row r="2208">
      <c r="A2208" s="5" t="inlineStr">
        <is>
          <t>RF머트리얼즈</t>
        </is>
      </c>
      <c r="B2208" s="6" t="inlineStr">
        <is>
          <t>327260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13721</v>
      </c>
      <c r="G2208" s="15" t="n">
        <v>712</v>
      </c>
      <c r="H2208" s="15" t="n">
        <v>706</v>
      </c>
      <c r="I2208" s="9" t="n">
        <v>10527</v>
      </c>
      <c r="J2208" s="10" t="n">
        <v>-260</v>
      </c>
      <c r="K2208" s="10" t="n">
        <v>-27</v>
      </c>
      <c r="L2208" s="7" t="n">
        <v>11386</v>
      </c>
      <c r="M2208" s="8" t="n">
        <v>-602</v>
      </c>
      <c r="N2208" s="8" t="n">
        <v>-509</v>
      </c>
      <c r="O2208" s="9" t="n">
        <v>7710</v>
      </c>
      <c r="P2208" s="10" t="n">
        <v>-1006</v>
      </c>
      <c r="Q2208" s="10" t="n">
        <v>-869</v>
      </c>
      <c r="R2208" s="7" t="n">
        <v>14874</v>
      </c>
      <c r="S2208" s="8" t="n">
        <v>415</v>
      </c>
      <c r="T2208" s="8" t="n">
        <v>-6178</v>
      </c>
      <c r="U2208" s="9" t="n">
        <v>11806</v>
      </c>
      <c r="V2208" s="10" t="n">
        <v>837</v>
      </c>
      <c r="W2208" s="10" t="n">
        <v>564</v>
      </c>
      <c r="X2208" s="7" t="n">
        <v>16563</v>
      </c>
      <c r="Y2208" s="8" t="n">
        <v>1873</v>
      </c>
      <c r="Z2208" s="8" t="n">
        <v>2172</v>
      </c>
      <c r="AA2208" s="9" t="n">
        <v>14589</v>
      </c>
      <c r="AB2208" s="10" t="n">
        <v>1891</v>
      </c>
      <c r="AC2208" s="10" t="n">
        <v>2317</v>
      </c>
      <c r="AD2208" s="7" t="n">
        <v>21126</v>
      </c>
      <c r="AE2208" s="8" t="n">
        <v>2769</v>
      </c>
      <c r="AF2208" s="8" t="n">
        <v>5324</v>
      </c>
      <c r="AG2208" s="9" t="n">
        <v>20024</v>
      </c>
      <c r="AH2208" s="10" t="n">
        <v>3196</v>
      </c>
      <c r="AI2208" s="10" t="n">
        <v>3381</v>
      </c>
      <c r="AJ2208" s="11" t="n">
        <v>25060</v>
      </c>
      <c r="AK2208" s="12" t="n">
        <v>5290</v>
      </c>
      <c r="AL2208" s="12" t="n">
        <v>5235</v>
      </c>
      <c r="AM2208" s="13" t="n">
        <v>25.1</v>
      </c>
      <c r="AN2208" s="13" t="n">
        <v>51.3</v>
      </c>
      <c r="AO2208" s="13" t="n">
        <v>65.5</v>
      </c>
      <c r="AP2208" s="13" t="n">
        <v>182.4</v>
      </c>
    </row>
    <row r="2209">
      <c r="A2209" s="5" t="inlineStr">
        <is>
          <t>루닛</t>
        </is>
      </c>
      <c r="B2209" s="6" t="inlineStr">
        <is>
          <t>328130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5140</v>
      </c>
      <c r="J2209" s="10" t="n">
        <v>-12802</v>
      </c>
      <c r="K2209" s="10" t="n">
        <v>-11311</v>
      </c>
      <c r="L2209" s="7" t="n">
        <v>12230</v>
      </c>
      <c r="M2209" s="8" t="n">
        <v>-19944</v>
      </c>
      <c r="N2209" s="8" t="n">
        <v>13971</v>
      </c>
      <c r="O2209" s="9" t="n">
        <v>16770</v>
      </c>
      <c r="P2209" s="10" t="n">
        <v>-16434</v>
      </c>
      <c r="Q2209" s="10" t="n">
        <v>-11647</v>
      </c>
      <c r="R2209" s="7" t="n">
        <v>20040</v>
      </c>
      <c r="S2209" s="8" t="n">
        <v>-18493</v>
      </c>
      <c r="T2209" s="8" t="n">
        <v>-73434</v>
      </c>
      <c r="U2209" s="9" t="n">
        <v>19203</v>
      </c>
      <c r="V2209" s="10" t="n">
        <v>-20666</v>
      </c>
      <c r="W2209" s="10" t="n">
        <v>2027</v>
      </c>
      <c r="X2209" s="7" t="n">
        <v>17875</v>
      </c>
      <c r="Y2209" s="8" t="n">
        <v>-21109</v>
      </c>
      <c r="Z2209" s="8" t="n">
        <v>-34960</v>
      </c>
      <c r="AA2209" s="9" t="n">
        <v>19576</v>
      </c>
      <c r="AB2209" s="10" t="n">
        <v>-21556</v>
      </c>
      <c r="AC2209" s="10" t="n">
        <v>18125</v>
      </c>
      <c r="AD2209" s="7" t="n">
        <v>26475</v>
      </c>
      <c r="AE2209" s="8" t="n">
        <v>-19773</v>
      </c>
      <c r="AF2209" s="8" t="n">
        <v>-32582</v>
      </c>
      <c r="AG2209" s="9" t="n">
        <v>23952</v>
      </c>
      <c r="AH2209" s="10" t="n">
        <v>-13593</v>
      </c>
      <c r="AI2209" s="10" t="n">
        <v>-17810</v>
      </c>
      <c r="AJ2209" s="11" t="n">
        <v>21814</v>
      </c>
      <c r="AK2209" s="12" t="n">
        <v>-15369</v>
      </c>
      <c r="AL2209" s="12" t="n">
        <v>-23557</v>
      </c>
      <c r="AM2209" s="13" t="n">
        <v>-8.9</v>
      </c>
      <c r="AN2209" s="13" t="n">
        <v>22</v>
      </c>
      <c r="AO2209" s="13" t="n">
        <v>-13.1</v>
      </c>
      <c r="AP2209" s="13" t="n">
        <v>27.2</v>
      </c>
    </row>
    <row r="2210">
      <c r="A2210" s="5" t="inlineStr">
        <is>
          <t>솔트웨어</t>
        </is>
      </c>
      <c r="B2210" s="6" t="inlineStr">
        <is>
          <t>328380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12004</v>
      </c>
      <c r="J2210" s="10" t="n">
        <v>-620</v>
      </c>
      <c r="K2210" s="10" t="n">
        <v>-409</v>
      </c>
      <c r="L2210" s="7" t="n">
        <v>15652</v>
      </c>
      <c r="M2210" s="8" t="n">
        <v>-17</v>
      </c>
      <c r="N2210" s="8" t="n">
        <v>71</v>
      </c>
      <c r="O2210" s="9" t="n">
        <v>15603</v>
      </c>
      <c r="P2210" s="10" t="n">
        <v>-83</v>
      </c>
      <c r="Q2210" s="10" t="n">
        <v>-39</v>
      </c>
      <c r="R2210" s="7" t="n">
        <v>14611</v>
      </c>
      <c r="S2210" s="8" t="n">
        <v>-989</v>
      </c>
      <c r="T2210" s="8" t="n">
        <v>259</v>
      </c>
      <c r="U2210" s="9" t="n">
        <v>16592</v>
      </c>
      <c r="V2210" s="10" t="n">
        <v>134</v>
      </c>
      <c r="W2210" s="10" t="n">
        <v>77</v>
      </c>
      <c r="X2210" s="7" t="n">
        <v>14353</v>
      </c>
      <c r="Y2210" s="8" t="n">
        <v>94</v>
      </c>
      <c r="Z2210" s="8" t="n">
        <v>-52</v>
      </c>
      <c r="AA2210" s="9" t="n">
        <v>16394</v>
      </c>
      <c r="AB2210" s="10" t="n">
        <v>-247</v>
      </c>
      <c r="AC2210" s="10" t="n">
        <v>-5</v>
      </c>
      <c r="AD2210" s="7" t="n">
        <v>16335</v>
      </c>
      <c r="AE2210" s="8" t="n">
        <v>585</v>
      </c>
      <c r="AF2210" s="8" t="n">
        <v>819</v>
      </c>
      <c r="AG2210" s="9" t="n">
        <v>18007</v>
      </c>
      <c r="AH2210" s="10" t="n">
        <v>-99</v>
      </c>
      <c r="AI2210" s="10" t="n">
        <v>-24</v>
      </c>
      <c r="AJ2210" s="11" t="n">
        <v>19904</v>
      </c>
      <c r="AK2210" s="12" t="n">
        <v>-798</v>
      </c>
      <c r="AL2210" s="12" t="n">
        <v>-509</v>
      </c>
      <c r="AM2210" s="13" t="n">
        <v>10.5</v>
      </c>
      <c r="AN2210" s="13" t="n">
        <v>38.7</v>
      </c>
      <c r="AO2210" s="13" t="n">
        <v>-706.1</v>
      </c>
      <c r="AP2210" s="13" t="n">
        <v>-948.9</v>
      </c>
    </row>
    <row r="2211">
      <c r="A2211" s="5" t="inlineStr">
        <is>
          <t>HD현대중공업</t>
        </is>
      </c>
      <c r="B2211" s="6" t="inlineStr">
        <is>
          <t>329180</t>
        </is>
      </c>
      <c r="C2211" s="6" t="inlineStr">
        <is>
          <t>연결</t>
        </is>
      </c>
      <c r="D2211" s="6" t="inlineStr">
        <is>
          <t>2026Q2</t>
        </is>
      </c>
      <c r="E2211" s="6" t="inlineStr">
        <is>
          <t>2023Q4</t>
        </is>
      </c>
      <c r="F2211" s="14" t="n">
        <v>3413100</v>
      </c>
      <c r="G2211" s="15" t="n">
        <v>138700</v>
      </c>
      <c r="H2211" s="15" t="n">
        <v>31000</v>
      </c>
      <c r="I2211" s="9" t="n">
        <v>2987745</v>
      </c>
      <c r="J2211" s="10" t="n">
        <v>21264</v>
      </c>
      <c r="K2211" s="10" t="n">
        <v>28624</v>
      </c>
      <c r="L2211" s="7" t="n">
        <v>3883983</v>
      </c>
      <c r="M2211" s="8" t="n">
        <v>195630</v>
      </c>
      <c r="N2211" s="8" t="n">
        <v>154110</v>
      </c>
      <c r="O2211" s="9" t="n">
        <v>3609176</v>
      </c>
      <c r="P2211" s="10" t="n">
        <v>206145</v>
      </c>
      <c r="Q2211" s="10" t="n">
        <v>72198</v>
      </c>
      <c r="R2211" s="7" t="n">
        <v>4005550</v>
      </c>
      <c r="S2211" s="8" t="n">
        <v>282184</v>
      </c>
      <c r="T2211" s="8" t="n">
        <v>366577</v>
      </c>
      <c r="U2211" s="9" t="n">
        <v>3822516</v>
      </c>
      <c r="V2211" s="10" t="n">
        <v>433734</v>
      </c>
      <c r="W2211" s="10" t="n">
        <v>284230</v>
      </c>
      <c r="X2211" s="7" t="n">
        <v>4147125</v>
      </c>
      <c r="Y2211" s="8" t="n">
        <v>471456</v>
      </c>
      <c r="Z2211" s="8" t="n">
        <v>210911</v>
      </c>
      <c r="AA2211" s="9" t="n">
        <v>4417898</v>
      </c>
      <c r="AB2211" s="10" t="n">
        <v>557285</v>
      </c>
      <c r="AC2211" s="10" t="n">
        <v>430790</v>
      </c>
      <c r="AD2211" s="7" t="n">
        <v>5193094</v>
      </c>
      <c r="AE2211" s="8" t="n">
        <v>575035</v>
      </c>
      <c r="AF2211" s="8" t="n">
        <v>489554</v>
      </c>
      <c r="AG2211" s="9" t="n">
        <v>5916332</v>
      </c>
      <c r="AH2211" s="10" t="n">
        <v>905386</v>
      </c>
      <c r="AI2211" s="10" t="n">
        <v>773812</v>
      </c>
      <c r="AJ2211" s="11" t="n">
        <v>6332155</v>
      </c>
      <c r="AK2211" s="12" t="n">
        <v>1039938</v>
      </c>
      <c r="AL2211" s="12" t="n">
        <v>822143</v>
      </c>
      <c r="AM2211" s="13" t="n">
        <v>7</v>
      </c>
      <c r="AN2211" s="13" t="n">
        <v>52.7</v>
      </c>
      <c r="AO2211" s="13" t="n">
        <v>14.9</v>
      </c>
      <c r="AP2211" s="13" t="n">
        <v>120.6</v>
      </c>
    </row>
    <row r="2212">
      <c r="A2212" s="5" t="inlineStr">
        <is>
          <t>위더스제약</t>
        </is>
      </c>
      <c r="B2212" s="6" t="inlineStr">
        <is>
          <t>330350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25984</v>
      </c>
      <c r="J2212" s="10" t="n">
        <v>2901</v>
      </c>
      <c r="K2212" s="10" t="n">
        <v>2019</v>
      </c>
      <c r="L2212" s="7" t="n">
        <v>26258</v>
      </c>
      <c r="M2212" s="8" t="n">
        <v>185</v>
      </c>
      <c r="N2212" s="8" t="n">
        <v>-272</v>
      </c>
      <c r="O2212" s="9" t="n">
        <v>27637</v>
      </c>
      <c r="P2212" s="10" t="n">
        <v>2011</v>
      </c>
      <c r="Q2212" s="10" t="n">
        <v>1863</v>
      </c>
      <c r="R2212" s="7" t="n">
        <v>22843</v>
      </c>
      <c r="S2212" s="8" t="n">
        <v>564</v>
      </c>
      <c r="T2212" s="8" t="n">
        <v>1175</v>
      </c>
      <c r="U2212" s="9" t="n">
        <v>25769</v>
      </c>
      <c r="V2212" s="10" t="n">
        <v>2079</v>
      </c>
      <c r="W2212" s="10" t="n">
        <v>1647</v>
      </c>
      <c r="X2212" s="7" t="n">
        <v>26245</v>
      </c>
      <c r="Y2212" s="8" t="n">
        <v>831</v>
      </c>
      <c r="Z2212" s="8" t="n">
        <v>1296</v>
      </c>
      <c r="AA2212" s="9" t="n">
        <v>27250</v>
      </c>
      <c r="AB2212" s="10" t="n">
        <v>1371</v>
      </c>
      <c r="AC2212" s="10" t="n">
        <v>2145</v>
      </c>
      <c r="AD2212" s="7" t="n">
        <v>27180</v>
      </c>
      <c r="AE2212" s="8" t="n">
        <v>1382</v>
      </c>
      <c r="AF2212" s="8" t="n">
        <v>-121</v>
      </c>
      <c r="AG2212" s="9" t="n">
        <v>28217</v>
      </c>
      <c r="AH2212" s="10" t="n">
        <v>244</v>
      </c>
      <c r="AI2212" s="10" t="n">
        <v>3972</v>
      </c>
      <c r="AJ2212" s="11" t="n">
        <v>29072</v>
      </c>
      <c r="AK2212" s="12" t="n">
        <v>1077</v>
      </c>
      <c r="AL2212" s="12" t="n">
        <v>1968</v>
      </c>
      <c r="AM2212" s="13" t="n">
        <v>3</v>
      </c>
      <c r="AN2212" s="13" t="n">
        <v>10.8</v>
      </c>
      <c r="AO2212" s="13" t="n">
        <v>341.4</v>
      </c>
      <c r="AP2212" s="13" t="n">
        <v>29.6</v>
      </c>
    </row>
    <row r="2213">
      <c r="A2213" s="5" t="inlineStr">
        <is>
          <t>롯데리츠</t>
        </is>
      </c>
      <c r="B2213" s="6" t="inlineStr">
        <is>
          <t>330590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inlineStr"/>
      <c r="J2213" s="10" t="inlineStr"/>
      <c r="K2213" s="10" t="inlineStr"/>
      <c r="L2213" s="7" t="n">
        <v>30872</v>
      </c>
      <c r="M2213" s="8" t="n">
        <v>19529</v>
      </c>
      <c r="N2213" s="8" t="n">
        <v>4535</v>
      </c>
      <c r="O2213" s="9" t="inlineStr"/>
      <c r="P2213" s="10" t="inlineStr"/>
      <c r="Q2213" s="10" t="inlineStr"/>
      <c r="R2213" s="7" t="inlineStr"/>
      <c r="S2213" s="8" t="inlineStr"/>
      <c r="T2213" s="8" t="inlineStr"/>
      <c r="U2213" s="9" t="inlineStr"/>
      <c r="V2213" s="10" t="inlineStr"/>
      <c r="W2213" s="10" t="inlineStr"/>
      <c r="X2213" s="7" t="n">
        <v>35267</v>
      </c>
      <c r="Y2213" s="8" t="n">
        <v>23046</v>
      </c>
      <c r="Z2213" s="8" t="n">
        <v>9708</v>
      </c>
      <c r="AA2213" s="9" t="inlineStr"/>
      <c r="AB2213" s="10" t="inlineStr"/>
      <c r="AC2213" s="10" t="inlineStr"/>
      <c r="AD2213" s="7" t="inlineStr"/>
      <c r="AE2213" s="8" t="inlineStr"/>
      <c r="AF2213" s="8" t="inlineStr"/>
      <c r="AG2213" s="9" t="inlineStr"/>
      <c r="AH2213" s="10" t="inlineStr"/>
      <c r="AI2213" s="10" t="inlineStr"/>
      <c r="AJ2213" s="11" t="n">
        <v>38934</v>
      </c>
      <c r="AK2213" s="12" t="n">
        <v>26063</v>
      </c>
      <c r="AL2213" s="12" t="n">
        <v>10571</v>
      </c>
      <c r="AM2213" s="13" t="inlineStr"/>
      <c r="AN2213" s="13" t="n">
        <v>10.4</v>
      </c>
      <c r="AO2213" s="13" t="inlineStr"/>
      <c r="AP2213" s="13" t="n">
        <v>13.1</v>
      </c>
    </row>
    <row r="2214">
      <c r="A2214" s="5" t="inlineStr">
        <is>
          <t>스톤브릿지벤처스</t>
        </is>
      </c>
      <c r="B2214" s="6" t="inlineStr">
        <is>
          <t>330730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3815</v>
      </c>
      <c r="J2214" s="10" t="n">
        <v>1278</v>
      </c>
      <c r="K2214" s="10" t="n">
        <v>826</v>
      </c>
      <c r="L2214" s="7" t="n">
        <v>7747</v>
      </c>
      <c r="M2214" s="8" t="n">
        <v>3667</v>
      </c>
      <c r="N2214" s="8" t="n">
        <v>2855</v>
      </c>
      <c r="O2214" s="9" t="n">
        <v>3611</v>
      </c>
      <c r="P2214" s="10" t="n">
        <v>592</v>
      </c>
      <c r="Q2214" s="10" t="n">
        <v>332</v>
      </c>
      <c r="R2214" s="7" t="n">
        <v>-998</v>
      </c>
      <c r="S2214" s="8" t="n">
        <v>-2163</v>
      </c>
      <c r="T2214" s="8" t="n">
        <v>-1715</v>
      </c>
      <c r="U2214" s="9" t="n">
        <v>3638</v>
      </c>
      <c r="V2214" s="10" t="n">
        <v>31</v>
      </c>
      <c r="W2214" s="10" t="n">
        <v>235</v>
      </c>
      <c r="X2214" s="7" t="n">
        <v>5111</v>
      </c>
      <c r="Y2214" s="8" t="n">
        <v>2265</v>
      </c>
      <c r="Z2214" s="8" t="n">
        <v>1507</v>
      </c>
      <c r="AA2214" s="9" t="n">
        <v>5688</v>
      </c>
      <c r="AB2214" s="10" t="n">
        <v>2650</v>
      </c>
      <c r="AC2214" s="10" t="n">
        <v>2203</v>
      </c>
      <c r="AD2214" s="7" t="n">
        <v>11112</v>
      </c>
      <c r="AE2214" s="8" t="n">
        <v>8515</v>
      </c>
      <c r="AF2214" s="8" t="n">
        <v>7167</v>
      </c>
      <c r="AG2214" s="9" t="n">
        <v>19631</v>
      </c>
      <c r="AH2214" s="10" t="n">
        <v>15235</v>
      </c>
      <c r="AI2214" s="10" t="n">
        <v>13435</v>
      </c>
      <c r="AJ2214" s="11" t="n">
        <v>15995</v>
      </c>
      <c r="AK2214" s="12" t="n">
        <v>1726</v>
      </c>
      <c r="AL2214" s="12" t="n">
        <v>584</v>
      </c>
      <c r="AM2214" s="13" t="n">
        <v>-18.5</v>
      </c>
      <c r="AN2214" s="13" t="n">
        <v>213</v>
      </c>
      <c r="AO2214" s="13" t="n">
        <v>-88.7</v>
      </c>
      <c r="AP2214" s="13" t="n">
        <v>-23.8</v>
      </c>
    </row>
    <row r="2215">
      <c r="A2215" s="5" t="inlineStr">
        <is>
          <t>네패스아크</t>
        </is>
      </c>
      <c r="B2215" s="6" t="inlineStr">
        <is>
          <t>330860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33132</v>
      </c>
      <c r="J2215" s="10" t="n">
        <v>422</v>
      </c>
      <c r="K2215" s="10" t="n">
        <v>-290</v>
      </c>
      <c r="L2215" s="7" t="n">
        <v>34012</v>
      </c>
      <c r="M2215" s="8" t="n">
        <v>-997</v>
      </c>
      <c r="N2215" s="8" t="n">
        <v>-13677</v>
      </c>
      <c r="O2215" s="9" t="n">
        <v>26460</v>
      </c>
      <c r="P2215" s="10" t="n">
        <v>-5716</v>
      </c>
      <c r="Q2215" s="10" t="n">
        <v>-6073</v>
      </c>
      <c r="R2215" s="7" t="n">
        <v>25658</v>
      </c>
      <c r="S2215" s="8" t="n">
        <v>3657</v>
      </c>
      <c r="T2215" s="8" t="n">
        <v>-8645</v>
      </c>
      <c r="U2215" s="9" t="n">
        <v>28986</v>
      </c>
      <c r="V2215" s="10" t="n">
        <v>-824</v>
      </c>
      <c r="W2215" s="10" t="n">
        <v>-1194</v>
      </c>
      <c r="X2215" s="7" t="n">
        <v>32543</v>
      </c>
      <c r="Y2215" s="8" t="n">
        <v>4567</v>
      </c>
      <c r="Z2215" s="8" t="n">
        <v>1641</v>
      </c>
      <c r="AA2215" s="9" t="n">
        <v>27733</v>
      </c>
      <c r="AB2215" s="10" t="n">
        <v>1056</v>
      </c>
      <c r="AC2215" s="10" t="n">
        <v>-605</v>
      </c>
      <c r="AD2215" s="7" t="n">
        <v>24828</v>
      </c>
      <c r="AE2215" s="8" t="n">
        <v>-43</v>
      </c>
      <c r="AF2215" s="8" t="n">
        <v>3574</v>
      </c>
      <c r="AG2215" s="9" t="n">
        <v>29944</v>
      </c>
      <c r="AH2215" s="10" t="n">
        <v>5012</v>
      </c>
      <c r="AI2215" s="10" t="n">
        <v>2634</v>
      </c>
      <c r="AJ2215" s="11" t="n">
        <v>30932</v>
      </c>
      <c r="AK2215" s="12" t="n">
        <v>5102</v>
      </c>
      <c r="AL2215" s="12" t="n">
        <v>9351</v>
      </c>
      <c r="AM2215" s="13" t="n">
        <v>3.3</v>
      </c>
      <c r="AN2215" s="13" t="n">
        <v>-5</v>
      </c>
      <c r="AO2215" s="13" t="n">
        <v>1.8</v>
      </c>
      <c r="AP2215" s="13" t="n">
        <v>11.7</v>
      </c>
    </row>
    <row r="2216">
      <c r="A2216" s="5" t="inlineStr">
        <is>
          <t>포커스에이아이</t>
        </is>
      </c>
      <c r="B2216" s="6" t="inlineStr">
        <is>
          <t>331380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11248</v>
      </c>
      <c r="J2216" s="10" t="n">
        <v>-1312</v>
      </c>
      <c r="K2216" s="10" t="n">
        <v>-1274</v>
      </c>
      <c r="L2216" s="7" t="n">
        <v>14089</v>
      </c>
      <c r="M2216" s="8" t="n">
        <v>-440</v>
      </c>
      <c r="N2216" s="8" t="n">
        <v>-488</v>
      </c>
      <c r="O2216" s="9" t="n">
        <v>15780</v>
      </c>
      <c r="P2216" s="10" t="n">
        <v>-1786</v>
      </c>
      <c r="Q2216" s="10" t="n">
        <v>-3409</v>
      </c>
      <c r="R2216" s="7" t="n">
        <v>17067</v>
      </c>
      <c r="S2216" s="8" t="n">
        <v>-1550</v>
      </c>
      <c r="T2216" s="8" t="n">
        <v>-5845</v>
      </c>
      <c r="U2216" s="9" t="n">
        <v>9675</v>
      </c>
      <c r="V2216" s="10" t="n">
        <v>-2378</v>
      </c>
      <c r="W2216" s="10" t="n">
        <v>-3061</v>
      </c>
      <c r="X2216" s="7" t="n">
        <v>11279</v>
      </c>
      <c r="Y2216" s="8" t="n">
        <v>-3693</v>
      </c>
      <c r="Z2216" s="8" t="n">
        <v>-1040</v>
      </c>
      <c r="AA2216" s="9" t="n">
        <v>13545</v>
      </c>
      <c r="AB2216" s="10" t="n">
        <v>-1340</v>
      </c>
      <c r="AC2216" s="10" t="n">
        <v>-2892</v>
      </c>
      <c r="AD2216" s="7" t="n">
        <v>10809</v>
      </c>
      <c r="AE2216" s="8" t="n">
        <v>-2792</v>
      </c>
      <c r="AF2216" s="8" t="n">
        <v>-3269</v>
      </c>
      <c r="AG2216" s="9" t="n">
        <v>8114</v>
      </c>
      <c r="AH2216" s="10" t="n">
        <v>-2637</v>
      </c>
      <c r="AI2216" s="10" t="n">
        <v>-3323</v>
      </c>
      <c r="AJ2216" s="11" t="n">
        <v>10599</v>
      </c>
      <c r="AK2216" s="12" t="n">
        <v>-1166</v>
      </c>
      <c r="AL2216" s="12" t="n">
        <v>-2508</v>
      </c>
      <c r="AM2216" s="13" t="n">
        <v>30.6</v>
      </c>
      <c r="AN2216" s="13" t="n">
        <v>-6</v>
      </c>
      <c r="AO2216" s="13" t="n">
        <v>55.8</v>
      </c>
      <c r="AP2216" s="13" t="n">
        <v>68.40000000000001</v>
      </c>
    </row>
    <row r="2217">
      <c r="A2217" s="5" t="inlineStr">
        <is>
          <t>밸로프</t>
        </is>
      </c>
      <c r="B2217" s="6" t="inlineStr">
        <is>
          <t>331520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8732</v>
      </c>
      <c r="J2217" s="10" t="n">
        <v>873</v>
      </c>
      <c r="K2217" s="10" t="n">
        <v>1506</v>
      </c>
      <c r="L2217" s="7" t="n">
        <v>9092</v>
      </c>
      <c r="M2217" s="8" t="n">
        <v>-358</v>
      </c>
      <c r="N2217" s="8" t="n">
        <v>761</v>
      </c>
      <c r="O2217" s="9" t="n">
        <v>8298</v>
      </c>
      <c r="P2217" s="10" t="n">
        <v>-1011</v>
      </c>
      <c r="Q2217" s="10" t="n">
        <v>-1695</v>
      </c>
      <c r="R2217" s="7" t="n">
        <v>9467</v>
      </c>
      <c r="S2217" s="8" t="n">
        <v>301</v>
      </c>
      <c r="T2217" s="8" t="n">
        <v>1142</v>
      </c>
      <c r="U2217" s="9" t="n">
        <v>8579</v>
      </c>
      <c r="V2217" s="10" t="n">
        <v>-408</v>
      </c>
      <c r="W2217" s="10" t="n">
        <v>-449</v>
      </c>
      <c r="X2217" s="7" t="n">
        <v>8902</v>
      </c>
      <c r="Y2217" s="8" t="n">
        <v>415</v>
      </c>
      <c r="Z2217" s="8" t="n">
        <v>-86</v>
      </c>
      <c r="AA2217" s="9" t="n">
        <v>8938</v>
      </c>
      <c r="AB2217" s="10" t="n">
        <v>1052</v>
      </c>
      <c r="AC2217" s="10" t="n">
        <v>1051</v>
      </c>
      <c r="AD2217" s="7" t="n">
        <v>11415</v>
      </c>
      <c r="AE2217" s="8" t="n">
        <v>1819</v>
      </c>
      <c r="AF2217" s="8" t="n">
        <v>1294</v>
      </c>
      <c r="AG2217" s="9" t="n">
        <v>10797</v>
      </c>
      <c r="AH2217" s="10" t="n">
        <v>975</v>
      </c>
      <c r="AI2217" s="10" t="n">
        <v>1025</v>
      </c>
      <c r="AJ2217" s="11" t="n">
        <v>12413</v>
      </c>
      <c r="AK2217" s="12" t="n">
        <v>1742</v>
      </c>
      <c r="AL2217" s="12" t="n">
        <v>1230</v>
      </c>
      <c r="AM2217" s="13" t="n">
        <v>15</v>
      </c>
      <c r="AN2217" s="13" t="n">
        <v>39.4</v>
      </c>
      <c r="AO2217" s="13" t="n">
        <v>78.7</v>
      </c>
      <c r="AP2217" s="13" t="n">
        <v>319.8</v>
      </c>
    </row>
    <row r="2218">
      <c r="A2218" s="5" t="inlineStr">
        <is>
          <t>아우토크립트</t>
        </is>
      </c>
      <c r="B2218" s="6" t="inlineStr">
        <is>
          <t>331740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inlineStr"/>
      <c r="J2218" s="10" t="inlineStr"/>
      <c r="K2218" s="10" t="inlineStr"/>
      <c r="L2218" s="7" t="inlineStr"/>
      <c r="M2218" s="8" t="inlineStr"/>
      <c r="N2218" s="8" t="inlineStr"/>
      <c r="O2218" s="9" t="inlineStr"/>
      <c r="P2218" s="10" t="inlineStr"/>
      <c r="Q2218" s="10" t="inlineStr"/>
      <c r="R2218" s="7" t="inlineStr"/>
      <c r="S2218" s="8" t="inlineStr"/>
      <c r="T2218" s="8" t="inlineStr"/>
      <c r="U2218" s="9" t="inlineStr"/>
      <c r="V2218" s="10" t="inlineStr"/>
      <c r="W2218" s="10" t="inlineStr"/>
      <c r="X2218" s="7" t="n">
        <v>5433</v>
      </c>
      <c r="Y2218" s="8" t="n">
        <v>-3207</v>
      </c>
      <c r="Z2218" s="8" t="n">
        <v>-3521</v>
      </c>
      <c r="AA2218" s="9" t="n">
        <v>5828</v>
      </c>
      <c r="AB2218" s="10" t="n">
        <v>-4522</v>
      </c>
      <c r="AC2218" s="10" t="n">
        <v>-4556</v>
      </c>
      <c r="AD2218" s="7" t="inlineStr"/>
      <c r="AE2218" s="8" t="inlineStr"/>
      <c r="AF2218" s="8" t="inlineStr"/>
      <c r="AG2218" s="9" t="n">
        <v>5095</v>
      </c>
      <c r="AH2218" s="10" t="n">
        <v>-4653</v>
      </c>
      <c r="AI2218" s="10" t="n">
        <v>-4928</v>
      </c>
      <c r="AJ2218" s="11" t="n">
        <v>7465</v>
      </c>
      <c r="AK2218" s="12" t="n">
        <v>-793</v>
      </c>
      <c r="AL2218" s="12" t="n">
        <v>-106</v>
      </c>
      <c r="AM2218" s="13" t="n">
        <v>46.5</v>
      </c>
      <c r="AN2218" s="13" t="n">
        <v>37.4</v>
      </c>
      <c r="AO2218" s="13" t="n">
        <v>83</v>
      </c>
      <c r="AP2218" s="13" t="n">
        <v>75.3</v>
      </c>
    </row>
    <row r="2219">
      <c r="A2219" s="5" t="inlineStr">
        <is>
          <t>셀레믹스</t>
        </is>
      </c>
      <c r="B2219" s="6" t="inlineStr">
        <is>
          <t>331920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1841</v>
      </c>
      <c r="J2219" s="10" t="n">
        <v>-522</v>
      </c>
      <c r="K2219" s="10" t="n">
        <v>-381</v>
      </c>
      <c r="L2219" s="7" t="n">
        <v>1496</v>
      </c>
      <c r="M2219" s="8" t="n">
        <v>-757</v>
      </c>
      <c r="N2219" s="8" t="n">
        <v>12420</v>
      </c>
      <c r="O2219" s="9" t="n">
        <v>1359</v>
      </c>
      <c r="P2219" s="10" t="n">
        <v>-483</v>
      </c>
      <c r="Q2219" s="10" t="n">
        <v>9569</v>
      </c>
      <c r="R2219" s="7" t="n">
        <v>2023</v>
      </c>
      <c r="S2219" s="8" t="n">
        <v>-141</v>
      </c>
      <c r="T2219" s="8" t="n">
        <v>-9342</v>
      </c>
      <c r="U2219" s="9" t="n">
        <v>1723</v>
      </c>
      <c r="V2219" s="10" t="n">
        <v>-447</v>
      </c>
      <c r="W2219" s="10" t="n">
        <v>-2247</v>
      </c>
      <c r="X2219" s="7" t="n">
        <v>1125</v>
      </c>
      <c r="Y2219" s="8" t="n">
        <v>-1344</v>
      </c>
      <c r="Z2219" s="8" t="n">
        <v>-2887</v>
      </c>
      <c r="AA2219" s="9" t="n">
        <v>1261</v>
      </c>
      <c r="AB2219" s="10" t="n">
        <v>-1077</v>
      </c>
      <c r="AC2219" s="10" t="n">
        <v>-1525</v>
      </c>
      <c r="AD2219" s="7" t="n">
        <v>1659</v>
      </c>
      <c r="AE2219" s="8" t="n">
        <v>-456</v>
      </c>
      <c r="AF2219" s="8" t="n">
        <v>2623</v>
      </c>
      <c r="AG2219" s="9" t="n">
        <v>923</v>
      </c>
      <c r="AH2219" s="10" t="n">
        <v>-1426</v>
      </c>
      <c r="AI2219" s="10" t="n">
        <v>-6047</v>
      </c>
      <c r="AJ2219" s="11" t="n">
        <v>1376</v>
      </c>
      <c r="AK2219" s="12" t="n">
        <v>-924</v>
      </c>
      <c r="AL2219" s="12" t="n">
        <v>-5232</v>
      </c>
      <c r="AM2219" s="13" t="n">
        <v>49.1</v>
      </c>
      <c r="AN2219" s="13" t="n">
        <v>22.3</v>
      </c>
      <c r="AO2219" s="13" t="n">
        <v>35.2</v>
      </c>
      <c r="AP2219" s="13" t="n">
        <v>31.2</v>
      </c>
    </row>
    <row r="2220">
      <c r="A2220" s="5" t="inlineStr">
        <is>
          <t>누보</t>
        </is>
      </c>
      <c r="B2220" s="6" t="inlineStr">
        <is>
          <t>332290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20996</v>
      </c>
      <c r="J2220" s="10" t="n">
        <v>456</v>
      </c>
      <c r="K2220" s="10" t="n">
        <v>-206</v>
      </c>
      <c r="L2220" s="7" t="n">
        <v>32832</v>
      </c>
      <c r="M2220" s="8" t="n">
        <v>2400</v>
      </c>
      <c r="N2220" s="8" t="n">
        <v>2133</v>
      </c>
      <c r="O2220" s="9" t="n">
        <v>21155</v>
      </c>
      <c r="P2220" s="10" t="n">
        <v>-601</v>
      </c>
      <c r="Q2220" s="10" t="n">
        <v>-833</v>
      </c>
      <c r="R2220" s="7" t="n">
        <v>24039</v>
      </c>
      <c r="S2220" s="8" t="n">
        <v>1416</v>
      </c>
      <c r="T2220" s="8" t="n">
        <v>1939</v>
      </c>
      <c r="U2220" s="9" t="n">
        <v>20202</v>
      </c>
      <c r="V2220" s="10" t="n">
        <v>167</v>
      </c>
      <c r="W2220" s="10" t="n">
        <v>-340</v>
      </c>
      <c r="X2220" s="7" t="n">
        <v>35368</v>
      </c>
      <c r="Y2220" s="8" t="n">
        <v>3324</v>
      </c>
      <c r="Z2220" s="8" t="n">
        <v>765</v>
      </c>
      <c r="AA2220" s="9" t="n">
        <v>25060</v>
      </c>
      <c r="AB2220" s="10" t="n">
        <v>1659</v>
      </c>
      <c r="AC2220" s="10" t="n">
        <v>1169</v>
      </c>
      <c r="AD2220" s="7" t="n">
        <v>23553</v>
      </c>
      <c r="AE2220" s="8" t="n">
        <v>-1032</v>
      </c>
      <c r="AF2220" s="8" t="n">
        <v>-568</v>
      </c>
      <c r="AG2220" s="9" t="n">
        <v>31603</v>
      </c>
      <c r="AH2220" s="10" t="n">
        <v>1383</v>
      </c>
      <c r="AI2220" s="10" t="n">
        <v>1441</v>
      </c>
      <c r="AJ2220" s="11" t="n">
        <v>51664</v>
      </c>
      <c r="AK2220" s="12" t="n">
        <v>3416</v>
      </c>
      <c r="AL2220" s="12" t="n">
        <v>3499</v>
      </c>
      <c r="AM2220" s="13" t="n">
        <v>63.5</v>
      </c>
      <c r="AN2220" s="13" t="n">
        <v>46.1</v>
      </c>
      <c r="AO2220" s="13" t="n">
        <v>147</v>
      </c>
      <c r="AP2220" s="13" t="n">
        <v>2.8</v>
      </c>
    </row>
    <row r="2221">
      <c r="A2221" s="5" t="inlineStr">
        <is>
          <t>아이디피</t>
        </is>
      </c>
      <c r="B2221" s="6" t="inlineStr">
        <is>
          <t>332370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9149</v>
      </c>
      <c r="J2221" s="10" t="n">
        <v>1483</v>
      </c>
      <c r="K2221" s="10" t="n">
        <v>1854</v>
      </c>
      <c r="L2221" s="7" t="n">
        <v>12244</v>
      </c>
      <c r="M2221" s="8" t="n">
        <v>3365</v>
      </c>
      <c r="N2221" s="8" t="n">
        <v>3330</v>
      </c>
      <c r="O2221" s="9" t="n">
        <v>12488</v>
      </c>
      <c r="P2221" s="10" t="n">
        <v>3572</v>
      </c>
      <c r="Q2221" s="10" t="n">
        <v>2621</v>
      </c>
      <c r="R2221" s="7" t="n">
        <v>12645</v>
      </c>
      <c r="S2221" s="8" t="n">
        <v>2663</v>
      </c>
      <c r="T2221" s="8" t="n">
        <v>3710</v>
      </c>
      <c r="U2221" s="9" t="n">
        <v>9817</v>
      </c>
      <c r="V2221" s="10" t="n">
        <v>1746</v>
      </c>
      <c r="W2221" s="10" t="n">
        <v>1801</v>
      </c>
      <c r="X2221" s="7" t="n">
        <v>15497</v>
      </c>
      <c r="Y2221" s="8" t="n">
        <v>5668</v>
      </c>
      <c r="Z2221" s="8" t="n">
        <v>4172</v>
      </c>
      <c r="AA2221" s="9" t="n">
        <v>11092</v>
      </c>
      <c r="AB2221" s="10" t="n">
        <v>2256</v>
      </c>
      <c r="AC2221" s="10" t="n">
        <v>2509</v>
      </c>
      <c r="AD2221" s="7" t="n">
        <v>12677</v>
      </c>
      <c r="AE2221" s="8" t="n">
        <v>1206</v>
      </c>
      <c r="AF2221" s="8" t="n">
        <v>1833</v>
      </c>
      <c r="AG2221" s="9" t="n">
        <v>11147</v>
      </c>
      <c r="AH2221" s="10" t="n">
        <v>2283</v>
      </c>
      <c r="AI2221" s="10" t="n">
        <v>2895</v>
      </c>
      <c r="AJ2221" s="11" t="n">
        <v>11882</v>
      </c>
      <c r="AK2221" s="12" t="n">
        <v>2587</v>
      </c>
      <c r="AL2221" s="12" t="n">
        <v>2426</v>
      </c>
      <c r="AM2221" s="13" t="n">
        <v>6.6</v>
      </c>
      <c r="AN2221" s="13" t="n">
        <v>-23.3</v>
      </c>
      <c r="AO2221" s="13" t="n">
        <v>13.3</v>
      </c>
      <c r="AP2221" s="13" t="n">
        <v>-54.4</v>
      </c>
    </row>
    <row r="2222">
      <c r="A2222" s="5" t="inlineStr">
        <is>
          <t>PS일렉트로닉스</t>
        </is>
      </c>
      <c r="B2222" s="6" t="inlineStr">
        <is>
          <t>332570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31490</v>
      </c>
      <c r="J2222" s="10" t="n">
        <v>6158</v>
      </c>
      <c r="K2222" s="10" t="n">
        <v>1338</v>
      </c>
      <c r="L2222" s="7" t="n">
        <v>27168</v>
      </c>
      <c r="M2222" s="8" t="n">
        <v>3565</v>
      </c>
      <c r="N2222" s="8" t="n">
        <v>-3039</v>
      </c>
      <c r="O2222" s="9" t="n">
        <v>38843</v>
      </c>
      <c r="P2222" s="10" t="n">
        <v>2776</v>
      </c>
      <c r="Q2222" s="10" t="n">
        <v>-5414</v>
      </c>
      <c r="R2222" s="7" t="n">
        <v>24629</v>
      </c>
      <c r="S2222" s="8" t="n">
        <v>-1728</v>
      </c>
      <c r="T2222" s="8" t="n">
        <v>-602</v>
      </c>
      <c r="U2222" s="9" t="n">
        <v>36012</v>
      </c>
      <c r="V2222" s="10" t="n">
        <v>1948</v>
      </c>
      <c r="W2222" s="10" t="n">
        <v>3036</v>
      </c>
      <c r="X2222" s="7" t="n">
        <v>33954</v>
      </c>
      <c r="Y2222" s="8" t="n">
        <v>1689</v>
      </c>
      <c r="Z2222" s="8" t="n">
        <v>-761</v>
      </c>
      <c r="AA2222" s="9" t="n">
        <v>26872</v>
      </c>
      <c r="AB2222" s="10" t="n">
        <v>1456</v>
      </c>
      <c r="AC2222" s="10" t="n">
        <v>10237</v>
      </c>
      <c r="AD2222" s="7" t="n">
        <v>28639</v>
      </c>
      <c r="AE2222" s="8" t="n">
        <v>-1184</v>
      </c>
      <c r="AF2222" s="8" t="n">
        <v>3880</v>
      </c>
      <c r="AG2222" s="9" t="n">
        <v>35659</v>
      </c>
      <c r="AH2222" s="10" t="n">
        <v>56</v>
      </c>
      <c r="AI2222" s="10" t="n">
        <v>15333</v>
      </c>
      <c r="AJ2222" s="11" t="n">
        <v>74420</v>
      </c>
      <c r="AK2222" s="12" t="n">
        <v>4171</v>
      </c>
      <c r="AL2222" s="12" t="n">
        <v>5998</v>
      </c>
      <c r="AM2222" s="13" t="n">
        <v>108.7</v>
      </c>
      <c r="AN2222" s="13" t="n">
        <v>119.2</v>
      </c>
      <c r="AO2222" s="13" t="n">
        <v>7348.2</v>
      </c>
      <c r="AP2222" s="13" t="n">
        <v>147</v>
      </c>
    </row>
    <row r="2223">
      <c r="A2223" s="5" t="inlineStr">
        <is>
          <t>이노테나</t>
        </is>
      </c>
      <c r="B2223" s="6" t="inlineStr">
        <is>
          <t>333050</t>
        </is>
      </c>
      <c r="C2223" s="6" t="inlineStr">
        <is>
          <t>별도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7183</v>
      </c>
      <c r="J2223" s="10" t="n">
        <v>284</v>
      </c>
      <c r="K2223" s="10" t="n">
        <v>398</v>
      </c>
      <c r="L2223" s="7" t="n">
        <v>6264</v>
      </c>
      <c r="M2223" s="8" t="n">
        <v>243</v>
      </c>
      <c r="N2223" s="8" t="n">
        <v>361</v>
      </c>
      <c r="O2223" s="9" t="n">
        <v>6851</v>
      </c>
      <c r="P2223" s="10" t="n">
        <v>883</v>
      </c>
      <c r="Q2223" s="10" t="n">
        <v>905</v>
      </c>
      <c r="R2223" s="7" t="n">
        <v>7668</v>
      </c>
      <c r="S2223" s="8" t="n">
        <v>621</v>
      </c>
      <c r="T2223" s="8" t="n">
        <v>698</v>
      </c>
      <c r="U2223" s="9" t="n">
        <v>7192</v>
      </c>
      <c r="V2223" s="10" t="n">
        <v>766</v>
      </c>
      <c r="W2223" s="10" t="n">
        <v>777</v>
      </c>
      <c r="X2223" s="7" t="n">
        <v>7536</v>
      </c>
      <c r="Y2223" s="8" t="n">
        <v>619</v>
      </c>
      <c r="Z2223" s="8" t="n">
        <v>643</v>
      </c>
      <c r="AA2223" s="9" t="n">
        <v>7129</v>
      </c>
      <c r="AB2223" s="10" t="n">
        <v>452</v>
      </c>
      <c r="AC2223" s="10" t="n">
        <v>504</v>
      </c>
      <c r="AD2223" s="7" t="n">
        <v>8097</v>
      </c>
      <c r="AE2223" s="8" t="n">
        <v>132</v>
      </c>
      <c r="AF2223" s="8" t="n">
        <v>224</v>
      </c>
      <c r="AG2223" s="9" t="n">
        <v>7041</v>
      </c>
      <c r="AH2223" s="10" t="n">
        <v>499</v>
      </c>
      <c r="AI2223" s="10" t="n">
        <v>555</v>
      </c>
      <c r="AJ2223" s="11" t="n">
        <v>6514</v>
      </c>
      <c r="AK2223" s="12" t="n">
        <v>556</v>
      </c>
      <c r="AL2223" s="12" t="n">
        <v>619</v>
      </c>
      <c r="AM2223" s="13" t="n">
        <v>-7.5</v>
      </c>
      <c r="AN2223" s="13" t="n">
        <v>-13.6</v>
      </c>
      <c r="AO2223" s="13" t="n">
        <v>11.4</v>
      </c>
      <c r="AP2223" s="13" t="n">
        <v>-10.2</v>
      </c>
    </row>
    <row r="2224">
      <c r="A2224" s="5" t="inlineStr">
        <is>
          <t>일승</t>
        </is>
      </c>
      <c r="B2224" s="6" t="inlineStr">
        <is>
          <t>333430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9913</v>
      </c>
      <c r="J2224" s="10" t="n">
        <v>-31</v>
      </c>
      <c r="K2224" s="10" t="n">
        <v>468</v>
      </c>
      <c r="L2224" s="7" t="n">
        <v>11442</v>
      </c>
      <c r="M2224" s="8" t="n">
        <v>1016</v>
      </c>
      <c r="N2224" s="8" t="n">
        <v>-1715</v>
      </c>
      <c r="O2224" s="9" t="n">
        <v>12508</v>
      </c>
      <c r="P2224" s="10" t="n">
        <v>2509</v>
      </c>
      <c r="Q2224" s="10" t="n">
        <v>2227</v>
      </c>
      <c r="R2224" s="7" t="n">
        <v>17930</v>
      </c>
      <c r="S2224" s="8" t="n">
        <v>3420</v>
      </c>
      <c r="T2224" s="8" t="n">
        <v>5538</v>
      </c>
      <c r="U2224" s="9" t="n">
        <v>10029</v>
      </c>
      <c r="V2224" s="10" t="n">
        <v>702</v>
      </c>
      <c r="W2224" s="10" t="n">
        <v>1011</v>
      </c>
      <c r="X2224" s="7" t="n">
        <v>11588</v>
      </c>
      <c r="Y2224" s="8" t="n">
        <v>1286</v>
      </c>
      <c r="Z2224" s="8" t="n">
        <v>916</v>
      </c>
      <c r="AA2224" s="9" t="n">
        <v>13798</v>
      </c>
      <c r="AB2224" s="10" t="n">
        <v>3343</v>
      </c>
      <c r="AC2224" s="10" t="n">
        <v>3826</v>
      </c>
      <c r="AD2224" s="7" t="n">
        <v>15259</v>
      </c>
      <c r="AE2224" s="8" t="n">
        <v>5532</v>
      </c>
      <c r="AF2224" s="8" t="n">
        <v>7933</v>
      </c>
      <c r="AG2224" s="9" t="n">
        <v>12079</v>
      </c>
      <c r="AH2224" s="10" t="n">
        <v>2304</v>
      </c>
      <c r="AI2224" s="10" t="n">
        <v>3675</v>
      </c>
      <c r="AJ2224" s="11" t="n">
        <v>16229</v>
      </c>
      <c r="AK2224" s="12" t="n">
        <v>5933</v>
      </c>
      <c r="AL2224" s="12" t="n">
        <v>6752</v>
      </c>
      <c r="AM2224" s="13" t="n">
        <v>34.4</v>
      </c>
      <c r="AN2224" s="13" t="n">
        <v>40.1</v>
      </c>
      <c r="AO2224" s="13" t="n">
        <v>157.5</v>
      </c>
      <c r="AP2224" s="13" t="n">
        <v>361.4</v>
      </c>
    </row>
    <row r="2225">
      <c r="A2225" s="5" t="inlineStr">
        <is>
          <t>엔시스</t>
        </is>
      </c>
      <c r="B2225" s="6" t="inlineStr">
        <is>
          <t>333620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13265</v>
      </c>
      <c r="J2225" s="10" t="n">
        <v>2146</v>
      </c>
      <c r="K2225" s="10" t="n">
        <v>3017</v>
      </c>
      <c r="L2225" s="7" t="n">
        <v>17781</v>
      </c>
      <c r="M2225" s="8" t="n">
        <v>4679</v>
      </c>
      <c r="N2225" s="8" t="n">
        <v>2903</v>
      </c>
      <c r="O2225" s="9" t="n">
        <v>19232</v>
      </c>
      <c r="P2225" s="10" t="n">
        <v>3197</v>
      </c>
      <c r="Q2225" s="10" t="n">
        <v>1451</v>
      </c>
      <c r="R2225" s="7" t="n">
        <v>12621</v>
      </c>
      <c r="S2225" s="8" t="n">
        <v>429</v>
      </c>
      <c r="T2225" s="8" t="n">
        <v>2614</v>
      </c>
      <c r="U2225" s="9" t="n">
        <v>12475</v>
      </c>
      <c r="V2225" s="10" t="n">
        <v>1210</v>
      </c>
      <c r="W2225" s="10" t="n">
        <v>1523</v>
      </c>
      <c r="X2225" s="7" t="n">
        <v>15618</v>
      </c>
      <c r="Y2225" s="8" t="n">
        <v>-4632</v>
      </c>
      <c r="Z2225" s="8" t="n">
        <v>-5357</v>
      </c>
      <c r="AA2225" s="9" t="n">
        <v>12276</v>
      </c>
      <c r="AB2225" s="10" t="n">
        <v>-858</v>
      </c>
      <c r="AC2225" s="10" t="n">
        <v>265</v>
      </c>
      <c r="AD2225" s="7" t="n">
        <v>8467</v>
      </c>
      <c r="AE2225" s="8" t="n">
        <v>-1827</v>
      </c>
      <c r="AF2225" s="8" t="n">
        <v>-3269</v>
      </c>
      <c r="AG2225" s="9" t="n">
        <v>11415</v>
      </c>
      <c r="AH2225" s="10" t="n">
        <v>-1647</v>
      </c>
      <c r="AI2225" s="10" t="n">
        <v>-1030</v>
      </c>
      <c r="AJ2225" s="11" t="n">
        <v>25496</v>
      </c>
      <c r="AK2225" s="12" t="n">
        <v>2914</v>
      </c>
      <c r="AL2225" s="12" t="n">
        <v>2122</v>
      </c>
      <c r="AM2225" s="13" t="n">
        <v>123.4</v>
      </c>
      <c r="AN2225" s="13" t="n">
        <v>63.2</v>
      </c>
      <c r="AO2225" s="13" t="n">
        <v>276.9</v>
      </c>
      <c r="AP2225" s="13" t="n">
        <v>162.9</v>
      </c>
    </row>
    <row r="2226">
      <c r="A2226" s="5" t="inlineStr">
        <is>
          <t>이지스밸류플러스리츠</t>
        </is>
      </c>
      <c r="B2226" s="6" t="inlineStr">
        <is>
          <t>334890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inlineStr"/>
      <c r="J2226" s="10" t="inlineStr"/>
      <c r="K2226" s="10" t="inlineStr"/>
      <c r="L2226" s="7" t="n">
        <v>4776</v>
      </c>
      <c r="M2226" s="8" t="n">
        <v>3805</v>
      </c>
      <c r="N2226" s="8" t="n">
        <v>3050</v>
      </c>
      <c r="O2226" s="9" t="inlineStr"/>
      <c r="P2226" s="10" t="inlineStr"/>
      <c r="Q2226" s="10" t="inlineStr"/>
      <c r="R2226" s="7" t="inlineStr"/>
      <c r="S2226" s="8" t="inlineStr"/>
      <c r="T2226" s="8" t="inlineStr"/>
      <c r="U2226" s="9" t="inlineStr"/>
      <c r="V2226" s="10" t="inlineStr"/>
      <c r="W2226" s="10" t="inlineStr"/>
      <c r="X2226" s="7" t="n">
        <v>15634</v>
      </c>
      <c r="Y2226" s="8" t="n">
        <v>13658</v>
      </c>
      <c r="Z2226" s="8" t="n">
        <v>12095</v>
      </c>
      <c r="AA2226" s="9" t="inlineStr"/>
      <c r="AB2226" s="10" t="inlineStr"/>
      <c r="AC2226" s="10" t="inlineStr"/>
      <c r="AD2226" s="7" t="inlineStr"/>
      <c r="AE2226" s="8" t="inlineStr"/>
      <c r="AF2226" s="8" t="inlineStr"/>
      <c r="AG2226" s="9" t="inlineStr"/>
      <c r="AH2226" s="10" t="inlineStr"/>
      <c r="AI2226" s="10" t="inlineStr"/>
      <c r="AJ2226" s="11" t="n">
        <v>2032</v>
      </c>
      <c r="AK2226" s="12" t="n">
        <v>228</v>
      </c>
      <c r="AL2226" s="12" t="n">
        <v>-1190</v>
      </c>
      <c r="AM2226" s="13" t="inlineStr"/>
      <c r="AN2226" s="13" t="n">
        <v>-87</v>
      </c>
      <c r="AO2226" s="13" t="inlineStr"/>
      <c r="AP2226" s="13" t="n">
        <v>-98.3</v>
      </c>
    </row>
    <row r="2227">
      <c r="A2227" s="5" t="inlineStr">
        <is>
          <t>프레스티지바이오로직스</t>
        </is>
      </c>
      <c r="B2227" s="6" t="inlineStr">
        <is>
          <t>334970</t>
        </is>
      </c>
      <c r="C2227" s="6" t="inlineStr">
        <is>
          <t>별도</t>
        </is>
      </c>
      <c r="D2227" s="6" t="inlineStr">
        <is>
          <t>2025Q4</t>
        </is>
      </c>
      <c r="E2227" s="6" t="inlineStr"/>
      <c r="F2227" s="7" t="inlineStr"/>
      <c r="G2227" s="8" t="inlineStr"/>
      <c r="H2227" s="8" t="inlineStr"/>
      <c r="I2227" s="9" t="n">
        <v>342</v>
      </c>
      <c r="J2227" s="10" t="n">
        <v>-9306</v>
      </c>
      <c r="K2227" s="10" t="n">
        <v>-6519</v>
      </c>
      <c r="L2227" s="7" t="n">
        <v>3023</v>
      </c>
      <c r="M2227" s="8" t="n">
        <v>-12914</v>
      </c>
      <c r="N2227" s="8" t="n">
        <v>-13929</v>
      </c>
      <c r="O2227" s="9" t="n">
        <v>639</v>
      </c>
      <c r="P2227" s="10" t="n">
        <v>-12105</v>
      </c>
      <c r="Q2227" s="10" t="n">
        <v>-15772</v>
      </c>
      <c r="R2227" s="7" t="n">
        <v>-1835</v>
      </c>
      <c r="S2227" s="8" t="n">
        <v>895</v>
      </c>
      <c r="T2227" s="8" t="n">
        <v>6846</v>
      </c>
      <c r="U2227" s="9" t="n">
        <v>1168</v>
      </c>
      <c r="V2227" s="10" t="n">
        <v>-13593</v>
      </c>
      <c r="W2227" s="10" t="n">
        <v>-12930</v>
      </c>
      <c r="X2227" s="7" t="n">
        <v>8903</v>
      </c>
      <c r="Y2227" s="8" t="n">
        <v>-9745</v>
      </c>
      <c r="Z2227" s="8" t="n">
        <v>-8283</v>
      </c>
      <c r="AA2227" s="9" t="n">
        <v>3481</v>
      </c>
      <c r="AB2227" s="10" t="n">
        <v>-7273</v>
      </c>
      <c r="AC2227" s="10" t="n">
        <v>-7460</v>
      </c>
      <c r="AD2227" s="7" t="n">
        <v>-1019</v>
      </c>
      <c r="AE2227" s="8" t="n">
        <v>-3071</v>
      </c>
      <c r="AF2227" s="8" t="n">
        <v>1204</v>
      </c>
      <c r="AG2227" s="9" t="inlineStr"/>
      <c r="AH2227" s="10" t="inlineStr"/>
      <c r="AI2227" s="10" t="inlineStr"/>
      <c r="AJ2227" s="11" t="inlineStr"/>
      <c r="AK2227" s="12" t="inlineStr"/>
      <c r="AL2227" s="12" t="inlineStr"/>
      <c r="AM2227" s="13" t="inlineStr"/>
      <c r="AN2227" s="13" t="inlineStr"/>
      <c r="AO2227" s="13" t="inlineStr"/>
      <c r="AP2227" s="13" t="inlineStr"/>
    </row>
    <row r="2228">
      <c r="A2228" s="5" t="inlineStr">
        <is>
          <t>프리시젼바이오</t>
        </is>
      </c>
      <c r="B2228" s="6" t="inlineStr">
        <is>
          <t>335810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4166</v>
      </c>
      <c r="J2228" s="10" t="n">
        <v>-1995</v>
      </c>
      <c r="K2228" s="10" t="n">
        <v>-1678</v>
      </c>
      <c r="L2228" s="7" t="n">
        <v>5123</v>
      </c>
      <c r="M2228" s="8" t="n">
        <v>-1169</v>
      </c>
      <c r="N2228" s="8" t="n">
        <v>-1428</v>
      </c>
      <c r="O2228" s="9" t="n">
        <v>4742</v>
      </c>
      <c r="P2228" s="10" t="n">
        <v>-1289</v>
      </c>
      <c r="Q2228" s="10" t="n">
        <v>-2551</v>
      </c>
      <c r="R2228" s="7" t="n">
        <v>5103</v>
      </c>
      <c r="S2228" s="8" t="n">
        <v>-913</v>
      </c>
      <c r="T2228" s="8" t="n">
        <v>-1648</v>
      </c>
      <c r="U2228" s="9" t="n">
        <v>4620</v>
      </c>
      <c r="V2228" s="10" t="n">
        <v>-1504</v>
      </c>
      <c r="W2228" s="10" t="n">
        <v>-2016</v>
      </c>
      <c r="X2228" s="7" t="n">
        <v>4897</v>
      </c>
      <c r="Y2228" s="8" t="n">
        <v>-1451</v>
      </c>
      <c r="Z2228" s="8" t="n">
        <v>-2690</v>
      </c>
      <c r="AA2228" s="9" t="n">
        <v>5118</v>
      </c>
      <c r="AB2228" s="10" t="n">
        <v>-1030</v>
      </c>
      <c r="AC2228" s="10" t="n">
        <v>-1522</v>
      </c>
      <c r="AD2228" s="7" t="n">
        <v>5291</v>
      </c>
      <c r="AE2228" s="8" t="n">
        <v>-1396</v>
      </c>
      <c r="AF2228" s="8" t="n">
        <v>-3795</v>
      </c>
      <c r="AG2228" s="9" t="n">
        <v>7030</v>
      </c>
      <c r="AH2228" s="10" t="n">
        <v>17</v>
      </c>
      <c r="AI2228" s="10" t="n">
        <v>133</v>
      </c>
      <c r="AJ2228" s="11" t="n">
        <v>6216</v>
      </c>
      <c r="AK2228" s="12" t="n">
        <v>-1209</v>
      </c>
      <c r="AL2228" s="12" t="n">
        <v>-1167</v>
      </c>
      <c r="AM2228" s="13" t="n">
        <v>-11.6</v>
      </c>
      <c r="AN2228" s="13" t="n">
        <v>26.9</v>
      </c>
      <c r="AO2228" s="13" t="n">
        <v>-7211.8</v>
      </c>
      <c r="AP2228" s="13" t="n">
        <v>16.7</v>
      </c>
    </row>
    <row r="2229">
      <c r="A2229" s="5" t="inlineStr">
        <is>
          <t>윙스풋</t>
        </is>
      </c>
      <c r="B2229" s="6" t="inlineStr">
        <is>
          <t>335870</t>
        </is>
      </c>
      <c r="C2229" s="6" t="inlineStr">
        <is>
          <t>별도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7134</v>
      </c>
      <c r="J2229" s="10" t="n">
        <v>-729</v>
      </c>
      <c r="K2229" s="10" t="n">
        <v>-758</v>
      </c>
      <c r="L2229" s="7" t="n">
        <v>9520</v>
      </c>
      <c r="M2229" s="8" t="n">
        <v>120</v>
      </c>
      <c r="N2229" s="8" t="n">
        <v>72</v>
      </c>
      <c r="O2229" s="9" t="n">
        <v>8513</v>
      </c>
      <c r="P2229" s="10" t="n">
        <v>-256</v>
      </c>
      <c r="Q2229" s="10" t="n">
        <v>-190</v>
      </c>
      <c r="R2229" s="7" t="n">
        <v>21327</v>
      </c>
      <c r="S2229" s="8" t="n">
        <v>2755</v>
      </c>
      <c r="T2229" s="8" t="n">
        <v>2073</v>
      </c>
      <c r="U2229" s="9" t="n">
        <v>7072</v>
      </c>
      <c r="V2229" s="10" t="n">
        <v>-825</v>
      </c>
      <c r="W2229" s="10" t="n">
        <v>-7071</v>
      </c>
      <c r="X2229" s="7" t="n">
        <v>8722</v>
      </c>
      <c r="Y2229" s="8" t="n">
        <v>-1059</v>
      </c>
      <c r="Z2229" s="8" t="n">
        <v>5149</v>
      </c>
      <c r="AA2229" s="9" t="n">
        <v>7524</v>
      </c>
      <c r="AB2229" s="10" t="n">
        <v>-524</v>
      </c>
      <c r="AC2229" s="10" t="n">
        <v>-1239</v>
      </c>
      <c r="AD2229" s="7" t="n">
        <v>18638</v>
      </c>
      <c r="AE2229" s="8" t="n">
        <v>-388</v>
      </c>
      <c r="AF2229" s="8" t="n">
        <v>1390</v>
      </c>
      <c r="AG2229" s="9" t="n">
        <v>1455</v>
      </c>
      <c r="AH2229" s="10" t="n">
        <v>-4431</v>
      </c>
      <c r="AI2229" s="10" t="n">
        <v>-7161</v>
      </c>
      <c r="AJ2229" s="11" t="n">
        <v>1756</v>
      </c>
      <c r="AK2229" s="12" t="n">
        <v>-1942</v>
      </c>
      <c r="AL2229" s="12" t="n">
        <v>1017</v>
      </c>
      <c r="AM2229" s="13" t="n">
        <v>20.7</v>
      </c>
      <c r="AN2229" s="13" t="n">
        <v>-79.90000000000001</v>
      </c>
      <c r="AO2229" s="13" t="n">
        <v>56.2</v>
      </c>
      <c r="AP2229" s="13" t="n">
        <v>-83.40000000000001</v>
      </c>
    </row>
    <row r="2230">
      <c r="A2230" s="5" t="inlineStr">
        <is>
          <t>웨이버스</t>
        </is>
      </c>
      <c r="B2230" s="6" t="inlineStr">
        <is>
          <t>336060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9661</v>
      </c>
      <c r="J2230" s="10" t="n">
        <v>-968</v>
      </c>
      <c r="K2230" s="10" t="n">
        <v>-638</v>
      </c>
      <c r="L2230" s="7" t="n">
        <v>11319</v>
      </c>
      <c r="M2230" s="8" t="n">
        <v>757</v>
      </c>
      <c r="N2230" s="8" t="n">
        <v>993</v>
      </c>
      <c r="O2230" s="9" t="n">
        <v>12491</v>
      </c>
      <c r="P2230" s="10" t="n">
        <v>158</v>
      </c>
      <c r="Q2230" s="10" t="n">
        <v>657</v>
      </c>
      <c r="R2230" s="7" t="n">
        <v>22894</v>
      </c>
      <c r="S2230" s="8" t="n">
        <v>1731</v>
      </c>
      <c r="T2230" s="8" t="n">
        <v>2248</v>
      </c>
      <c r="U2230" s="9" t="n">
        <v>15116</v>
      </c>
      <c r="V2230" s="10" t="n">
        <v>-1573</v>
      </c>
      <c r="W2230" s="10" t="n">
        <v>-990</v>
      </c>
      <c r="X2230" s="7" t="n">
        <v>17128</v>
      </c>
      <c r="Y2230" s="8" t="n">
        <v>-568</v>
      </c>
      <c r="Z2230" s="8" t="n">
        <v>-247</v>
      </c>
      <c r="AA2230" s="9" t="n">
        <v>15545</v>
      </c>
      <c r="AB2230" s="10" t="n">
        <v>897</v>
      </c>
      <c r="AC2230" s="10" t="n">
        <v>1111</v>
      </c>
      <c r="AD2230" s="7" t="n">
        <v>22414</v>
      </c>
      <c r="AE2230" s="8" t="n">
        <v>3236</v>
      </c>
      <c r="AF2230" s="8" t="n">
        <v>2870</v>
      </c>
      <c r="AG2230" s="9" t="n">
        <v>11228</v>
      </c>
      <c r="AH2230" s="10" t="n">
        <v>-2128</v>
      </c>
      <c r="AI2230" s="10" t="n">
        <v>-1930</v>
      </c>
      <c r="AJ2230" s="11" t="n">
        <v>15239</v>
      </c>
      <c r="AK2230" s="12" t="n">
        <v>-886</v>
      </c>
      <c r="AL2230" s="12" t="n">
        <v>-211</v>
      </c>
      <c r="AM2230" s="13" t="n">
        <v>35.7</v>
      </c>
      <c r="AN2230" s="13" t="n">
        <v>-11</v>
      </c>
      <c r="AO2230" s="13" t="n">
        <v>58.4</v>
      </c>
      <c r="AP2230" s="13" t="n">
        <v>-56</v>
      </c>
    </row>
    <row r="2231">
      <c r="A2231" s="5" t="inlineStr">
        <is>
          <t>두산퓨얼셀</t>
        </is>
      </c>
      <c r="B2231" s="6" t="inlineStr">
        <is>
          <t>336260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31691</v>
      </c>
      <c r="J2231" s="10" t="n">
        <v>1649</v>
      </c>
      <c r="K2231" s="10" t="n">
        <v>-240</v>
      </c>
      <c r="L2231" s="7" t="n">
        <v>86488</v>
      </c>
      <c r="M2231" s="8" t="n">
        <v>2167</v>
      </c>
      <c r="N2231" s="8" t="n">
        <v>-332</v>
      </c>
      <c r="O2231" s="9" t="n">
        <v>32023</v>
      </c>
      <c r="P2231" s="10" t="n">
        <v>-2989</v>
      </c>
      <c r="Q2231" s="10" t="n">
        <v>-3672</v>
      </c>
      <c r="R2231" s="7" t="n">
        <v>261582</v>
      </c>
      <c r="S2231" s="8" t="n">
        <v>-2556</v>
      </c>
      <c r="T2231" s="8" t="n">
        <v>-6231</v>
      </c>
      <c r="U2231" s="9" t="n">
        <v>99749</v>
      </c>
      <c r="V2231" s="10" t="n">
        <v>-11550</v>
      </c>
      <c r="W2231" s="10" t="n">
        <v>-10118</v>
      </c>
      <c r="X2231" s="7" t="n">
        <v>128467</v>
      </c>
      <c r="Y2231" s="8" t="n">
        <v>-1914</v>
      </c>
      <c r="Z2231" s="8" t="n">
        <v>-2579</v>
      </c>
      <c r="AA2231" s="9" t="n">
        <v>90806</v>
      </c>
      <c r="AB2231" s="10" t="n">
        <v>-15604</v>
      </c>
      <c r="AC2231" s="10" t="n">
        <v>-17488</v>
      </c>
      <c r="AD2231" s="7" t="n">
        <v>135773</v>
      </c>
      <c r="AE2231" s="8" t="n">
        <v>-76605</v>
      </c>
      <c r="AF2231" s="8" t="n">
        <v>-102619</v>
      </c>
      <c r="AG2231" s="9" t="n">
        <v>144847</v>
      </c>
      <c r="AH2231" s="10" t="n">
        <v>-1291</v>
      </c>
      <c r="AI2231" s="10" t="n">
        <v>-13187</v>
      </c>
      <c r="AJ2231" s="11" t="n">
        <v>44259</v>
      </c>
      <c r="AK2231" s="12" t="n">
        <v>-50914</v>
      </c>
      <c r="AL2231" s="12" t="n">
        <v>-55598</v>
      </c>
      <c r="AM2231" s="13" t="n">
        <v>-69.40000000000001</v>
      </c>
      <c r="AN2231" s="13" t="n">
        <v>-65.5</v>
      </c>
      <c r="AO2231" s="13" t="n">
        <v>-3843.8</v>
      </c>
      <c r="AP2231" s="13" t="n">
        <v>-2560.1</v>
      </c>
    </row>
    <row r="2232">
      <c r="A2232" s="5" t="inlineStr">
        <is>
          <t>솔루스첨단소재</t>
        </is>
      </c>
      <c r="B2232" s="6" t="inlineStr">
        <is>
          <t>336370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121305</v>
      </c>
      <c r="J2232" s="10" t="n">
        <v>-13979</v>
      </c>
      <c r="K2232" s="10" t="n">
        <v>-9075</v>
      </c>
      <c r="L2232" s="7" t="n">
        <v>149262</v>
      </c>
      <c r="M2232" s="8" t="n">
        <v>-10450</v>
      </c>
      <c r="N2232" s="8" t="n">
        <v>-9931</v>
      </c>
      <c r="O2232" s="9" t="n">
        <v>134652</v>
      </c>
      <c r="P2232" s="10" t="n">
        <v>-18655</v>
      </c>
      <c r="Q2232" s="10" t="n">
        <v>-36337</v>
      </c>
      <c r="R2232" s="7" t="n">
        <v>165730</v>
      </c>
      <c r="S2232" s="8" t="n">
        <v>-11335</v>
      </c>
      <c r="T2232" s="8" t="n">
        <v>12653</v>
      </c>
      <c r="U2232" s="9" t="n">
        <v>157604</v>
      </c>
      <c r="V2232" s="10" t="n">
        <v>-15275</v>
      </c>
      <c r="W2232" s="10" t="n">
        <v>-31929</v>
      </c>
      <c r="X2232" s="7" t="n">
        <v>143865</v>
      </c>
      <c r="Y2232" s="8" t="n">
        <v>-14972</v>
      </c>
      <c r="Z2232" s="8" t="n">
        <v>-52302</v>
      </c>
      <c r="AA2232" s="9" t="n">
        <v>145134</v>
      </c>
      <c r="AB2232" s="10" t="n">
        <v>-21160</v>
      </c>
      <c r="AC2232" s="10" t="n">
        <v>-29138</v>
      </c>
      <c r="AD2232" s="7" t="n">
        <v>169480</v>
      </c>
      <c r="AE2232" s="8" t="n">
        <v>-21929</v>
      </c>
      <c r="AF2232" s="8" t="n">
        <v>-25025</v>
      </c>
      <c r="AG2232" s="9" t="n">
        <v>192569</v>
      </c>
      <c r="AH2232" s="10" t="n">
        <v>-22050</v>
      </c>
      <c r="AI2232" s="10" t="n">
        <v>-2900</v>
      </c>
      <c r="AJ2232" s="11" t="n">
        <v>101870</v>
      </c>
      <c r="AK2232" s="12" t="n">
        <v>-21676</v>
      </c>
      <c r="AL2232" s="12" t="n">
        <v>59273</v>
      </c>
      <c r="AM2232" s="13" t="n">
        <v>-47.1</v>
      </c>
      <c r="AN2232" s="13" t="n">
        <v>-29.2</v>
      </c>
      <c r="AO2232" s="13" t="n">
        <v>1.7</v>
      </c>
      <c r="AP2232" s="13" t="n">
        <v>-44.8</v>
      </c>
    </row>
    <row r="2233">
      <c r="A2233" s="5" t="inlineStr">
        <is>
          <t>원텍</t>
        </is>
      </c>
      <c r="B2233" s="6" t="inlineStr">
        <is>
          <t>336570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22565</v>
      </c>
      <c r="J2233" s="10" t="n">
        <v>6634</v>
      </c>
      <c r="K2233" s="10" t="n">
        <v>5924</v>
      </c>
      <c r="L2233" s="7" t="n">
        <v>29011</v>
      </c>
      <c r="M2233" s="8" t="n">
        <v>7024</v>
      </c>
      <c r="N2233" s="8" t="n">
        <v>4424</v>
      </c>
      <c r="O2233" s="9" t="n">
        <v>26884</v>
      </c>
      <c r="P2233" s="10" t="n">
        <v>7344</v>
      </c>
      <c r="Q2233" s="10" t="n">
        <v>4812</v>
      </c>
      <c r="R2233" s="7" t="n">
        <v>36795</v>
      </c>
      <c r="S2233" s="8" t="n">
        <v>13788</v>
      </c>
      <c r="T2233" s="8" t="n">
        <v>13953</v>
      </c>
      <c r="U2233" s="9" t="n">
        <v>37415</v>
      </c>
      <c r="V2233" s="10" t="n">
        <v>14552</v>
      </c>
      <c r="W2233" s="10" t="n">
        <v>11899</v>
      </c>
      <c r="X2233" s="7" t="n">
        <v>39809</v>
      </c>
      <c r="Y2233" s="8" t="n">
        <v>17273</v>
      </c>
      <c r="Z2233" s="8" t="n">
        <v>9203</v>
      </c>
      <c r="AA2233" s="9" t="n">
        <v>33240</v>
      </c>
      <c r="AB2233" s="10" t="n">
        <v>7612</v>
      </c>
      <c r="AC2233" s="10" t="n">
        <v>7889</v>
      </c>
      <c r="AD2233" s="7" t="n">
        <v>46374</v>
      </c>
      <c r="AE2233" s="8" t="n">
        <v>12248</v>
      </c>
      <c r="AF2233" s="8" t="n">
        <v>6230</v>
      </c>
      <c r="AG2233" s="9" t="n">
        <v>40246</v>
      </c>
      <c r="AH2233" s="10" t="n">
        <v>11201</v>
      </c>
      <c r="AI2233" s="10" t="n">
        <v>10419</v>
      </c>
      <c r="AJ2233" s="11" t="n">
        <v>47493</v>
      </c>
      <c r="AK2233" s="12" t="n">
        <v>11088</v>
      </c>
      <c r="AL2233" s="12" t="n">
        <v>15446</v>
      </c>
      <c r="AM2233" s="13" t="n">
        <v>18</v>
      </c>
      <c r="AN2233" s="13" t="n">
        <v>19.3</v>
      </c>
      <c r="AO2233" s="13" t="n">
        <v>-1</v>
      </c>
      <c r="AP2233" s="13" t="n">
        <v>-35.8</v>
      </c>
    </row>
    <row r="2234">
      <c r="A2234" s="5" t="inlineStr">
        <is>
          <t>탑런토탈솔루션</t>
        </is>
      </c>
      <c r="B2234" s="6" t="inlineStr">
        <is>
          <t>336680</t>
        </is>
      </c>
      <c r="C2234" s="6" t="inlineStr">
        <is>
          <t>연결</t>
        </is>
      </c>
      <c r="D2234" s="6" t="inlineStr">
        <is>
          <t>2026Q2</t>
        </is>
      </c>
      <c r="E2234" s="6" t="inlineStr">
        <is>
          <t>2024Q3, 2024Q4</t>
        </is>
      </c>
      <c r="F2234" s="7" t="inlineStr"/>
      <c r="G2234" s="8" t="inlineStr"/>
      <c r="H2234" s="8" t="inlineStr"/>
      <c r="I2234" s="9" t="inlineStr"/>
      <c r="J2234" s="10" t="inlineStr"/>
      <c r="K2234" s="10" t="inlineStr"/>
      <c r="L2234" s="7" t="inlineStr"/>
      <c r="M2234" s="8" t="inlineStr"/>
      <c r="N2234" s="8" t="inlineStr"/>
      <c r="O2234" s="14" t="n">
        <v>137990</v>
      </c>
      <c r="P2234" s="15" t="n">
        <v>6924</v>
      </c>
      <c r="Q2234" s="15" t="n">
        <v>6870</v>
      </c>
      <c r="R2234" s="14" t="n">
        <v>520208</v>
      </c>
      <c r="S2234" s="15" t="n">
        <v>26090</v>
      </c>
      <c r="T2234" s="15" t="n">
        <v>17919</v>
      </c>
      <c r="U2234" s="9" t="n">
        <v>126823</v>
      </c>
      <c r="V2234" s="10" t="n">
        <v>1599</v>
      </c>
      <c r="W2234" s="10" t="n">
        <v>1872</v>
      </c>
      <c r="X2234" s="7" t="n">
        <v>120982</v>
      </c>
      <c r="Y2234" s="8" t="n">
        <v>-657</v>
      </c>
      <c r="Z2234" s="8" t="n">
        <v>-4059</v>
      </c>
      <c r="AA2234" s="9" t="n">
        <v>148341</v>
      </c>
      <c r="AB2234" s="10" t="n">
        <v>5764</v>
      </c>
      <c r="AC2234" s="10" t="n">
        <v>5804</v>
      </c>
      <c r="AD2234" s="7" t="n">
        <v>153965</v>
      </c>
      <c r="AE2234" s="8" t="n">
        <v>2195</v>
      </c>
      <c r="AF2234" s="8" t="n">
        <v>2454</v>
      </c>
      <c r="AG2234" s="9" t="n">
        <v>146997</v>
      </c>
      <c r="AH2234" s="10" t="n">
        <v>-4845</v>
      </c>
      <c r="AI2234" s="10" t="n">
        <v>-6665</v>
      </c>
      <c r="AJ2234" s="11" t="n">
        <v>178757</v>
      </c>
      <c r="AK2234" s="12" t="n">
        <v>299</v>
      </c>
      <c r="AL2234" s="12" t="n">
        <v>-823</v>
      </c>
      <c r="AM2234" s="13" t="n">
        <v>21.6</v>
      </c>
      <c r="AN2234" s="13" t="n">
        <v>47.8</v>
      </c>
      <c r="AO2234" s="13" t="n">
        <v>106.2</v>
      </c>
      <c r="AP2234" s="13" t="n">
        <v>145.5</v>
      </c>
    </row>
    <row r="2235">
      <c r="A2235" s="5" t="inlineStr">
        <is>
          <t>젝시믹스</t>
        </is>
      </c>
      <c r="B2235" s="6" t="inlineStr">
        <is>
          <t>337930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53155</v>
      </c>
      <c r="J2235" s="10" t="n">
        <v>3390</v>
      </c>
      <c r="K2235" s="10" t="n">
        <v>2655</v>
      </c>
      <c r="L2235" s="7" t="n">
        <v>76363</v>
      </c>
      <c r="M2235" s="8" t="n">
        <v>12371</v>
      </c>
      <c r="N2235" s="8" t="n">
        <v>9186</v>
      </c>
      <c r="O2235" s="9" t="n">
        <v>68200</v>
      </c>
      <c r="P2235" s="10" t="n">
        <v>4822</v>
      </c>
      <c r="Q2235" s="10" t="n">
        <v>4518</v>
      </c>
      <c r="R2235" s="7" t="n">
        <v>73876</v>
      </c>
      <c r="S2235" s="8" t="n">
        <v>4316</v>
      </c>
      <c r="T2235" s="8" t="n">
        <v>4570</v>
      </c>
      <c r="U2235" s="9" t="n">
        <v>50757</v>
      </c>
      <c r="V2235" s="10" t="n">
        <v>790</v>
      </c>
      <c r="W2235" s="10" t="n">
        <v>878</v>
      </c>
      <c r="X2235" s="7" t="n">
        <v>74574</v>
      </c>
      <c r="Y2235" s="8" t="n">
        <v>7552</v>
      </c>
      <c r="Z2235" s="8" t="n">
        <v>5459</v>
      </c>
      <c r="AA2235" s="9" t="n">
        <v>69854</v>
      </c>
      <c r="AB2235" s="10" t="n">
        <v>6066</v>
      </c>
      <c r="AC2235" s="10" t="n">
        <v>3157</v>
      </c>
      <c r="AD2235" s="7" t="n">
        <v>78912</v>
      </c>
      <c r="AE2235" s="8" t="n">
        <v>2941</v>
      </c>
      <c r="AF2235" s="8" t="n">
        <v>2741</v>
      </c>
      <c r="AG2235" s="9" t="n">
        <v>53015</v>
      </c>
      <c r="AH2235" s="10" t="n">
        <v>1098</v>
      </c>
      <c r="AI2235" s="10" t="n">
        <v>887</v>
      </c>
      <c r="AJ2235" s="11" t="n">
        <v>74378</v>
      </c>
      <c r="AK2235" s="12" t="n">
        <v>5348</v>
      </c>
      <c r="AL2235" s="12" t="n">
        <v>4381</v>
      </c>
      <c r="AM2235" s="13" t="n">
        <v>40.3</v>
      </c>
      <c r="AN2235" s="13" t="n">
        <v>-0.3</v>
      </c>
      <c r="AO2235" s="13" t="n">
        <v>387.1</v>
      </c>
      <c r="AP2235" s="13" t="n">
        <v>-29.2</v>
      </c>
    </row>
    <row r="2236">
      <c r="A2236" s="5" t="inlineStr">
        <is>
          <t>NH프라임리츠</t>
        </is>
      </c>
      <c r="B2236" s="6" t="inlineStr">
        <is>
          <t>338100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inlineStr"/>
      <c r="J2236" s="10" t="inlineStr"/>
      <c r="K2236" s="10" t="inlineStr"/>
      <c r="L2236" s="7" t="n">
        <v>10425</v>
      </c>
      <c r="M2236" s="8" t="n">
        <v>10256</v>
      </c>
      <c r="N2236" s="8" t="n">
        <v>10277</v>
      </c>
      <c r="O2236" s="9" t="inlineStr"/>
      <c r="P2236" s="10" t="inlineStr"/>
      <c r="Q2236" s="10" t="inlineStr"/>
      <c r="R2236" s="7" t="inlineStr"/>
      <c r="S2236" s="8" t="inlineStr"/>
      <c r="T2236" s="8" t="inlineStr"/>
      <c r="U2236" s="9" t="inlineStr"/>
      <c r="V2236" s="10" t="inlineStr"/>
      <c r="W2236" s="10" t="inlineStr"/>
      <c r="X2236" s="7" t="n">
        <v>1345</v>
      </c>
      <c r="Y2236" s="8" t="n">
        <v>-1909</v>
      </c>
      <c r="Z2236" s="8" t="n">
        <v>-1695</v>
      </c>
      <c r="AA2236" s="9" t="inlineStr"/>
      <c r="AB2236" s="10" t="inlineStr"/>
      <c r="AC2236" s="10" t="inlineStr"/>
      <c r="AD2236" s="7" t="inlineStr"/>
      <c r="AE2236" s="8" t="inlineStr"/>
      <c r="AF2236" s="8" t="inlineStr"/>
      <c r="AG2236" s="9" t="inlineStr"/>
      <c r="AH2236" s="10" t="inlineStr"/>
      <c r="AI2236" s="10" t="inlineStr"/>
      <c r="AJ2236" s="11" t="n">
        <v>10021</v>
      </c>
      <c r="AK2236" s="12" t="n">
        <v>9635</v>
      </c>
      <c r="AL2236" s="12" t="n">
        <v>9714</v>
      </c>
      <c r="AM2236" s="13" t="inlineStr"/>
      <c r="AN2236" s="13" t="n">
        <v>645.1</v>
      </c>
      <c r="AO2236" s="13" t="inlineStr"/>
      <c r="AP2236" s="13" t="n">
        <v>604.7</v>
      </c>
    </row>
    <row r="2237">
      <c r="A2237" s="5" t="inlineStr">
        <is>
          <t>뷰노</t>
        </is>
      </c>
      <c r="B2237" s="6" t="inlineStr">
        <is>
          <t>338220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5538</v>
      </c>
      <c r="J2237" s="10" t="n">
        <v>-3863</v>
      </c>
      <c r="K2237" s="10" t="n">
        <v>-3895</v>
      </c>
      <c r="L2237" s="7" t="n">
        <v>6390</v>
      </c>
      <c r="M2237" s="8" t="n">
        <v>-3147</v>
      </c>
      <c r="N2237" s="8" t="n">
        <v>-3221</v>
      </c>
      <c r="O2237" s="9" t="n">
        <v>6865</v>
      </c>
      <c r="P2237" s="10" t="n">
        <v>-2765</v>
      </c>
      <c r="Q2237" s="10" t="n">
        <v>-2838</v>
      </c>
      <c r="R2237" s="7" t="n">
        <v>7076</v>
      </c>
      <c r="S2237" s="8" t="n">
        <v>-2675</v>
      </c>
      <c r="T2237" s="8" t="n">
        <v>-3064</v>
      </c>
      <c r="U2237" s="9" t="n">
        <v>7538</v>
      </c>
      <c r="V2237" s="10" t="n">
        <v>-3428</v>
      </c>
      <c r="W2237" s="10" t="n">
        <v>-3286</v>
      </c>
      <c r="X2237" s="7" t="n">
        <v>9254</v>
      </c>
      <c r="Y2237" s="8" t="n">
        <v>-169</v>
      </c>
      <c r="Z2237" s="8" t="n">
        <v>-817</v>
      </c>
      <c r="AA2237" s="9" t="n">
        <v>10824</v>
      </c>
      <c r="AB2237" s="10" t="n">
        <v>1017</v>
      </c>
      <c r="AC2237" s="10" t="n">
        <v>1034</v>
      </c>
      <c r="AD2237" s="7" t="n">
        <v>7232</v>
      </c>
      <c r="AE2237" s="8" t="n">
        <v>-2353</v>
      </c>
      <c r="AF2237" s="8" t="n">
        <v>-2711</v>
      </c>
      <c r="AG2237" s="9" t="n">
        <v>6050</v>
      </c>
      <c r="AH2237" s="10" t="n">
        <v>-4108</v>
      </c>
      <c r="AI2237" s="10" t="n">
        <v>-3988</v>
      </c>
      <c r="AJ2237" s="11" t="n">
        <v>6111</v>
      </c>
      <c r="AK2237" s="12" t="n">
        <v>-4209</v>
      </c>
      <c r="AL2237" s="12" t="n">
        <v>-5384</v>
      </c>
      <c r="AM2237" s="13" t="n">
        <v>1</v>
      </c>
      <c r="AN2237" s="13" t="n">
        <v>-34</v>
      </c>
      <c r="AO2237" s="13" t="n">
        <v>-2.5</v>
      </c>
      <c r="AP2237" s="13" t="n">
        <v>-2390.5</v>
      </c>
    </row>
    <row r="2238">
      <c r="A2238" s="5" t="inlineStr">
        <is>
          <t>와이바이오로직스</t>
        </is>
      </c>
      <c r="B2238" s="6" t="inlineStr">
        <is>
          <t>338840</t>
        </is>
      </c>
      <c r="C2238" s="6" t="inlineStr">
        <is>
          <t>별도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1143</v>
      </c>
      <c r="J2238" s="10" t="n">
        <v>-2434</v>
      </c>
      <c r="K2238" s="10" t="n">
        <v>-1624</v>
      </c>
      <c r="L2238" s="7" t="n">
        <v>232</v>
      </c>
      <c r="M2238" s="8" t="n">
        <v>-3463</v>
      </c>
      <c r="N2238" s="8" t="n">
        <v>-2842</v>
      </c>
      <c r="O2238" s="9" t="n">
        <v>3241</v>
      </c>
      <c r="P2238" s="10" t="n">
        <v>-189</v>
      </c>
      <c r="Q2238" s="10" t="n">
        <v>-151</v>
      </c>
      <c r="R2238" s="7" t="n">
        <v>1147</v>
      </c>
      <c r="S2238" s="8" t="n">
        <v>-2361</v>
      </c>
      <c r="T2238" s="8" t="n">
        <v>-1825</v>
      </c>
      <c r="U2238" s="9" t="n">
        <v>407</v>
      </c>
      <c r="V2238" s="10" t="n">
        <v>-2258</v>
      </c>
      <c r="W2238" s="10" t="n">
        <v>-1881</v>
      </c>
      <c r="X2238" s="7" t="n">
        <v>1165</v>
      </c>
      <c r="Y2238" s="8" t="n">
        <v>-1495</v>
      </c>
      <c r="Z2238" s="8" t="n">
        <v>-2335</v>
      </c>
      <c r="AA2238" s="9" t="n">
        <v>892</v>
      </c>
      <c r="AB2238" s="10" t="n">
        <v>-2530</v>
      </c>
      <c r="AC2238" s="10" t="n">
        <v>-2694</v>
      </c>
      <c r="AD2238" s="7" t="n">
        <v>449</v>
      </c>
      <c r="AE2238" s="8" t="n">
        <v>-2986</v>
      </c>
      <c r="AF2238" s="8" t="n">
        <v>-35115</v>
      </c>
      <c r="AG2238" s="9" t="n">
        <v>282</v>
      </c>
      <c r="AH2238" s="10" t="n">
        <v>-3880</v>
      </c>
      <c r="AI2238" s="10" t="n">
        <v>-4317</v>
      </c>
      <c r="AJ2238" s="11" t="n">
        <v>1547</v>
      </c>
      <c r="AK2238" s="12" t="n">
        <v>-3789</v>
      </c>
      <c r="AL2238" s="12" t="n">
        <v>-7827</v>
      </c>
      <c r="AM2238" s="13" t="n">
        <v>448.6</v>
      </c>
      <c r="AN2238" s="13" t="n">
        <v>32.8</v>
      </c>
      <c r="AO2238" s="13" t="n">
        <v>2.3</v>
      </c>
      <c r="AP2238" s="13" t="n">
        <v>-153.4</v>
      </c>
    </row>
    <row r="2239">
      <c r="A2239" s="5" t="inlineStr">
        <is>
          <t>교촌에프앤비</t>
        </is>
      </c>
      <c r="B2239" s="6" t="inlineStr">
        <is>
          <t>339770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113261</v>
      </c>
      <c r="J2239" s="10" t="n">
        <v>11948</v>
      </c>
      <c r="K2239" s="10" t="n">
        <v>7828</v>
      </c>
      <c r="L2239" s="7" t="n">
        <v>113884</v>
      </c>
      <c r="M2239" s="8" t="n">
        <v>-9878</v>
      </c>
      <c r="N2239" s="8" t="n">
        <v>-8808</v>
      </c>
      <c r="O2239" s="9" t="n">
        <v>127571</v>
      </c>
      <c r="P2239" s="10" t="n">
        <v>7642</v>
      </c>
      <c r="Q2239" s="10" t="n">
        <v>4530</v>
      </c>
      <c r="R2239" s="7" t="n">
        <v>126094</v>
      </c>
      <c r="S2239" s="8" t="n">
        <v>5725</v>
      </c>
      <c r="T2239" s="8" t="n">
        <v>-2717</v>
      </c>
      <c r="U2239" s="9" t="n">
        <v>124588</v>
      </c>
      <c r="V2239" s="10" t="n">
        <v>10711</v>
      </c>
      <c r="W2239" s="10" t="n">
        <v>6588</v>
      </c>
      <c r="X2239" s="7" t="n">
        <v>126104</v>
      </c>
      <c r="Y2239" s="8" t="n">
        <v>9306</v>
      </c>
      <c r="Z2239" s="8" t="n">
        <v>4584</v>
      </c>
      <c r="AA2239" s="9" t="n">
        <v>135194</v>
      </c>
      <c r="AB2239" s="10" t="n">
        <v>11251</v>
      </c>
      <c r="AC2239" s="10" t="n">
        <v>7554</v>
      </c>
      <c r="AD2239" s="7" t="n">
        <v>131467</v>
      </c>
      <c r="AE2239" s="8" t="n">
        <v>3770</v>
      </c>
      <c r="AF2239" s="8" t="n">
        <v>-1505</v>
      </c>
      <c r="AG2239" s="9" t="n">
        <v>123356</v>
      </c>
      <c r="AH2239" s="10" t="n">
        <v>5291</v>
      </c>
      <c r="AI2239" s="10" t="n">
        <v>3379</v>
      </c>
      <c r="AJ2239" s="11" t="n">
        <v>132273</v>
      </c>
      <c r="AK2239" s="12" t="n">
        <v>7848</v>
      </c>
      <c r="AL2239" s="12" t="n">
        <v>5193</v>
      </c>
      <c r="AM2239" s="13" t="n">
        <v>7.2</v>
      </c>
      <c r="AN2239" s="13" t="n">
        <v>4.9</v>
      </c>
      <c r="AO2239" s="13" t="n">
        <v>48.3</v>
      </c>
      <c r="AP2239" s="13" t="n">
        <v>-15.7</v>
      </c>
    </row>
    <row r="2240">
      <c r="A2240" s="5" t="inlineStr">
        <is>
          <t>아이비김영</t>
        </is>
      </c>
      <c r="B2240" s="6" t="inlineStr">
        <is>
          <t>339950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19486</v>
      </c>
      <c r="J2240" s="10" t="n">
        <v>-967</v>
      </c>
      <c r="K2240" s="10" t="n">
        <v>-1051</v>
      </c>
      <c r="L2240" s="7" t="n">
        <v>24638</v>
      </c>
      <c r="M2240" s="8" t="n">
        <v>3287</v>
      </c>
      <c r="N2240" s="8" t="n">
        <v>1566</v>
      </c>
      <c r="O2240" s="9" t="n">
        <v>32383</v>
      </c>
      <c r="P2240" s="10" t="n">
        <v>8817</v>
      </c>
      <c r="Q2240" s="10" t="n">
        <v>7701</v>
      </c>
      <c r="R2240" s="7" t="n">
        <v>30562</v>
      </c>
      <c r="S2240" s="8" t="n">
        <v>5353</v>
      </c>
      <c r="T2240" s="8" t="n">
        <v>3966</v>
      </c>
      <c r="U2240" s="9" t="n">
        <v>22774</v>
      </c>
      <c r="V2240" s="10" t="n">
        <v>-337</v>
      </c>
      <c r="W2240" s="10" t="n">
        <v>-148</v>
      </c>
      <c r="X2240" s="7" t="n">
        <v>27582</v>
      </c>
      <c r="Y2240" s="8" t="n">
        <v>3706</v>
      </c>
      <c r="Z2240" s="8" t="n">
        <v>6772</v>
      </c>
      <c r="AA2240" s="9" t="n">
        <v>35958</v>
      </c>
      <c r="AB2240" s="10" t="n">
        <v>9729</v>
      </c>
      <c r="AC2240" s="10" t="n">
        <v>8196</v>
      </c>
      <c r="AD2240" s="7" t="n">
        <v>33174</v>
      </c>
      <c r="AE2240" s="8" t="n">
        <v>5969</v>
      </c>
      <c r="AF2240" s="8" t="n">
        <v>5297</v>
      </c>
      <c r="AG2240" s="9" t="n">
        <v>24199</v>
      </c>
      <c r="AH2240" s="10" t="n">
        <v>347</v>
      </c>
      <c r="AI2240" s="10" t="n">
        <v>731</v>
      </c>
      <c r="AJ2240" s="11" t="n">
        <v>28319</v>
      </c>
      <c r="AK2240" s="12" t="n">
        <v>3059</v>
      </c>
      <c r="AL2240" s="12" t="n">
        <v>2071</v>
      </c>
      <c r="AM2240" s="13" t="n">
        <v>17</v>
      </c>
      <c r="AN2240" s="13" t="n">
        <v>2.7</v>
      </c>
      <c r="AO2240" s="13" t="n">
        <v>781.6</v>
      </c>
      <c r="AP2240" s="13" t="n">
        <v>-17.5</v>
      </c>
    </row>
    <row r="2241">
      <c r="A2241" s="5" t="inlineStr">
        <is>
          <t>다보링크</t>
        </is>
      </c>
      <c r="B2241" s="6" t="inlineStr">
        <is>
          <t>340360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16092</v>
      </c>
      <c r="J2241" s="10" t="n">
        <v>425</v>
      </c>
      <c r="K2241" s="10" t="n">
        <v>-5</v>
      </c>
      <c r="L2241" s="7" t="n">
        <v>16126</v>
      </c>
      <c r="M2241" s="8" t="n">
        <v>-1490</v>
      </c>
      <c r="N2241" s="8" t="n">
        <v>-1691</v>
      </c>
      <c r="O2241" s="9" t="n">
        <v>19771</v>
      </c>
      <c r="P2241" s="10" t="n">
        <v>-489</v>
      </c>
      <c r="Q2241" s="10" t="n">
        <v>-374</v>
      </c>
      <c r="R2241" s="7" t="n">
        <v>13932</v>
      </c>
      <c r="S2241" s="8" t="n">
        <v>-97</v>
      </c>
      <c r="T2241" s="8" t="n">
        <v>-3569</v>
      </c>
      <c r="U2241" s="9" t="n">
        <v>12565</v>
      </c>
      <c r="V2241" s="10" t="n">
        <v>-1517</v>
      </c>
      <c r="W2241" s="10" t="n">
        <v>-4710</v>
      </c>
      <c r="X2241" s="7" t="n">
        <v>16346</v>
      </c>
      <c r="Y2241" s="8" t="n">
        <v>-294</v>
      </c>
      <c r="Z2241" s="8" t="n">
        <v>1861</v>
      </c>
      <c r="AA2241" s="9" t="n">
        <v>20661</v>
      </c>
      <c r="AB2241" s="10" t="n">
        <v>1186</v>
      </c>
      <c r="AC2241" s="10" t="n">
        <v>2205</v>
      </c>
      <c r="AD2241" s="7" t="n">
        <v>13630</v>
      </c>
      <c r="AE2241" s="8" t="n">
        <v>-1276</v>
      </c>
      <c r="AF2241" s="8" t="n">
        <v>-4366</v>
      </c>
      <c r="AG2241" s="9" t="n">
        <v>12574</v>
      </c>
      <c r="AH2241" s="10" t="n">
        <v>-1007</v>
      </c>
      <c r="AI2241" s="10" t="inlineStr"/>
      <c r="AJ2241" s="11" t="n">
        <v>16652</v>
      </c>
      <c r="AK2241" s="12" t="n">
        <v>-932</v>
      </c>
      <c r="AL2241" s="12" t="n">
        <v>-292</v>
      </c>
      <c r="AM2241" s="13" t="n">
        <v>32.4</v>
      </c>
      <c r="AN2241" s="13" t="n">
        <v>1.9</v>
      </c>
      <c r="AO2241" s="13" t="n">
        <v>7.4</v>
      </c>
      <c r="AP2241" s="13" t="n">
        <v>-217</v>
      </c>
    </row>
    <row r="2242">
      <c r="A2242" s="5" t="inlineStr">
        <is>
          <t>세림B&amp;G</t>
        </is>
      </c>
      <c r="B2242" s="6" t="inlineStr">
        <is>
          <t>340440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15137</v>
      </c>
      <c r="J2242" s="10" t="n">
        <v>1126</v>
      </c>
      <c r="K2242" s="10" t="n">
        <v>1010</v>
      </c>
      <c r="L2242" s="7" t="n">
        <v>13481</v>
      </c>
      <c r="M2242" s="8" t="n">
        <v>752</v>
      </c>
      <c r="N2242" s="8" t="n">
        <v>-81</v>
      </c>
      <c r="O2242" s="9" t="n">
        <v>14379</v>
      </c>
      <c r="P2242" s="10" t="n">
        <v>837</v>
      </c>
      <c r="Q2242" s="10" t="n">
        <v>773</v>
      </c>
      <c r="R2242" s="7" t="n">
        <v>12422</v>
      </c>
      <c r="S2242" s="8" t="n">
        <v>367</v>
      </c>
      <c r="T2242" s="8" t="n">
        <v>623</v>
      </c>
      <c r="U2242" s="9" t="n">
        <v>12222</v>
      </c>
      <c r="V2242" s="10" t="n">
        <v>183</v>
      </c>
      <c r="W2242" s="10" t="n">
        <v>221</v>
      </c>
      <c r="X2242" s="7" t="n">
        <v>11671</v>
      </c>
      <c r="Y2242" s="8" t="n">
        <v>22</v>
      </c>
      <c r="Z2242" s="8" t="n">
        <v>121</v>
      </c>
      <c r="AA2242" s="9" t="n">
        <v>13578</v>
      </c>
      <c r="AB2242" s="10" t="n">
        <v>783</v>
      </c>
      <c r="AC2242" s="10" t="n">
        <v>749</v>
      </c>
      <c r="AD2242" s="7" t="n">
        <v>10519</v>
      </c>
      <c r="AE2242" s="8" t="n">
        <v>-74</v>
      </c>
      <c r="AF2242" s="8" t="n">
        <v>778</v>
      </c>
      <c r="AG2242" s="9" t="n">
        <v>13060</v>
      </c>
      <c r="AH2242" s="10" t="n">
        <v>380</v>
      </c>
      <c r="AI2242" s="10" t="n">
        <v>439</v>
      </c>
      <c r="AJ2242" s="11" t="n">
        <v>12342</v>
      </c>
      <c r="AK2242" s="12" t="n">
        <v>393</v>
      </c>
      <c r="AL2242" s="12" t="n">
        <v>730</v>
      </c>
      <c r="AM2242" s="13" t="n">
        <v>-5.5</v>
      </c>
      <c r="AN2242" s="13" t="n">
        <v>5.7</v>
      </c>
      <c r="AO2242" s="13" t="n">
        <v>3.4</v>
      </c>
      <c r="AP2242" s="13" t="n">
        <v>1686.4</v>
      </c>
    </row>
    <row r="2243">
      <c r="A2243" s="5" t="inlineStr">
        <is>
          <t>지씨지놈</t>
        </is>
      </c>
      <c r="B2243" s="6" t="inlineStr">
        <is>
          <t>340450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inlineStr"/>
      <c r="J2243" s="10" t="inlineStr"/>
      <c r="K2243" s="10" t="inlineStr"/>
      <c r="L2243" s="7" t="inlineStr"/>
      <c r="M2243" s="8" t="inlineStr"/>
      <c r="N2243" s="8" t="inlineStr"/>
      <c r="O2243" s="9" t="inlineStr"/>
      <c r="P2243" s="10" t="inlineStr"/>
      <c r="Q2243" s="10" t="inlineStr"/>
      <c r="R2243" s="7" t="inlineStr"/>
      <c r="S2243" s="8" t="inlineStr"/>
      <c r="T2243" s="8" t="inlineStr"/>
      <c r="U2243" s="9" t="inlineStr"/>
      <c r="V2243" s="10" t="inlineStr"/>
      <c r="W2243" s="10" t="inlineStr"/>
      <c r="X2243" s="7" t="n">
        <v>7807</v>
      </c>
      <c r="Y2243" s="8" t="n">
        <v>287</v>
      </c>
      <c r="Z2243" s="8" t="n">
        <v>-73</v>
      </c>
      <c r="AA2243" s="9" t="n">
        <v>8835</v>
      </c>
      <c r="AB2243" s="10" t="n">
        <v>773</v>
      </c>
      <c r="AC2243" s="10" t="n">
        <v>1435</v>
      </c>
      <c r="AD2243" s="7" t="inlineStr"/>
      <c r="AE2243" s="8" t="inlineStr"/>
      <c r="AF2243" s="8" t="inlineStr"/>
      <c r="AG2243" s="9" t="n">
        <v>7436</v>
      </c>
      <c r="AH2243" s="10" t="n">
        <v>140</v>
      </c>
      <c r="AI2243" s="10" t="n">
        <v>814</v>
      </c>
      <c r="AJ2243" s="11" t="n">
        <v>8288</v>
      </c>
      <c r="AK2243" s="12" t="n">
        <v>433</v>
      </c>
      <c r="AL2243" s="12" t="n">
        <v>781</v>
      </c>
      <c r="AM2243" s="13" t="n">
        <v>11.5</v>
      </c>
      <c r="AN2243" s="13" t="n">
        <v>6.2</v>
      </c>
      <c r="AO2243" s="13" t="n">
        <v>209.3</v>
      </c>
      <c r="AP2243" s="13" t="n">
        <v>50.9</v>
      </c>
    </row>
    <row r="2244">
      <c r="A2244" s="5" t="inlineStr">
        <is>
          <t>티앤엘</t>
        </is>
      </c>
      <c r="B2244" s="6" t="inlineStr">
        <is>
          <t>340570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24814</v>
      </c>
      <c r="J2244" s="10" t="n">
        <v>7224</v>
      </c>
      <c r="K2244" s="10" t="n">
        <v>7099</v>
      </c>
      <c r="L2244" s="7" t="n">
        <v>54837</v>
      </c>
      <c r="M2244" s="8" t="n">
        <v>20746</v>
      </c>
      <c r="N2244" s="8" t="n">
        <v>17320</v>
      </c>
      <c r="O2244" s="9" t="n">
        <v>48724</v>
      </c>
      <c r="P2244" s="10" t="n">
        <v>17835</v>
      </c>
      <c r="Q2244" s="10" t="n">
        <v>13244</v>
      </c>
      <c r="R2244" s="7" t="n">
        <v>46517</v>
      </c>
      <c r="S2244" s="8" t="n">
        <v>11152</v>
      </c>
      <c r="T2244" s="8" t="n">
        <v>8745</v>
      </c>
      <c r="U2244" s="9" t="n">
        <v>51317</v>
      </c>
      <c r="V2244" s="10" t="n">
        <v>20224</v>
      </c>
      <c r="W2244" s="10" t="n">
        <v>15853</v>
      </c>
      <c r="X2244" s="7" t="n">
        <v>38765</v>
      </c>
      <c r="Y2244" s="8" t="n">
        <v>9966</v>
      </c>
      <c r="Z2244" s="8" t="n">
        <v>7834</v>
      </c>
      <c r="AA2244" s="9" t="n">
        <v>40673</v>
      </c>
      <c r="AB2244" s="10" t="n">
        <v>12140</v>
      </c>
      <c r="AC2244" s="10" t="n">
        <v>11333</v>
      </c>
      <c r="AD2244" s="7" t="n">
        <v>33403</v>
      </c>
      <c r="AE2244" s="8" t="n">
        <v>4021</v>
      </c>
      <c r="AF2244" s="8" t="n">
        <v>3055</v>
      </c>
      <c r="AG2244" s="9" t="n">
        <v>45067</v>
      </c>
      <c r="AH2244" s="10" t="n">
        <v>18266</v>
      </c>
      <c r="AI2244" s="10" t="n">
        <v>16441</v>
      </c>
      <c r="AJ2244" s="11" t="n">
        <v>56017</v>
      </c>
      <c r="AK2244" s="12" t="n">
        <v>24959</v>
      </c>
      <c r="AL2244" s="12" t="n">
        <v>19948</v>
      </c>
      <c r="AM2244" s="13" t="n">
        <v>24.3</v>
      </c>
      <c r="AN2244" s="13" t="n">
        <v>44.5</v>
      </c>
      <c r="AO2244" s="13" t="n">
        <v>36.6</v>
      </c>
      <c r="AP2244" s="13" t="n">
        <v>150.4</v>
      </c>
    </row>
    <row r="2245">
      <c r="A2245" s="5" t="inlineStr">
        <is>
          <t>시선AI</t>
        </is>
      </c>
      <c r="B2245" s="6" t="inlineStr">
        <is>
          <t>340810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3001</v>
      </c>
      <c r="J2245" s="10" t="n">
        <v>-3456</v>
      </c>
      <c r="K2245" s="10" t="n">
        <v>-3760</v>
      </c>
      <c r="L2245" s="7" t="n">
        <v>2407</v>
      </c>
      <c r="M2245" s="8" t="n">
        <v>-3302</v>
      </c>
      <c r="N2245" s="8" t="n">
        <v>-2239</v>
      </c>
      <c r="O2245" s="9" t="n">
        <v>4968</v>
      </c>
      <c r="P2245" s="10" t="n">
        <v>-2070</v>
      </c>
      <c r="Q2245" s="10" t="n">
        <v>-2287</v>
      </c>
      <c r="R2245" s="7" t="n">
        <v>4071</v>
      </c>
      <c r="S2245" s="8" t="n">
        <v>-1612</v>
      </c>
      <c r="T2245" s="8" t="n">
        <v>-2374</v>
      </c>
      <c r="U2245" s="9" t="n">
        <v>1265</v>
      </c>
      <c r="V2245" s="10" t="n">
        <v>-2990</v>
      </c>
      <c r="W2245" s="10" t="n">
        <v>-3446</v>
      </c>
      <c r="X2245" s="7" t="n">
        <v>960</v>
      </c>
      <c r="Y2245" s="8" t="n">
        <v>-3961</v>
      </c>
      <c r="Z2245" s="8" t="n">
        <v>-8156</v>
      </c>
      <c r="AA2245" s="9" t="n">
        <v>3039</v>
      </c>
      <c r="AB2245" s="10" t="n">
        <v>-1829</v>
      </c>
      <c r="AC2245" s="10" t="n">
        <v>-1917</v>
      </c>
      <c r="AD2245" s="7" t="n">
        <v>8706</v>
      </c>
      <c r="AE2245" s="8" t="n">
        <v>-2491</v>
      </c>
      <c r="AF2245" s="8" t="n">
        <v>-1817</v>
      </c>
      <c r="AG2245" s="9" t="n">
        <v>3283</v>
      </c>
      <c r="AH2245" s="10" t="n">
        <v>-2759</v>
      </c>
      <c r="AI2245" s="10" t="n">
        <v>-2828</v>
      </c>
      <c r="AJ2245" s="11" t="n">
        <v>2502</v>
      </c>
      <c r="AK2245" s="12" t="n">
        <v>-2793</v>
      </c>
      <c r="AL2245" s="12" t="n">
        <v>-3384</v>
      </c>
      <c r="AM2245" s="13" t="n">
        <v>-23.8</v>
      </c>
      <c r="AN2245" s="13" t="n">
        <v>160.6</v>
      </c>
      <c r="AO2245" s="13" t="n">
        <v>-1.2</v>
      </c>
      <c r="AP2245" s="13" t="n">
        <v>29.5</v>
      </c>
    </row>
    <row r="2246">
      <c r="A2246" s="5" t="inlineStr">
        <is>
          <t>성원에너텍</t>
        </is>
      </c>
      <c r="B2246" s="6" t="inlineStr">
        <is>
          <t>340930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7864</v>
      </c>
      <c r="J2246" s="10" t="n">
        <v>-1708</v>
      </c>
      <c r="K2246" s="10" t="n">
        <v>-1794</v>
      </c>
      <c r="L2246" s="7" t="n">
        <v>26881</v>
      </c>
      <c r="M2246" s="8" t="n">
        <v>-1875</v>
      </c>
      <c r="N2246" s="8" t="n">
        <v>-2137</v>
      </c>
      <c r="O2246" s="9" t="n">
        <v>7946</v>
      </c>
      <c r="P2246" s="10" t="n">
        <v>-6081</v>
      </c>
      <c r="Q2246" s="10" t="n">
        <v>-9401</v>
      </c>
      <c r="R2246" s="7" t="n">
        <v>16999</v>
      </c>
      <c r="S2246" s="8" t="n">
        <v>-7059</v>
      </c>
      <c r="T2246" s="8" t="n">
        <v>-15376</v>
      </c>
      <c r="U2246" s="9" t="n">
        <v>9295</v>
      </c>
      <c r="V2246" s="10" t="n">
        <v>384</v>
      </c>
      <c r="W2246" s="10" t="n">
        <v>-898</v>
      </c>
      <c r="X2246" s="7" t="n">
        <v>16905</v>
      </c>
      <c r="Y2246" s="8" t="n">
        <v>-2815</v>
      </c>
      <c r="Z2246" s="8" t="n">
        <v>-4296</v>
      </c>
      <c r="AA2246" s="9" t="n">
        <v>1200</v>
      </c>
      <c r="AB2246" s="10" t="n">
        <v>-2926</v>
      </c>
      <c r="AC2246" s="10" t="n">
        <v>-3756</v>
      </c>
      <c r="AD2246" s="7" t="n">
        <v>32615</v>
      </c>
      <c r="AE2246" s="8" t="n">
        <v>2644</v>
      </c>
      <c r="AF2246" s="8" t="n">
        <v>-15891</v>
      </c>
      <c r="AG2246" s="9" t="n">
        <v>1637</v>
      </c>
      <c r="AH2246" s="10" t="n">
        <v>-1996</v>
      </c>
      <c r="AI2246" s="10" t="n">
        <v>-4686</v>
      </c>
      <c r="AJ2246" s="11" t="n">
        <v>489</v>
      </c>
      <c r="AK2246" s="12" t="n">
        <v>-7956</v>
      </c>
      <c r="AL2246" s="12" t="n">
        <v>-1654</v>
      </c>
      <c r="AM2246" s="13" t="n">
        <v>-70.09999999999999</v>
      </c>
      <c r="AN2246" s="13" t="n">
        <v>-97.09999999999999</v>
      </c>
      <c r="AO2246" s="13" t="n">
        <v>-298.6</v>
      </c>
      <c r="AP2246" s="13" t="n">
        <v>-182.6</v>
      </c>
    </row>
    <row r="2247">
      <c r="A2247" s="5" t="inlineStr">
        <is>
          <t>오아</t>
        </is>
      </c>
      <c r="B2247" s="6" t="inlineStr">
        <is>
          <t>342870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inlineStr"/>
      <c r="J2247" s="10" t="inlineStr"/>
      <c r="K2247" s="10" t="inlineStr"/>
      <c r="L2247" s="7" t="inlineStr"/>
      <c r="M2247" s="8" t="inlineStr"/>
      <c r="N2247" s="8" t="inlineStr"/>
      <c r="O2247" s="9" t="inlineStr"/>
      <c r="P2247" s="10" t="inlineStr"/>
      <c r="Q2247" s="10" t="inlineStr"/>
      <c r="R2247" s="7" t="inlineStr"/>
      <c r="S2247" s="8" t="inlineStr"/>
      <c r="T2247" s="8" t="inlineStr"/>
      <c r="U2247" s="9" t="inlineStr"/>
      <c r="V2247" s="10" t="inlineStr"/>
      <c r="W2247" s="10" t="inlineStr"/>
      <c r="X2247" s="7" t="n">
        <v>25528</v>
      </c>
      <c r="Y2247" s="8" t="n">
        <v>2547</v>
      </c>
      <c r="Z2247" s="8" t="n">
        <v>2339</v>
      </c>
      <c r="AA2247" s="9" t="n">
        <v>27337</v>
      </c>
      <c r="AB2247" s="10" t="n">
        <v>1930</v>
      </c>
      <c r="AC2247" s="10" t="n">
        <v>-4759</v>
      </c>
      <c r="AD2247" s="7" t="inlineStr"/>
      <c r="AE2247" s="8" t="inlineStr"/>
      <c r="AF2247" s="8" t="inlineStr"/>
      <c r="AG2247" s="9" t="n">
        <v>25412</v>
      </c>
      <c r="AH2247" s="10" t="n">
        <v>1055</v>
      </c>
      <c r="AI2247" s="10" t="n">
        <v>760</v>
      </c>
      <c r="AJ2247" s="11" t="n">
        <v>27455</v>
      </c>
      <c r="AK2247" s="12" t="n">
        <v>-127</v>
      </c>
      <c r="AL2247" s="12" t="n">
        <v>-251</v>
      </c>
      <c r="AM2247" s="13" t="n">
        <v>8</v>
      </c>
      <c r="AN2247" s="13" t="n">
        <v>7.5</v>
      </c>
      <c r="AO2247" s="13" t="n">
        <v>-112</v>
      </c>
      <c r="AP2247" s="13" t="n">
        <v>-105</v>
      </c>
    </row>
    <row r="2248">
      <c r="A2248" s="5" t="inlineStr">
        <is>
          <t>케이씨씨글라스</t>
        </is>
      </c>
      <c r="B2248" s="6" t="inlineStr">
        <is>
          <t>344820</t>
        </is>
      </c>
      <c r="C2248" s="6" t="inlineStr">
        <is>
          <t>연결</t>
        </is>
      </c>
      <c r="D2248" s="6" t="inlineStr">
        <is>
          <t>2026Q2</t>
        </is>
      </c>
      <c r="E2248" s="6" t="inlineStr">
        <is>
          <t>2023Q4</t>
        </is>
      </c>
      <c r="F2248" s="14" t="n">
        <v>438543</v>
      </c>
      <c r="G2248" s="15" t="n">
        <v>26248</v>
      </c>
      <c r="H2248" s="15" t="n">
        <v>26384</v>
      </c>
      <c r="I2248" s="9" t="n">
        <v>389091</v>
      </c>
      <c r="J2248" s="10" t="n">
        <v>20772</v>
      </c>
      <c r="K2248" s="10" t="n">
        <v>9089</v>
      </c>
      <c r="L2248" s="7" t="n">
        <v>514327</v>
      </c>
      <c r="M2248" s="8" t="n">
        <v>21577</v>
      </c>
      <c r="N2248" s="8" t="n">
        <v>12153</v>
      </c>
      <c r="O2248" s="9" t="n">
        <v>487719</v>
      </c>
      <c r="P2248" s="10" t="n">
        <v>8023</v>
      </c>
      <c r="Q2248" s="10" t="n">
        <v>23154</v>
      </c>
      <c r="R2248" s="7" t="n">
        <v>512184</v>
      </c>
      <c r="S2248" s="8" t="n">
        <v>6809</v>
      </c>
      <c r="T2248" s="8" t="n">
        <v>-7443</v>
      </c>
      <c r="U2248" s="9" t="n">
        <v>448678</v>
      </c>
      <c r="V2248" s="10" t="n">
        <v>-5625</v>
      </c>
      <c r="W2248" s="10" t="n">
        <v>-11226</v>
      </c>
      <c r="X2248" s="7" t="n">
        <v>512917</v>
      </c>
      <c r="Y2248" s="8" t="n">
        <v>-35426</v>
      </c>
      <c r="Z2248" s="8" t="n">
        <v>-35337</v>
      </c>
      <c r="AA2248" s="9" t="n">
        <v>481193</v>
      </c>
      <c r="AB2248" s="10" t="n">
        <v>-14239</v>
      </c>
      <c r="AC2248" s="10" t="n">
        <v>-15607</v>
      </c>
      <c r="AD2248" s="7" t="n">
        <v>457818</v>
      </c>
      <c r="AE2248" s="8" t="n">
        <v>-19917</v>
      </c>
      <c r="AF2248" s="8" t="n">
        <v>-21473</v>
      </c>
      <c r="AG2248" s="9" t="n">
        <v>466638</v>
      </c>
      <c r="AH2248" s="10" t="n">
        <v>-10085</v>
      </c>
      <c r="AI2248" s="10" t="n">
        <v>-7089</v>
      </c>
      <c r="AJ2248" s="11" t="n">
        <v>577146</v>
      </c>
      <c r="AK2248" s="12" t="n">
        <v>4811</v>
      </c>
      <c r="AL2248" s="12" t="n">
        <v>-11815</v>
      </c>
      <c r="AM2248" s="13" t="n">
        <v>23.7</v>
      </c>
      <c r="AN2248" s="13" t="n">
        <v>12.5</v>
      </c>
      <c r="AO2248" s="13" t="n">
        <v>147.7</v>
      </c>
      <c r="AP2248" s="13" t="n">
        <v>113.6</v>
      </c>
    </row>
    <row r="2249">
      <c r="A2249" s="5" t="inlineStr">
        <is>
          <t>이노진</t>
        </is>
      </c>
      <c r="B2249" s="6" t="inlineStr">
        <is>
          <t>344860</t>
        </is>
      </c>
      <c r="C2249" s="6" t="inlineStr">
        <is>
          <t>별도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2040</v>
      </c>
      <c r="J2249" s="10" t="n">
        <v>131</v>
      </c>
      <c r="K2249" s="10" t="n">
        <v>235</v>
      </c>
      <c r="L2249" s="7" t="n">
        <v>2937</v>
      </c>
      <c r="M2249" s="8" t="n">
        <v>445</v>
      </c>
      <c r="N2249" s="8" t="n">
        <v>460</v>
      </c>
      <c r="O2249" s="9" t="n">
        <v>1913</v>
      </c>
      <c r="P2249" s="10" t="n">
        <v>21</v>
      </c>
      <c r="Q2249" s="10" t="n">
        <v>97</v>
      </c>
      <c r="R2249" s="7" t="n">
        <v>2055</v>
      </c>
      <c r="S2249" s="8" t="n">
        <v>33</v>
      </c>
      <c r="T2249" s="8" t="n">
        <v>153</v>
      </c>
      <c r="U2249" s="9" t="n">
        <v>1767</v>
      </c>
      <c r="V2249" s="10" t="n">
        <v>-27</v>
      </c>
      <c r="W2249" s="10" t="n">
        <v>45</v>
      </c>
      <c r="X2249" s="7" t="n">
        <v>1895</v>
      </c>
      <c r="Y2249" s="8" t="n">
        <v>-48</v>
      </c>
      <c r="Z2249" s="8" t="n">
        <v>-28</v>
      </c>
      <c r="AA2249" s="9" t="n">
        <v>2137</v>
      </c>
      <c r="AB2249" s="10" t="n">
        <v>-30</v>
      </c>
      <c r="AC2249" s="10" t="n">
        <v>59</v>
      </c>
      <c r="AD2249" s="7" t="n">
        <v>2414</v>
      </c>
      <c r="AE2249" s="8" t="n">
        <v>109</v>
      </c>
      <c r="AF2249" s="8" t="n">
        <v>212</v>
      </c>
      <c r="AG2249" s="9" t="n">
        <v>2591</v>
      </c>
      <c r="AH2249" s="10" t="n">
        <v>-176</v>
      </c>
      <c r="AI2249" s="10" t="n">
        <v>-96</v>
      </c>
      <c r="AJ2249" s="11" t="n">
        <v>4796</v>
      </c>
      <c r="AK2249" s="12" t="n">
        <v>-545</v>
      </c>
      <c r="AL2249" s="12" t="n">
        <v>-487</v>
      </c>
      <c r="AM2249" s="13" t="n">
        <v>85.09999999999999</v>
      </c>
      <c r="AN2249" s="13" t="n">
        <v>153.1</v>
      </c>
      <c r="AO2249" s="13" t="n">
        <v>-209.7</v>
      </c>
      <c r="AP2249" s="13" t="n">
        <v>-1035.4</v>
      </c>
    </row>
    <row r="2250">
      <c r="A2250" s="5" t="inlineStr">
        <is>
          <t>센코</t>
        </is>
      </c>
      <c r="B2250" s="6" t="inlineStr">
        <is>
          <t>347000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7351</v>
      </c>
      <c r="J2250" s="10" t="n">
        <v>-242</v>
      </c>
      <c r="K2250" s="10" t="n">
        <v>-51</v>
      </c>
      <c r="L2250" s="7" t="n">
        <v>7994</v>
      </c>
      <c r="M2250" s="8" t="n">
        <v>782</v>
      </c>
      <c r="N2250" s="8" t="n">
        <v>413</v>
      </c>
      <c r="O2250" s="9" t="n">
        <v>6550</v>
      </c>
      <c r="P2250" s="10" t="n">
        <v>-16</v>
      </c>
      <c r="Q2250" s="10" t="n">
        <v>-575</v>
      </c>
      <c r="R2250" s="7" t="n">
        <v>13967</v>
      </c>
      <c r="S2250" s="8" t="n">
        <v>2194</v>
      </c>
      <c r="T2250" s="8" t="n">
        <v>2742</v>
      </c>
      <c r="U2250" s="9" t="n">
        <v>6495</v>
      </c>
      <c r="V2250" s="10" t="n">
        <v>402</v>
      </c>
      <c r="W2250" s="10" t="n">
        <v>207</v>
      </c>
      <c r="X2250" s="7" t="n">
        <v>9383</v>
      </c>
      <c r="Y2250" s="8" t="n">
        <v>437</v>
      </c>
      <c r="Z2250" s="8" t="n">
        <v>-73</v>
      </c>
      <c r="AA2250" s="9" t="n">
        <v>8315</v>
      </c>
      <c r="AB2250" s="10" t="n">
        <v>793</v>
      </c>
      <c r="AC2250" s="10" t="n">
        <v>3512</v>
      </c>
      <c r="AD2250" s="7" t="n">
        <v>12532</v>
      </c>
      <c r="AE2250" s="8" t="n">
        <v>873</v>
      </c>
      <c r="AF2250" s="8" t="n">
        <v>1069</v>
      </c>
      <c r="AG2250" s="9" t="n">
        <v>8842</v>
      </c>
      <c r="AH2250" s="10" t="n">
        <v>-201</v>
      </c>
      <c r="AI2250" s="10" t="n">
        <v>1503</v>
      </c>
      <c r="AJ2250" s="11" t="n">
        <v>12638</v>
      </c>
      <c r="AK2250" s="12" t="n">
        <v>1411</v>
      </c>
      <c r="AL2250" s="12" t="n">
        <v>1030</v>
      </c>
      <c r="AM2250" s="13" t="n">
        <v>42.9</v>
      </c>
      <c r="AN2250" s="13" t="n">
        <v>34.7</v>
      </c>
      <c r="AO2250" s="13" t="n">
        <v>802</v>
      </c>
      <c r="AP2250" s="13" t="n">
        <v>222.9</v>
      </c>
    </row>
    <row r="2251">
      <c r="A2251" s="5" t="inlineStr">
        <is>
          <t>스피어</t>
        </is>
      </c>
      <c r="B2251" s="6" t="inlineStr">
        <is>
          <t>347700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2451</v>
      </c>
      <c r="J2251" s="10" t="n">
        <v>-3043</v>
      </c>
      <c r="K2251" s="10" t="inlineStr"/>
      <c r="L2251" s="7" t="n">
        <v>2288</v>
      </c>
      <c r="M2251" s="8" t="n">
        <v>-3003</v>
      </c>
      <c r="N2251" s="8" t="inlineStr"/>
      <c r="O2251" s="9" t="n">
        <v>1264</v>
      </c>
      <c r="P2251" s="10" t="n">
        <v>-1635</v>
      </c>
      <c r="Q2251" s="10" t="inlineStr"/>
      <c r="R2251" s="7" t="n">
        <v>-3445</v>
      </c>
      <c r="S2251" s="8" t="n">
        <v>1308</v>
      </c>
      <c r="T2251" s="8" t="inlineStr"/>
      <c r="U2251" s="9" t="n">
        <v>21853</v>
      </c>
      <c r="V2251" s="10" t="n">
        <v>4311</v>
      </c>
      <c r="W2251" s="10" t="n">
        <v>3164</v>
      </c>
      <c r="X2251" s="7" t="n">
        <v>18861</v>
      </c>
      <c r="Y2251" s="8" t="n">
        <v>2092</v>
      </c>
      <c r="Z2251" s="8" t="n">
        <v>21188</v>
      </c>
      <c r="AA2251" s="9" t="n">
        <v>21096</v>
      </c>
      <c r="AB2251" s="10" t="n">
        <v>-990</v>
      </c>
      <c r="AC2251" s="10" t="n">
        <v>-3313</v>
      </c>
      <c r="AD2251" s="7" t="n">
        <v>33829</v>
      </c>
      <c r="AE2251" s="8" t="n">
        <v>3639</v>
      </c>
      <c r="AF2251" s="8" t="n">
        <v>-20869</v>
      </c>
      <c r="AG2251" s="9" t="n">
        <v>45069</v>
      </c>
      <c r="AH2251" s="10" t="n">
        <v>711</v>
      </c>
      <c r="AI2251" s="10" t="n">
        <v>39785</v>
      </c>
      <c r="AJ2251" s="11" t="n">
        <v>77062</v>
      </c>
      <c r="AK2251" s="12" t="n">
        <v>1665</v>
      </c>
      <c r="AL2251" s="12" t="n">
        <v>-24290</v>
      </c>
      <c r="AM2251" s="13" t="n">
        <v>71</v>
      </c>
      <c r="AN2251" s="13" t="n">
        <v>308.6</v>
      </c>
      <c r="AO2251" s="13" t="n">
        <v>134.2</v>
      </c>
      <c r="AP2251" s="13" t="n">
        <v>-20.4</v>
      </c>
    </row>
    <row r="2252">
      <c r="A2252" s="5" t="inlineStr">
        <is>
          <t>피엔케이피부임상연구센타</t>
        </is>
      </c>
      <c r="B2252" s="6" t="inlineStr">
        <is>
          <t>347740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4186</v>
      </c>
      <c r="J2252" s="10" t="n">
        <v>654</v>
      </c>
      <c r="K2252" s="10" t="n">
        <v>1278</v>
      </c>
      <c r="L2252" s="7" t="n">
        <v>3817</v>
      </c>
      <c r="M2252" s="8" t="n">
        <v>458</v>
      </c>
      <c r="N2252" s="8" t="n">
        <v>1050</v>
      </c>
      <c r="O2252" s="9" t="n">
        <v>4718</v>
      </c>
      <c r="P2252" s="10" t="n">
        <v>731</v>
      </c>
      <c r="Q2252" s="10" t="n">
        <v>2311</v>
      </c>
      <c r="R2252" s="7" t="n">
        <v>5126</v>
      </c>
      <c r="S2252" s="8" t="n">
        <v>739</v>
      </c>
      <c r="T2252" s="8" t="n">
        <v>1062</v>
      </c>
      <c r="U2252" s="9" t="n">
        <v>6460</v>
      </c>
      <c r="V2252" s="10" t="n">
        <v>1911</v>
      </c>
      <c r="W2252" s="10" t="n">
        <v>2327</v>
      </c>
      <c r="X2252" s="7" t="n">
        <v>5489</v>
      </c>
      <c r="Y2252" s="8" t="n">
        <v>825</v>
      </c>
      <c r="Z2252" s="8" t="n">
        <v>1609</v>
      </c>
      <c r="AA2252" s="9" t="n">
        <v>5055</v>
      </c>
      <c r="AB2252" s="10" t="n">
        <v>452</v>
      </c>
      <c r="AC2252" s="10" t="n">
        <v>1573</v>
      </c>
      <c r="AD2252" s="7" t="n">
        <v>5779</v>
      </c>
      <c r="AE2252" s="8" t="n">
        <v>752</v>
      </c>
      <c r="AF2252" s="8" t="n">
        <v>-905</v>
      </c>
      <c r="AG2252" s="9" t="n">
        <v>6238</v>
      </c>
      <c r="AH2252" s="10" t="n">
        <v>959</v>
      </c>
      <c r="AI2252" s="10" t="n">
        <v>1461</v>
      </c>
      <c r="AJ2252" s="11" t="n">
        <v>6595</v>
      </c>
      <c r="AK2252" s="12" t="n">
        <v>1510</v>
      </c>
      <c r="AL2252" s="12" t="n">
        <v>1507</v>
      </c>
      <c r="AM2252" s="13" t="n">
        <v>5.7</v>
      </c>
      <c r="AN2252" s="13" t="n">
        <v>20.1</v>
      </c>
      <c r="AO2252" s="13" t="n">
        <v>57.5</v>
      </c>
      <c r="AP2252" s="13" t="n">
        <v>83</v>
      </c>
    </row>
    <row r="2253">
      <c r="A2253" s="5" t="inlineStr">
        <is>
          <t>핌스</t>
        </is>
      </c>
      <c r="B2253" s="6" t="inlineStr">
        <is>
          <t>347770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14154</v>
      </c>
      <c r="J2253" s="10" t="n">
        <v>-1319</v>
      </c>
      <c r="K2253" s="10" t="n">
        <v>-883</v>
      </c>
      <c r="L2253" s="7" t="n">
        <v>16777</v>
      </c>
      <c r="M2253" s="8" t="n">
        <v>-728</v>
      </c>
      <c r="N2253" s="8" t="n">
        <v>-896</v>
      </c>
      <c r="O2253" s="9" t="n">
        <v>13019</v>
      </c>
      <c r="P2253" s="10" t="n">
        <v>-2368</v>
      </c>
      <c r="Q2253" s="10" t="n">
        <v>-2942</v>
      </c>
      <c r="R2253" s="7" t="n">
        <v>16767</v>
      </c>
      <c r="S2253" s="8" t="n">
        <v>-457</v>
      </c>
      <c r="T2253" s="8" t="n">
        <v>-1964</v>
      </c>
      <c r="U2253" s="9" t="n">
        <v>15700</v>
      </c>
      <c r="V2253" s="10" t="n">
        <v>-1268</v>
      </c>
      <c r="W2253" s="10" t="n">
        <v>-1401</v>
      </c>
      <c r="X2253" s="7" t="n">
        <v>22392</v>
      </c>
      <c r="Y2253" s="8" t="n">
        <v>1487</v>
      </c>
      <c r="Z2253" s="8" t="n">
        <v>649</v>
      </c>
      <c r="AA2253" s="9" t="n">
        <v>11288</v>
      </c>
      <c r="AB2253" s="10" t="n">
        <v>-3036</v>
      </c>
      <c r="AC2253" s="10" t="n">
        <v>-2906</v>
      </c>
      <c r="AD2253" s="7" t="n">
        <v>14003</v>
      </c>
      <c r="AE2253" s="8" t="n">
        <v>-3297</v>
      </c>
      <c r="AF2253" s="8" t="n">
        <v>-4669</v>
      </c>
      <c r="AG2253" s="9" t="n">
        <v>15285</v>
      </c>
      <c r="AH2253" s="10" t="n">
        <v>-139</v>
      </c>
      <c r="AI2253" s="10" t="n">
        <v>32</v>
      </c>
      <c r="AJ2253" s="11" t="n">
        <v>17607</v>
      </c>
      <c r="AK2253" s="12" t="n">
        <v>-1197</v>
      </c>
      <c r="AL2253" s="12" t="n">
        <v>-637</v>
      </c>
      <c r="AM2253" s="13" t="n">
        <v>15.2</v>
      </c>
      <c r="AN2253" s="13" t="n">
        <v>-21.4</v>
      </c>
      <c r="AO2253" s="13" t="n">
        <v>-761.2</v>
      </c>
      <c r="AP2253" s="13" t="n">
        <v>-180.5</v>
      </c>
    </row>
    <row r="2254">
      <c r="A2254" s="5" t="inlineStr">
        <is>
          <t>디앤디파마텍</t>
        </is>
      </c>
      <c r="B2254" s="6" t="inlineStr">
        <is>
          <t>347850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inlineStr"/>
      <c r="K2254" s="10" t="inlineStr"/>
      <c r="L2254" s="7" t="n">
        <v>2317</v>
      </c>
      <c r="M2254" s="8" t="n">
        <v>-5947</v>
      </c>
      <c r="N2254" s="8" t="n">
        <v>-5924</v>
      </c>
      <c r="O2254" s="9" t="n">
        <v>1940</v>
      </c>
      <c r="P2254" s="10" t="n">
        <v>-6988</v>
      </c>
      <c r="Q2254" s="10" t="n">
        <v>-8127</v>
      </c>
      <c r="R2254" s="7" t="inlineStr"/>
      <c r="S2254" s="8" t="inlineStr"/>
      <c r="T2254" s="8" t="inlineStr"/>
      <c r="U2254" s="9" t="n">
        <v>1413</v>
      </c>
      <c r="V2254" s="10" t="n">
        <v>-9313</v>
      </c>
      <c r="W2254" s="10" t="n">
        <v>-10051</v>
      </c>
      <c r="X2254" s="7" t="n">
        <v>925</v>
      </c>
      <c r="Y2254" s="8" t="n">
        <v>-8059</v>
      </c>
      <c r="Z2254" s="8" t="n">
        <v>-10025</v>
      </c>
      <c r="AA2254" s="9" t="n">
        <v>969</v>
      </c>
      <c r="AB2254" s="10" t="n">
        <v>-6209</v>
      </c>
      <c r="AC2254" s="10" t="n">
        <v>-5755</v>
      </c>
      <c r="AD2254" s="7" t="n">
        <v>991</v>
      </c>
      <c r="AE2254" s="8" t="n">
        <v>-10412</v>
      </c>
      <c r="AF2254" s="8" t="n">
        <v>1851</v>
      </c>
      <c r="AG2254" s="9" t="n">
        <v>129</v>
      </c>
      <c r="AH2254" s="10" t="n">
        <v>-11122</v>
      </c>
      <c r="AI2254" s="10" t="n">
        <v>-10081</v>
      </c>
      <c r="AJ2254" s="11" t="n">
        <v>662</v>
      </c>
      <c r="AK2254" s="12" t="n">
        <v>-9880</v>
      </c>
      <c r="AL2254" s="12" t="n">
        <v>-7767</v>
      </c>
      <c r="AM2254" s="13" t="n">
        <v>413.2</v>
      </c>
      <c r="AN2254" s="13" t="n">
        <v>-28.4</v>
      </c>
      <c r="AO2254" s="13" t="n">
        <v>11.2</v>
      </c>
      <c r="AP2254" s="13" t="n">
        <v>-22.6</v>
      </c>
    </row>
    <row r="2255">
      <c r="A2255" s="5" t="inlineStr">
        <is>
          <t>알체라</t>
        </is>
      </c>
      <c r="B2255" s="6" t="inlineStr">
        <is>
          <t>347860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-5509</v>
      </c>
      <c r="K2255" s="10" t="n">
        <v>-3373</v>
      </c>
      <c r="L2255" s="7" t="inlineStr"/>
      <c r="M2255" s="8" t="n">
        <v>-3075</v>
      </c>
      <c r="N2255" s="8" t="n">
        <v>-6218</v>
      </c>
      <c r="O2255" s="9" t="inlineStr"/>
      <c r="P2255" s="10" t="n">
        <v>-3379</v>
      </c>
      <c r="Q2255" s="10" t="n">
        <v>-3341</v>
      </c>
      <c r="R2255" s="7" t="inlineStr"/>
      <c r="S2255" s="8" t="n">
        <v>1531</v>
      </c>
      <c r="T2255" s="8" t="n">
        <v>2984</v>
      </c>
      <c r="U2255" s="9" t="inlineStr"/>
      <c r="V2255" s="10" t="n">
        <v>-5206</v>
      </c>
      <c r="W2255" s="10" t="n">
        <v>-5242</v>
      </c>
      <c r="X2255" s="7" t="inlineStr"/>
      <c r="Y2255" s="8" t="n">
        <v>-2612</v>
      </c>
      <c r="Z2255" s="8" t="n">
        <v>-2632</v>
      </c>
      <c r="AA2255" s="9" t="inlineStr"/>
      <c r="AB2255" s="10" t="n">
        <v>-2227</v>
      </c>
      <c r="AC2255" s="10" t="n">
        <v>4233</v>
      </c>
      <c r="AD2255" s="7" t="inlineStr"/>
      <c r="AE2255" s="8" t="n">
        <v>-204</v>
      </c>
      <c r="AF2255" s="8" t="n">
        <v>1105</v>
      </c>
      <c r="AG2255" s="9" t="inlineStr"/>
      <c r="AH2255" s="10" t="n">
        <v>-4309</v>
      </c>
      <c r="AI2255" s="10" t="n">
        <v>-4624</v>
      </c>
      <c r="AJ2255" s="11" t="inlineStr"/>
      <c r="AK2255" s="12" t="n">
        <v>-3201</v>
      </c>
      <c r="AL2255" s="12" t="n">
        <v>-3278</v>
      </c>
      <c r="AM2255" s="13" t="inlineStr"/>
      <c r="AN2255" s="13" t="inlineStr"/>
      <c r="AO2255" s="13" t="n">
        <v>25.7</v>
      </c>
      <c r="AP2255" s="13" t="n">
        <v>-22.5</v>
      </c>
    </row>
    <row r="2256">
      <c r="A2256" s="5" t="inlineStr">
        <is>
          <t>엠엑스온</t>
        </is>
      </c>
      <c r="B2256" s="6" t="inlineStr">
        <is>
          <t>347890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9364</v>
      </c>
      <c r="J2256" s="10" t="n">
        <v>1270</v>
      </c>
      <c r="K2256" s="10" t="n">
        <v>1352</v>
      </c>
      <c r="L2256" s="7" t="n">
        <v>9515</v>
      </c>
      <c r="M2256" s="8" t="n">
        <v>1624</v>
      </c>
      <c r="N2256" s="8" t="n">
        <v>1843</v>
      </c>
      <c r="O2256" s="9" t="n">
        <v>7792</v>
      </c>
      <c r="P2256" s="10" t="n">
        <v>791</v>
      </c>
      <c r="Q2256" s="10" t="n">
        <v>677</v>
      </c>
      <c r="R2256" s="7" t="n">
        <v>10122</v>
      </c>
      <c r="S2256" s="8" t="n">
        <v>1955</v>
      </c>
      <c r="T2256" s="8" t="n">
        <v>2520</v>
      </c>
      <c r="U2256" s="9" t="n">
        <v>9062</v>
      </c>
      <c r="V2256" s="10" t="n">
        <v>1140</v>
      </c>
      <c r="W2256" s="10" t="n">
        <v>1539</v>
      </c>
      <c r="X2256" s="7" t="n">
        <v>9222</v>
      </c>
      <c r="Y2256" s="8" t="n">
        <v>1176</v>
      </c>
      <c r="Z2256" s="8" t="n">
        <v>1491</v>
      </c>
      <c r="AA2256" s="9" t="n">
        <v>7404</v>
      </c>
      <c r="AB2256" s="10" t="n">
        <v>70</v>
      </c>
      <c r="AC2256" s="10" t="n">
        <v>-108</v>
      </c>
      <c r="AD2256" s="7" t="n">
        <v>36567</v>
      </c>
      <c r="AE2256" s="8" t="n">
        <v>-8212</v>
      </c>
      <c r="AF2256" s="8" t="n">
        <v>-5763</v>
      </c>
      <c r="AG2256" s="9" t="n">
        <v>36035</v>
      </c>
      <c r="AH2256" s="10" t="n">
        <v>502</v>
      </c>
      <c r="AI2256" s="10" t="n">
        <v>1651</v>
      </c>
      <c r="AJ2256" s="11" t="n">
        <v>40414</v>
      </c>
      <c r="AK2256" s="12" t="n">
        <v>282</v>
      </c>
      <c r="AL2256" s="12" t="n">
        <v>1397</v>
      </c>
      <c r="AM2256" s="13" t="n">
        <v>12.2</v>
      </c>
      <c r="AN2256" s="13" t="n">
        <v>338.2</v>
      </c>
      <c r="AO2256" s="13" t="n">
        <v>-43.8</v>
      </c>
      <c r="AP2256" s="13" t="n">
        <v>-76</v>
      </c>
    </row>
    <row r="2257">
      <c r="A2257" s="5" t="inlineStr">
        <is>
          <t>모비릭스</t>
        </is>
      </c>
      <c r="B2257" s="6" t="inlineStr">
        <is>
          <t>348030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inlineStr"/>
      <c r="J2257" s="10" t="n">
        <v>-2073</v>
      </c>
      <c r="K2257" s="10" t="n">
        <v>-464</v>
      </c>
      <c r="L2257" s="7" t="inlineStr"/>
      <c r="M2257" s="8" t="n">
        <v>-2739</v>
      </c>
      <c r="N2257" s="8" t="n">
        <v>-1655</v>
      </c>
      <c r="O2257" s="9" t="inlineStr"/>
      <c r="P2257" s="10" t="n">
        <v>-3158</v>
      </c>
      <c r="Q2257" s="10" t="n">
        <v>-4123</v>
      </c>
      <c r="R2257" s="7" t="inlineStr"/>
      <c r="S2257" s="8" t="n">
        <v>-1338</v>
      </c>
      <c r="T2257" s="8" t="n">
        <v>-5675</v>
      </c>
      <c r="U2257" s="9" t="n">
        <v>9894</v>
      </c>
      <c r="V2257" s="10" t="n">
        <v>-3057</v>
      </c>
      <c r="W2257" s="10" t="n">
        <v>-2940</v>
      </c>
      <c r="X2257" s="7" t="n">
        <v>10302</v>
      </c>
      <c r="Y2257" s="8" t="n">
        <v>-2669</v>
      </c>
      <c r="Z2257" s="8" t="n">
        <v>-3207</v>
      </c>
      <c r="AA2257" s="9" t="n">
        <v>10321</v>
      </c>
      <c r="AB2257" s="10" t="n">
        <v>-851</v>
      </c>
      <c r="AC2257" s="10" t="n">
        <v>-405</v>
      </c>
      <c r="AD2257" s="7" t="n">
        <v>9168</v>
      </c>
      <c r="AE2257" s="8" t="n">
        <v>-2346</v>
      </c>
      <c r="AF2257" s="8" t="n">
        <v>-4801</v>
      </c>
      <c r="AG2257" s="9" t="n">
        <v>7218</v>
      </c>
      <c r="AH2257" s="10" t="n">
        <v>1011</v>
      </c>
      <c r="AI2257" s="10" t="n">
        <v>1526</v>
      </c>
      <c r="AJ2257" s="11" t="n">
        <v>6124</v>
      </c>
      <c r="AK2257" s="12" t="n">
        <v>1051</v>
      </c>
      <c r="AL2257" s="12" t="n">
        <v>1292</v>
      </c>
      <c r="AM2257" s="13" t="n">
        <v>-15.2</v>
      </c>
      <c r="AN2257" s="13" t="n">
        <v>-40.6</v>
      </c>
      <c r="AO2257" s="13" t="n">
        <v>4</v>
      </c>
      <c r="AP2257" s="13" t="n">
        <v>139.4</v>
      </c>
    </row>
    <row r="2258">
      <c r="A2258" s="5" t="inlineStr">
        <is>
          <t>큐라티스</t>
        </is>
      </c>
      <c r="B2258" s="6" t="inlineStr">
        <is>
          <t>348080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68</v>
      </c>
      <c r="J2258" s="10" t="n">
        <v>-4159</v>
      </c>
      <c r="K2258" s="10" t="n">
        <v>-4699</v>
      </c>
      <c r="L2258" s="7" t="n">
        <v>134</v>
      </c>
      <c r="M2258" s="8" t="n">
        <v>-4992</v>
      </c>
      <c r="N2258" s="8" t="n">
        <v>-10619</v>
      </c>
      <c r="O2258" s="9" t="n">
        <v>89</v>
      </c>
      <c r="P2258" s="10" t="n">
        <v>-3764</v>
      </c>
      <c r="Q2258" s="10" t="n">
        <v>-4223</v>
      </c>
      <c r="R2258" s="7" t="n">
        <v>83</v>
      </c>
      <c r="S2258" s="8" t="n">
        <v>-6804</v>
      </c>
      <c r="T2258" s="8" t="n">
        <v>-6726</v>
      </c>
      <c r="U2258" s="9" t="n">
        <v>1211</v>
      </c>
      <c r="V2258" s="10" t="n">
        <v>-2705</v>
      </c>
      <c r="W2258" s="10" t="n">
        <v>-2561</v>
      </c>
      <c r="X2258" s="7" t="n">
        <v>480</v>
      </c>
      <c r="Y2258" s="8" t="n">
        <v>-3307</v>
      </c>
      <c r="Z2258" s="8" t="n">
        <v>-10098</v>
      </c>
      <c r="AA2258" s="9" t="n">
        <v>507</v>
      </c>
      <c r="AB2258" s="10" t="n">
        <v>-2156</v>
      </c>
      <c r="AC2258" s="10" t="n">
        <v>-4707</v>
      </c>
      <c r="AD2258" s="7" t="n">
        <v>259</v>
      </c>
      <c r="AE2258" s="8" t="n">
        <v>-2167</v>
      </c>
      <c r="AF2258" s="8" t="n">
        <v>-12307</v>
      </c>
      <c r="AG2258" s="9" t="n">
        <v>9</v>
      </c>
      <c r="AH2258" s="10" t="n">
        <v>-2454</v>
      </c>
      <c r="AI2258" s="10" t="n">
        <v>-3861</v>
      </c>
      <c r="AJ2258" s="11" t="n">
        <v>320</v>
      </c>
      <c r="AK2258" s="12" t="n">
        <v>-3008</v>
      </c>
      <c r="AL2258" s="12" t="n">
        <v>-3022</v>
      </c>
      <c r="AM2258" s="13" t="n">
        <v>3455.6</v>
      </c>
      <c r="AN2258" s="13" t="n">
        <v>-33.3</v>
      </c>
      <c r="AO2258" s="13" t="n">
        <v>-22.6</v>
      </c>
      <c r="AP2258" s="13" t="n">
        <v>9</v>
      </c>
    </row>
    <row r="2259">
      <c r="A2259" s="5" t="inlineStr">
        <is>
          <t>고바이오랩</t>
        </is>
      </c>
      <c r="B2259" s="6" t="inlineStr">
        <is>
          <t>348150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14910</v>
      </c>
      <c r="J2259" s="10" t="n">
        <v>-2297</v>
      </c>
      <c r="K2259" s="10" t="n">
        <v>-2312</v>
      </c>
      <c r="L2259" s="7" t="n">
        <v>18911</v>
      </c>
      <c r="M2259" s="8" t="n">
        <v>-1658</v>
      </c>
      <c r="N2259" s="8" t="n">
        <v>20</v>
      </c>
      <c r="O2259" s="9" t="n">
        <v>16913</v>
      </c>
      <c r="P2259" s="10" t="n">
        <v>-1299</v>
      </c>
      <c r="Q2259" s="10" t="n">
        <v>-1175</v>
      </c>
      <c r="R2259" s="7" t="n">
        <v>17625</v>
      </c>
      <c r="S2259" s="8" t="n">
        <v>-1651</v>
      </c>
      <c r="T2259" s="8" t="n">
        <v>-1150</v>
      </c>
      <c r="U2259" s="9" t="n">
        <v>17298</v>
      </c>
      <c r="V2259" s="10" t="n">
        <v>-3466</v>
      </c>
      <c r="W2259" s="10" t="n">
        <v>-3057</v>
      </c>
      <c r="X2259" s="7" t="n">
        <v>17613</v>
      </c>
      <c r="Y2259" s="8" t="n">
        <v>-2803</v>
      </c>
      <c r="Z2259" s="8" t="n">
        <v>-3198</v>
      </c>
      <c r="AA2259" s="9" t="n">
        <v>19261</v>
      </c>
      <c r="AB2259" s="10" t="n">
        <v>-423</v>
      </c>
      <c r="AC2259" s="10" t="n">
        <v>856</v>
      </c>
      <c r="AD2259" s="7" t="n">
        <v>15120</v>
      </c>
      <c r="AE2259" s="8" t="n">
        <v>-2959</v>
      </c>
      <c r="AF2259" s="8" t="n">
        <v>-1573</v>
      </c>
      <c r="AG2259" s="9" t="n">
        <v>19218</v>
      </c>
      <c r="AH2259" s="10" t="n">
        <v>-2670</v>
      </c>
      <c r="AI2259" s="10" t="n">
        <v>-195</v>
      </c>
      <c r="AJ2259" s="11" t="n">
        <v>21810</v>
      </c>
      <c r="AK2259" s="12" t="n">
        <v>-2014</v>
      </c>
      <c r="AL2259" s="12" t="n">
        <v>-3874</v>
      </c>
      <c r="AM2259" s="13" t="n">
        <v>13.5</v>
      </c>
      <c r="AN2259" s="13" t="n">
        <v>23.8</v>
      </c>
      <c r="AO2259" s="13" t="n">
        <v>24.6</v>
      </c>
      <c r="AP2259" s="13" t="n">
        <v>28.1</v>
      </c>
    </row>
    <row r="2260">
      <c r="A2260" s="5" t="inlineStr">
        <is>
          <t>넥스틴</t>
        </is>
      </c>
      <c r="B2260" s="6" t="inlineStr">
        <is>
          <t>348210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34187</v>
      </c>
      <c r="J2260" s="10" t="n">
        <v>18924</v>
      </c>
      <c r="K2260" s="10" t="n">
        <v>14708</v>
      </c>
      <c r="L2260" s="7" t="n">
        <v>14749</v>
      </c>
      <c r="M2260" s="8" t="n">
        <v>421</v>
      </c>
      <c r="N2260" s="8" t="n">
        <v>953</v>
      </c>
      <c r="O2260" s="9" t="n">
        <v>34709</v>
      </c>
      <c r="P2260" s="10" t="n">
        <v>14386</v>
      </c>
      <c r="Q2260" s="10" t="n">
        <v>9126</v>
      </c>
      <c r="R2260" s="7" t="n">
        <v>30075</v>
      </c>
      <c r="S2260" s="8" t="n">
        <v>13244</v>
      </c>
      <c r="T2260" s="8" t="n">
        <v>13641</v>
      </c>
      <c r="U2260" s="9" t="n">
        <v>17084</v>
      </c>
      <c r="V2260" s="10" t="n">
        <v>3412</v>
      </c>
      <c r="W2260" s="10" t="n">
        <v>2873</v>
      </c>
      <c r="X2260" s="7" t="n">
        <v>23159</v>
      </c>
      <c r="Y2260" s="8" t="n">
        <v>2578</v>
      </c>
      <c r="Z2260" s="8" t="n">
        <v>-1019</v>
      </c>
      <c r="AA2260" s="9" t="n">
        <v>10740</v>
      </c>
      <c r="AB2260" s="10" t="n">
        <v>-3671</v>
      </c>
      <c r="AC2260" s="10" t="n">
        <v>-2372</v>
      </c>
      <c r="AD2260" s="7" t="n">
        <v>15931</v>
      </c>
      <c r="AE2260" s="8" t="n">
        <v>-3480</v>
      </c>
      <c r="AF2260" s="8" t="n">
        <v>-2128</v>
      </c>
      <c r="AG2260" s="9" t="n">
        <v>7929</v>
      </c>
      <c r="AH2260" s="10" t="n">
        <v>-5544</v>
      </c>
      <c r="AI2260" s="10" t="n">
        <v>-2477</v>
      </c>
      <c r="AJ2260" s="11" t="n">
        <v>20833</v>
      </c>
      <c r="AK2260" s="12" t="n">
        <v>-786</v>
      </c>
      <c r="AL2260" s="12" t="n">
        <v>1297</v>
      </c>
      <c r="AM2260" s="13" t="n">
        <v>162.7</v>
      </c>
      <c r="AN2260" s="13" t="n">
        <v>-10</v>
      </c>
      <c r="AO2260" s="13" t="n">
        <v>85.8</v>
      </c>
      <c r="AP2260" s="13" t="n">
        <v>-130.5</v>
      </c>
    </row>
    <row r="2261">
      <c r="A2261" s="5" t="inlineStr">
        <is>
          <t>뉴로메카</t>
        </is>
      </c>
      <c r="B2261" s="6" t="inlineStr">
        <is>
          <t>348340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3639</v>
      </c>
      <c r="J2261" s="10" t="n">
        <v>-5273</v>
      </c>
      <c r="K2261" s="10" t="n">
        <v>-5720</v>
      </c>
      <c r="L2261" s="7" t="n">
        <v>7344</v>
      </c>
      <c r="M2261" s="8" t="n">
        <v>-4299</v>
      </c>
      <c r="N2261" s="8" t="n">
        <v>-228</v>
      </c>
      <c r="O2261" s="9" t="n">
        <v>6232</v>
      </c>
      <c r="P2261" s="10" t="n">
        <v>-5677</v>
      </c>
      <c r="Q2261" s="10" t="n">
        <v>-6785</v>
      </c>
      <c r="R2261" s="7" t="n">
        <v>8054</v>
      </c>
      <c r="S2261" s="8" t="n">
        <v>-3766</v>
      </c>
      <c r="T2261" s="8" t="n">
        <v>-4022</v>
      </c>
      <c r="U2261" s="9" t="n">
        <v>3172</v>
      </c>
      <c r="V2261" s="10" t="n">
        <v>-4017</v>
      </c>
      <c r="W2261" s="10" t="n">
        <v>-7313</v>
      </c>
      <c r="X2261" s="7" t="n">
        <v>3440</v>
      </c>
      <c r="Y2261" s="8" t="n">
        <v>-4164</v>
      </c>
      <c r="Z2261" s="8" t="n">
        <v>-4624</v>
      </c>
      <c r="AA2261" s="9" t="n">
        <v>4474</v>
      </c>
      <c r="AB2261" s="10" t="n">
        <v>-3152</v>
      </c>
      <c r="AC2261" s="10" t="n">
        <v>-4293</v>
      </c>
      <c r="AD2261" s="7" t="n">
        <v>7868</v>
      </c>
      <c r="AE2261" s="8" t="n">
        <v>-3524</v>
      </c>
      <c r="AF2261" s="8" t="n">
        <v>-5761</v>
      </c>
      <c r="AG2261" s="9" t="n">
        <v>2992</v>
      </c>
      <c r="AH2261" s="10" t="n">
        <v>-4314</v>
      </c>
      <c r="AI2261" s="10" t="n">
        <v>-25690</v>
      </c>
      <c r="AJ2261" s="11" t="n">
        <v>2822</v>
      </c>
      <c r="AK2261" s="12" t="n">
        <v>-5267</v>
      </c>
      <c r="AL2261" s="12" t="n">
        <v>-4579</v>
      </c>
      <c r="AM2261" s="13" t="n">
        <v>-5.7</v>
      </c>
      <c r="AN2261" s="13" t="n">
        <v>-18</v>
      </c>
      <c r="AO2261" s="13" t="n">
        <v>-22.1</v>
      </c>
      <c r="AP2261" s="13" t="n">
        <v>-26.5</v>
      </c>
    </row>
    <row r="2262">
      <c r="A2262" s="5" t="inlineStr">
        <is>
          <t>위드텍</t>
        </is>
      </c>
      <c r="B2262" s="6" t="inlineStr">
        <is>
          <t>348350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8552</v>
      </c>
      <c r="J2262" s="10" t="n">
        <v>664</v>
      </c>
      <c r="K2262" s="10" t="n">
        <v>2376</v>
      </c>
      <c r="L2262" s="7" t="n">
        <v>7960</v>
      </c>
      <c r="M2262" s="8" t="n">
        <v>-848</v>
      </c>
      <c r="N2262" s="8" t="n">
        <v>1432</v>
      </c>
      <c r="O2262" s="9" t="n">
        <v>10759</v>
      </c>
      <c r="P2262" s="10" t="n">
        <v>178</v>
      </c>
      <c r="Q2262" s="10" t="n">
        <v>-860</v>
      </c>
      <c r="R2262" s="7" t="n">
        <v>16345</v>
      </c>
      <c r="S2262" s="8" t="n">
        <v>972</v>
      </c>
      <c r="T2262" s="8" t="n">
        <v>4120</v>
      </c>
      <c r="U2262" s="9" t="n">
        <v>8508</v>
      </c>
      <c r="V2262" s="10" t="n">
        <v>-726</v>
      </c>
      <c r="W2262" s="10" t="n">
        <v>-1248</v>
      </c>
      <c r="X2262" s="7" t="n">
        <v>10712</v>
      </c>
      <c r="Y2262" s="8" t="n">
        <v>136</v>
      </c>
      <c r="Z2262" s="8" t="n">
        <v>-853</v>
      </c>
      <c r="AA2262" s="9" t="n">
        <v>15793</v>
      </c>
      <c r="AB2262" s="10" t="n">
        <v>1990</v>
      </c>
      <c r="AC2262" s="10" t="n">
        <v>3760</v>
      </c>
      <c r="AD2262" s="7" t="n">
        <v>22794</v>
      </c>
      <c r="AE2262" s="8" t="n">
        <v>3729</v>
      </c>
      <c r="AF2262" s="8" t="n">
        <v>4786</v>
      </c>
      <c r="AG2262" s="9" t="n">
        <v>7292</v>
      </c>
      <c r="AH2262" s="10" t="n">
        <v>-1909</v>
      </c>
      <c r="AI2262" s="10" t="n">
        <v>2311</v>
      </c>
      <c r="AJ2262" s="11" t="n">
        <v>18302</v>
      </c>
      <c r="AK2262" s="12" t="n">
        <v>2648</v>
      </c>
      <c r="AL2262" s="12" t="n">
        <v>3383</v>
      </c>
      <c r="AM2262" s="13" t="n">
        <v>151</v>
      </c>
      <c r="AN2262" s="13" t="n">
        <v>70.90000000000001</v>
      </c>
      <c r="AO2262" s="13" t="n">
        <v>238.7</v>
      </c>
      <c r="AP2262" s="13" t="n">
        <v>1847.1</v>
      </c>
    </row>
    <row r="2263">
      <c r="A2263" s="5" t="inlineStr">
        <is>
          <t>엔켐</t>
        </is>
      </c>
      <c r="B2263" s="6" t="inlineStr">
        <is>
          <t>348370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78131</v>
      </c>
      <c r="J2263" s="10" t="n">
        <v>-11813</v>
      </c>
      <c r="K2263" s="10" t="n">
        <v>-298613</v>
      </c>
      <c r="L2263" s="7" t="n">
        <v>108329</v>
      </c>
      <c r="M2263" s="8" t="n">
        <v>594</v>
      </c>
      <c r="N2263" s="8" t="n">
        <v>-12114</v>
      </c>
      <c r="O2263" s="9" t="n">
        <v>101419</v>
      </c>
      <c r="P2263" s="10" t="n">
        <v>-5366</v>
      </c>
      <c r="Q2263" s="10" t="n">
        <v>-55317</v>
      </c>
      <c r="R2263" s="7" t="n">
        <v>77830</v>
      </c>
      <c r="S2263" s="8" t="n">
        <v>-33818</v>
      </c>
      <c r="T2263" s="8" t="n">
        <v>-192250</v>
      </c>
      <c r="U2263" s="9" t="n">
        <v>68224</v>
      </c>
      <c r="V2263" s="10" t="n">
        <v>-19162</v>
      </c>
      <c r="W2263" s="10" t="n">
        <v>57569</v>
      </c>
      <c r="X2263" s="7" t="n">
        <v>64073</v>
      </c>
      <c r="Y2263" s="8" t="n">
        <v>-2733</v>
      </c>
      <c r="Z2263" s="8" t="n">
        <v>-20630</v>
      </c>
      <c r="AA2263" s="9" t="n">
        <v>90252</v>
      </c>
      <c r="AB2263" s="10" t="n">
        <v>-27216</v>
      </c>
      <c r="AC2263" s="10" t="n">
        <v>-36520</v>
      </c>
      <c r="AD2263" s="7" t="n">
        <v>90245</v>
      </c>
      <c r="AE2263" s="8" t="n">
        <v>-29276</v>
      </c>
      <c r="AF2263" s="8" t="n">
        <v>-70986</v>
      </c>
      <c r="AG2263" s="9" t="n">
        <v>84112</v>
      </c>
      <c r="AH2263" s="10" t="n">
        <v>-24213</v>
      </c>
      <c r="AI2263" s="10" t="n">
        <v>-11429</v>
      </c>
      <c r="AJ2263" s="11" t="n">
        <v>102321</v>
      </c>
      <c r="AK2263" s="12" t="n">
        <v>-11568</v>
      </c>
      <c r="AL2263" s="12" t="n">
        <v>-27758</v>
      </c>
      <c r="AM2263" s="13" t="n">
        <v>21.6</v>
      </c>
      <c r="AN2263" s="13" t="n">
        <v>59.7</v>
      </c>
      <c r="AO2263" s="13" t="n">
        <v>52.2</v>
      </c>
      <c r="AP2263" s="13" t="n">
        <v>-323.3</v>
      </c>
    </row>
    <row r="2264">
      <c r="A2264" s="5" t="inlineStr">
        <is>
          <t>제이알글로벌리츠</t>
        </is>
      </c>
      <c r="B2264" s="6" t="inlineStr">
        <is>
          <t>348950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n">
        <v>30914</v>
      </c>
      <c r="M2264" s="8" t="n">
        <v>14192</v>
      </c>
      <c r="N2264" s="8" t="n">
        <v>9281</v>
      </c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40585</v>
      </c>
      <c r="Y2264" s="8" t="n">
        <v>31231</v>
      </c>
      <c r="Z2264" s="8" t="n">
        <v>11826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42705</v>
      </c>
      <c r="AK2264" s="12" t="n">
        <v>34414</v>
      </c>
      <c r="AL2264" s="12" t="n">
        <v>12342</v>
      </c>
      <c r="AM2264" s="13" t="inlineStr"/>
      <c r="AN2264" s="13" t="n">
        <v>5.2</v>
      </c>
      <c r="AO2264" s="13" t="inlineStr"/>
      <c r="AP2264" s="13" t="n">
        <v>10.2</v>
      </c>
    </row>
    <row r="2265">
      <c r="A2265" s="5" t="inlineStr">
        <is>
          <t>이지스레지던스리츠</t>
        </is>
      </c>
      <c r="B2265" s="6" t="inlineStr">
        <is>
          <t>350520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inlineStr"/>
      <c r="M2265" s="8" t="inlineStr"/>
      <c r="N2265" s="8" t="inlineStr"/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8697</v>
      </c>
      <c r="Y2265" s="8" t="n">
        <v>7756</v>
      </c>
      <c r="Z2265" s="8" t="n">
        <v>6555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4380</v>
      </c>
      <c r="AK2265" s="12" t="n">
        <v>4102</v>
      </c>
      <c r="AL2265" s="12" t="n">
        <v>2976</v>
      </c>
      <c r="AM2265" s="13" t="inlineStr"/>
      <c r="AN2265" s="13" t="n">
        <v>-49.6</v>
      </c>
      <c r="AO2265" s="13" t="inlineStr"/>
      <c r="AP2265" s="13" t="n">
        <v>-47.1</v>
      </c>
    </row>
    <row r="2266">
      <c r="A2266" s="5" t="inlineStr">
        <is>
          <t>넥사다이내믹스</t>
        </is>
      </c>
      <c r="B2266" s="6" t="inlineStr">
        <is>
          <t>351320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2898</v>
      </c>
      <c r="J2266" s="10" t="n">
        <v>-1953</v>
      </c>
      <c r="K2266" s="10" t="n">
        <v>-1869</v>
      </c>
      <c r="L2266" s="7" t="n">
        <v>3087</v>
      </c>
      <c r="M2266" s="8" t="n">
        <v>-2073</v>
      </c>
      <c r="N2266" s="8" t="n">
        <v>-1918</v>
      </c>
      <c r="O2266" s="9" t="n">
        <v>622</v>
      </c>
      <c r="P2266" s="10" t="n">
        <v>-1695</v>
      </c>
      <c r="Q2266" s="10" t="n">
        <v>-2202</v>
      </c>
      <c r="R2266" s="7" t="n">
        <v>1961</v>
      </c>
      <c r="S2266" s="8" t="n">
        <v>-2681</v>
      </c>
      <c r="T2266" s="8" t="n">
        <v>-3366</v>
      </c>
      <c r="U2266" s="9" t="n">
        <v>9084</v>
      </c>
      <c r="V2266" s="10" t="n">
        <v>-1881</v>
      </c>
      <c r="W2266" s="10" t="n">
        <v>-2991</v>
      </c>
      <c r="X2266" s="7" t="n">
        <v>978</v>
      </c>
      <c r="Y2266" s="8" t="n">
        <v>-2907</v>
      </c>
      <c r="Z2266" s="8" t="n">
        <v>-3484</v>
      </c>
      <c r="AA2266" s="9" t="n">
        <v>1196</v>
      </c>
      <c r="AB2266" s="10" t="n">
        <v>-2813</v>
      </c>
      <c r="AC2266" s="10" t="n">
        <v>-3489</v>
      </c>
      <c r="AD2266" s="7" t="n">
        <v>1755</v>
      </c>
      <c r="AE2266" s="8" t="n">
        <v>-1863</v>
      </c>
      <c r="AF2266" s="8" t="n">
        <v>-4273</v>
      </c>
      <c r="AG2266" s="9" t="n">
        <v>584</v>
      </c>
      <c r="AH2266" s="10" t="n">
        <v>-1762</v>
      </c>
      <c r="AI2266" s="10" t="n">
        <v>-2377</v>
      </c>
      <c r="AJ2266" s="11" t="n">
        <v>865</v>
      </c>
      <c r="AK2266" s="12" t="n">
        <v>-2611</v>
      </c>
      <c r="AL2266" s="12" t="n">
        <v>-3012</v>
      </c>
      <c r="AM2266" s="13" t="n">
        <v>48.1</v>
      </c>
      <c r="AN2266" s="13" t="n">
        <v>-11.6</v>
      </c>
      <c r="AO2266" s="13" t="n">
        <v>-48.2</v>
      </c>
      <c r="AP2266" s="13" t="n">
        <v>10.2</v>
      </c>
    </row>
    <row r="2267">
      <c r="A2267" s="5" t="inlineStr">
        <is>
          <t>이삭엔지니어링</t>
        </is>
      </c>
      <c r="B2267" s="6" t="inlineStr">
        <is>
          <t>351330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13403</v>
      </c>
      <c r="J2267" s="10" t="n">
        <v>-1046</v>
      </c>
      <c r="K2267" s="10" t="n">
        <v>-1026</v>
      </c>
      <c r="L2267" s="7" t="n">
        <v>11902</v>
      </c>
      <c r="M2267" s="8" t="n">
        <v>-1424</v>
      </c>
      <c r="N2267" s="8" t="n">
        <v>-1389</v>
      </c>
      <c r="O2267" s="9" t="n">
        <v>18779</v>
      </c>
      <c r="P2267" s="10" t="n">
        <v>-884</v>
      </c>
      <c r="Q2267" s="10" t="n">
        <v>-362</v>
      </c>
      <c r="R2267" s="7" t="n">
        <v>24366</v>
      </c>
      <c r="S2267" s="8" t="n">
        <v>-1190</v>
      </c>
      <c r="T2267" s="8" t="n">
        <v>-4244</v>
      </c>
      <c r="U2267" s="9" t="n">
        <v>15472</v>
      </c>
      <c r="V2267" s="10" t="n">
        <v>-2328</v>
      </c>
      <c r="W2267" s="10" t="n">
        <v>-3225</v>
      </c>
      <c r="X2267" s="7" t="n">
        <v>19021</v>
      </c>
      <c r="Y2267" s="8" t="n">
        <v>-1549</v>
      </c>
      <c r="Z2267" s="8" t="n">
        <v>-2461</v>
      </c>
      <c r="AA2267" s="9" t="n">
        <v>20234</v>
      </c>
      <c r="AB2267" s="10" t="n">
        <v>271</v>
      </c>
      <c r="AC2267" s="10" t="n">
        <v>-179</v>
      </c>
      <c r="AD2267" s="7" t="n">
        <v>24259</v>
      </c>
      <c r="AE2267" s="8" t="n">
        <v>-3576</v>
      </c>
      <c r="AF2267" s="8" t="n">
        <v>-3043</v>
      </c>
      <c r="AG2267" s="9" t="n">
        <v>14095</v>
      </c>
      <c r="AH2267" s="10" t="n">
        <v>-2522</v>
      </c>
      <c r="AI2267" s="10" t="n">
        <v>-3035</v>
      </c>
      <c r="AJ2267" s="11" t="n">
        <v>18448</v>
      </c>
      <c r="AK2267" s="12" t="n">
        <v>-1471</v>
      </c>
      <c r="AL2267" s="12" t="n">
        <v>-3085</v>
      </c>
      <c r="AM2267" s="13" t="n">
        <v>30.9</v>
      </c>
      <c r="AN2267" s="13" t="n">
        <v>-3</v>
      </c>
      <c r="AO2267" s="13" t="n">
        <v>41.7</v>
      </c>
      <c r="AP2267" s="13" t="n">
        <v>5</v>
      </c>
    </row>
    <row r="2268">
      <c r="A2268" s="5" t="inlineStr">
        <is>
          <t>차이커뮤니케이션</t>
        </is>
      </c>
      <c r="B2268" s="6" t="inlineStr">
        <is>
          <t>351870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inlineStr"/>
      <c r="J2268" s="10" t="inlineStr"/>
      <c r="K2268" s="10" t="inlineStr"/>
      <c r="L2268" s="7" t="inlineStr"/>
      <c r="M2268" s="8" t="inlineStr"/>
      <c r="N2268" s="8" t="inlineStr"/>
      <c r="O2268" s="9" t="n">
        <v>16330</v>
      </c>
      <c r="P2268" s="10" t="n">
        <v>1458</v>
      </c>
      <c r="Q2268" s="10" t="n">
        <v>-1416</v>
      </c>
      <c r="R2268" s="7" t="inlineStr"/>
      <c r="S2268" s="8" t="inlineStr"/>
      <c r="T2268" s="8" t="inlineStr"/>
      <c r="U2268" s="9" t="n">
        <v>11229</v>
      </c>
      <c r="V2268" s="10" t="n">
        <v>472</v>
      </c>
      <c r="W2268" s="10" t="n">
        <v>130</v>
      </c>
      <c r="X2268" s="7" t="n">
        <v>11456</v>
      </c>
      <c r="Y2268" s="8" t="n">
        <v>323</v>
      </c>
      <c r="Z2268" s="8" t="n">
        <v>-10</v>
      </c>
      <c r="AA2268" s="9" t="n">
        <v>20392</v>
      </c>
      <c r="AB2268" s="10" t="n">
        <v>1153</v>
      </c>
      <c r="AC2268" s="10" t="n">
        <v>617</v>
      </c>
      <c r="AD2268" s="7" t="n">
        <v>23398</v>
      </c>
      <c r="AE2268" s="8" t="n">
        <v>2487</v>
      </c>
      <c r="AF2268" s="8" t="n">
        <v>1784</v>
      </c>
      <c r="AG2268" s="9" t="n">
        <v>19199</v>
      </c>
      <c r="AH2268" s="10" t="n">
        <v>-896</v>
      </c>
      <c r="AI2268" s="10" t="n">
        <v>-801</v>
      </c>
      <c r="AJ2268" s="11" t="n">
        <v>26417</v>
      </c>
      <c r="AK2268" s="12" t="n">
        <v>2779</v>
      </c>
      <c r="AL2268" s="12" t="n">
        <v>-596</v>
      </c>
      <c r="AM2268" s="13" t="n">
        <v>37.6</v>
      </c>
      <c r="AN2268" s="13" t="n">
        <v>130.6</v>
      </c>
      <c r="AO2268" s="13" t="n">
        <v>410.2</v>
      </c>
      <c r="AP2268" s="13" t="n">
        <v>760.4</v>
      </c>
    </row>
    <row r="2269">
      <c r="A2269" s="5" t="inlineStr">
        <is>
          <t>스톰테크</t>
        </is>
      </c>
      <c r="B2269" s="6" t="inlineStr">
        <is>
          <t>352090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13669</v>
      </c>
      <c r="J2269" s="10" t="n">
        <v>2505</v>
      </c>
      <c r="K2269" s="10" t="n">
        <v>2524</v>
      </c>
      <c r="L2269" s="7" t="n">
        <v>16866</v>
      </c>
      <c r="M2269" s="8" t="n">
        <v>4334</v>
      </c>
      <c r="N2269" s="8" t="n">
        <v>3923</v>
      </c>
      <c r="O2269" s="9" t="n">
        <v>17420</v>
      </c>
      <c r="P2269" s="10" t="n">
        <v>3631</v>
      </c>
      <c r="Q2269" s="10" t="n">
        <v>4337</v>
      </c>
      <c r="R2269" s="7" t="n">
        <v>18960</v>
      </c>
      <c r="S2269" s="8" t="n">
        <v>1954</v>
      </c>
      <c r="T2269" s="8" t="n">
        <v>3570</v>
      </c>
      <c r="U2269" s="9" t="n">
        <v>15007</v>
      </c>
      <c r="V2269" s="10" t="n">
        <v>1784</v>
      </c>
      <c r="W2269" s="10" t="n">
        <v>1729</v>
      </c>
      <c r="X2269" s="7" t="n">
        <v>20242</v>
      </c>
      <c r="Y2269" s="8" t="n">
        <v>4160</v>
      </c>
      <c r="Z2269" s="8" t="n">
        <v>3201</v>
      </c>
      <c r="AA2269" s="9" t="n">
        <v>18986</v>
      </c>
      <c r="AB2269" s="10" t="n">
        <v>3800</v>
      </c>
      <c r="AC2269" s="10" t="n">
        <v>2923</v>
      </c>
      <c r="AD2269" s="7" t="n">
        <v>15444</v>
      </c>
      <c r="AE2269" s="8" t="n">
        <v>2195</v>
      </c>
      <c r="AF2269" s="8" t="n">
        <v>2355</v>
      </c>
      <c r="AG2269" s="9" t="n">
        <v>16300</v>
      </c>
      <c r="AH2269" s="10" t="n">
        <v>2282</v>
      </c>
      <c r="AI2269" s="10" t="n">
        <v>1959</v>
      </c>
      <c r="AJ2269" s="11" t="n">
        <v>20769</v>
      </c>
      <c r="AK2269" s="12" t="n">
        <v>4587</v>
      </c>
      <c r="AL2269" s="12" t="n">
        <v>3728</v>
      </c>
      <c r="AM2269" s="13" t="n">
        <v>27.4</v>
      </c>
      <c r="AN2269" s="13" t="n">
        <v>2.6</v>
      </c>
      <c r="AO2269" s="13" t="n">
        <v>101</v>
      </c>
      <c r="AP2269" s="13" t="n">
        <v>10.3</v>
      </c>
    </row>
    <row r="2270">
      <c r="A2270" s="5" t="inlineStr">
        <is>
          <t>씨앤씨인터내셔널</t>
        </is>
      </c>
      <c r="B2270" s="6" t="inlineStr">
        <is>
          <t>352480</t>
        </is>
      </c>
      <c r="C2270" s="6" t="inlineStr">
        <is>
          <t>연결</t>
        </is>
      </c>
      <c r="D2270" s="6" t="inlineStr">
        <is>
          <t>2026Q2</t>
        </is>
      </c>
      <c r="E2270" s="6" t="inlineStr">
        <is>
          <t>2023Q4</t>
        </is>
      </c>
      <c r="F2270" s="14" t="n">
        <v>63149</v>
      </c>
      <c r="G2270" s="15" t="n">
        <v>9061</v>
      </c>
      <c r="H2270" s="15" t="n">
        <v>9099</v>
      </c>
      <c r="I2270" s="9" t="n">
        <v>72150</v>
      </c>
      <c r="J2270" s="10" t="n">
        <v>9959</v>
      </c>
      <c r="K2270" s="10" t="n">
        <v>11332</v>
      </c>
      <c r="L2270" s="7" t="n">
        <v>80338</v>
      </c>
      <c r="M2270" s="8" t="n">
        <v>11823</v>
      </c>
      <c r="N2270" s="8" t="n">
        <v>17784</v>
      </c>
      <c r="O2270" s="9" t="n">
        <v>74123</v>
      </c>
      <c r="P2270" s="10" t="n">
        <v>7155</v>
      </c>
      <c r="Q2270" s="10" t="n">
        <v>171</v>
      </c>
      <c r="R2270" s="7" t="n">
        <v>56273</v>
      </c>
      <c r="S2270" s="8" t="n">
        <v>26</v>
      </c>
      <c r="T2270" s="8" t="n">
        <v>3157</v>
      </c>
      <c r="U2270" s="9" t="n">
        <v>65982</v>
      </c>
      <c r="V2270" s="10" t="n">
        <v>5555</v>
      </c>
      <c r="W2270" s="10" t="n">
        <v>4060</v>
      </c>
      <c r="X2270" s="7" t="n">
        <v>73897</v>
      </c>
      <c r="Y2270" s="8" t="n">
        <v>8681</v>
      </c>
      <c r="Z2270" s="8" t="n">
        <v>1215</v>
      </c>
      <c r="AA2270" s="9" t="n">
        <v>75361</v>
      </c>
      <c r="AB2270" s="10" t="n">
        <v>6898</v>
      </c>
      <c r="AC2270" s="10" t="n">
        <v>7462</v>
      </c>
      <c r="AD2270" s="7" t="n">
        <v>73238</v>
      </c>
      <c r="AE2270" s="8" t="n">
        <v>1037</v>
      </c>
      <c r="AF2270" s="8" t="n">
        <v>1550</v>
      </c>
      <c r="AG2270" s="9" t="n">
        <v>70837</v>
      </c>
      <c r="AH2270" s="10" t="n">
        <v>2967</v>
      </c>
      <c r="AI2270" s="10" t="n">
        <v>5083</v>
      </c>
      <c r="AJ2270" s="11" t="n">
        <v>73321</v>
      </c>
      <c r="AK2270" s="12" t="n">
        <v>1601</v>
      </c>
      <c r="AL2270" s="12" t="n">
        <v>-6233</v>
      </c>
      <c r="AM2270" s="13" t="n">
        <v>3.5</v>
      </c>
      <c r="AN2270" s="13" t="n">
        <v>-0.8</v>
      </c>
      <c r="AO2270" s="13" t="n">
        <v>-46</v>
      </c>
      <c r="AP2270" s="13" t="n">
        <v>-81.59999999999999</v>
      </c>
    </row>
    <row r="2271">
      <c r="A2271" s="5" t="inlineStr">
        <is>
          <t>씨앤투스</t>
        </is>
      </c>
      <c r="B2271" s="6" t="inlineStr">
        <is>
          <t>352700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20308</v>
      </c>
      <c r="J2271" s="10" t="n">
        <v>1472</v>
      </c>
      <c r="K2271" s="10" t="n">
        <v>2200</v>
      </c>
      <c r="L2271" s="7" t="n">
        <v>17602</v>
      </c>
      <c r="M2271" s="8" t="n">
        <v>54</v>
      </c>
      <c r="N2271" s="8" t="n">
        <v>-381</v>
      </c>
      <c r="O2271" s="9" t="n">
        <v>16978</v>
      </c>
      <c r="P2271" s="10" t="n">
        <v>250</v>
      </c>
      <c r="Q2271" s="10" t="n">
        <v>560</v>
      </c>
      <c r="R2271" s="7" t="n">
        <v>18099</v>
      </c>
      <c r="S2271" s="8" t="n">
        <v>-374</v>
      </c>
      <c r="T2271" s="8" t="n">
        <v>-419</v>
      </c>
      <c r="U2271" s="9" t="n">
        <v>19416</v>
      </c>
      <c r="V2271" s="10" t="n">
        <v>320</v>
      </c>
      <c r="W2271" s="10" t="n">
        <v>1375</v>
      </c>
      <c r="X2271" s="7" t="n">
        <v>17365</v>
      </c>
      <c r="Y2271" s="8" t="n">
        <v>65</v>
      </c>
      <c r="Z2271" s="8" t="n">
        <v>2102</v>
      </c>
      <c r="AA2271" s="9" t="n">
        <v>13194</v>
      </c>
      <c r="AB2271" s="10" t="n">
        <v>-1995</v>
      </c>
      <c r="AC2271" s="10" t="n">
        <v>-767</v>
      </c>
      <c r="AD2271" s="7" t="n">
        <v>17202</v>
      </c>
      <c r="AE2271" s="8" t="n">
        <v>-4141</v>
      </c>
      <c r="AF2271" s="8" t="n">
        <v>-10548</v>
      </c>
      <c r="AG2271" s="9" t="n">
        <v>15772</v>
      </c>
      <c r="AH2271" s="10" t="n">
        <v>-364</v>
      </c>
      <c r="AI2271" s="10" t="n">
        <v>1642</v>
      </c>
      <c r="AJ2271" s="11" t="n">
        <v>16337</v>
      </c>
      <c r="AK2271" s="12" t="n">
        <v>-1994</v>
      </c>
      <c r="AL2271" s="12" t="n">
        <v>-2417</v>
      </c>
      <c r="AM2271" s="13" t="n">
        <v>3.6</v>
      </c>
      <c r="AN2271" s="13" t="n">
        <v>-5.9</v>
      </c>
      <c r="AO2271" s="13" t="n">
        <v>-447.8</v>
      </c>
      <c r="AP2271" s="13" t="n">
        <v>-3167.7</v>
      </c>
    </row>
    <row r="2272">
      <c r="A2272" s="5" t="inlineStr">
        <is>
          <t>셀레스트라</t>
        </is>
      </c>
      <c r="B2272" s="6" t="inlineStr">
        <is>
          <t>352770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3072</v>
      </c>
      <c r="J2272" s="10" t="n">
        <v>-2257</v>
      </c>
      <c r="K2272" s="10" t="n">
        <v>-2271</v>
      </c>
      <c r="L2272" s="7" t="n">
        <v>1924</v>
      </c>
      <c r="M2272" s="8" t="n">
        <v>-4056</v>
      </c>
      <c r="N2272" s="8" t="n">
        <v>-5140</v>
      </c>
      <c r="O2272" s="9" t="n">
        <v>1160</v>
      </c>
      <c r="P2272" s="10" t="n">
        <v>-6397</v>
      </c>
      <c r="Q2272" s="10" t="n">
        <v>-6882</v>
      </c>
      <c r="R2272" s="7" t="n">
        <v>2346</v>
      </c>
      <c r="S2272" s="8" t="n">
        <v>-15999</v>
      </c>
      <c r="T2272" s="8" t="n">
        <v>-32762</v>
      </c>
      <c r="U2272" s="9" t="n">
        <v>566</v>
      </c>
      <c r="V2272" s="10" t="n">
        <v>-2883</v>
      </c>
      <c r="W2272" s="10" t="n">
        <v>-10133</v>
      </c>
      <c r="X2272" s="7" t="n">
        <v>1624</v>
      </c>
      <c r="Y2272" s="8" t="n">
        <v>-2837</v>
      </c>
      <c r="Z2272" s="8" t="n">
        <v>-521</v>
      </c>
      <c r="AA2272" s="9" t="n">
        <v>1073</v>
      </c>
      <c r="AB2272" s="10" t="n">
        <v>-1871</v>
      </c>
      <c r="AC2272" s="10" t="n">
        <v>-2490</v>
      </c>
      <c r="AD2272" s="7" t="n">
        <v>-1255</v>
      </c>
      <c r="AE2272" s="8" t="n">
        <v>-169</v>
      </c>
      <c r="AF2272" s="8" t="n">
        <v>1373</v>
      </c>
      <c r="AG2272" s="9" t="n">
        <v>24</v>
      </c>
      <c r="AH2272" s="10" t="n">
        <v>-254</v>
      </c>
      <c r="AI2272" s="10" t="n">
        <v>-89</v>
      </c>
      <c r="AJ2272" s="11" t="inlineStr"/>
      <c r="AK2272" s="12" t="n">
        <v>-447</v>
      </c>
      <c r="AL2272" s="12" t="n">
        <v>-444</v>
      </c>
      <c r="AM2272" s="13" t="inlineStr"/>
      <c r="AN2272" s="13" t="inlineStr"/>
      <c r="AO2272" s="13" t="n">
        <v>-76</v>
      </c>
      <c r="AP2272" s="13" t="n">
        <v>84.2</v>
      </c>
    </row>
    <row r="2273">
      <c r="A2273" s="5" t="inlineStr">
        <is>
          <t>하이브</t>
        </is>
      </c>
      <c r="B2273" s="6" t="inlineStr">
        <is>
          <t>352820</t>
        </is>
      </c>
      <c r="C2273" s="6" t="inlineStr">
        <is>
          <t>연결</t>
        </is>
      </c>
      <c r="D2273" s="6" t="inlineStr">
        <is>
          <t>2026Q2</t>
        </is>
      </c>
      <c r="E2273" s="6" t="inlineStr">
        <is>
          <t>2023Q4</t>
        </is>
      </c>
      <c r="F2273" s="14" t="n">
        <v>608600</v>
      </c>
      <c r="G2273" s="15" t="n">
        <v>89300</v>
      </c>
      <c r="H2273" s="15" t="n">
        <v>-53600</v>
      </c>
      <c r="I2273" s="9" t="n">
        <v>360918</v>
      </c>
      <c r="J2273" s="10" t="n">
        <v>14384</v>
      </c>
      <c r="K2273" s="10" t="n">
        <v>11098</v>
      </c>
      <c r="L2273" s="7" t="n">
        <v>640464</v>
      </c>
      <c r="M2273" s="8" t="n">
        <v>50905</v>
      </c>
      <c r="N2273" s="8" t="n">
        <v>10100</v>
      </c>
      <c r="O2273" s="9" t="n">
        <v>527847</v>
      </c>
      <c r="P2273" s="10" t="n">
        <v>54185</v>
      </c>
      <c r="Q2273" s="10" t="n">
        <v>1444</v>
      </c>
      <c r="R2273" s="7" t="n">
        <v>726420</v>
      </c>
      <c r="S2273" s="8" t="n">
        <v>64571</v>
      </c>
      <c r="T2273" s="8" t="n">
        <v>-26074</v>
      </c>
      <c r="U2273" s="9" t="n">
        <v>500613</v>
      </c>
      <c r="V2273" s="10" t="n">
        <v>21623</v>
      </c>
      <c r="W2273" s="10" t="n">
        <v>54390</v>
      </c>
      <c r="X2273" s="7" t="n">
        <v>705649</v>
      </c>
      <c r="Y2273" s="8" t="n">
        <v>65919</v>
      </c>
      <c r="Z2273" s="8" t="n">
        <v>15458</v>
      </c>
      <c r="AA2273" s="9" t="n">
        <v>727181</v>
      </c>
      <c r="AB2273" s="10" t="n">
        <v>-42198</v>
      </c>
      <c r="AC2273" s="10" t="n">
        <v>-52033</v>
      </c>
      <c r="AD2273" s="7" t="n">
        <v>716427</v>
      </c>
      <c r="AE2273" s="8" t="n">
        <v>3974</v>
      </c>
      <c r="AF2273" s="8" t="n">
        <v>-272200</v>
      </c>
      <c r="AG2273" s="9" t="n">
        <v>698348</v>
      </c>
      <c r="AH2273" s="10" t="n">
        <v>-196575</v>
      </c>
      <c r="AI2273" s="10" t="n">
        <v>-156670</v>
      </c>
      <c r="AJ2273" s="11" t="n">
        <v>1449998</v>
      </c>
      <c r="AK2273" s="12" t="n">
        <v>170925</v>
      </c>
      <c r="AL2273" s="12" t="n">
        <v>109765</v>
      </c>
      <c r="AM2273" s="13" t="n">
        <v>107.6</v>
      </c>
      <c r="AN2273" s="13" t="n">
        <v>105.5</v>
      </c>
      <c r="AO2273" s="13" t="n">
        <v>187</v>
      </c>
      <c r="AP2273" s="13" t="n">
        <v>159.3</v>
      </c>
    </row>
    <row r="2274">
      <c r="A2274" s="5" t="inlineStr">
        <is>
          <t>오비고</t>
        </is>
      </c>
      <c r="B2274" s="6" t="inlineStr">
        <is>
          <t>352910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3551</v>
      </c>
      <c r="J2274" s="10" t="n">
        <v>-633</v>
      </c>
      <c r="K2274" s="10" t="n">
        <v>-307</v>
      </c>
      <c r="L2274" s="7" t="n">
        <v>3519</v>
      </c>
      <c r="M2274" s="8" t="n">
        <v>-1317</v>
      </c>
      <c r="N2274" s="8" t="n">
        <v>-936</v>
      </c>
      <c r="O2274" s="9" t="n">
        <v>3355</v>
      </c>
      <c r="P2274" s="10" t="n">
        <v>-756</v>
      </c>
      <c r="Q2274" s="10" t="n">
        <v>-520</v>
      </c>
      <c r="R2274" s="7" t="n">
        <v>3996</v>
      </c>
      <c r="S2274" s="8" t="n">
        <v>12</v>
      </c>
      <c r="T2274" s="8" t="n">
        <v>97</v>
      </c>
      <c r="U2274" s="9" t="n">
        <v>3714</v>
      </c>
      <c r="V2274" s="10" t="n">
        <v>-336</v>
      </c>
      <c r="W2274" s="10" t="n">
        <v>-131</v>
      </c>
      <c r="X2274" s="7" t="n">
        <v>8240</v>
      </c>
      <c r="Y2274" s="8" t="n">
        <v>-1455</v>
      </c>
      <c r="Z2274" s="8" t="n">
        <v>-1363</v>
      </c>
      <c r="AA2274" s="9" t="n">
        <v>12955</v>
      </c>
      <c r="AB2274" s="10" t="n">
        <v>-643</v>
      </c>
      <c r="AC2274" s="10" t="n">
        <v>-524</v>
      </c>
      <c r="AD2274" s="7" t="n">
        <v>8626</v>
      </c>
      <c r="AE2274" s="8" t="n">
        <v>-1290</v>
      </c>
      <c r="AF2274" s="8" t="n">
        <v>-968</v>
      </c>
      <c r="AG2274" s="9" t="n">
        <v>10536</v>
      </c>
      <c r="AH2274" s="10" t="n">
        <v>-1481</v>
      </c>
      <c r="AI2274" s="10" t="n">
        <v>-1362</v>
      </c>
      <c r="AJ2274" s="11" t="n">
        <v>10995</v>
      </c>
      <c r="AK2274" s="12" t="n">
        <v>-1146</v>
      </c>
      <c r="AL2274" s="12" t="n">
        <v>242</v>
      </c>
      <c r="AM2274" s="13" t="n">
        <v>4.4</v>
      </c>
      <c r="AN2274" s="13" t="n">
        <v>33.4</v>
      </c>
      <c r="AO2274" s="13" t="n">
        <v>22.6</v>
      </c>
      <c r="AP2274" s="13" t="n">
        <v>21.2</v>
      </c>
    </row>
    <row r="2275">
      <c r="A2275" s="5" t="inlineStr">
        <is>
          <t>인바이오</t>
        </is>
      </c>
      <c r="B2275" s="6" t="inlineStr">
        <is>
          <t>352940</t>
        </is>
      </c>
      <c r="C2275" s="6" t="inlineStr">
        <is>
          <t>별도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15611</v>
      </c>
      <c r="J2275" s="10" t="n">
        <v>3346</v>
      </c>
      <c r="K2275" s="10" t="n">
        <v>2729</v>
      </c>
      <c r="L2275" s="7" t="n">
        <v>8837</v>
      </c>
      <c r="M2275" s="8" t="n">
        <v>776</v>
      </c>
      <c r="N2275" s="8" t="n">
        <v>372</v>
      </c>
      <c r="O2275" s="9" t="n">
        <v>6041</v>
      </c>
      <c r="P2275" s="10" t="n">
        <v>-538</v>
      </c>
      <c r="Q2275" s="10" t="n">
        <v>-615</v>
      </c>
      <c r="R2275" s="7" t="n">
        <v>5165</v>
      </c>
      <c r="S2275" s="8" t="n">
        <v>-2179</v>
      </c>
      <c r="T2275" s="8" t="n">
        <v>-1840</v>
      </c>
      <c r="U2275" s="9" t="n">
        <v>13830</v>
      </c>
      <c r="V2275" s="10" t="n">
        <v>3155</v>
      </c>
      <c r="W2275" s="10" t="n">
        <v>2416</v>
      </c>
      <c r="X2275" s="7" t="n">
        <v>8525</v>
      </c>
      <c r="Y2275" s="8" t="n">
        <v>-167</v>
      </c>
      <c r="Z2275" s="8" t="n">
        <v>182</v>
      </c>
      <c r="AA2275" s="9" t="n">
        <v>3936</v>
      </c>
      <c r="AB2275" s="10" t="n">
        <v>-1342</v>
      </c>
      <c r="AC2275" s="10" t="n">
        <v>-1108</v>
      </c>
      <c r="AD2275" s="7" t="n">
        <v>7662</v>
      </c>
      <c r="AE2275" s="8" t="n">
        <v>-729</v>
      </c>
      <c r="AF2275" s="8" t="n">
        <v>-483</v>
      </c>
      <c r="AG2275" s="9" t="n">
        <v>14141</v>
      </c>
      <c r="AH2275" s="10" t="n">
        <v>3130</v>
      </c>
      <c r="AI2275" s="10" t="n">
        <v>2206</v>
      </c>
      <c r="AJ2275" s="11" t="n">
        <v>10445</v>
      </c>
      <c r="AK2275" s="12" t="n">
        <v>172</v>
      </c>
      <c r="AL2275" s="12" t="n">
        <v>-41</v>
      </c>
      <c r="AM2275" s="13" t="n">
        <v>-26.1</v>
      </c>
      <c r="AN2275" s="13" t="n">
        <v>22.5</v>
      </c>
      <c r="AO2275" s="13" t="n">
        <v>-94.5</v>
      </c>
      <c r="AP2275" s="13" t="n">
        <v>203</v>
      </c>
    </row>
    <row r="2276">
      <c r="A2276" s="5" t="inlineStr">
        <is>
          <t>휴럼</t>
        </is>
      </c>
      <c r="B2276" s="6" t="inlineStr">
        <is>
          <t>353190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26605</v>
      </c>
      <c r="J2276" s="10" t="n">
        <v>704</v>
      </c>
      <c r="K2276" s="10" t="n">
        <v>436</v>
      </c>
      <c r="L2276" s="7" t="n">
        <v>24195</v>
      </c>
      <c r="M2276" s="8" t="n">
        <v>171</v>
      </c>
      <c r="N2276" s="8" t="n">
        <v>372</v>
      </c>
      <c r="O2276" s="9" t="n">
        <v>27465</v>
      </c>
      <c r="P2276" s="10" t="n">
        <v>925</v>
      </c>
      <c r="Q2276" s="10" t="n">
        <v>494</v>
      </c>
      <c r="R2276" s="7" t="n">
        <v>19901</v>
      </c>
      <c r="S2276" s="8" t="n">
        <v>-750</v>
      </c>
      <c r="T2276" s="8" t="n">
        <v>371</v>
      </c>
      <c r="U2276" s="9" t="n">
        <v>25204</v>
      </c>
      <c r="V2276" s="10" t="n">
        <v>302</v>
      </c>
      <c r="W2276" s="10" t="n">
        <v>-4</v>
      </c>
      <c r="X2276" s="7" t="n">
        <v>23928</v>
      </c>
      <c r="Y2276" s="8" t="n">
        <v>527</v>
      </c>
      <c r="Z2276" s="8" t="n">
        <v>1412</v>
      </c>
      <c r="AA2276" s="9" t="n">
        <v>26340</v>
      </c>
      <c r="AB2276" s="10" t="n">
        <v>7</v>
      </c>
      <c r="AC2276" s="10" t="n">
        <v>-776</v>
      </c>
      <c r="AD2276" s="7" t="n">
        <v>23539</v>
      </c>
      <c r="AE2276" s="8" t="n">
        <v>1039</v>
      </c>
      <c r="AF2276" s="8" t="n">
        <v>326</v>
      </c>
      <c r="AG2276" s="9" t="n">
        <v>23046</v>
      </c>
      <c r="AH2276" s="10" t="n">
        <v>-219</v>
      </c>
      <c r="AI2276" s="10" t="n">
        <v>-382</v>
      </c>
      <c r="AJ2276" s="11" t="n">
        <v>21962</v>
      </c>
      <c r="AK2276" s="12" t="n">
        <v>-813</v>
      </c>
      <c r="AL2276" s="12" t="n">
        <v>-256</v>
      </c>
      <c r="AM2276" s="13" t="n">
        <v>-4.7</v>
      </c>
      <c r="AN2276" s="13" t="n">
        <v>-8.199999999999999</v>
      </c>
      <c r="AO2276" s="13" t="n">
        <v>-271.2</v>
      </c>
      <c r="AP2276" s="13" t="n">
        <v>-254.3</v>
      </c>
    </row>
    <row r="2277">
      <c r="A2277" s="5" t="inlineStr">
        <is>
          <t>대덕전자</t>
        </is>
      </c>
      <c r="B2277" s="6" t="inlineStr">
        <is>
          <t>353200</t>
        </is>
      </c>
      <c r="C2277" s="6" t="inlineStr">
        <is>
          <t>연결</t>
        </is>
      </c>
      <c r="D2277" s="6" t="inlineStr">
        <is>
          <t>2026Q2</t>
        </is>
      </c>
      <c r="E2277" s="6" t="inlineStr">
        <is>
          <t>2023Q4</t>
        </is>
      </c>
      <c r="F2277" s="14" t="n">
        <v>234352</v>
      </c>
      <c r="G2277" s="15" t="n">
        <v>6431</v>
      </c>
      <c r="H2277" s="15" t="n">
        <v>5030</v>
      </c>
      <c r="I2277" s="9" t="n">
        <v>214766</v>
      </c>
      <c r="J2277" s="10" t="n">
        <v>-2886</v>
      </c>
      <c r="K2277" s="10" t="n">
        <v>1971</v>
      </c>
      <c r="L2277" s="7" t="n">
        <v>238239</v>
      </c>
      <c r="M2277" s="8" t="n">
        <v>10904</v>
      </c>
      <c r="N2277" s="8" t="n">
        <v>12231</v>
      </c>
      <c r="O2277" s="9" t="n">
        <v>232654</v>
      </c>
      <c r="P2277" s="10" t="n">
        <v>9218</v>
      </c>
      <c r="Q2277" s="10" t="n">
        <v>5177</v>
      </c>
      <c r="R2277" s="7" t="n">
        <v>206477</v>
      </c>
      <c r="S2277" s="8" t="n">
        <v>-5977</v>
      </c>
      <c r="T2277" s="8" t="n">
        <v>4384</v>
      </c>
      <c r="U2277" s="9" t="n">
        <v>215376</v>
      </c>
      <c r="V2277" s="10" t="n">
        <v>-6202</v>
      </c>
      <c r="W2277" s="10" t="n">
        <v>-5701</v>
      </c>
      <c r="X2277" s="7" t="n">
        <v>245858</v>
      </c>
      <c r="Y2277" s="8" t="n">
        <v>1866</v>
      </c>
      <c r="Z2277" s="8" t="n">
        <v>4409</v>
      </c>
      <c r="AA2277" s="9" t="n">
        <v>286173</v>
      </c>
      <c r="AB2277" s="10" t="n">
        <v>24448</v>
      </c>
      <c r="AC2277" s="10" t="n">
        <v>23279</v>
      </c>
      <c r="AD2277" s="7" t="n">
        <v>317888</v>
      </c>
      <c r="AE2277" s="8" t="n">
        <v>28949</v>
      </c>
      <c r="AF2277" s="8" t="n">
        <v>25618</v>
      </c>
      <c r="AG2277" s="9" t="n">
        <v>346314</v>
      </c>
      <c r="AH2277" s="10" t="n">
        <v>51298</v>
      </c>
      <c r="AI2277" s="10" t="n">
        <v>45502</v>
      </c>
      <c r="AJ2277" s="11" t="n">
        <v>400975</v>
      </c>
      <c r="AK2277" s="12" t="n">
        <v>70276</v>
      </c>
      <c r="AL2277" s="12" t="n">
        <v>57675</v>
      </c>
      <c r="AM2277" s="13" t="n">
        <v>15.8</v>
      </c>
      <c r="AN2277" s="13" t="n">
        <v>63.1</v>
      </c>
      <c r="AO2277" s="13" t="n">
        <v>37</v>
      </c>
      <c r="AP2277" s="13" t="n">
        <v>3666.1</v>
      </c>
    </row>
    <row r="2278">
      <c r="A2278" s="5" t="inlineStr">
        <is>
          <t>오토앤</t>
        </is>
      </c>
      <c r="B2278" s="6" t="inlineStr">
        <is>
          <t>353590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14649</v>
      </c>
      <c r="J2278" s="10" t="n">
        <v>-167</v>
      </c>
      <c r="K2278" s="10" t="n">
        <v>-241</v>
      </c>
      <c r="L2278" s="7" t="n">
        <v>15169</v>
      </c>
      <c r="M2278" s="8" t="n">
        <v>-218</v>
      </c>
      <c r="N2278" s="8" t="n">
        <v>-1162</v>
      </c>
      <c r="O2278" s="9" t="n">
        <v>13732</v>
      </c>
      <c r="P2278" s="10" t="n">
        <v>1</v>
      </c>
      <c r="Q2278" s="10" t="n">
        <v>-276</v>
      </c>
      <c r="R2278" s="7" t="n">
        <v>13681</v>
      </c>
      <c r="S2278" s="8" t="n">
        <v>-2919</v>
      </c>
      <c r="T2278" s="8" t="n">
        <v>-3810</v>
      </c>
      <c r="U2278" s="9" t="n">
        <v>12853</v>
      </c>
      <c r="V2278" s="10" t="n">
        <v>-634</v>
      </c>
      <c r="W2278" s="10" t="n">
        <v>-902</v>
      </c>
      <c r="X2278" s="7" t="n">
        <v>16580</v>
      </c>
      <c r="Y2278" s="8" t="n">
        <v>589</v>
      </c>
      <c r="Z2278" s="8" t="n">
        <v>221</v>
      </c>
      <c r="AA2278" s="9" t="n">
        <v>14657</v>
      </c>
      <c r="AB2278" s="10" t="n">
        <v>-347</v>
      </c>
      <c r="AC2278" s="10" t="n">
        <v>-1494</v>
      </c>
      <c r="AD2278" s="7" t="n">
        <v>15022</v>
      </c>
      <c r="AE2278" s="8" t="n">
        <v>1144</v>
      </c>
      <c r="AF2278" s="8" t="n">
        <v>-3013</v>
      </c>
      <c r="AG2278" s="9" t="n">
        <v>11096</v>
      </c>
      <c r="AH2278" s="10" t="n">
        <v>-1335</v>
      </c>
      <c r="AI2278" s="10" t="n">
        <v>-1448</v>
      </c>
      <c r="AJ2278" s="11" t="n">
        <v>13255</v>
      </c>
      <c r="AK2278" s="12" t="n">
        <v>-1115</v>
      </c>
      <c r="AL2278" s="12" t="n">
        <v>-310</v>
      </c>
      <c r="AM2278" s="13" t="n">
        <v>19.5</v>
      </c>
      <c r="AN2278" s="13" t="n">
        <v>-20.1</v>
      </c>
      <c r="AO2278" s="13" t="n">
        <v>16.5</v>
      </c>
      <c r="AP2278" s="13" t="n">
        <v>-289.3</v>
      </c>
    </row>
    <row r="2279">
      <c r="A2279" s="5" t="inlineStr">
        <is>
          <t>이지바이오</t>
        </is>
      </c>
      <c r="B2279" s="6" t="inlineStr">
        <is>
          <t>353810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59403</v>
      </c>
      <c r="J2279" s="10" t="n">
        <v>6297</v>
      </c>
      <c r="K2279" s="10" t="n">
        <v>4698</v>
      </c>
      <c r="L2279" s="7" t="n">
        <v>100883</v>
      </c>
      <c r="M2279" s="8" t="n">
        <v>8436</v>
      </c>
      <c r="N2279" s="8" t="n">
        <v>4334</v>
      </c>
      <c r="O2279" s="9" t="n">
        <v>106422</v>
      </c>
      <c r="P2279" s="10" t="n">
        <v>8917</v>
      </c>
      <c r="Q2279" s="10" t="n">
        <v>6301</v>
      </c>
      <c r="R2279" s="7" t="n">
        <v>117623</v>
      </c>
      <c r="S2279" s="8" t="n">
        <v>8741</v>
      </c>
      <c r="T2279" s="8" t="n">
        <v>4571</v>
      </c>
      <c r="U2279" s="9" t="n">
        <v>116931</v>
      </c>
      <c r="V2279" s="10" t="n">
        <v>9105</v>
      </c>
      <c r="W2279" s="10" t="n">
        <v>5770</v>
      </c>
      <c r="X2279" s="7" t="n">
        <v>113793</v>
      </c>
      <c r="Y2279" s="8" t="n">
        <v>11047</v>
      </c>
      <c r="Z2279" s="8" t="n">
        <v>4100</v>
      </c>
      <c r="AA2279" s="9" t="n">
        <v>116896</v>
      </c>
      <c r="AB2279" s="10" t="n">
        <v>11245</v>
      </c>
      <c r="AC2279" s="10" t="n">
        <v>8635</v>
      </c>
      <c r="AD2279" s="7" t="n">
        <v>129319</v>
      </c>
      <c r="AE2279" s="8" t="n">
        <v>13593</v>
      </c>
      <c r="AF2279" s="8" t="n">
        <v>10767</v>
      </c>
      <c r="AG2279" s="9" t="n">
        <v>130692</v>
      </c>
      <c r="AH2279" s="10" t="n">
        <v>13217</v>
      </c>
      <c r="AI2279" s="10" t="n">
        <v>11671</v>
      </c>
      <c r="AJ2279" s="11" t="n">
        <v>148130</v>
      </c>
      <c r="AK2279" s="12" t="n">
        <v>15060</v>
      </c>
      <c r="AL2279" s="12" t="n">
        <v>10857</v>
      </c>
      <c r="AM2279" s="13" t="n">
        <v>13.3</v>
      </c>
      <c r="AN2279" s="13" t="n">
        <v>30.2</v>
      </c>
      <c r="AO2279" s="13" t="n">
        <v>13.9</v>
      </c>
      <c r="AP2279" s="13" t="n">
        <v>36.3</v>
      </c>
    </row>
    <row r="2280">
      <c r="A2280" s="5" t="inlineStr">
        <is>
          <t>엔젠바이오</t>
        </is>
      </c>
      <c r="B2280" s="6" t="inlineStr">
        <is>
          <t>354200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874</v>
      </c>
      <c r="J2280" s="10" t="n">
        <v>-3030</v>
      </c>
      <c r="K2280" s="10" t="n">
        <v>-3198</v>
      </c>
      <c r="L2280" s="7" t="n">
        <v>2029</v>
      </c>
      <c r="M2280" s="8" t="n">
        <v>-4452</v>
      </c>
      <c r="N2280" s="8" t="n">
        <v>-2851</v>
      </c>
      <c r="O2280" s="9" t="n">
        <v>2071</v>
      </c>
      <c r="P2280" s="10" t="n">
        <v>-4113</v>
      </c>
      <c r="Q2280" s="10" t="n">
        <v>-4633</v>
      </c>
      <c r="R2280" s="7" t="n">
        <v>717</v>
      </c>
      <c r="S2280" s="8" t="n">
        <v>-4480</v>
      </c>
      <c r="T2280" s="8" t="n">
        <v>-3260</v>
      </c>
      <c r="U2280" s="9" t="n">
        <v>2036</v>
      </c>
      <c r="V2280" s="10" t="n">
        <v>-2859</v>
      </c>
      <c r="W2280" s="10" t="n">
        <v>-3028</v>
      </c>
      <c r="X2280" s="7" t="n">
        <v>1848</v>
      </c>
      <c r="Y2280" s="8" t="n">
        <v>-2683</v>
      </c>
      <c r="Z2280" s="8" t="n">
        <v>-6090</v>
      </c>
      <c r="AA2280" s="9" t="n">
        <v>5428</v>
      </c>
      <c r="AB2280" s="10" t="n">
        <v>-1647</v>
      </c>
      <c r="AC2280" s="10" t="n">
        <v>-1941</v>
      </c>
      <c r="AD2280" s="7" t="n">
        <v>11928</v>
      </c>
      <c r="AE2280" s="8" t="n">
        <v>-1087</v>
      </c>
      <c r="AF2280" s="8" t="n">
        <v>4302</v>
      </c>
      <c r="AG2280" s="9" t="n">
        <v>11952</v>
      </c>
      <c r="AH2280" s="10" t="n">
        <v>-1566</v>
      </c>
      <c r="AI2280" s="10" t="n">
        <v>-4204</v>
      </c>
      <c r="AJ2280" s="11" t="n">
        <v>12452</v>
      </c>
      <c r="AK2280" s="12" t="n">
        <v>-1185</v>
      </c>
      <c r="AL2280" s="12" t="n">
        <v>-3462</v>
      </c>
      <c r="AM2280" s="13" t="n">
        <v>4.2</v>
      </c>
      <c r="AN2280" s="13" t="n">
        <v>573.8</v>
      </c>
      <c r="AO2280" s="13" t="n">
        <v>24.3</v>
      </c>
      <c r="AP2280" s="13" t="n">
        <v>55.8</v>
      </c>
    </row>
    <row r="2281">
      <c r="A2281" s="5" t="inlineStr">
        <is>
          <t>알멕</t>
        </is>
      </c>
      <c r="B2281" s="6" t="inlineStr">
        <is>
          <t>354320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35029</v>
      </c>
      <c r="J2281" s="10" t="n">
        <v>-627</v>
      </c>
      <c r="K2281" s="10" t="n">
        <v>-482</v>
      </c>
      <c r="L2281" s="7" t="n">
        <v>42897</v>
      </c>
      <c r="M2281" s="8" t="n">
        <v>1988</v>
      </c>
      <c r="N2281" s="8" t="n">
        <v>3651</v>
      </c>
      <c r="O2281" s="9" t="n">
        <v>41749</v>
      </c>
      <c r="P2281" s="10" t="n">
        <v>-1516</v>
      </c>
      <c r="Q2281" s="10" t="n">
        <v>-3948</v>
      </c>
      <c r="R2281" s="7" t="n">
        <v>37190</v>
      </c>
      <c r="S2281" s="8" t="n">
        <v>-2588</v>
      </c>
      <c r="T2281" s="8" t="n">
        <v>-1609</v>
      </c>
      <c r="U2281" s="9" t="n">
        <v>50584</v>
      </c>
      <c r="V2281" s="10" t="n">
        <v>1745</v>
      </c>
      <c r="W2281" s="10" t="n">
        <v>-205</v>
      </c>
      <c r="X2281" s="7" t="n">
        <v>48488</v>
      </c>
      <c r="Y2281" s="8" t="n">
        <v>2796</v>
      </c>
      <c r="Z2281" s="8" t="n">
        <v>-477</v>
      </c>
      <c r="AA2281" s="9" t="n">
        <v>44549</v>
      </c>
      <c r="AB2281" s="10" t="n">
        <v>2249</v>
      </c>
      <c r="AC2281" s="10" t="n">
        <v>-165</v>
      </c>
      <c r="AD2281" s="7" t="n">
        <v>44204</v>
      </c>
      <c r="AE2281" s="8" t="n">
        <v>-569</v>
      </c>
      <c r="AF2281" s="8" t="n">
        <v>-5280</v>
      </c>
      <c r="AG2281" s="9" t="n">
        <v>50654</v>
      </c>
      <c r="AH2281" s="10" t="n">
        <v>2811</v>
      </c>
      <c r="AI2281" s="10" t="n">
        <v>3128</v>
      </c>
      <c r="AJ2281" s="11" t="n">
        <v>55217</v>
      </c>
      <c r="AK2281" s="12" t="n">
        <v>2601</v>
      </c>
      <c r="AL2281" s="12" t="n">
        <v>3507</v>
      </c>
      <c r="AM2281" s="13" t="n">
        <v>9</v>
      </c>
      <c r="AN2281" s="13" t="n">
        <v>13.9</v>
      </c>
      <c r="AO2281" s="13" t="n">
        <v>-7.5</v>
      </c>
      <c r="AP2281" s="13" t="n">
        <v>-7</v>
      </c>
    </row>
    <row r="2282">
      <c r="A2282" s="5" t="inlineStr">
        <is>
          <t>코스텍시스</t>
        </is>
      </c>
      <c r="B2282" s="6" t="inlineStr">
        <is>
          <t>355150</t>
        </is>
      </c>
      <c r="C2282" s="6" t="inlineStr">
        <is>
          <t>별도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3930</v>
      </c>
      <c r="J2282" s="10" t="n">
        <v>192</v>
      </c>
      <c r="K2282" s="10" t="n">
        <v>254</v>
      </c>
      <c r="L2282" s="7" t="n">
        <v>3569</v>
      </c>
      <c r="M2282" s="8" t="n">
        <v>98</v>
      </c>
      <c r="N2282" s="8" t="n">
        <v>83</v>
      </c>
      <c r="O2282" s="9" t="n">
        <v>2803</v>
      </c>
      <c r="P2282" s="10" t="n">
        <v>-1080</v>
      </c>
      <c r="Q2282" s="10" t="n">
        <v>-1114</v>
      </c>
      <c r="R2282" s="7" t="n">
        <v>3911</v>
      </c>
      <c r="S2282" s="8" t="n">
        <v>-1105</v>
      </c>
      <c r="T2282" s="8" t="n">
        <v>-1018</v>
      </c>
      <c r="U2282" s="9" t="n">
        <v>3312</v>
      </c>
      <c r="V2282" s="10" t="n">
        <v>-386</v>
      </c>
      <c r="W2282" s="10" t="n">
        <v>-353</v>
      </c>
      <c r="X2282" s="7" t="n">
        <v>3202</v>
      </c>
      <c r="Y2282" s="8" t="n">
        <v>-350</v>
      </c>
      <c r="Z2282" s="8" t="n">
        <v>-471</v>
      </c>
      <c r="AA2282" s="9" t="n">
        <v>3000</v>
      </c>
      <c r="AB2282" s="10" t="n">
        <v>-320</v>
      </c>
      <c r="AC2282" s="10" t="n">
        <v>-527</v>
      </c>
      <c r="AD2282" s="7" t="n">
        <v>5706</v>
      </c>
      <c r="AE2282" s="8" t="n">
        <v>1240</v>
      </c>
      <c r="AF2282" s="8" t="n">
        <v>788</v>
      </c>
      <c r="AG2282" s="9" t="n">
        <v>5448</v>
      </c>
      <c r="AH2282" s="10" t="n">
        <v>1131</v>
      </c>
      <c r="AI2282" s="10" t="n">
        <v>947</v>
      </c>
      <c r="AJ2282" s="11" t="n">
        <v>5343</v>
      </c>
      <c r="AK2282" s="12" t="n">
        <v>1186</v>
      </c>
      <c r="AL2282" s="12" t="n">
        <v>903</v>
      </c>
      <c r="AM2282" s="13" t="n">
        <v>-1.9</v>
      </c>
      <c r="AN2282" s="13" t="n">
        <v>66.90000000000001</v>
      </c>
      <c r="AO2282" s="13" t="n">
        <v>4.9</v>
      </c>
      <c r="AP2282" s="13" t="n">
        <v>438.9</v>
      </c>
    </row>
    <row r="2283">
      <c r="A2283" s="5" t="inlineStr">
        <is>
          <t>크라우드웍스</t>
        </is>
      </c>
      <c r="B2283" s="6" t="inlineStr">
        <is>
          <t>355390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2656</v>
      </c>
      <c r="J2283" s="10" t="n">
        <v>-3003</v>
      </c>
      <c r="K2283" s="10" t="n">
        <v>-3093</v>
      </c>
      <c r="L2283" s="7" t="n">
        <v>1832</v>
      </c>
      <c r="M2283" s="8" t="n">
        <v>-4330</v>
      </c>
      <c r="N2283" s="8" t="n">
        <v>-2399</v>
      </c>
      <c r="O2283" s="9" t="n">
        <v>2229</v>
      </c>
      <c r="P2283" s="10" t="n">
        <v>-3793</v>
      </c>
      <c r="Q2283" s="10" t="n">
        <v>-4306</v>
      </c>
      <c r="R2283" s="7" t="n">
        <v>5297</v>
      </c>
      <c r="S2283" s="8" t="n">
        <v>-600</v>
      </c>
      <c r="T2283" s="8" t="n">
        <v>633</v>
      </c>
      <c r="U2283" s="9" t="n">
        <v>1900</v>
      </c>
      <c r="V2283" s="10" t="n">
        <v>-2773</v>
      </c>
      <c r="W2283" s="10" t="n">
        <v>-3421</v>
      </c>
      <c r="X2283" s="7" t="n">
        <v>1994</v>
      </c>
      <c r="Y2283" s="8" t="n">
        <v>-3009</v>
      </c>
      <c r="Z2283" s="8" t="n">
        <v>-5971</v>
      </c>
      <c r="AA2283" s="9" t="n">
        <v>2352</v>
      </c>
      <c r="AB2283" s="10" t="n">
        <v>-3008</v>
      </c>
      <c r="AC2283" s="10" t="n">
        <v>-3187</v>
      </c>
      <c r="AD2283" s="7" t="n">
        <v>4238</v>
      </c>
      <c r="AE2283" s="8" t="n">
        <v>-4576</v>
      </c>
      <c r="AF2283" s="8" t="n">
        <v>-9118</v>
      </c>
      <c r="AG2283" s="9" t="n">
        <v>2849</v>
      </c>
      <c r="AH2283" s="10" t="n">
        <v>-2161</v>
      </c>
      <c r="AI2283" s="10" t="n">
        <v>-2907</v>
      </c>
      <c r="AJ2283" s="11" t="n">
        <v>2351</v>
      </c>
      <c r="AK2283" s="12" t="n">
        <v>-3586</v>
      </c>
      <c r="AL2283" s="12" t="n">
        <v>-3022</v>
      </c>
      <c r="AM2283" s="13" t="n">
        <v>-17.5</v>
      </c>
      <c r="AN2283" s="13" t="n">
        <v>17.9</v>
      </c>
      <c r="AO2283" s="13" t="n">
        <v>-65.90000000000001</v>
      </c>
      <c r="AP2283" s="13" t="n">
        <v>-19.2</v>
      </c>
    </row>
    <row r="2284">
      <c r="A2284" s="5" t="inlineStr">
        <is>
          <t>에이텀</t>
        </is>
      </c>
      <c r="B2284" s="6" t="inlineStr">
        <is>
          <t>355690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10313</v>
      </c>
      <c r="J2284" s="10" t="n">
        <v>-1281</v>
      </c>
      <c r="K2284" s="10" t="n">
        <v>-1918</v>
      </c>
      <c r="L2284" s="7" t="inlineStr"/>
      <c r="M2284" s="8" t="inlineStr"/>
      <c r="N2284" s="8" t="inlineStr"/>
      <c r="O2284" s="9" t="n">
        <v>8710</v>
      </c>
      <c r="P2284" s="10" t="n">
        <v>-1480</v>
      </c>
      <c r="Q2284" s="10" t="n">
        <v>-1515</v>
      </c>
      <c r="R2284" s="7" t="inlineStr"/>
      <c r="S2284" s="8" t="inlineStr"/>
      <c r="T2284" s="8" t="inlineStr"/>
      <c r="U2284" s="9" t="n">
        <v>8938</v>
      </c>
      <c r="V2284" s="10" t="n">
        <v>-2232</v>
      </c>
      <c r="W2284" s="10" t="n">
        <v>-1656</v>
      </c>
      <c r="X2284" s="7" t="n">
        <v>8326</v>
      </c>
      <c r="Y2284" s="8" t="n">
        <v>-2242</v>
      </c>
      <c r="Z2284" s="8" t="n">
        <v>-5469</v>
      </c>
      <c r="AA2284" s="9" t="n">
        <v>25485</v>
      </c>
      <c r="AB2284" s="10" t="n">
        <v>-1107</v>
      </c>
      <c r="AC2284" s="10" t="n">
        <v>-2849</v>
      </c>
      <c r="AD2284" s="7" t="n">
        <v>27677</v>
      </c>
      <c r="AE2284" s="8" t="n">
        <v>-960</v>
      </c>
      <c r="AF2284" s="8" t="n">
        <v>1510</v>
      </c>
      <c r="AG2284" s="9" t="n">
        <v>26115</v>
      </c>
      <c r="AH2284" s="10" t="n">
        <v>-1388</v>
      </c>
      <c r="AI2284" s="10" t="n">
        <v>-2831</v>
      </c>
      <c r="AJ2284" s="11" t="n">
        <v>32295</v>
      </c>
      <c r="AK2284" s="12" t="n">
        <v>-995</v>
      </c>
      <c r="AL2284" s="12" t="n">
        <v>-1165</v>
      </c>
      <c r="AM2284" s="13" t="n">
        <v>23.7</v>
      </c>
      <c r="AN2284" s="13" t="n">
        <v>287.9</v>
      </c>
      <c r="AO2284" s="13" t="n">
        <v>28.3</v>
      </c>
      <c r="AP2284" s="13" t="n">
        <v>55.6</v>
      </c>
    </row>
    <row r="2285">
      <c r="A2285" s="5" t="inlineStr">
        <is>
          <t>엑스게이트</t>
        </is>
      </c>
      <c r="B2285" s="6" t="inlineStr">
        <is>
          <t>356680</t>
        </is>
      </c>
      <c r="C2285" s="6" t="inlineStr">
        <is>
          <t>별도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7710</v>
      </c>
      <c r="J2285" s="10" t="n">
        <v>191</v>
      </c>
      <c r="K2285" s="10" t="n">
        <v>189</v>
      </c>
      <c r="L2285" s="7" t="n">
        <v>8611</v>
      </c>
      <c r="M2285" s="8" t="n">
        <v>-558</v>
      </c>
      <c r="N2285" s="8" t="n">
        <v>-126</v>
      </c>
      <c r="O2285" s="9" t="n">
        <v>6504</v>
      </c>
      <c r="P2285" s="10" t="n">
        <v>-1260</v>
      </c>
      <c r="Q2285" s="10" t="n">
        <v>-1113</v>
      </c>
      <c r="R2285" s="7" t="n">
        <v>20391</v>
      </c>
      <c r="S2285" s="8" t="n">
        <v>5112</v>
      </c>
      <c r="T2285" s="8" t="n">
        <v>5049</v>
      </c>
      <c r="U2285" s="9" t="n">
        <v>7351</v>
      </c>
      <c r="V2285" s="10" t="n">
        <v>-929</v>
      </c>
      <c r="W2285" s="10" t="n">
        <v>-927</v>
      </c>
      <c r="X2285" s="7" t="n">
        <v>10683</v>
      </c>
      <c r="Y2285" s="8" t="n">
        <v>-315</v>
      </c>
      <c r="Z2285" s="8" t="n">
        <v>16</v>
      </c>
      <c r="AA2285" s="9" t="n">
        <v>8872</v>
      </c>
      <c r="AB2285" s="10" t="n">
        <v>-1888</v>
      </c>
      <c r="AC2285" s="10" t="n">
        <v>-2259</v>
      </c>
      <c r="AD2285" s="7" t="n">
        <v>21230</v>
      </c>
      <c r="AE2285" s="8" t="n">
        <v>6885</v>
      </c>
      <c r="AF2285" s="8" t="n">
        <v>7044</v>
      </c>
      <c r="AG2285" s="9" t="n">
        <v>9696</v>
      </c>
      <c r="AH2285" s="10" t="n">
        <v>248</v>
      </c>
      <c r="AI2285" s="10" t="n">
        <v>481</v>
      </c>
      <c r="AJ2285" s="11" t="n">
        <v>12092</v>
      </c>
      <c r="AK2285" s="12" t="n">
        <v>373</v>
      </c>
      <c r="AL2285" s="12" t="n">
        <v>581</v>
      </c>
      <c r="AM2285" s="13" t="n">
        <v>24.7</v>
      </c>
      <c r="AN2285" s="13" t="n">
        <v>13.2</v>
      </c>
      <c r="AO2285" s="13" t="n">
        <v>50.4</v>
      </c>
      <c r="AP2285" s="13" t="n">
        <v>218.4</v>
      </c>
    </row>
    <row r="2286">
      <c r="A2286" s="5" t="inlineStr">
        <is>
          <t>티엘비</t>
        </is>
      </c>
      <c r="B2286" s="6" t="inlineStr">
        <is>
          <t>356860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44248</v>
      </c>
      <c r="J2286" s="10" t="n">
        <v>-261</v>
      </c>
      <c r="K2286" s="10" t="n">
        <v>228</v>
      </c>
      <c r="L2286" s="7" t="n">
        <v>39484</v>
      </c>
      <c r="M2286" s="8" t="n">
        <v>-59</v>
      </c>
      <c r="N2286" s="8" t="n">
        <v>1128</v>
      </c>
      <c r="O2286" s="9" t="n">
        <v>46446</v>
      </c>
      <c r="P2286" s="10" t="n">
        <v>2770</v>
      </c>
      <c r="Q2286" s="10" t="n">
        <v>789</v>
      </c>
      <c r="R2286" s="7" t="n">
        <v>49823</v>
      </c>
      <c r="S2286" s="8" t="n">
        <v>908</v>
      </c>
      <c r="T2286" s="8" t="n">
        <v>1452</v>
      </c>
      <c r="U2286" s="9" t="n">
        <v>52990</v>
      </c>
      <c r="V2286" s="10" t="n">
        <v>1874</v>
      </c>
      <c r="W2286" s="10" t="n">
        <v>881</v>
      </c>
      <c r="X2286" s="7" t="n">
        <v>64053</v>
      </c>
      <c r="Y2286" s="8" t="n">
        <v>6857</v>
      </c>
      <c r="Z2286" s="8" t="n">
        <v>4506</v>
      </c>
      <c r="AA2286" s="9" t="n">
        <v>68888</v>
      </c>
      <c r="AB2286" s="10" t="n">
        <v>8652</v>
      </c>
      <c r="AC2286" s="10" t="n">
        <v>6534</v>
      </c>
      <c r="AD2286" s="7" t="inlineStr"/>
      <c r="AE2286" s="8" t="n">
        <v>8580</v>
      </c>
      <c r="AF2286" s="8" t="n">
        <v>7032</v>
      </c>
      <c r="AG2286" s="9" t="n">
        <v>75835</v>
      </c>
      <c r="AH2286" s="10" t="n">
        <v>10718</v>
      </c>
      <c r="AI2286" s="10" t="n">
        <v>8468</v>
      </c>
      <c r="AJ2286" s="11" t="n">
        <v>88243</v>
      </c>
      <c r="AK2286" s="12" t="n">
        <v>12773</v>
      </c>
      <c r="AL2286" s="12" t="n">
        <v>10759</v>
      </c>
      <c r="AM2286" s="13" t="n">
        <v>16.4</v>
      </c>
      <c r="AN2286" s="13" t="n">
        <v>37.8</v>
      </c>
      <c r="AO2286" s="13" t="n">
        <v>19.2</v>
      </c>
      <c r="AP2286" s="13" t="n">
        <v>86.3</v>
      </c>
    </row>
    <row r="2287">
      <c r="A2287" s="5" t="inlineStr">
        <is>
          <t>싸이버원</t>
        </is>
      </c>
      <c r="B2287" s="6" t="inlineStr">
        <is>
          <t>356890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6940</v>
      </c>
      <c r="J2287" s="10" t="n">
        <v>83</v>
      </c>
      <c r="K2287" s="10" t="n">
        <v>288</v>
      </c>
      <c r="L2287" s="7" t="n">
        <v>8326</v>
      </c>
      <c r="M2287" s="8" t="n">
        <v>449</v>
      </c>
      <c r="N2287" s="8" t="n">
        <v>667</v>
      </c>
      <c r="O2287" s="9" t="n">
        <v>10767</v>
      </c>
      <c r="P2287" s="10" t="n">
        <v>2257</v>
      </c>
      <c r="Q2287" s="10" t="n">
        <v>2368</v>
      </c>
      <c r="R2287" s="7" t="n">
        <v>21822</v>
      </c>
      <c r="S2287" s="8" t="n">
        <v>8543</v>
      </c>
      <c r="T2287" s="8" t="n">
        <v>9137</v>
      </c>
      <c r="U2287" s="9" t="n">
        <v>7232</v>
      </c>
      <c r="V2287" s="10" t="n">
        <v>-545</v>
      </c>
      <c r="W2287" s="10" t="n">
        <v>-217</v>
      </c>
      <c r="X2287" s="7" t="n">
        <v>8303</v>
      </c>
      <c r="Y2287" s="8" t="n">
        <v>145</v>
      </c>
      <c r="Z2287" s="8" t="n">
        <v>336</v>
      </c>
      <c r="AA2287" s="9" t="n">
        <v>8800</v>
      </c>
      <c r="AB2287" s="10" t="n">
        <v>236</v>
      </c>
      <c r="AC2287" s="10" t="n">
        <v>420</v>
      </c>
      <c r="AD2287" s="7" t="n">
        <v>9391</v>
      </c>
      <c r="AE2287" s="8" t="n">
        <v>578</v>
      </c>
      <c r="AF2287" s="8" t="n">
        <v>-1808</v>
      </c>
      <c r="AG2287" s="9" t="n">
        <v>7321</v>
      </c>
      <c r="AH2287" s="10" t="n">
        <v>-201</v>
      </c>
      <c r="AI2287" s="10" t="n">
        <v>55</v>
      </c>
      <c r="AJ2287" s="11" t="n">
        <v>9691</v>
      </c>
      <c r="AK2287" s="12" t="n">
        <v>761</v>
      </c>
      <c r="AL2287" s="12" t="n">
        <v>1071</v>
      </c>
      <c r="AM2287" s="13" t="n">
        <v>32.4</v>
      </c>
      <c r="AN2287" s="13" t="n">
        <v>16.7</v>
      </c>
      <c r="AO2287" s="13" t="n">
        <v>478.6</v>
      </c>
      <c r="AP2287" s="13" t="n">
        <v>424.8</v>
      </c>
    </row>
    <row r="2288">
      <c r="A2288" s="5" t="inlineStr">
        <is>
          <t>코람코라이프인프라리츠</t>
        </is>
      </c>
      <c r="B2288" s="6" t="inlineStr">
        <is>
          <t>357120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17398</v>
      </c>
      <c r="M2288" s="8" t="n">
        <v>11795</v>
      </c>
      <c r="N2288" s="8" t="n">
        <v>5661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16535</v>
      </c>
      <c r="Y2288" s="8" t="n">
        <v>11203</v>
      </c>
      <c r="Z2288" s="8" t="n">
        <v>2280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17386</v>
      </c>
      <c r="AK2288" s="12" t="n">
        <v>12960</v>
      </c>
      <c r="AL2288" s="12" t="n">
        <v>4417</v>
      </c>
      <c r="AM2288" s="13" t="inlineStr"/>
      <c r="AN2288" s="13" t="n">
        <v>5.1</v>
      </c>
      <c r="AO2288" s="13" t="inlineStr"/>
      <c r="AP2288" s="13" t="n">
        <v>15.7</v>
      </c>
    </row>
    <row r="2289">
      <c r="A2289" s="5" t="inlineStr">
        <is>
          <t>에이치피오</t>
        </is>
      </c>
      <c r="B2289" s="6" t="inlineStr">
        <is>
          <t>357230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n">
        <v>58514</v>
      </c>
      <c r="J2289" s="10" t="n">
        <v>3577</v>
      </c>
      <c r="K2289" s="10" t="n">
        <v>3230</v>
      </c>
      <c r="L2289" s="7" t="n">
        <v>62588</v>
      </c>
      <c r="M2289" s="8" t="n">
        <v>2678</v>
      </c>
      <c r="N2289" s="8" t="n">
        <v>1885</v>
      </c>
      <c r="O2289" s="9" t="n">
        <v>58876</v>
      </c>
      <c r="P2289" s="10" t="n">
        <v>1761</v>
      </c>
      <c r="Q2289" s="10" t="n">
        <v>890</v>
      </c>
      <c r="R2289" s="7" t="n">
        <v>62853</v>
      </c>
      <c r="S2289" s="8" t="n">
        <v>-23</v>
      </c>
      <c r="T2289" s="8" t="n">
        <v>426</v>
      </c>
      <c r="U2289" s="9" t="n">
        <v>55493</v>
      </c>
      <c r="V2289" s="10" t="n">
        <v>1543</v>
      </c>
      <c r="W2289" s="10" t="n">
        <v>1193</v>
      </c>
      <c r="X2289" s="7" t="n">
        <v>74874</v>
      </c>
      <c r="Y2289" s="8" t="n">
        <v>5631</v>
      </c>
      <c r="Z2289" s="8" t="n">
        <v>4003</v>
      </c>
      <c r="AA2289" s="9" t="n">
        <v>64341</v>
      </c>
      <c r="AB2289" s="10" t="n">
        <v>2112</v>
      </c>
      <c r="AC2289" s="10" t="n">
        <v>1740</v>
      </c>
      <c r="AD2289" s="7" t="n">
        <v>63481</v>
      </c>
      <c r="AE2289" s="8" t="n">
        <v>4260</v>
      </c>
      <c r="AF2289" s="8" t="n">
        <v>2073</v>
      </c>
      <c r="AG2289" s="9" t="n">
        <v>63312</v>
      </c>
      <c r="AH2289" s="10" t="n">
        <v>3278</v>
      </c>
      <c r="AI2289" s="10" t="n">
        <v>2439</v>
      </c>
      <c r="AJ2289" s="11" t="n">
        <v>78493</v>
      </c>
      <c r="AK2289" s="12" t="n">
        <v>3896</v>
      </c>
      <c r="AL2289" s="12" t="n">
        <v>2387</v>
      </c>
      <c r="AM2289" s="13" t="n">
        <v>24</v>
      </c>
      <c r="AN2289" s="13" t="n">
        <v>4.8</v>
      </c>
      <c r="AO2289" s="13" t="n">
        <v>18.9</v>
      </c>
      <c r="AP2289" s="13" t="n">
        <v>-30.8</v>
      </c>
    </row>
    <row r="2290">
      <c r="A2290" s="5" t="inlineStr">
        <is>
          <t>미래에셋맵스리츠</t>
        </is>
      </c>
      <c r="B2290" s="6" t="inlineStr">
        <is>
          <t>357250</t>
        </is>
      </c>
      <c r="C2290" s="6" t="inlineStr">
        <is>
          <t>별도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3591</v>
      </c>
      <c r="M2290" s="8" t="n">
        <v>1950</v>
      </c>
      <c r="N2290" s="8" t="n">
        <v>708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3624</v>
      </c>
      <c r="Y2290" s="8" t="n">
        <v>1983</v>
      </c>
      <c r="Z2290" s="8" t="n">
        <v>5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3630</v>
      </c>
      <c r="AK2290" s="12" t="n">
        <v>2560</v>
      </c>
      <c r="AL2290" s="12" t="n">
        <v>638</v>
      </c>
      <c r="AM2290" s="13" t="inlineStr"/>
      <c r="AN2290" s="13" t="n">
        <v>0.2</v>
      </c>
      <c r="AO2290" s="13" t="inlineStr"/>
      <c r="AP2290" s="13" t="n">
        <v>29.1</v>
      </c>
    </row>
    <row r="2291">
      <c r="A2291" s="5" t="inlineStr">
        <is>
          <t>마스턴프리미어리츠</t>
        </is>
      </c>
      <c r="B2291" s="6" t="inlineStr">
        <is>
          <t>357430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940</v>
      </c>
      <c r="M2291" s="8" t="n">
        <v>-10457</v>
      </c>
      <c r="N2291" s="8" t="n">
        <v>-10638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1029</v>
      </c>
      <c r="Y2291" s="8" t="n">
        <v>-359</v>
      </c>
      <c r="Z2291" s="8" t="n">
        <v>-881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2153</v>
      </c>
      <c r="AK2291" s="12" t="n">
        <v>1396</v>
      </c>
      <c r="AL2291" s="12" t="n">
        <v>510</v>
      </c>
      <c r="AM2291" s="13" t="inlineStr"/>
      <c r="AN2291" s="13" t="n">
        <v>109.2</v>
      </c>
      <c r="AO2291" s="13" t="inlineStr"/>
      <c r="AP2291" s="13" t="n">
        <v>488.9</v>
      </c>
    </row>
    <row r="2292">
      <c r="A2292" s="5" t="inlineStr">
        <is>
          <t>석경에이티</t>
        </is>
      </c>
      <c r="B2292" s="6" t="inlineStr">
        <is>
          <t>357550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2569</v>
      </c>
      <c r="J2292" s="10" t="n">
        <v>-72</v>
      </c>
      <c r="K2292" s="10" t="n">
        <v>266</v>
      </c>
      <c r="L2292" s="7" t="n">
        <v>3156</v>
      </c>
      <c r="M2292" s="8" t="n">
        <v>445</v>
      </c>
      <c r="N2292" s="8" t="n">
        <v>1466</v>
      </c>
      <c r="O2292" s="9" t="n">
        <v>4126</v>
      </c>
      <c r="P2292" s="10" t="n">
        <v>1210</v>
      </c>
      <c r="Q2292" s="10" t="n">
        <v>826</v>
      </c>
      <c r="R2292" s="7" t="n">
        <v>3965</v>
      </c>
      <c r="S2292" s="8" t="n">
        <v>436</v>
      </c>
      <c r="T2292" s="8" t="n">
        <v>1778</v>
      </c>
      <c r="U2292" s="9" t="n">
        <v>4950</v>
      </c>
      <c r="V2292" s="10" t="n">
        <v>2049</v>
      </c>
      <c r="W2292" s="10" t="n">
        <v>1724</v>
      </c>
      <c r="X2292" s="7" t="n">
        <v>5101</v>
      </c>
      <c r="Y2292" s="8" t="n">
        <v>1417</v>
      </c>
      <c r="Z2292" s="8" t="n">
        <v>89</v>
      </c>
      <c r="AA2292" s="9" t="n">
        <v>3418</v>
      </c>
      <c r="AB2292" s="10" t="n">
        <v>363</v>
      </c>
      <c r="AC2292" s="10" t="n">
        <v>820</v>
      </c>
      <c r="AD2292" s="7" t="n">
        <v>4078</v>
      </c>
      <c r="AE2292" s="8" t="n">
        <v>69</v>
      </c>
      <c r="AF2292" s="8" t="n">
        <v>1165</v>
      </c>
      <c r="AG2292" s="9" t="n">
        <v>4562</v>
      </c>
      <c r="AH2292" s="10" t="n">
        <v>1277</v>
      </c>
      <c r="AI2292" s="10" t="n">
        <v>1399</v>
      </c>
      <c r="AJ2292" s="11" t="n">
        <v>5168</v>
      </c>
      <c r="AK2292" s="12" t="n">
        <v>1276</v>
      </c>
      <c r="AL2292" s="12" t="n">
        <v>1133</v>
      </c>
      <c r="AM2292" s="13" t="n">
        <v>13.3</v>
      </c>
      <c r="AN2292" s="13" t="n">
        <v>1.3</v>
      </c>
      <c r="AO2292" s="13" t="n">
        <v>-0.1</v>
      </c>
      <c r="AP2292" s="13" t="n">
        <v>-10</v>
      </c>
    </row>
    <row r="2293">
      <c r="A2293" s="5" t="inlineStr">
        <is>
          <t>아모센스</t>
        </is>
      </c>
      <c r="B2293" s="6" t="inlineStr">
        <is>
          <t>357580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29968</v>
      </c>
      <c r="J2293" s="10" t="n">
        <v>205</v>
      </c>
      <c r="K2293" s="10" t="n">
        <v>-856</v>
      </c>
      <c r="L2293" s="7" t="n">
        <v>31057</v>
      </c>
      <c r="M2293" s="8" t="n">
        <v>614</v>
      </c>
      <c r="N2293" s="8" t="n">
        <v>-1074</v>
      </c>
      <c r="O2293" s="9" t="n">
        <v>33846</v>
      </c>
      <c r="P2293" s="10" t="n">
        <v>1502</v>
      </c>
      <c r="Q2293" s="10" t="n">
        <v>465</v>
      </c>
      <c r="R2293" s="7" t="n">
        <v>39284</v>
      </c>
      <c r="S2293" s="8" t="n">
        <v>4842</v>
      </c>
      <c r="T2293" s="8" t="n">
        <v>3204</v>
      </c>
      <c r="U2293" s="9" t="n">
        <v>31145</v>
      </c>
      <c r="V2293" s="10" t="n">
        <v>1533</v>
      </c>
      <c r="W2293" s="10" t="n">
        <v>646</v>
      </c>
      <c r="X2293" s="7" t="n">
        <v>29066</v>
      </c>
      <c r="Y2293" s="8" t="n">
        <v>1289</v>
      </c>
      <c r="Z2293" s="8" t="n">
        <v>449</v>
      </c>
      <c r="AA2293" s="9" t="n">
        <v>28298</v>
      </c>
      <c r="AB2293" s="10" t="n">
        <v>36</v>
      </c>
      <c r="AC2293" s="10" t="n">
        <v>-1681</v>
      </c>
      <c r="AD2293" s="7" t="n">
        <v>33631</v>
      </c>
      <c r="AE2293" s="8" t="n">
        <v>2464</v>
      </c>
      <c r="AF2293" s="8" t="n">
        <v>1083</v>
      </c>
      <c r="AG2293" s="9" t="n">
        <v>27825</v>
      </c>
      <c r="AH2293" s="10" t="n">
        <v>531</v>
      </c>
      <c r="AI2293" s="10" t="n">
        <v>177</v>
      </c>
      <c r="AJ2293" s="11" t="n">
        <v>27179</v>
      </c>
      <c r="AK2293" s="12" t="n">
        <v>-1419</v>
      </c>
      <c r="AL2293" s="12" t="n">
        <v>-1602</v>
      </c>
      <c r="AM2293" s="13" t="n">
        <v>-2.3</v>
      </c>
      <c r="AN2293" s="13" t="n">
        <v>-6.5</v>
      </c>
      <c r="AO2293" s="13" t="n">
        <v>-367.2</v>
      </c>
      <c r="AP2293" s="13" t="n">
        <v>-210.1</v>
      </c>
    </row>
    <row r="2294">
      <c r="A2294" s="5" t="inlineStr">
        <is>
          <t>솔브레인</t>
        </is>
      </c>
      <c r="B2294" s="6" t="inlineStr">
        <is>
          <t>357780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210710</v>
      </c>
      <c r="J2294" s="10" t="n">
        <v>46046</v>
      </c>
      <c r="K2294" s="10" t="n">
        <v>46172</v>
      </c>
      <c r="L2294" s="7" t="n">
        <v>216280</v>
      </c>
      <c r="M2294" s="8" t="n">
        <v>45763</v>
      </c>
      <c r="N2294" s="8" t="n">
        <v>44069</v>
      </c>
      <c r="O2294" s="9" t="n">
        <v>219903</v>
      </c>
      <c r="P2294" s="10" t="n">
        <v>39720</v>
      </c>
      <c r="Q2294" s="10" t="n">
        <v>29799</v>
      </c>
      <c r="R2294" s="7" t="n">
        <v>216463</v>
      </c>
      <c r="S2294" s="8" t="n">
        <v>36420</v>
      </c>
      <c r="T2294" s="8" t="n">
        <v>-428</v>
      </c>
      <c r="U2294" s="9" t="n">
        <v>209470</v>
      </c>
      <c r="V2294" s="10" t="n">
        <v>36049</v>
      </c>
      <c r="W2294" s="10" t="n">
        <v>32992</v>
      </c>
      <c r="X2294" s="7" t="n">
        <v>228826</v>
      </c>
      <c r="Y2294" s="8" t="n">
        <v>20170</v>
      </c>
      <c r="Z2294" s="8" t="n">
        <v>12599</v>
      </c>
      <c r="AA2294" s="9" t="n">
        <v>241101</v>
      </c>
      <c r="AB2294" s="10" t="n">
        <v>34386</v>
      </c>
      <c r="AC2294" s="10" t="n">
        <v>27757</v>
      </c>
      <c r="AD2294" s="7" t="n">
        <v>243985</v>
      </c>
      <c r="AE2294" s="8" t="n">
        <v>43037</v>
      </c>
      <c r="AF2294" s="8" t="n">
        <v>10641</v>
      </c>
      <c r="AG2294" s="9" t="n">
        <v>263805</v>
      </c>
      <c r="AH2294" s="10" t="n">
        <v>44700</v>
      </c>
      <c r="AI2294" s="10" t="n">
        <v>37927</v>
      </c>
      <c r="AJ2294" s="11" t="n">
        <v>311971</v>
      </c>
      <c r="AK2294" s="12" t="n">
        <v>46022</v>
      </c>
      <c r="AL2294" s="12" t="n">
        <v>56811</v>
      </c>
      <c r="AM2294" s="13" t="n">
        <v>18.3</v>
      </c>
      <c r="AN2294" s="13" t="n">
        <v>36.3</v>
      </c>
      <c r="AO2294" s="13" t="n">
        <v>3</v>
      </c>
      <c r="AP2294" s="13" t="n">
        <v>128.2</v>
      </c>
    </row>
    <row r="2295">
      <c r="A2295" s="5" t="inlineStr">
        <is>
          <t>SKAI</t>
        </is>
      </c>
      <c r="B2295" s="6" t="inlineStr">
        <is>
          <t>357880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-1892</v>
      </c>
      <c r="K2295" s="10" t="n">
        <v>-2710</v>
      </c>
      <c r="L2295" s="7" t="inlineStr"/>
      <c r="M2295" s="8" t="n">
        <v>-2000</v>
      </c>
      <c r="N2295" s="8" t="n">
        <v>-237</v>
      </c>
      <c r="O2295" s="9" t="inlineStr"/>
      <c r="P2295" s="10" t="n">
        <v>-397</v>
      </c>
      <c r="Q2295" s="10" t="n">
        <v>-1383</v>
      </c>
      <c r="R2295" s="7" t="inlineStr"/>
      <c r="S2295" s="8" t="n">
        <v>-7776</v>
      </c>
      <c r="T2295" s="8" t="n">
        <v>-20459</v>
      </c>
      <c r="U2295" s="9" t="inlineStr"/>
      <c r="V2295" s="10" t="n">
        <v>-3017</v>
      </c>
      <c r="W2295" s="10" t="n">
        <v>-3555</v>
      </c>
      <c r="X2295" s="7" t="inlineStr"/>
      <c r="Y2295" s="8" t="n">
        <v>2641</v>
      </c>
      <c r="Z2295" s="8" t="n">
        <v>1194</v>
      </c>
      <c r="AA2295" s="9" t="inlineStr"/>
      <c r="AB2295" s="10" t="n">
        <v>-2667</v>
      </c>
      <c r="AC2295" s="10" t="n">
        <v>-3800</v>
      </c>
      <c r="AD2295" s="7" t="inlineStr"/>
      <c r="AE2295" s="8" t="n">
        <v>-1348</v>
      </c>
      <c r="AF2295" s="8" t="n">
        <v>-8909</v>
      </c>
      <c r="AG2295" s="9" t="n">
        <v>3234</v>
      </c>
      <c r="AH2295" s="10" t="n">
        <v>-1654</v>
      </c>
      <c r="AI2295" s="10" t="n">
        <v>-5625</v>
      </c>
      <c r="AJ2295" s="11" t="n">
        <v>2738</v>
      </c>
      <c r="AK2295" s="12" t="n">
        <v>-2420</v>
      </c>
      <c r="AL2295" s="12" t="n">
        <v>-6883</v>
      </c>
      <c r="AM2295" s="13" t="n">
        <v>-15.3</v>
      </c>
      <c r="AN2295" s="13" t="inlineStr"/>
      <c r="AO2295" s="13" t="n">
        <v>-46.3</v>
      </c>
      <c r="AP2295" s="13" t="n">
        <v>-191.6</v>
      </c>
    </row>
    <row r="2296">
      <c r="A2296" s="5" t="inlineStr">
        <is>
          <t>지아이이노베이션</t>
        </is>
      </c>
      <c r="B2296" s="6" t="inlineStr">
        <is>
          <t>358570</t>
        </is>
      </c>
      <c r="C2296" s="6" t="inlineStr">
        <is>
          <t>별도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-12853</v>
      </c>
      <c r="K2296" s="10" t="n">
        <v>-14400</v>
      </c>
      <c r="L2296" s="7" t="inlineStr"/>
      <c r="M2296" s="8" t="n">
        <v>-9403</v>
      </c>
      <c r="N2296" s="8" t="n">
        <v>-10201</v>
      </c>
      <c r="O2296" s="9" t="inlineStr"/>
      <c r="P2296" s="10" t="n">
        <v>-13821</v>
      </c>
      <c r="Q2296" s="10" t="n">
        <v>-14228</v>
      </c>
      <c r="R2296" s="7" t="inlineStr"/>
      <c r="S2296" s="8" t="n">
        <v>-12183</v>
      </c>
      <c r="T2296" s="8" t="n">
        <v>-19955</v>
      </c>
      <c r="U2296" s="9" t="inlineStr"/>
      <c r="V2296" s="10" t="n">
        <v>-11835</v>
      </c>
      <c r="W2296" s="10" t="n">
        <v>-12818</v>
      </c>
      <c r="X2296" s="7" t="inlineStr"/>
      <c r="Y2296" s="8" t="n">
        <v>-10892</v>
      </c>
      <c r="Z2296" s="8" t="n">
        <v>-9763</v>
      </c>
      <c r="AA2296" s="9" t="inlineStr"/>
      <c r="AB2296" s="10" t="n">
        <v>-10738</v>
      </c>
      <c r="AC2296" s="10" t="n">
        <v>-9452</v>
      </c>
      <c r="AD2296" s="7" t="inlineStr"/>
      <c r="AE2296" s="8" t="n">
        <v>-7190</v>
      </c>
      <c r="AF2296" s="8" t="n">
        <v>-3102</v>
      </c>
      <c r="AG2296" s="9" t="inlineStr"/>
      <c r="AH2296" s="10" t="n">
        <v>-12352</v>
      </c>
      <c r="AI2296" s="10" t="n">
        <v>-12330</v>
      </c>
      <c r="AJ2296" s="11" t="inlineStr"/>
      <c r="AK2296" s="12" t="n">
        <v>-14385</v>
      </c>
      <c r="AL2296" s="12" t="n">
        <v>-14253</v>
      </c>
      <c r="AM2296" s="13" t="inlineStr"/>
      <c r="AN2296" s="13" t="inlineStr"/>
      <c r="AO2296" s="13" t="n">
        <v>-16.5</v>
      </c>
      <c r="AP2296" s="13" t="n">
        <v>-32.1</v>
      </c>
    </row>
    <row r="2297">
      <c r="A2297" s="5" t="inlineStr">
        <is>
          <t>씨엔알리서치</t>
        </is>
      </c>
      <c r="B2297" s="6" t="inlineStr">
        <is>
          <t>359090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14728</v>
      </c>
      <c r="J2297" s="10" t="n">
        <v>403</v>
      </c>
      <c r="K2297" s="10" t="n">
        <v>149</v>
      </c>
      <c r="L2297" s="7" t="n">
        <v>14298</v>
      </c>
      <c r="M2297" s="8" t="n">
        <v>1382</v>
      </c>
      <c r="N2297" s="8" t="n">
        <v>1253</v>
      </c>
      <c r="O2297" s="9" t="n">
        <v>16458</v>
      </c>
      <c r="P2297" s="10" t="n">
        <v>2599</v>
      </c>
      <c r="Q2297" s="10" t="n">
        <v>1976</v>
      </c>
      <c r="R2297" s="7" t="n">
        <v>14205</v>
      </c>
      <c r="S2297" s="8" t="n">
        <v>-754</v>
      </c>
      <c r="T2297" s="8" t="n">
        <v>-19</v>
      </c>
      <c r="U2297" s="9" t="n">
        <v>17044</v>
      </c>
      <c r="V2297" s="10" t="n">
        <v>-215</v>
      </c>
      <c r="W2297" s="10" t="n">
        <v>-354</v>
      </c>
      <c r="X2297" s="7" t="n">
        <v>16930</v>
      </c>
      <c r="Y2297" s="8" t="n">
        <v>1261</v>
      </c>
      <c r="Z2297" s="8" t="n">
        <v>1234</v>
      </c>
      <c r="AA2297" s="9" t="n">
        <v>15793</v>
      </c>
      <c r="AB2297" s="10" t="n">
        <v>246</v>
      </c>
      <c r="AC2297" s="10" t="n">
        <v>547</v>
      </c>
      <c r="AD2297" s="7" t="n">
        <v>15215</v>
      </c>
      <c r="AE2297" s="8" t="n">
        <v>93</v>
      </c>
      <c r="AF2297" s="8" t="n">
        <v>-406</v>
      </c>
      <c r="AG2297" s="9" t="n">
        <v>14761</v>
      </c>
      <c r="AH2297" s="10" t="n">
        <v>-974</v>
      </c>
      <c r="AI2297" s="10" t="n">
        <v>-1048</v>
      </c>
      <c r="AJ2297" s="11" t="n">
        <v>17778</v>
      </c>
      <c r="AK2297" s="12" t="n">
        <v>176</v>
      </c>
      <c r="AL2297" s="12" t="n">
        <v>-136</v>
      </c>
      <c r="AM2297" s="13" t="n">
        <v>20.4</v>
      </c>
      <c r="AN2297" s="13" t="n">
        <v>5</v>
      </c>
      <c r="AO2297" s="13" t="n">
        <v>118.1</v>
      </c>
      <c r="AP2297" s="13" t="n">
        <v>-86</v>
      </c>
    </row>
    <row r="2298">
      <c r="A2298" s="5" t="inlineStr">
        <is>
          <t>탑머티리얼</t>
        </is>
      </c>
      <c r="B2298" s="6" t="inlineStr">
        <is>
          <t>360070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24663</v>
      </c>
      <c r="J2298" s="10" t="n">
        <v>-35</v>
      </c>
      <c r="K2298" s="10" t="n">
        <v>1788</v>
      </c>
      <c r="L2298" s="7" t="n">
        <v>19777</v>
      </c>
      <c r="M2298" s="8" t="n">
        <v>-551</v>
      </c>
      <c r="N2298" s="8" t="n">
        <v>-1986</v>
      </c>
      <c r="O2298" s="9" t="n">
        <v>40749</v>
      </c>
      <c r="P2298" s="10" t="n">
        <v>2990</v>
      </c>
      <c r="Q2298" s="10" t="n">
        <v>2051</v>
      </c>
      <c r="R2298" s="7" t="n">
        <v>20890</v>
      </c>
      <c r="S2298" s="8" t="n">
        <v>-9614</v>
      </c>
      <c r="T2298" s="8" t="n">
        <v>-10008</v>
      </c>
      <c r="U2298" s="9" t="n">
        <v>4376</v>
      </c>
      <c r="V2298" s="10" t="n">
        <v>-3746</v>
      </c>
      <c r="W2298" s="10" t="n">
        <v>-989</v>
      </c>
      <c r="X2298" s="7" t="n">
        <v>4242</v>
      </c>
      <c r="Y2298" s="8" t="n">
        <v>-4721</v>
      </c>
      <c r="Z2298" s="8" t="n">
        <v>-4760</v>
      </c>
      <c r="AA2298" s="9" t="n">
        <v>10140</v>
      </c>
      <c r="AB2298" s="10" t="n">
        <v>-4258</v>
      </c>
      <c r="AC2298" s="10" t="n">
        <v>-2643</v>
      </c>
      <c r="AD2298" s="7" t="n">
        <v>4373</v>
      </c>
      <c r="AE2298" s="8" t="n">
        <v>-22478</v>
      </c>
      <c r="AF2298" s="8" t="n">
        <v>-22303</v>
      </c>
      <c r="AG2298" s="9" t="n">
        <v>8067</v>
      </c>
      <c r="AH2298" s="10" t="n">
        <v>-2741</v>
      </c>
      <c r="AI2298" s="10" t="n">
        <v>-565</v>
      </c>
      <c r="AJ2298" s="11" t="n">
        <v>5083</v>
      </c>
      <c r="AK2298" s="12" t="n">
        <v>-9647</v>
      </c>
      <c r="AL2298" s="12" t="n">
        <v>-10049</v>
      </c>
      <c r="AM2298" s="13" t="n">
        <v>-37</v>
      </c>
      <c r="AN2298" s="13" t="n">
        <v>19.8</v>
      </c>
      <c r="AO2298" s="13" t="n">
        <v>-252</v>
      </c>
      <c r="AP2298" s="13" t="n">
        <v>-104.3</v>
      </c>
    </row>
    <row r="2299">
      <c r="A2299" s="5" t="inlineStr">
        <is>
          <t>코셈</t>
        </is>
      </c>
      <c r="B2299" s="6" t="inlineStr">
        <is>
          <t>360350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2665</v>
      </c>
      <c r="J2299" s="10" t="n">
        <v>-411</v>
      </c>
      <c r="K2299" s="10" t="n">
        <v>-147</v>
      </c>
      <c r="L2299" s="7" t="n">
        <v>3151</v>
      </c>
      <c r="M2299" s="8" t="n">
        <v>-302</v>
      </c>
      <c r="N2299" s="8" t="n">
        <v>-78</v>
      </c>
      <c r="O2299" s="9" t="n">
        <v>2624</v>
      </c>
      <c r="P2299" s="10" t="n">
        <v>-373</v>
      </c>
      <c r="Q2299" s="10" t="n">
        <v>-297</v>
      </c>
      <c r="R2299" s="7" t="n">
        <v>6290</v>
      </c>
      <c r="S2299" s="8" t="n">
        <v>850</v>
      </c>
      <c r="T2299" s="8" t="n">
        <v>1186</v>
      </c>
      <c r="U2299" s="9" t="n">
        <v>3145</v>
      </c>
      <c r="V2299" s="10" t="n">
        <v>-317</v>
      </c>
      <c r="W2299" s="10" t="n">
        <v>-272</v>
      </c>
      <c r="X2299" s="7" t="n">
        <v>2920</v>
      </c>
      <c r="Y2299" s="8" t="n">
        <v>-821</v>
      </c>
      <c r="Z2299" s="8" t="n">
        <v>-910</v>
      </c>
      <c r="AA2299" s="9" t="n">
        <v>2512</v>
      </c>
      <c r="AB2299" s="10" t="n">
        <v>-708</v>
      </c>
      <c r="AC2299" s="10" t="n">
        <v>-501</v>
      </c>
      <c r="AD2299" s="7" t="n">
        <v>4813</v>
      </c>
      <c r="AE2299" s="8" t="n">
        <v>317</v>
      </c>
      <c r="AF2299" s="8" t="n">
        <v>812</v>
      </c>
      <c r="AG2299" s="9" t="n">
        <v>2525</v>
      </c>
      <c r="AH2299" s="10" t="n">
        <v>-1080</v>
      </c>
      <c r="AI2299" s="10" t="n">
        <v>-920</v>
      </c>
      <c r="AJ2299" s="11" t="n">
        <v>2722</v>
      </c>
      <c r="AK2299" s="12" t="n">
        <v>-741</v>
      </c>
      <c r="AL2299" s="12" t="n">
        <v>-533</v>
      </c>
      <c r="AM2299" s="13" t="n">
        <v>7.8</v>
      </c>
      <c r="AN2299" s="13" t="n">
        <v>-6.8</v>
      </c>
      <c r="AO2299" s="13" t="n">
        <v>31.4</v>
      </c>
      <c r="AP2299" s="13" t="n">
        <v>9.699999999999999</v>
      </c>
    </row>
    <row r="2300">
      <c r="A2300" s="5" t="inlineStr">
        <is>
          <t>제노코</t>
        </is>
      </c>
      <c r="B2300" s="6" t="inlineStr">
        <is>
          <t>361390</t>
        </is>
      </c>
      <c r="C2300" s="6" t="inlineStr">
        <is>
          <t>별도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13075</v>
      </c>
      <c r="J2300" s="10" t="n">
        <v>-1024</v>
      </c>
      <c r="K2300" s="10" t="n">
        <v>-807</v>
      </c>
      <c r="L2300" s="7" t="n">
        <v>11548</v>
      </c>
      <c r="M2300" s="8" t="n">
        <v>-312</v>
      </c>
      <c r="N2300" s="8" t="n">
        <v>-298</v>
      </c>
      <c r="O2300" s="9" t="n">
        <v>18331</v>
      </c>
      <c r="P2300" s="10" t="n">
        <v>-1194</v>
      </c>
      <c r="Q2300" s="10" t="n">
        <v>-1693</v>
      </c>
      <c r="R2300" s="7" t="n">
        <v>13877</v>
      </c>
      <c r="S2300" s="8" t="n">
        <v>359</v>
      </c>
      <c r="T2300" s="8" t="n">
        <v>-290</v>
      </c>
      <c r="U2300" s="9" t="n">
        <v>10537</v>
      </c>
      <c r="V2300" s="10" t="n">
        <v>-872</v>
      </c>
      <c r="W2300" s="10" t="n">
        <v>-1018</v>
      </c>
      <c r="X2300" s="7" t="n">
        <v>13981</v>
      </c>
      <c r="Y2300" s="8" t="n">
        <v>-1397</v>
      </c>
      <c r="Z2300" s="8" t="n">
        <v>-846</v>
      </c>
      <c r="AA2300" s="9" t="n">
        <v>17917</v>
      </c>
      <c r="AB2300" s="10" t="n">
        <v>378</v>
      </c>
      <c r="AC2300" s="10" t="n">
        <v>309</v>
      </c>
      <c r="AD2300" s="7" t="n">
        <v>17196</v>
      </c>
      <c r="AE2300" s="8" t="n">
        <v>-195</v>
      </c>
      <c r="AF2300" s="8" t="n">
        <v>-565</v>
      </c>
      <c r="AG2300" s="9" t="n">
        <v>11584</v>
      </c>
      <c r="AH2300" s="10" t="n">
        <v>-1232</v>
      </c>
      <c r="AI2300" s="10" t="n">
        <v>-816</v>
      </c>
      <c r="AJ2300" s="11" t="n">
        <v>10856</v>
      </c>
      <c r="AK2300" s="12" t="n">
        <v>-696</v>
      </c>
      <c r="AL2300" s="12" t="n">
        <v>193</v>
      </c>
      <c r="AM2300" s="13" t="n">
        <v>-6.3</v>
      </c>
      <c r="AN2300" s="13" t="n">
        <v>-22.4</v>
      </c>
      <c r="AO2300" s="13" t="n">
        <v>43.5</v>
      </c>
      <c r="AP2300" s="13" t="n">
        <v>50.2</v>
      </c>
    </row>
    <row r="2301">
      <c r="A2301" s="5" t="inlineStr">
        <is>
          <t>알비더블유</t>
        </is>
      </c>
      <c r="B2301" s="6" t="inlineStr">
        <is>
          <t>361570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15170</v>
      </c>
      <c r="J2301" s="10" t="n">
        <v>-3277</v>
      </c>
      <c r="K2301" s="10" t="n">
        <v>-4356</v>
      </c>
      <c r="L2301" s="7" t="n">
        <v>19572</v>
      </c>
      <c r="M2301" s="8" t="n">
        <v>-1433</v>
      </c>
      <c r="N2301" s="8" t="n">
        <v>-3286</v>
      </c>
      <c r="O2301" s="9" t="n">
        <v>17104</v>
      </c>
      <c r="P2301" s="10" t="n">
        <v>-3072</v>
      </c>
      <c r="Q2301" s="10" t="n">
        <v>1126</v>
      </c>
      <c r="R2301" s="7" t="n">
        <v>10674</v>
      </c>
      <c r="S2301" s="8" t="n">
        <v>-4426</v>
      </c>
      <c r="T2301" s="8" t="n">
        <v>-4978</v>
      </c>
      <c r="U2301" s="9" t="n">
        <v>10609</v>
      </c>
      <c r="V2301" s="10" t="n">
        <v>-9</v>
      </c>
      <c r="W2301" s="10" t="n">
        <v>68</v>
      </c>
      <c r="X2301" s="7" t="n">
        <v>12126</v>
      </c>
      <c r="Y2301" s="8" t="n">
        <v>-1819</v>
      </c>
      <c r="Z2301" s="8" t="n">
        <v>-3632</v>
      </c>
      <c r="AA2301" s="9" t="n">
        <v>10113</v>
      </c>
      <c r="AB2301" s="10" t="n">
        <v>-365</v>
      </c>
      <c r="AC2301" s="10" t="n">
        <v>-678</v>
      </c>
      <c r="AD2301" s="7" t="n">
        <v>13629</v>
      </c>
      <c r="AE2301" s="8" t="n">
        <v>2362</v>
      </c>
      <c r="AF2301" s="8" t="n">
        <v>419</v>
      </c>
      <c r="AG2301" s="9" t="n">
        <v>9557</v>
      </c>
      <c r="AH2301" s="10" t="n">
        <v>-450</v>
      </c>
      <c r="AI2301" s="10" t="n">
        <v>122</v>
      </c>
      <c r="AJ2301" s="11" t="n">
        <v>14708</v>
      </c>
      <c r="AK2301" s="12" t="n">
        <v>2401</v>
      </c>
      <c r="AL2301" s="12" t="n">
        <v>4428</v>
      </c>
      <c r="AM2301" s="13" t="n">
        <v>53.9</v>
      </c>
      <c r="AN2301" s="13" t="n">
        <v>21.3</v>
      </c>
      <c r="AO2301" s="13" t="n">
        <v>633.6</v>
      </c>
      <c r="AP2301" s="13" t="n">
        <v>232</v>
      </c>
    </row>
    <row r="2302">
      <c r="A2302" s="5" t="inlineStr">
        <is>
          <t>SK아이이테크놀로지</t>
        </is>
      </c>
      <c r="B2302" s="6" t="inlineStr">
        <is>
          <t>361610</t>
        </is>
      </c>
      <c r="C2302" s="6" t="inlineStr">
        <is>
          <t>연결</t>
        </is>
      </c>
      <c r="D2302" s="6" t="inlineStr">
        <is>
          <t>2026Q2</t>
        </is>
      </c>
      <c r="E2302" s="6" t="inlineStr">
        <is>
          <t>2023Q4</t>
        </is>
      </c>
      <c r="F2302" s="14" t="n">
        <v>172494</v>
      </c>
      <c r="G2302" s="15" t="n">
        <v>26879</v>
      </c>
      <c r="H2302" s="15" t="n">
        <v>71770</v>
      </c>
      <c r="I2302" s="9" t="n">
        <v>46154</v>
      </c>
      <c r="J2302" s="10" t="n">
        <v>-67404</v>
      </c>
      <c r="K2302" s="10" t="n">
        <v>-62482</v>
      </c>
      <c r="L2302" s="7" t="n">
        <v>61695</v>
      </c>
      <c r="M2302" s="8" t="n">
        <v>-58673</v>
      </c>
      <c r="N2302" s="8" t="n">
        <v>-48000</v>
      </c>
      <c r="O2302" s="9" t="n">
        <v>50761</v>
      </c>
      <c r="P2302" s="10" t="n">
        <v>-73003</v>
      </c>
      <c r="Q2302" s="10" t="n">
        <v>-36071</v>
      </c>
      <c r="R2302" s="7" t="n">
        <v>59255</v>
      </c>
      <c r="S2302" s="8" t="n">
        <v>-91914</v>
      </c>
      <c r="T2302" s="8" t="n">
        <v>-100062</v>
      </c>
      <c r="U2302" s="9" t="n">
        <v>58235</v>
      </c>
      <c r="V2302" s="10" t="n">
        <v>-69636</v>
      </c>
      <c r="W2302" s="10" t="n">
        <v>-21653</v>
      </c>
      <c r="X2302" s="7" t="n">
        <v>82725</v>
      </c>
      <c r="Y2302" s="8" t="n">
        <v>-53716</v>
      </c>
      <c r="Z2302" s="8" t="n">
        <v>-19030</v>
      </c>
      <c r="AA2302" s="9" t="n">
        <v>79087</v>
      </c>
      <c r="AB2302" s="10" t="n">
        <v>-47224</v>
      </c>
      <c r="AC2302" s="10" t="n">
        <v>-40056</v>
      </c>
      <c r="AD2302" s="7" t="n">
        <v>41827</v>
      </c>
      <c r="AE2302" s="8" t="n">
        <v>-75788</v>
      </c>
      <c r="AF2302" s="8" t="n">
        <v>-130679</v>
      </c>
      <c r="AG2302" s="9" t="n">
        <v>35873</v>
      </c>
      <c r="AH2302" s="10" t="n">
        <v>-73228</v>
      </c>
      <c r="AI2302" s="10" t="n">
        <v>-81766</v>
      </c>
      <c r="AJ2302" s="11" t="n">
        <v>39526</v>
      </c>
      <c r="AK2302" s="12" t="n">
        <v>-63448</v>
      </c>
      <c r="AL2302" s="12" t="n">
        <v>-1327763</v>
      </c>
      <c r="AM2302" s="13" t="n">
        <v>10.2</v>
      </c>
      <c r="AN2302" s="13" t="n">
        <v>-52.2</v>
      </c>
      <c r="AO2302" s="13" t="n">
        <v>13.4</v>
      </c>
      <c r="AP2302" s="13" t="n">
        <v>-18.1</v>
      </c>
    </row>
    <row r="2303">
      <c r="A2303" s="5" t="inlineStr">
        <is>
          <t>삼영에스앤씨</t>
        </is>
      </c>
      <c r="B2303" s="6" t="inlineStr">
        <is>
          <t>361670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2680</v>
      </c>
      <c r="J2303" s="10" t="n">
        <v>-422</v>
      </c>
      <c r="K2303" s="10" t="n">
        <v>-173</v>
      </c>
      <c r="L2303" s="7" t="n">
        <v>2968</v>
      </c>
      <c r="M2303" s="8" t="n">
        <v>-1442</v>
      </c>
      <c r="N2303" s="8" t="n">
        <v>-1240</v>
      </c>
      <c r="O2303" s="9" t="n">
        <v>3425</v>
      </c>
      <c r="P2303" s="10" t="n">
        <v>-701</v>
      </c>
      <c r="Q2303" s="10" t="n">
        <v>-642</v>
      </c>
      <c r="R2303" s="7" t="n">
        <v>3321</v>
      </c>
      <c r="S2303" s="8" t="n">
        <v>-556</v>
      </c>
      <c r="T2303" s="8" t="n">
        <v>-1307</v>
      </c>
      <c r="U2303" s="9" t="n">
        <v>3058</v>
      </c>
      <c r="V2303" s="10" t="n">
        <v>-461</v>
      </c>
      <c r="W2303" s="10" t="n">
        <v>-251</v>
      </c>
      <c r="X2303" s="7" t="n">
        <v>2558</v>
      </c>
      <c r="Y2303" s="8" t="n">
        <v>-354</v>
      </c>
      <c r="Z2303" s="8" t="n">
        <v>-335</v>
      </c>
      <c r="AA2303" s="9" t="n">
        <v>2648</v>
      </c>
      <c r="AB2303" s="10" t="n">
        <v>-585</v>
      </c>
      <c r="AC2303" s="10" t="n">
        <v>-416</v>
      </c>
      <c r="AD2303" s="7" t="n">
        <v>2712</v>
      </c>
      <c r="AE2303" s="8" t="n">
        <v>-298</v>
      </c>
      <c r="AF2303" s="8" t="n">
        <v>-128</v>
      </c>
      <c r="AG2303" s="9" t="n">
        <v>3054</v>
      </c>
      <c r="AH2303" s="10" t="n">
        <v>-1</v>
      </c>
      <c r="AI2303" s="10" t="n">
        <v>237</v>
      </c>
      <c r="AJ2303" s="11" t="n">
        <v>2756</v>
      </c>
      <c r="AK2303" s="12" t="n">
        <v>-407</v>
      </c>
      <c r="AL2303" s="12" t="n">
        <v>-264</v>
      </c>
      <c r="AM2303" s="13" t="n">
        <v>-9.800000000000001</v>
      </c>
      <c r="AN2303" s="13" t="n">
        <v>7.7</v>
      </c>
      <c r="AO2303" s="13" t="n">
        <v>-40600</v>
      </c>
      <c r="AP2303" s="13" t="n">
        <v>-15</v>
      </c>
    </row>
    <row r="2304">
      <c r="A2304" s="5" t="inlineStr">
        <is>
          <t>청담글로벌</t>
        </is>
      </c>
      <c r="B2304" s="6" t="inlineStr">
        <is>
          <t>362320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54796</v>
      </c>
      <c r="J2304" s="10" t="n">
        <v>2435</v>
      </c>
      <c r="K2304" s="10" t="n">
        <v>2825</v>
      </c>
      <c r="L2304" s="7" t="n">
        <v>65835</v>
      </c>
      <c r="M2304" s="8" t="n">
        <v>1496</v>
      </c>
      <c r="N2304" s="8" t="n">
        <v>440</v>
      </c>
      <c r="O2304" s="9" t="n">
        <v>62470</v>
      </c>
      <c r="P2304" s="10" t="n">
        <v>4210</v>
      </c>
      <c r="Q2304" s="10" t="n">
        <v>1414</v>
      </c>
      <c r="R2304" s="7" t="n">
        <v>51165</v>
      </c>
      <c r="S2304" s="8" t="n">
        <v>-1273</v>
      </c>
      <c r="T2304" s="8" t="n">
        <v>-1409</v>
      </c>
      <c r="U2304" s="9" t="n">
        <v>54281</v>
      </c>
      <c r="V2304" s="10" t="n">
        <v>3602</v>
      </c>
      <c r="W2304" s="10" t="n">
        <v>2859</v>
      </c>
      <c r="X2304" s="7" t="n">
        <v>41727</v>
      </c>
      <c r="Y2304" s="8" t="n">
        <v>4161</v>
      </c>
      <c r="Z2304" s="8" t="n">
        <v>433</v>
      </c>
      <c r="AA2304" s="9" t="n">
        <v>51478</v>
      </c>
      <c r="AB2304" s="10" t="n">
        <v>3065</v>
      </c>
      <c r="AC2304" s="10" t="n">
        <v>3909</v>
      </c>
      <c r="AD2304" s="7" t="n">
        <v>69899</v>
      </c>
      <c r="AE2304" s="8" t="n">
        <v>-5459</v>
      </c>
      <c r="AF2304" s="8" t="n">
        <v>-4125</v>
      </c>
      <c r="AG2304" s="9" t="n">
        <v>48323</v>
      </c>
      <c r="AH2304" s="10" t="n">
        <v>2550</v>
      </c>
      <c r="AI2304" s="10" t="n">
        <v>7572</v>
      </c>
      <c r="AJ2304" s="11" t="n">
        <v>65904</v>
      </c>
      <c r="AK2304" s="12" t="n">
        <v>1947</v>
      </c>
      <c r="AL2304" s="12" t="n">
        <v>-938</v>
      </c>
      <c r="AM2304" s="13" t="n">
        <v>36.4</v>
      </c>
      <c r="AN2304" s="13" t="n">
        <v>57.9</v>
      </c>
      <c r="AO2304" s="13" t="n">
        <v>-23.6</v>
      </c>
      <c r="AP2304" s="13" t="n">
        <v>-53.2</v>
      </c>
    </row>
    <row r="2305">
      <c r="A2305" s="5" t="inlineStr">
        <is>
          <t>드림인사이트</t>
        </is>
      </c>
      <c r="B2305" s="6" t="inlineStr">
        <is>
          <t>362990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inlineStr"/>
      <c r="J2305" s="10" t="n">
        <v>776</v>
      </c>
      <c r="K2305" s="10" t="n">
        <v>-1743</v>
      </c>
      <c r="L2305" s="7" t="n">
        <v>4457</v>
      </c>
      <c r="M2305" s="8" t="n">
        <v>718</v>
      </c>
      <c r="N2305" s="8" t="n">
        <v>779</v>
      </c>
      <c r="O2305" s="9" t="n">
        <v>4522</v>
      </c>
      <c r="P2305" s="10" t="n">
        <v>418</v>
      </c>
      <c r="Q2305" s="10" t="n">
        <v>460</v>
      </c>
      <c r="R2305" s="7" t="inlineStr"/>
      <c r="S2305" s="8" t="n">
        <v>-54</v>
      </c>
      <c r="T2305" s="8" t="n">
        <v>1377</v>
      </c>
      <c r="U2305" s="9" t="n">
        <v>5069</v>
      </c>
      <c r="V2305" s="10" t="n">
        <v>-436</v>
      </c>
      <c r="W2305" s="10" t="n">
        <v>-293</v>
      </c>
      <c r="X2305" s="7" t="n">
        <v>5015</v>
      </c>
      <c r="Y2305" s="8" t="n">
        <v>-328</v>
      </c>
      <c r="Z2305" s="8" t="n">
        <v>-212</v>
      </c>
      <c r="AA2305" s="9" t="n">
        <v>5347</v>
      </c>
      <c r="AB2305" s="10" t="n">
        <v>-69</v>
      </c>
      <c r="AC2305" s="10" t="n">
        <v>-9</v>
      </c>
      <c r="AD2305" s="7" t="n">
        <v>4587</v>
      </c>
      <c r="AE2305" s="8" t="n">
        <v>-328</v>
      </c>
      <c r="AF2305" s="8" t="n">
        <v>105</v>
      </c>
      <c r="AG2305" s="9" t="n">
        <v>4876</v>
      </c>
      <c r="AH2305" s="10" t="n">
        <v>-167</v>
      </c>
      <c r="AI2305" s="10" t="n">
        <v>-120</v>
      </c>
      <c r="AJ2305" s="11" t="n">
        <v>5382</v>
      </c>
      <c r="AK2305" s="12" t="n">
        <v>-249</v>
      </c>
      <c r="AL2305" s="12" t="n">
        <v>-211</v>
      </c>
      <c r="AM2305" s="13" t="n">
        <v>10.4</v>
      </c>
      <c r="AN2305" s="13" t="n">
        <v>7.3</v>
      </c>
      <c r="AO2305" s="13" t="n">
        <v>-49.1</v>
      </c>
      <c r="AP2305" s="13" t="n">
        <v>24.1</v>
      </c>
    </row>
    <row r="2306">
      <c r="A2306" s="5" t="inlineStr">
        <is>
          <t>진시스템</t>
        </is>
      </c>
      <c r="B2306" s="6" t="inlineStr">
        <is>
          <t>363250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135</v>
      </c>
      <c r="J2306" s="10" t="n">
        <v>-2507</v>
      </c>
      <c r="K2306" s="10" t="n">
        <v>-2343</v>
      </c>
      <c r="L2306" s="7" t="n">
        <v>147</v>
      </c>
      <c r="M2306" s="8" t="n">
        <v>-2236</v>
      </c>
      <c r="N2306" s="8" t="n">
        <v>-2107</v>
      </c>
      <c r="O2306" s="9" t="n">
        <v>803</v>
      </c>
      <c r="P2306" s="10" t="n">
        <v>-2115</v>
      </c>
      <c r="Q2306" s="10" t="n">
        <v>-2022</v>
      </c>
      <c r="R2306" s="7" t="n">
        <v>123</v>
      </c>
      <c r="S2306" s="8" t="n">
        <v>-3258</v>
      </c>
      <c r="T2306" s="8" t="n">
        <v>-3057</v>
      </c>
      <c r="U2306" s="9" t="n">
        <v>63</v>
      </c>
      <c r="V2306" s="10" t="n">
        <v>-1985</v>
      </c>
      <c r="W2306" s="10" t="n">
        <v>-1945</v>
      </c>
      <c r="X2306" s="7" t="n">
        <v>69</v>
      </c>
      <c r="Y2306" s="8" t="n">
        <v>-2425</v>
      </c>
      <c r="Z2306" s="8" t="n">
        <v>-2378</v>
      </c>
      <c r="AA2306" s="9" t="n">
        <v>90</v>
      </c>
      <c r="AB2306" s="10" t="n">
        <v>-2268</v>
      </c>
      <c r="AC2306" s="10" t="n">
        <v>-2196</v>
      </c>
      <c r="AD2306" s="7" t="n">
        <v>159</v>
      </c>
      <c r="AE2306" s="8" t="n">
        <v>-3012</v>
      </c>
      <c r="AF2306" s="8" t="n">
        <v>-8150</v>
      </c>
      <c r="AG2306" s="9" t="n">
        <v>329</v>
      </c>
      <c r="AH2306" s="10" t="n">
        <v>-1613</v>
      </c>
      <c r="AI2306" s="10" t="n">
        <v>-1562</v>
      </c>
      <c r="AJ2306" s="11" t="n">
        <v>432</v>
      </c>
      <c r="AK2306" s="12" t="n">
        <v>-958</v>
      </c>
      <c r="AL2306" s="12" t="n">
        <v>-814</v>
      </c>
      <c r="AM2306" s="13" t="n">
        <v>31.3</v>
      </c>
      <c r="AN2306" s="13" t="n">
        <v>526.1</v>
      </c>
      <c r="AO2306" s="13" t="n">
        <v>40.6</v>
      </c>
      <c r="AP2306" s="13" t="n">
        <v>60.5</v>
      </c>
    </row>
    <row r="2307">
      <c r="A2307" s="5" t="inlineStr">
        <is>
          <t>모비데이즈</t>
        </is>
      </c>
      <c r="B2307" s="6" t="inlineStr">
        <is>
          <t>363260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6759</v>
      </c>
      <c r="J2307" s="10" t="n">
        <v>-404</v>
      </c>
      <c r="K2307" s="10" t="n">
        <v>-702</v>
      </c>
      <c r="L2307" s="7" t="n">
        <v>9991</v>
      </c>
      <c r="M2307" s="8" t="n">
        <v>593</v>
      </c>
      <c r="N2307" s="8" t="n">
        <v>-107</v>
      </c>
      <c r="O2307" s="9" t="n">
        <v>9563</v>
      </c>
      <c r="P2307" s="10" t="n">
        <v>-218</v>
      </c>
      <c r="Q2307" s="10" t="n">
        <v>-230</v>
      </c>
      <c r="R2307" s="7" t="n">
        <v>10919</v>
      </c>
      <c r="S2307" s="8" t="n">
        <v>344</v>
      </c>
      <c r="T2307" s="8" t="n">
        <v>-675</v>
      </c>
      <c r="U2307" s="9" t="n">
        <v>11110</v>
      </c>
      <c r="V2307" s="10" t="n">
        <v>670</v>
      </c>
      <c r="W2307" s="10" t="n">
        <v>672</v>
      </c>
      <c r="X2307" s="7" t="n">
        <v>12183</v>
      </c>
      <c r="Y2307" s="8" t="n">
        <v>2475</v>
      </c>
      <c r="Z2307" s="8" t="n">
        <v>1719</v>
      </c>
      <c r="AA2307" s="9" t="n">
        <v>12987</v>
      </c>
      <c r="AB2307" s="10" t="n">
        <v>1584</v>
      </c>
      <c r="AC2307" s="10" t="n">
        <v>1598</v>
      </c>
      <c r="AD2307" s="7" t="n">
        <v>8079</v>
      </c>
      <c r="AE2307" s="8" t="n">
        <v>-222</v>
      </c>
      <c r="AF2307" s="8" t="n">
        <v>-893</v>
      </c>
      <c r="AG2307" s="9" t="n">
        <v>9562</v>
      </c>
      <c r="AH2307" s="10" t="n">
        <v>-167</v>
      </c>
      <c r="AI2307" s="10" t="n">
        <v>-47</v>
      </c>
      <c r="AJ2307" s="11" t="n">
        <v>13011</v>
      </c>
      <c r="AK2307" s="12" t="n">
        <v>2895</v>
      </c>
      <c r="AL2307" s="12" t="n">
        <v>1608</v>
      </c>
      <c r="AM2307" s="13" t="n">
        <v>36.1</v>
      </c>
      <c r="AN2307" s="13" t="n">
        <v>6.8</v>
      </c>
      <c r="AO2307" s="13" t="n">
        <v>1833.5</v>
      </c>
      <c r="AP2307" s="13" t="n">
        <v>17</v>
      </c>
    </row>
    <row r="2308">
      <c r="A2308" s="5" t="inlineStr">
        <is>
          <t>티와이홀딩스</t>
        </is>
      </c>
      <c r="B2308" s="6" t="inlineStr">
        <is>
          <t>363280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22684</v>
      </c>
      <c r="J2308" s="10" t="n">
        <v>-9265</v>
      </c>
      <c r="K2308" s="10" t="n">
        <v>-74157</v>
      </c>
      <c r="L2308" s="7" t="n">
        <v>29830</v>
      </c>
      <c r="M2308" s="8" t="n">
        <v>-7165</v>
      </c>
      <c r="N2308" s="8" t="n">
        <v>-16646</v>
      </c>
      <c r="O2308" s="9" t="n">
        <v>23330</v>
      </c>
      <c r="P2308" s="10" t="n">
        <v>-2390</v>
      </c>
      <c r="Q2308" s="10" t="n">
        <v>24482</v>
      </c>
      <c r="R2308" s="7" t="n">
        <v>3529</v>
      </c>
      <c r="S2308" s="8" t="n">
        <v>-62089</v>
      </c>
      <c r="T2308" s="8" t="n">
        <v>-51741</v>
      </c>
      <c r="U2308" s="9" t="n">
        <v>10998</v>
      </c>
      <c r="V2308" s="10" t="n">
        <v>-5132</v>
      </c>
      <c r="W2308" s="10" t="n">
        <v>-11688</v>
      </c>
      <c r="X2308" s="7" t="n">
        <v>23305</v>
      </c>
      <c r="Y2308" s="8" t="n">
        <v>1672</v>
      </c>
      <c r="Z2308" s="8" t="n">
        <v>-17355</v>
      </c>
      <c r="AA2308" s="9" t="n">
        <v>21286</v>
      </c>
      <c r="AB2308" s="10" t="n">
        <v>140</v>
      </c>
      <c r="AC2308" s="10" t="n">
        <v>-22512</v>
      </c>
      <c r="AD2308" s="7" t="n">
        <v>23638</v>
      </c>
      <c r="AE2308" s="8" t="n">
        <v>-31244</v>
      </c>
      <c r="AF2308" s="8" t="n">
        <v>-41232</v>
      </c>
      <c r="AG2308" s="9" t="n">
        <v>13247</v>
      </c>
      <c r="AH2308" s="10" t="n">
        <v>-2448</v>
      </c>
      <c r="AI2308" s="10" t="n">
        <v>-10800</v>
      </c>
      <c r="AJ2308" s="11" t="n">
        <v>26347</v>
      </c>
      <c r="AK2308" s="12" t="n">
        <v>5143</v>
      </c>
      <c r="AL2308" s="12" t="n">
        <v>-2148</v>
      </c>
      <c r="AM2308" s="13" t="n">
        <v>98.90000000000001</v>
      </c>
      <c r="AN2308" s="13" t="n">
        <v>13.1</v>
      </c>
      <c r="AO2308" s="13" t="n">
        <v>310.1</v>
      </c>
      <c r="AP2308" s="13" t="n">
        <v>207.6</v>
      </c>
    </row>
    <row r="2309">
      <c r="A2309" s="5" t="inlineStr">
        <is>
          <t>에이아이코리아</t>
        </is>
      </c>
      <c r="B2309" s="6" t="inlineStr">
        <is>
          <t>364950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inlineStr"/>
      <c r="J2309" s="10" t="inlineStr"/>
      <c r="K2309" s="10" t="inlineStr"/>
      <c r="L2309" s="7" t="inlineStr"/>
      <c r="M2309" s="8" t="inlineStr"/>
      <c r="N2309" s="8" t="inlineStr"/>
      <c r="O2309" s="9" t="inlineStr"/>
      <c r="P2309" s="10" t="inlineStr"/>
      <c r="Q2309" s="10" t="inlineStr"/>
      <c r="R2309" s="7" t="inlineStr"/>
      <c r="S2309" s="8" t="inlineStr"/>
      <c r="T2309" s="8" t="inlineStr"/>
      <c r="U2309" s="9" t="inlineStr"/>
      <c r="V2309" s="10" t="inlineStr"/>
      <c r="W2309" s="10" t="inlineStr"/>
      <c r="X2309" s="7" t="n">
        <v>20998</v>
      </c>
      <c r="Y2309" s="8" t="n">
        <v>4400</v>
      </c>
      <c r="Z2309" s="8" t="n">
        <v>-800</v>
      </c>
      <c r="AA2309" s="9" t="n">
        <v>10798</v>
      </c>
      <c r="AB2309" s="10" t="n">
        <v>-1877</v>
      </c>
      <c r="AC2309" s="10" t="n">
        <v>-74</v>
      </c>
      <c r="AD2309" s="7" t="inlineStr"/>
      <c r="AE2309" s="8" t="inlineStr"/>
      <c r="AF2309" s="8" t="inlineStr"/>
      <c r="AG2309" s="9" t="n">
        <v>18806</v>
      </c>
      <c r="AH2309" s="10" t="n">
        <v>600</v>
      </c>
      <c r="AI2309" s="10" t="n">
        <v>2658</v>
      </c>
      <c r="AJ2309" s="11" t="n">
        <v>21552</v>
      </c>
      <c r="AK2309" s="12" t="n">
        <v>-2583</v>
      </c>
      <c r="AL2309" s="12" t="n">
        <v>98</v>
      </c>
      <c r="AM2309" s="13" t="n">
        <v>14.6</v>
      </c>
      <c r="AN2309" s="13" t="n">
        <v>2.6</v>
      </c>
      <c r="AO2309" s="13" t="n">
        <v>-530.5</v>
      </c>
      <c r="AP2309" s="13" t="n">
        <v>-158.7</v>
      </c>
    </row>
    <row r="2310">
      <c r="A2310" s="5" t="inlineStr">
        <is>
          <t>큐라클</t>
        </is>
      </c>
      <c r="B2310" s="6" t="inlineStr">
        <is>
          <t>365270</t>
        </is>
      </c>
      <c r="C2310" s="6" t="inlineStr">
        <is>
          <t>별도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500</v>
      </c>
      <c r="J2310" s="10" t="n">
        <v>-3056</v>
      </c>
      <c r="K2310" s="10" t="n">
        <v>-2895</v>
      </c>
      <c r="L2310" s="7" t="inlineStr"/>
      <c r="M2310" s="8" t="n">
        <v>-3886</v>
      </c>
      <c r="N2310" s="8" t="n">
        <v>-3747</v>
      </c>
      <c r="O2310" s="9" t="inlineStr"/>
      <c r="P2310" s="10" t="n">
        <v>-3276</v>
      </c>
      <c r="Q2310" s="10" t="n">
        <v>-4181</v>
      </c>
      <c r="R2310" s="7" t="inlineStr"/>
      <c r="S2310" s="8" t="n">
        <v>-2417</v>
      </c>
      <c r="T2310" s="8" t="n">
        <v>-4063</v>
      </c>
      <c r="U2310" s="9" t="inlineStr"/>
      <c r="V2310" s="10" t="n">
        <v>-3649</v>
      </c>
      <c r="W2310" s="10" t="n">
        <v>-4123</v>
      </c>
      <c r="X2310" s="7" t="inlineStr"/>
      <c r="Y2310" s="8" t="n">
        <v>-5316</v>
      </c>
      <c r="Z2310" s="8" t="n">
        <v>-6319</v>
      </c>
      <c r="AA2310" s="9" t="n">
        <v>7</v>
      </c>
      <c r="AB2310" s="10" t="n">
        <v>-2853</v>
      </c>
      <c r="AC2310" s="10" t="n">
        <v>-2994</v>
      </c>
      <c r="AD2310" s="7" t="inlineStr"/>
      <c r="AE2310" s="8" t="n">
        <v>-4685</v>
      </c>
      <c r="AF2310" s="8" t="n">
        <v>-4677</v>
      </c>
      <c r="AG2310" s="9" t="n">
        <v>1049</v>
      </c>
      <c r="AH2310" s="10" t="n">
        <v>-2999</v>
      </c>
      <c r="AI2310" s="10" t="n">
        <v>-3144</v>
      </c>
      <c r="AJ2310" s="11" t="n">
        <v>7185</v>
      </c>
      <c r="AK2310" s="12" t="n">
        <v>2359</v>
      </c>
      <c r="AL2310" s="12" t="n">
        <v>3228</v>
      </c>
      <c r="AM2310" s="13" t="n">
        <v>584.9</v>
      </c>
      <c r="AN2310" s="13" t="inlineStr"/>
      <c r="AO2310" s="13" t="n">
        <v>178.7</v>
      </c>
      <c r="AP2310" s="13" t="n">
        <v>144.4</v>
      </c>
    </row>
    <row r="2311">
      <c r="A2311" s="5" t="inlineStr">
        <is>
          <t>에스와이스틸텍</t>
        </is>
      </c>
      <c r="B2311" s="6" t="inlineStr">
        <is>
          <t>365330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24643</v>
      </c>
      <c r="J2311" s="10" t="n">
        <v>2093</v>
      </c>
      <c r="K2311" s="10" t="n">
        <v>1843</v>
      </c>
      <c r="L2311" s="7" t="n">
        <v>31871</v>
      </c>
      <c r="M2311" s="8" t="n">
        <v>1949</v>
      </c>
      <c r="N2311" s="8" t="n">
        <v>1313</v>
      </c>
      <c r="O2311" s="9" t="n">
        <v>27774</v>
      </c>
      <c r="P2311" s="10" t="n">
        <v>1799</v>
      </c>
      <c r="Q2311" s="10" t="n">
        <v>1974</v>
      </c>
      <c r="R2311" s="7" t="n">
        <v>32696</v>
      </c>
      <c r="S2311" s="8" t="n">
        <v>2263</v>
      </c>
      <c r="T2311" s="8" t="n">
        <v>961</v>
      </c>
      <c r="U2311" s="9" t="n">
        <v>26520</v>
      </c>
      <c r="V2311" s="10" t="n">
        <v>278</v>
      </c>
      <c r="W2311" s="10" t="n">
        <v>396</v>
      </c>
      <c r="X2311" s="7" t="n">
        <v>25001</v>
      </c>
      <c r="Y2311" s="8" t="n">
        <v>240</v>
      </c>
      <c r="Z2311" s="8" t="n">
        <v>232</v>
      </c>
      <c r="AA2311" s="9" t="n">
        <v>18934</v>
      </c>
      <c r="AB2311" s="10" t="n">
        <v>-218</v>
      </c>
      <c r="AC2311" s="10" t="n">
        <v>-567</v>
      </c>
      <c r="AD2311" s="7" t="n">
        <v>26912</v>
      </c>
      <c r="AE2311" s="8" t="n">
        <v>-2975</v>
      </c>
      <c r="AF2311" s="8" t="n">
        <v>-2159</v>
      </c>
      <c r="AG2311" s="9" t="n">
        <v>17461</v>
      </c>
      <c r="AH2311" s="10" t="n">
        <v>-589</v>
      </c>
      <c r="AI2311" s="10" t="n">
        <v>-723</v>
      </c>
      <c r="AJ2311" s="11" t="n">
        <v>37647</v>
      </c>
      <c r="AK2311" s="12" t="n">
        <v>-2651</v>
      </c>
      <c r="AL2311" s="12" t="n">
        <v>-3159</v>
      </c>
      <c r="AM2311" s="13" t="n">
        <v>115.6</v>
      </c>
      <c r="AN2311" s="13" t="n">
        <v>50.6</v>
      </c>
      <c r="AO2311" s="13" t="n">
        <v>-350.1</v>
      </c>
      <c r="AP2311" s="13" t="n">
        <v>-1204.6</v>
      </c>
    </row>
    <row r="2312">
      <c r="A2312" s="5" t="inlineStr">
        <is>
          <t>성일하이텍</t>
        </is>
      </c>
      <c r="B2312" s="6" t="inlineStr">
        <is>
          <t>365340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33666</v>
      </c>
      <c r="J2312" s="10" t="n">
        <v>-13460</v>
      </c>
      <c r="K2312" s="10" t="n">
        <v>-10816</v>
      </c>
      <c r="L2312" s="7" t="n">
        <v>36486</v>
      </c>
      <c r="M2312" s="8" t="n">
        <v>-19026</v>
      </c>
      <c r="N2312" s="8" t="n">
        <v>-20972</v>
      </c>
      <c r="O2312" s="9" t="n">
        <v>31863</v>
      </c>
      <c r="P2312" s="10" t="n">
        <v>-13289</v>
      </c>
      <c r="Q2312" s="10" t="n">
        <v>-17658</v>
      </c>
      <c r="R2312" s="7" t="n">
        <v>34200</v>
      </c>
      <c r="S2312" s="8" t="n">
        <v>-25618</v>
      </c>
      <c r="T2312" s="8" t="n">
        <v>-63048</v>
      </c>
      <c r="U2312" s="9" t="n">
        <v>33371</v>
      </c>
      <c r="V2312" s="10" t="n">
        <v>-15479</v>
      </c>
      <c r="W2312" s="10" t="n">
        <v>-17154</v>
      </c>
      <c r="X2312" s="7" t="n">
        <v>64012</v>
      </c>
      <c r="Y2312" s="8" t="n">
        <v>-17429</v>
      </c>
      <c r="Z2312" s="8" t="n">
        <v>-34263</v>
      </c>
      <c r="AA2312" s="9" t="n">
        <v>43800</v>
      </c>
      <c r="AB2312" s="10" t="n">
        <v>-12286</v>
      </c>
      <c r="AC2312" s="10" t="n">
        <v>-15133</v>
      </c>
      <c r="AD2312" s="7" t="n">
        <v>53446</v>
      </c>
      <c r="AE2312" s="8" t="n">
        <v>-9340</v>
      </c>
      <c r="AF2312" s="8" t="n">
        <v>-13996</v>
      </c>
      <c r="AG2312" s="9" t="n">
        <v>60886</v>
      </c>
      <c r="AH2312" s="10" t="n">
        <v>-4</v>
      </c>
      <c r="AI2312" s="10" t="n">
        <v>-22805</v>
      </c>
      <c r="AJ2312" s="11" t="n">
        <v>76814</v>
      </c>
      <c r="AK2312" s="12" t="n">
        <v>6331</v>
      </c>
      <c r="AL2312" s="12" t="n">
        <v>9298</v>
      </c>
      <c r="AM2312" s="13" t="n">
        <v>26.2</v>
      </c>
      <c r="AN2312" s="13" t="n">
        <v>20</v>
      </c>
      <c r="AO2312" s="13" t="n">
        <v>158375</v>
      </c>
      <c r="AP2312" s="13" t="n">
        <v>136.3</v>
      </c>
    </row>
    <row r="2313">
      <c r="A2313" s="5" t="inlineStr">
        <is>
          <t>ESR켄달스퀘어리츠</t>
        </is>
      </c>
      <c r="B2313" s="6" t="inlineStr">
        <is>
          <t>365550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n">
        <v>28147</v>
      </c>
      <c r="M2313" s="8" t="n">
        <v>11975</v>
      </c>
      <c r="N2313" s="8" t="n">
        <v>1006</v>
      </c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n">
        <v>29119</v>
      </c>
      <c r="Y2313" s="8" t="n">
        <v>10931</v>
      </c>
      <c r="Z2313" s="8" t="n">
        <v>-6630</v>
      </c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32464</v>
      </c>
      <c r="AK2313" s="12" t="n">
        <v>16900</v>
      </c>
      <c r="AL2313" s="12" t="n">
        <v>5470</v>
      </c>
      <c r="AM2313" s="13" t="inlineStr"/>
      <c r="AN2313" s="13" t="n">
        <v>11.5</v>
      </c>
      <c r="AO2313" s="13" t="inlineStr"/>
      <c r="AP2313" s="13" t="n">
        <v>54.6</v>
      </c>
    </row>
    <row r="2314">
      <c r="A2314" s="5" t="inlineStr">
        <is>
          <t>하이딥</t>
        </is>
      </c>
      <c r="B2314" s="6" t="inlineStr">
        <is>
          <t>365590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2056</v>
      </c>
      <c r="J2314" s="10" t="n">
        <v>-1607</v>
      </c>
      <c r="K2314" s="10" t="n">
        <v>-1600</v>
      </c>
      <c r="L2314" s="7" t="n">
        <v>1566</v>
      </c>
      <c r="M2314" s="8" t="n">
        <v>-2444</v>
      </c>
      <c r="N2314" s="8" t="n">
        <v>-2920</v>
      </c>
      <c r="O2314" s="9" t="n">
        <v>891</v>
      </c>
      <c r="P2314" s="10" t="n">
        <v>-2660</v>
      </c>
      <c r="Q2314" s="10" t="n">
        <v>-2881</v>
      </c>
      <c r="R2314" s="7" t="n">
        <v>1377</v>
      </c>
      <c r="S2314" s="8" t="n">
        <v>-2410</v>
      </c>
      <c r="T2314" s="8" t="n">
        <v>-2036</v>
      </c>
      <c r="U2314" s="9" t="n">
        <v>1019</v>
      </c>
      <c r="V2314" s="10" t="n">
        <v>-2209</v>
      </c>
      <c r="W2314" s="10" t="n">
        <v>-2222</v>
      </c>
      <c r="X2314" s="7" t="n">
        <v>342</v>
      </c>
      <c r="Y2314" s="8" t="n">
        <v>-2306</v>
      </c>
      <c r="Z2314" s="8" t="n">
        <v>-2336</v>
      </c>
      <c r="AA2314" s="9" t="n">
        <v>193</v>
      </c>
      <c r="AB2314" s="10" t="n">
        <v>-2295</v>
      </c>
      <c r="AC2314" s="10" t="n">
        <v>-2511</v>
      </c>
      <c r="AD2314" s="7" t="n">
        <v>213</v>
      </c>
      <c r="AE2314" s="8" t="n">
        <v>-4924</v>
      </c>
      <c r="AF2314" s="8" t="n">
        <v>-7733</v>
      </c>
      <c r="AG2314" s="9" t="n">
        <v>22</v>
      </c>
      <c r="AH2314" s="10" t="n">
        <v>-2820</v>
      </c>
      <c r="AI2314" s="10" t="n">
        <v>-3135</v>
      </c>
      <c r="AJ2314" s="11" t="n">
        <v>25</v>
      </c>
      <c r="AK2314" s="12" t="n">
        <v>-2931</v>
      </c>
      <c r="AL2314" s="12" t="n">
        <v>-3654</v>
      </c>
      <c r="AM2314" s="13" t="n">
        <v>13.6</v>
      </c>
      <c r="AN2314" s="13" t="n">
        <v>-92.7</v>
      </c>
      <c r="AO2314" s="13" t="n">
        <v>-3.9</v>
      </c>
      <c r="AP2314" s="13" t="n">
        <v>-27.1</v>
      </c>
    </row>
    <row r="2315">
      <c r="A2315" s="5" t="inlineStr">
        <is>
          <t>레몬헬스케어</t>
        </is>
      </c>
      <c r="B2315" s="6" t="inlineStr">
        <is>
          <t>365660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inlineStr"/>
      <c r="J2315" s="10" t="inlineStr"/>
      <c r="K2315" s="10" t="inlineStr"/>
      <c r="L2315" s="7" t="inlineStr"/>
      <c r="M2315" s="8" t="inlineStr"/>
      <c r="N2315" s="8" t="inlineStr"/>
      <c r="O2315" s="9" t="inlineStr"/>
      <c r="P2315" s="10" t="inlineStr"/>
      <c r="Q2315" s="10" t="inlineStr"/>
      <c r="R2315" s="7" t="inlineStr"/>
      <c r="S2315" s="8" t="inlineStr"/>
      <c r="T2315" s="8" t="inlineStr"/>
      <c r="U2315" s="9" t="inlineStr"/>
      <c r="V2315" s="10" t="inlineStr"/>
      <c r="W2315" s="10" t="inlineStr"/>
      <c r="X2315" s="7" t="inlineStr"/>
      <c r="Y2315" s="8" t="inlineStr"/>
      <c r="Z2315" s="8" t="inlineStr"/>
      <c r="AA2315" s="9" t="inlineStr"/>
      <c r="AB2315" s="10" t="inlineStr"/>
      <c r="AC2315" s="10" t="inlineStr"/>
      <c r="AD2315" s="7" t="inlineStr"/>
      <c r="AE2315" s="8" t="inlineStr"/>
      <c r="AF2315" s="8" t="inlineStr"/>
      <c r="AG2315" s="9" t="inlineStr"/>
      <c r="AH2315" s="10" t="inlineStr"/>
      <c r="AI2315" s="10" t="inlineStr"/>
      <c r="AJ2315" s="11" t="n">
        <v>2931</v>
      </c>
      <c r="AK2315" s="12" t="n">
        <v>-2127</v>
      </c>
      <c r="AL2315" s="12" t="n">
        <v>-2145</v>
      </c>
      <c r="AM2315" s="13" t="inlineStr"/>
      <c r="AN2315" s="13" t="inlineStr"/>
      <c r="AO2315" s="13" t="inlineStr"/>
      <c r="AP2315" s="13" t="inlineStr"/>
    </row>
    <row r="2316">
      <c r="A2316" s="5" t="inlineStr">
        <is>
          <t>브이씨</t>
        </is>
      </c>
      <c r="B2316" s="6" t="inlineStr">
        <is>
          <t>365900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8944</v>
      </c>
      <c r="J2316" s="10" t="n">
        <v>-2825</v>
      </c>
      <c r="K2316" s="10" t="n">
        <v>-2632</v>
      </c>
      <c r="L2316" s="7" t="n">
        <v>13759</v>
      </c>
      <c r="M2316" s="8" t="n">
        <v>-115</v>
      </c>
      <c r="N2316" s="8" t="n">
        <v>1123</v>
      </c>
      <c r="O2316" s="9" t="n">
        <v>11085</v>
      </c>
      <c r="P2316" s="10" t="n">
        <v>-560</v>
      </c>
      <c r="Q2316" s="10" t="n">
        <v>-1823</v>
      </c>
      <c r="R2316" s="7" t="n">
        <v>10349</v>
      </c>
      <c r="S2316" s="8" t="n">
        <v>-1242</v>
      </c>
      <c r="T2316" s="8" t="n">
        <v>-2807</v>
      </c>
      <c r="U2316" s="9" t="n">
        <v>10503</v>
      </c>
      <c r="V2316" s="10" t="n">
        <v>-1143</v>
      </c>
      <c r="W2316" s="10" t="n">
        <v>-1453</v>
      </c>
      <c r="X2316" s="7" t="n">
        <v>12362</v>
      </c>
      <c r="Y2316" s="8" t="n">
        <v>1206</v>
      </c>
      <c r="Z2316" s="8" t="n">
        <v>365</v>
      </c>
      <c r="AA2316" s="9" t="n">
        <v>12533</v>
      </c>
      <c r="AB2316" s="10" t="n">
        <v>-629</v>
      </c>
      <c r="AC2316" s="10" t="n">
        <v>-752</v>
      </c>
      <c r="AD2316" s="7" t="n">
        <v>11501</v>
      </c>
      <c r="AE2316" s="8" t="n">
        <v>-917</v>
      </c>
      <c r="AF2316" s="8" t="n">
        <v>-1363</v>
      </c>
      <c r="AG2316" s="9" t="n">
        <v>10807</v>
      </c>
      <c r="AH2316" s="10" t="n">
        <v>-472</v>
      </c>
      <c r="AI2316" s="10" t="n">
        <v>-568</v>
      </c>
      <c r="AJ2316" s="11" t="n">
        <v>17462</v>
      </c>
      <c r="AK2316" s="12" t="n">
        <v>2103</v>
      </c>
      <c r="AL2316" s="12" t="n">
        <v>1673</v>
      </c>
      <c r="AM2316" s="13" t="n">
        <v>61.6</v>
      </c>
      <c r="AN2316" s="13" t="n">
        <v>41.3</v>
      </c>
      <c r="AO2316" s="13" t="n">
        <v>545.6</v>
      </c>
      <c r="AP2316" s="13" t="n">
        <v>74.40000000000001</v>
      </c>
    </row>
    <row r="2317">
      <c r="A2317" s="5" t="inlineStr">
        <is>
          <t>나인앤컴퍼니</t>
        </is>
      </c>
      <c r="B2317" s="6" t="inlineStr">
        <is>
          <t>366030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10004</v>
      </c>
      <c r="J2317" s="10" t="n">
        <v>1768</v>
      </c>
      <c r="K2317" s="10" t="n">
        <v>1742</v>
      </c>
      <c r="L2317" s="7" t="n">
        <v>15456</v>
      </c>
      <c r="M2317" s="8" t="n">
        <v>3144</v>
      </c>
      <c r="N2317" s="8" t="n">
        <v>2835</v>
      </c>
      <c r="O2317" s="9" t="n">
        <v>10627</v>
      </c>
      <c r="P2317" s="10" t="n">
        <v>1263</v>
      </c>
      <c r="Q2317" s="10" t="n">
        <v>1236</v>
      </c>
      <c r="R2317" s="7" t="n">
        <v>13773</v>
      </c>
      <c r="S2317" s="8" t="n">
        <v>1927</v>
      </c>
      <c r="T2317" s="8" t="n">
        <v>1865</v>
      </c>
      <c r="U2317" s="9" t="n">
        <v>8843</v>
      </c>
      <c r="V2317" s="10" t="n">
        <v>1188</v>
      </c>
      <c r="W2317" s="10" t="n">
        <v>1279</v>
      </c>
      <c r="X2317" s="7" t="n">
        <v>13444</v>
      </c>
      <c r="Y2317" s="8" t="n">
        <v>2417</v>
      </c>
      <c r="Z2317" s="8" t="n">
        <v>2062</v>
      </c>
      <c r="AA2317" s="9" t="n">
        <v>9931</v>
      </c>
      <c r="AB2317" s="10" t="n">
        <v>1268</v>
      </c>
      <c r="AC2317" s="10" t="n">
        <v>1567</v>
      </c>
      <c r="AD2317" s="7" t="n">
        <v>12826</v>
      </c>
      <c r="AE2317" s="8" t="n">
        <v>1932</v>
      </c>
      <c r="AF2317" s="8" t="n">
        <v>2496</v>
      </c>
      <c r="AG2317" s="9" t="n">
        <v>8301</v>
      </c>
      <c r="AH2317" s="10" t="n">
        <v>839</v>
      </c>
      <c r="AI2317" s="10" t="n">
        <v>4672</v>
      </c>
      <c r="AJ2317" s="11" t="n">
        <v>14132</v>
      </c>
      <c r="AK2317" s="12" t="n">
        <v>1893</v>
      </c>
      <c r="AL2317" s="12" t="n">
        <v>8017</v>
      </c>
      <c r="AM2317" s="13" t="n">
        <v>70.2</v>
      </c>
      <c r="AN2317" s="13" t="n">
        <v>5.1</v>
      </c>
      <c r="AO2317" s="13" t="n">
        <v>125.6</v>
      </c>
      <c r="AP2317" s="13" t="n">
        <v>-21.7</v>
      </c>
    </row>
    <row r="2318">
      <c r="A2318" s="5" t="inlineStr">
        <is>
          <t>플래티어</t>
        </is>
      </c>
      <c r="B2318" s="6" t="inlineStr">
        <is>
          <t>367000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7757</v>
      </c>
      <c r="J2318" s="10" t="n">
        <v>-624</v>
      </c>
      <c r="K2318" s="10" t="n">
        <v>-482</v>
      </c>
      <c r="L2318" s="7" t="n">
        <v>7275</v>
      </c>
      <c r="M2318" s="8" t="n">
        <v>-2921</v>
      </c>
      <c r="N2318" s="8" t="n">
        <v>-1977</v>
      </c>
      <c r="O2318" s="9" t="n">
        <v>7770</v>
      </c>
      <c r="P2318" s="10" t="n">
        <v>-2213</v>
      </c>
      <c r="Q2318" s="10" t="n">
        <v>-1986</v>
      </c>
      <c r="R2318" s="7" t="n">
        <v>6996</v>
      </c>
      <c r="S2318" s="8" t="n">
        <v>-1217</v>
      </c>
      <c r="T2318" s="8" t="n">
        <v>-1195</v>
      </c>
      <c r="U2318" s="9" t="n">
        <v>7814</v>
      </c>
      <c r="V2318" s="10" t="n">
        <v>-1955</v>
      </c>
      <c r="W2318" s="10" t="n">
        <v>-1776</v>
      </c>
      <c r="X2318" s="7" t="n">
        <v>9799</v>
      </c>
      <c r="Y2318" s="8" t="n">
        <v>-1785</v>
      </c>
      <c r="Z2318" s="8" t="n">
        <v>-1707</v>
      </c>
      <c r="AA2318" s="9" t="n">
        <v>9110</v>
      </c>
      <c r="AB2318" s="10" t="n">
        <v>-2288</v>
      </c>
      <c r="AC2318" s="10" t="n">
        <v>-2328</v>
      </c>
      <c r="AD2318" s="7" t="n">
        <v>12132</v>
      </c>
      <c r="AE2318" s="8" t="n">
        <v>1629</v>
      </c>
      <c r="AF2318" s="8" t="n">
        <v>1519</v>
      </c>
      <c r="AG2318" s="9" t="n">
        <v>8608</v>
      </c>
      <c r="AH2318" s="10" t="n">
        <v>-1386</v>
      </c>
      <c r="AI2318" s="10" t="n">
        <v>-1181</v>
      </c>
      <c r="AJ2318" s="11" t="n">
        <v>10368</v>
      </c>
      <c r="AK2318" s="12" t="n">
        <v>362</v>
      </c>
      <c r="AL2318" s="12" t="n">
        <v>308</v>
      </c>
      <c r="AM2318" s="13" t="n">
        <v>20.4</v>
      </c>
      <c r="AN2318" s="13" t="n">
        <v>5.8</v>
      </c>
      <c r="AO2318" s="13" t="n">
        <v>126.1</v>
      </c>
      <c r="AP2318" s="13" t="n">
        <v>120.3</v>
      </c>
    </row>
    <row r="2319">
      <c r="A2319" s="5" t="inlineStr">
        <is>
          <t>아이씨에이치</t>
        </is>
      </c>
      <c r="B2319" s="6" t="inlineStr">
        <is>
          <t>368600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18403</v>
      </c>
      <c r="J2319" s="10" t="n">
        <v>2126</v>
      </c>
      <c r="K2319" s="10" t="n">
        <v>1304</v>
      </c>
      <c r="L2319" s="7" t="n">
        <v>14247</v>
      </c>
      <c r="M2319" s="8" t="n">
        <v>-2808</v>
      </c>
      <c r="N2319" s="8" t="n">
        <v>-1583</v>
      </c>
      <c r="O2319" s="9" t="n">
        <v>16971</v>
      </c>
      <c r="P2319" s="10" t="n">
        <v>-673</v>
      </c>
      <c r="Q2319" s="10" t="n">
        <v>-1584</v>
      </c>
      <c r="R2319" s="7" t="n">
        <v>14947</v>
      </c>
      <c r="S2319" s="8" t="n">
        <v>-1875</v>
      </c>
      <c r="T2319" s="8" t="n">
        <v>-10978</v>
      </c>
      <c r="U2319" s="9" t="n">
        <v>10540</v>
      </c>
      <c r="V2319" s="10" t="n">
        <v>-4425</v>
      </c>
      <c r="W2319" s="10" t="n">
        <v>-6641</v>
      </c>
      <c r="X2319" s="7" t="n">
        <v>11862</v>
      </c>
      <c r="Y2319" s="8" t="n">
        <v>-3305</v>
      </c>
      <c r="Z2319" s="8" t="n">
        <v>-5204</v>
      </c>
      <c r="AA2319" s="9" t="n">
        <v>12528</v>
      </c>
      <c r="AB2319" s="10" t="n">
        <v>-3777</v>
      </c>
      <c r="AC2319" s="10" t="n">
        <v>-4902</v>
      </c>
      <c r="AD2319" s="7" t="n">
        <v>11922</v>
      </c>
      <c r="AE2319" s="8" t="n">
        <v>-2985</v>
      </c>
      <c r="AF2319" s="8" t="n">
        <v>-7957</v>
      </c>
      <c r="AG2319" s="9" t="n">
        <v>10648</v>
      </c>
      <c r="AH2319" s="10" t="n">
        <v>726</v>
      </c>
      <c r="AI2319" s="10" t="n">
        <v>127</v>
      </c>
      <c r="AJ2319" s="11" t="n">
        <v>12573</v>
      </c>
      <c r="AK2319" s="12" t="n">
        <v>-2024</v>
      </c>
      <c r="AL2319" s="12" t="n">
        <v>-3263</v>
      </c>
      <c r="AM2319" s="13" t="n">
        <v>18.1</v>
      </c>
      <c r="AN2319" s="13" t="n">
        <v>6</v>
      </c>
      <c r="AO2319" s="13" t="n">
        <v>-378.8</v>
      </c>
      <c r="AP2319" s="13" t="n">
        <v>38.8</v>
      </c>
    </row>
    <row r="2320">
      <c r="A2320" s="5" t="inlineStr">
        <is>
          <t>파이버프로</t>
        </is>
      </c>
      <c r="B2320" s="6" t="inlineStr">
        <is>
          <t>368770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5870</v>
      </c>
      <c r="J2320" s="10" t="n">
        <v>987</v>
      </c>
      <c r="K2320" s="10" t="n">
        <v>1218</v>
      </c>
      <c r="L2320" s="7" t="n">
        <v>10778</v>
      </c>
      <c r="M2320" s="8" t="n">
        <v>2765</v>
      </c>
      <c r="N2320" s="8" t="n">
        <v>2720</v>
      </c>
      <c r="O2320" s="9" t="n">
        <v>6615</v>
      </c>
      <c r="P2320" s="10" t="n">
        <v>921</v>
      </c>
      <c r="Q2320" s="10" t="n">
        <v>601</v>
      </c>
      <c r="R2320" s="7" t="n">
        <v>9681</v>
      </c>
      <c r="S2320" s="8" t="n">
        <v>2534</v>
      </c>
      <c r="T2320" s="8" t="n">
        <v>2613</v>
      </c>
      <c r="U2320" s="9" t="n">
        <v>7116</v>
      </c>
      <c r="V2320" s="10" t="n">
        <v>1242</v>
      </c>
      <c r="W2320" s="10" t="n">
        <v>1361</v>
      </c>
      <c r="X2320" s="7" t="n">
        <v>10370</v>
      </c>
      <c r="Y2320" s="8" t="n">
        <v>2075</v>
      </c>
      <c r="Z2320" s="8" t="n">
        <v>1568</v>
      </c>
      <c r="AA2320" s="9" t="n">
        <v>13759</v>
      </c>
      <c r="AB2320" s="10" t="n">
        <v>3825</v>
      </c>
      <c r="AC2320" s="10" t="n">
        <v>3544</v>
      </c>
      <c r="AD2320" s="7" t="n">
        <v>12227</v>
      </c>
      <c r="AE2320" s="8" t="n">
        <v>2975</v>
      </c>
      <c r="AF2320" s="8" t="n">
        <v>2836</v>
      </c>
      <c r="AG2320" s="9" t="n">
        <v>14277</v>
      </c>
      <c r="AH2320" s="10" t="n">
        <v>4755</v>
      </c>
      <c r="AI2320" s="10" t="n">
        <v>4770</v>
      </c>
      <c r="AJ2320" s="11" t="n">
        <v>13339</v>
      </c>
      <c r="AK2320" s="12" t="n">
        <v>2699</v>
      </c>
      <c r="AL2320" s="12" t="n">
        <v>2361</v>
      </c>
      <c r="AM2320" s="13" t="n">
        <v>-6.6</v>
      </c>
      <c r="AN2320" s="13" t="n">
        <v>28.6</v>
      </c>
      <c r="AO2320" s="13" t="n">
        <v>-43.2</v>
      </c>
      <c r="AP2320" s="13" t="n">
        <v>30.1</v>
      </c>
    </row>
    <row r="2321">
      <c r="A2321" s="5" t="inlineStr">
        <is>
          <t>오에스피</t>
        </is>
      </c>
      <c r="B2321" s="6" t="inlineStr">
        <is>
          <t>368970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10122</v>
      </c>
      <c r="J2321" s="10" t="n">
        <v>616</v>
      </c>
      <c r="K2321" s="10" t="n">
        <v>632</v>
      </c>
      <c r="L2321" s="7" t="n">
        <v>7544</v>
      </c>
      <c r="M2321" s="8" t="n">
        <v>486</v>
      </c>
      <c r="N2321" s="8" t="n">
        <v>2460</v>
      </c>
      <c r="O2321" s="9" t="n">
        <v>6104</v>
      </c>
      <c r="P2321" s="10" t="n">
        <v>-758</v>
      </c>
      <c r="Q2321" s="10" t="n">
        <v>-906</v>
      </c>
      <c r="R2321" s="7" t="n">
        <v>6539</v>
      </c>
      <c r="S2321" s="8" t="n">
        <v>-403</v>
      </c>
      <c r="T2321" s="8" t="n">
        <v>468</v>
      </c>
      <c r="U2321" s="9" t="n">
        <v>6421</v>
      </c>
      <c r="V2321" s="10" t="n">
        <v>-480</v>
      </c>
      <c r="W2321" s="10" t="n">
        <v>-392</v>
      </c>
      <c r="X2321" s="7" t="n">
        <v>5957</v>
      </c>
      <c r="Y2321" s="8" t="n">
        <v>-304</v>
      </c>
      <c r="Z2321" s="8" t="n">
        <v>-826</v>
      </c>
      <c r="AA2321" s="9" t="n">
        <v>6449</v>
      </c>
      <c r="AB2321" s="10" t="n">
        <v>-491</v>
      </c>
      <c r="AC2321" s="10" t="n">
        <v>-706</v>
      </c>
      <c r="AD2321" s="7" t="n">
        <v>6560</v>
      </c>
      <c r="AE2321" s="8" t="n">
        <v>-1</v>
      </c>
      <c r="AF2321" s="8" t="n">
        <v>-1354</v>
      </c>
      <c r="AG2321" s="9" t="n">
        <v>7195</v>
      </c>
      <c r="AH2321" s="10" t="n">
        <v>454</v>
      </c>
      <c r="AI2321" s="10" t="n">
        <v>-250</v>
      </c>
      <c r="AJ2321" s="11" t="n">
        <v>6945</v>
      </c>
      <c r="AK2321" s="12" t="n">
        <v>474</v>
      </c>
      <c r="AL2321" s="12" t="n">
        <v>481</v>
      </c>
      <c r="AM2321" s="13" t="n">
        <v>-3.5</v>
      </c>
      <c r="AN2321" s="13" t="n">
        <v>16.6</v>
      </c>
      <c r="AO2321" s="13" t="n">
        <v>4.4</v>
      </c>
      <c r="AP2321" s="13" t="n">
        <v>255.9</v>
      </c>
    </row>
    <row r="2322">
      <c r="A2322" s="5" t="inlineStr">
        <is>
          <t>블리츠웨이엔터테인먼트</t>
        </is>
      </c>
      <c r="B2322" s="6" t="inlineStr">
        <is>
          <t>369370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4678</v>
      </c>
      <c r="J2322" s="10" t="n">
        <v>-1176</v>
      </c>
      <c r="K2322" s="10" t="n">
        <v>-874</v>
      </c>
      <c r="L2322" s="7" t="n">
        <v>11120</v>
      </c>
      <c r="M2322" s="8" t="n">
        <v>-2234</v>
      </c>
      <c r="N2322" s="8" t="n">
        <v>-3169</v>
      </c>
      <c r="O2322" s="9" t="n">
        <v>10776</v>
      </c>
      <c r="P2322" s="10" t="n">
        <v>-1387</v>
      </c>
      <c r="Q2322" s="10" t="n">
        <v>-1454</v>
      </c>
      <c r="R2322" s="7" t="inlineStr"/>
      <c r="S2322" s="8" t="n">
        <v>-1824</v>
      </c>
      <c r="T2322" s="8" t="n">
        <v>-2531</v>
      </c>
      <c r="U2322" s="9" t="n">
        <v>6890</v>
      </c>
      <c r="V2322" s="10" t="n">
        <v>-1338</v>
      </c>
      <c r="W2322" s="10" t="n">
        <v>-1367</v>
      </c>
      <c r="X2322" s="7" t="n">
        <v>7152</v>
      </c>
      <c r="Y2322" s="8" t="n">
        <v>-2558</v>
      </c>
      <c r="Z2322" s="8" t="n">
        <v>-4700</v>
      </c>
      <c r="AA2322" s="9" t="n">
        <v>7529</v>
      </c>
      <c r="AB2322" s="10" t="n">
        <v>-2185</v>
      </c>
      <c r="AC2322" s="10" t="n">
        <v>-2222</v>
      </c>
      <c r="AD2322" s="7" t="n">
        <v>8634</v>
      </c>
      <c r="AE2322" s="8" t="n">
        <v>-2968</v>
      </c>
      <c r="AF2322" s="8" t="n">
        <v>-5157</v>
      </c>
      <c r="AG2322" s="9" t="n">
        <v>7123</v>
      </c>
      <c r="AH2322" s="10" t="n">
        <v>-2382</v>
      </c>
      <c r="AI2322" s="10" t="n">
        <v>-2180</v>
      </c>
      <c r="AJ2322" s="11" t="inlineStr"/>
      <c r="AK2322" s="12" t="n">
        <v>-1058</v>
      </c>
      <c r="AL2322" s="12" t="n">
        <v>-999</v>
      </c>
      <c r="AM2322" s="13" t="inlineStr"/>
      <c r="AN2322" s="13" t="inlineStr"/>
      <c r="AO2322" s="13" t="n">
        <v>55.6</v>
      </c>
      <c r="AP2322" s="13" t="n">
        <v>58.6</v>
      </c>
    </row>
    <row r="2323">
      <c r="A2323" s="5" t="inlineStr">
        <is>
          <t>퓨런티어</t>
        </is>
      </c>
      <c r="B2323" s="6" t="inlineStr">
        <is>
          <t>370090</t>
        </is>
      </c>
      <c r="C2323" s="6" t="inlineStr">
        <is>
          <t>별도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9824</v>
      </c>
      <c r="J2323" s="10" t="n">
        <v>34</v>
      </c>
      <c r="K2323" s="10" t="n">
        <v>897</v>
      </c>
      <c r="L2323" s="7" t="n">
        <v>10023</v>
      </c>
      <c r="M2323" s="8" t="n">
        <v>2937</v>
      </c>
      <c r="N2323" s="8" t="n">
        <v>2874</v>
      </c>
      <c r="O2323" s="9" t="n">
        <v>3023</v>
      </c>
      <c r="P2323" s="10" t="n">
        <v>-2858</v>
      </c>
      <c r="Q2323" s="10" t="n">
        <v>-2749</v>
      </c>
      <c r="R2323" s="7" t="n">
        <v>2471</v>
      </c>
      <c r="S2323" s="8" t="n">
        <v>-3864</v>
      </c>
      <c r="T2323" s="8" t="n">
        <v>-959</v>
      </c>
      <c r="U2323" s="9" t="n">
        <v>1968</v>
      </c>
      <c r="V2323" s="10" t="n">
        <v>-2076</v>
      </c>
      <c r="W2323" s="10" t="n">
        <v>-1382</v>
      </c>
      <c r="X2323" s="7" t="n">
        <v>5210</v>
      </c>
      <c r="Y2323" s="8" t="n">
        <v>-1388</v>
      </c>
      <c r="Z2323" s="8" t="n">
        <v>-1020</v>
      </c>
      <c r="AA2323" s="9" t="n">
        <v>1914</v>
      </c>
      <c r="AB2323" s="10" t="n">
        <v>-1981</v>
      </c>
      <c r="AC2323" s="10" t="n">
        <v>-1338</v>
      </c>
      <c r="AD2323" s="7" t="n">
        <v>3052</v>
      </c>
      <c r="AE2323" s="8" t="n">
        <v>-1718</v>
      </c>
      <c r="AF2323" s="8" t="n">
        <v>-2414</v>
      </c>
      <c r="AG2323" s="9" t="n">
        <v>3381</v>
      </c>
      <c r="AH2323" s="10" t="n">
        <v>-1435</v>
      </c>
      <c r="AI2323" s="10" t="n">
        <v>-1127</v>
      </c>
      <c r="AJ2323" s="11" t="n">
        <v>8628</v>
      </c>
      <c r="AK2323" s="12" t="n">
        <v>-494</v>
      </c>
      <c r="AL2323" s="12" t="n">
        <v>-135</v>
      </c>
      <c r="AM2323" s="13" t="n">
        <v>155.2</v>
      </c>
      <c r="AN2323" s="13" t="n">
        <v>65.59999999999999</v>
      </c>
      <c r="AO2323" s="13" t="n">
        <v>65.59999999999999</v>
      </c>
      <c r="AP2323" s="13" t="n">
        <v>64.40000000000001</v>
      </c>
    </row>
    <row r="2324">
      <c r="A2324" s="5" t="inlineStr">
        <is>
          <t>풍원정밀</t>
        </is>
      </c>
      <c r="B2324" s="6" t="inlineStr">
        <is>
          <t>371950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12802</v>
      </c>
      <c r="J2324" s="10" t="n">
        <v>-3607</v>
      </c>
      <c r="K2324" s="10" t="n">
        <v>-5799</v>
      </c>
      <c r="L2324" s="7" t="n">
        <v>19173</v>
      </c>
      <c r="M2324" s="8" t="n">
        <v>-4304</v>
      </c>
      <c r="N2324" s="8" t="n">
        <v>-22505</v>
      </c>
      <c r="O2324" s="9" t="n">
        <v>8435</v>
      </c>
      <c r="P2324" s="10" t="n">
        <v>-3407</v>
      </c>
      <c r="Q2324" s="10" t="n">
        <v>-418</v>
      </c>
      <c r="R2324" s="7" t="n">
        <v>8853</v>
      </c>
      <c r="S2324" s="8" t="n">
        <v>-6930</v>
      </c>
      <c r="T2324" s="8" t="n">
        <v>-1410</v>
      </c>
      <c r="U2324" s="9" t="n">
        <v>4569</v>
      </c>
      <c r="V2324" s="10" t="n">
        <v>-5011</v>
      </c>
      <c r="W2324" s="10" t="n">
        <v>-5872</v>
      </c>
      <c r="X2324" s="7" t="n">
        <v>10027</v>
      </c>
      <c r="Y2324" s="8" t="n">
        <v>-2573</v>
      </c>
      <c r="Z2324" s="8" t="n">
        <v>-3432</v>
      </c>
      <c r="AA2324" s="9" t="n">
        <v>7718</v>
      </c>
      <c r="AB2324" s="10" t="n">
        <v>-4461</v>
      </c>
      <c r="AC2324" s="10" t="n">
        <v>-6283</v>
      </c>
      <c r="AD2324" s="7" t="n">
        <v>10049</v>
      </c>
      <c r="AE2324" s="8" t="n">
        <v>-7889</v>
      </c>
      <c r="AF2324" s="8" t="n">
        <v>-7996</v>
      </c>
      <c r="AG2324" s="9" t="n">
        <v>8988</v>
      </c>
      <c r="AH2324" s="10" t="n">
        <v>-3008</v>
      </c>
      <c r="AI2324" s="10" t="n">
        <v>-3976</v>
      </c>
      <c r="AJ2324" s="11" t="n">
        <v>10201</v>
      </c>
      <c r="AK2324" s="12" t="n">
        <v>-4544</v>
      </c>
      <c r="AL2324" s="12" t="n">
        <v>-4008</v>
      </c>
      <c r="AM2324" s="13" t="n">
        <v>13.5</v>
      </c>
      <c r="AN2324" s="13" t="n">
        <v>1.7</v>
      </c>
      <c r="AO2324" s="13" t="n">
        <v>-51.1</v>
      </c>
      <c r="AP2324" s="13" t="n">
        <v>-76.59999999999999</v>
      </c>
    </row>
    <row r="2325">
      <c r="A2325" s="5" t="inlineStr">
        <is>
          <t>윤성에프앤씨</t>
        </is>
      </c>
      <c r="B2325" s="6" t="inlineStr">
        <is>
          <t>372170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90326</v>
      </c>
      <c r="J2325" s="10" t="n">
        <v>9393</v>
      </c>
      <c r="K2325" s="10" t="n">
        <v>12955</v>
      </c>
      <c r="L2325" s="7" t="n">
        <v>68327</v>
      </c>
      <c r="M2325" s="8" t="n">
        <v>8055</v>
      </c>
      <c r="N2325" s="8" t="n">
        <v>8910</v>
      </c>
      <c r="O2325" s="9" t="n">
        <v>35980</v>
      </c>
      <c r="P2325" s="10" t="n">
        <v>864</v>
      </c>
      <c r="Q2325" s="10" t="n">
        <v>-2769</v>
      </c>
      <c r="R2325" s="7" t="n">
        <v>76700</v>
      </c>
      <c r="S2325" s="8" t="n">
        <v>13602</v>
      </c>
      <c r="T2325" s="8" t="n">
        <v>17998</v>
      </c>
      <c r="U2325" s="9" t="n">
        <v>29796</v>
      </c>
      <c r="V2325" s="10" t="n">
        <v>-591</v>
      </c>
      <c r="W2325" s="10" t="n">
        <v>571</v>
      </c>
      <c r="X2325" s="7" t="n">
        <v>28904</v>
      </c>
      <c r="Y2325" s="8" t="n">
        <v>-5611</v>
      </c>
      <c r="Z2325" s="8" t="n">
        <v>-9447</v>
      </c>
      <c r="AA2325" s="9" t="n">
        <v>16380</v>
      </c>
      <c r="AB2325" s="10" t="n">
        <v>-10855</v>
      </c>
      <c r="AC2325" s="10" t="n">
        <v>-8148</v>
      </c>
      <c r="AD2325" s="7" t="n">
        <v>25095</v>
      </c>
      <c r="AE2325" s="8" t="n">
        <v>-14585</v>
      </c>
      <c r="AF2325" s="8" t="n">
        <v>-2136</v>
      </c>
      <c r="AG2325" s="9" t="n">
        <v>21913</v>
      </c>
      <c r="AH2325" s="10" t="n">
        <v>-1482</v>
      </c>
      <c r="AI2325" s="10" t="n">
        <v>976</v>
      </c>
      <c r="AJ2325" s="11" t="n">
        <v>59822</v>
      </c>
      <c r="AK2325" s="12" t="n">
        <v>17074</v>
      </c>
      <c r="AL2325" s="12" t="n">
        <v>15990</v>
      </c>
      <c r="AM2325" s="13" t="n">
        <v>173</v>
      </c>
      <c r="AN2325" s="13" t="n">
        <v>107</v>
      </c>
      <c r="AO2325" s="13" t="n">
        <v>1252.1</v>
      </c>
      <c r="AP2325" s="13" t="n">
        <v>404.3</v>
      </c>
    </row>
    <row r="2326">
      <c r="A2326" s="5" t="inlineStr">
        <is>
          <t>큐로셀</t>
        </is>
      </c>
      <c r="B2326" s="6" t="inlineStr">
        <is>
          <t>372320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0</v>
      </c>
      <c r="J2326" s="10" t="n">
        <v>-9007</v>
      </c>
      <c r="K2326" s="10" t="n">
        <v>-9547</v>
      </c>
      <c r="L2326" s="7" t="n">
        <v>0</v>
      </c>
      <c r="M2326" s="8" t="n">
        <v>-7535</v>
      </c>
      <c r="N2326" s="8" t="n">
        <v>-7800</v>
      </c>
      <c r="O2326" s="9" t="n">
        <v>0</v>
      </c>
      <c r="P2326" s="10" t="n">
        <v>-10037</v>
      </c>
      <c r="Q2326" s="10" t="n">
        <v>-10410</v>
      </c>
      <c r="R2326" s="7" t="n">
        <v>0</v>
      </c>
      <c r="S2326" s="8" t="n">
        <v>-10045</v>
      </c>
      <c r="T2326" s="8" t="n">
        <v>-10482</v>
      </c>
      <c r="U2326" s="9" t="n">
        <v>0</v>
      </c>
      <c r="V2326" s="10" t="n">
        <v>-6243</v>
      </c>
      <c r="W2326" s="10" t="n">
        <v>-6779</v>
      </c>
      <c r="X2326" s="7" t="n">
        <v>0</v>
      </c>
      <c r="Y2326" s="8" t="n">
        <v>-12150</v>
      </c>
      <c r="Z2326" s="8" t="n">
        <v>-11768</v>
      </c>
      <c r="AA2326" s="9" t="n">
        <v>0</v>
      </c>
      <c r="AB2326" s="10" t="n">
        <v>-9189</v>
      </c>
      <c r="AC2326" s="10" t="n">
        <v>-10229</v>
      </c>
      <c r="AD2326" s="7" t="n">
        <v>0</v>
      </c>
      <c r="AE2326" s="8" t="n">
        <v>-8708</v>
      </c>
      <c r="AF2326" s="8" t="n">
        <v>-17529</v>
      </c>
      <c r="AG2326" s="9" t="n">
        <v>0</v>
      </c>
      <c r="AH2326" s="10" t="n">
        <v>-7799</v>
      </c>
      <c r="AI2326" s="10" t="n">
        <v>-8676</v>
      </c>
      <c r="AJ2326" s="11" t="n">
        <v>0</v>
      </c>
      <c r="AK2326" s="12" t="n">
        <v>-9739</v>
      </c>
      <c r="AL2326" s="12" t="n">
        <v>-17647</v>
      </c>
      <c r="AM2326" s="13" t="inlineStr"/>
      <c r="AN2326" s="13" t="inlineStr"/>
      <c r="AO2326" s="13" t="n">
        <v>-24.9</v>
      </c>
      <c r="AP2326" s="13" t="n">
        <v>19.8</v>
      </c>
    </row>
    <row r="2327">
      <c r="A2327" s="5" t="inlineStr">
        <is>
          <t>아이티아이즈</t>
        </is>
      </c>
      <c r="B2327" s="6" t="inlineStr">
        <is>
          <t>372800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16596</v>
      </c>
      <c r="J2327" s="10" t="n">
        <v>238</v>
      </c>
      <c r="K2327" s="10" t="n">
        <v>268</v>
      </c>
      <c r="L2327" s="7" t="n">
        <v>18237</v>
      </c>
      <c r="M2327" s="8" t="n">
        <v>270</v>
      </c>
      <c r="N2327" s="8" t="n">
        <v>2093</v>
      </c>
      <c r="O2327" s="9" t="n">
        <v>18312</v>
      </c>
      <c r="P2327" s="10" t="n">
        <v>-1818</v>
      </c>
      <c r="Q2327" s="10" t="n">
        <v>-1950</v>
      </c>
      <c r="R2327" s="7" t="n">
        <v>26433</v>
      </c>
      <c r="S2327" s="8" t="n">
        <v>1477</v>
      </c>
      <c r="T2327" s="8" t="n">
        <v>830</v>
      </c>
      <c r="U2327" s="9" t="n">
        <v>21295</v>
      </c>
      <c r="V2327" s="10" t="n">
        <v>-1092</v>
      </c>
      <c r="W2327" s="10" t="n">
        <v>-2838</v>
      </c>
      <c r="X2327" s="7" t="n">
        <v>20494</v>
      </c>
      <c r="Y2327" s="8" t="n">
        <v>314</v>
      </c>
      <c r="Z2327" s="8" t="n">
        <v>-3297</v>
      </c>
      <c r="AA2327" s="9" t="n">
        <v>20058</v>
      </c>
      <c r="AB2327" s="10" t="n">
        <v>-296</v>
      </c>
      <c r="AC2327" s="10" t="n">
        <v>-259</v>
      </c>
      <c r="AD2327" s="7" t="n">
        <v>16207</v>
      </c>
      <c r="AE2327" s="8" t="n">
        <v>-4321</v>
      </c>
      <c r="AF2327" s="8" t="n">
        <v>-3947</v>
      </c>
      <c r="AG2327" s="9" t="n">
        <v>18696</v>
      </c>
      <c r="AH2327" s="10" t="n">
        <v>-2769</v>
      </c>
      <c r="AI2327" s="10" t="n">
        <v>-2960</v>
      </c>
      <c r="AJ2327" s="11" t="n">
        <v>12933</v>
      </c>
      <c r="AK2327" s="12" t="n">
        <v>-2997</v>
      </c>
      <c r="AL2327" s="12" t="n">
        <v>-2106</v>
      </c>
      <c r="AM2327" s="13" t="n">
        <v>-30.8</v>
      </c>
      <c r="AN2327" s="13" t="n">
        <v>-36.9</v>
      </c>
      <c r="AO2327" s="13" t="n">
        <v>-8.199999999999999</v>
      </c>
      <c r="AP2327" s="13" t="n">
        <v>-1054.5</v>
      </c>
    </row>
    <row r="2328">
      <c r="A2328" s="5" t="inlineStr">
        <is>
          <t>한컴라이프케어</t>
        </is>
      </c>
      <c r="B2328" s="6" t="inlineStr">
        <is>
          <t>372910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13637</v>
      </c>
      <c r="J2328" s="10" t="n">
        <v>-847</v>
      </c>
      <c r="K2328" s="10" t="n">
        <v>-432</v>
      </c>
      <c r="L2328" s="7" t="n">
        <v>36284</v>
      </c>
      <c r="M2328" s="8" t="n">
        <v>6854</v>
      </c>
      <c r="N2328" s="8" t="n">
        <v>5171</v>
      </c>
      <c r="O2328" s="9" t="n">
        <v>23551</v>
      </c>
      <c r="P2328" s="10" t="n">
        <v>342</v>
      </c>
      <c r="Q2328" s="10" t="n">
        <v>-93</v>
      </c>
      <c r="R2328" s="7" t="n">
        <v>31304</v>
      </c>
      <c r="S2328" s="8" t="n">
        <v>1140</v>
      </c>
      <c r="T2328" s="8" t="n">
        <v>2690</v>
      </c>
      <c r="U2328" s="9" t="n">
        <v>6644</v>
      </c>
      <c r="V2328" s="10" t="n">
        <v>-3443</v>
      </c>
      <c r="W2328" s="10" t="n">
        <v>-2813</v>
      </c>
      <c r="X2328" s="7" t="n">
        <v>27094</v>
      </c>
      <c r="Y2328" s="8" t="n">
        <v>2842</v>
      </c>
      <c r="Z2328" s="8" t="n">
        <v>56</v>
      </c>
      <c r="AA2328" s="9" t="n">
        <v>23571</v>
      </c>
      <c r="AB2328" s="10" t="n">
        <v>2992</v>
      </c>
      <c r="AC2328" s="10" t="n">
        <v>2326</v>
      </c>
      <c r="AD2328" s="7" t="n">
        <v>34779</v>
      </c>
      <c r="AE2328" s="8" t="n">
        <v>-3118</v>
      </c>
      <c r="AF2328" s="8" t="n">
        <v>-7235</v>
      </c>
      <c r="AG2328" s="9" t="n">
        <v>5989</v>
      </c>
      <c r="AH2328" s="10" t="n">
        <v>-3814</v>
      </c>
      <c r="AI2328" s="10" t="n">
        <v>-2231</v>
      </c>
      <c r="AJ2328" s="11" t="n">
        <v>55074</v>
      </c>
      <c r="AK2328" s="12" t="n">
        <v>7609</v>
      </c>
      <c r="AL2328" s="12" t="n">
        <v>6819</v>
      </c>
      <c r="AM2328" s="13" t="n">
        <v>819.6</v>
      </c>
      <c r="AN2328" s="13" t="n">
        <v>103.3</v>
      </c>
      <c r="AO2328" s="13" t="n">
        <v>299.5</v>
      </c>
      <c r="AP2328" s="13" t="n">
        <v>167.7</v>
      </c>
    </row>
    <row r="2329">
      <c r="A2329" s="5" t="inlineStr">
        <is>
          <t>엑셀세라퓨틱스</t>
        </is>
      </c>
      <c r="B2329" s="6" t="inlineStr">
        <is>
          <t>373110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522</v>
      </c>
      <c r="J2329" s="10" t="n">
        <v>-2057</v>
      </c>
      <c r="K2329" s="10" t="n">
        <v>-2266</v>
      </c>
      <c r="L2329" s="7" t="n">
        <v>478</v>
      </c>
      <c r="M2329" s="8" t="n">
        <v>-2070</v>
      </c>
      <c r="N2329" s="8" t="n">
        <v>-2143</v>
      </c>
      <c r="O2329" s="9" t="n">
        <v>458</v>
      </c>
      <c r="P2329" s="10" t="n">
        <v>-2703</v>
      </c>
      <c r="Q2329" s="10" t="n">
        <v>-2687</v>
      </c>
      <c r="R2329" s="7" t="n">
        <v>476</v>
      </c>
      <c r="S2329" s="8" t="n">
        <v>-2500</v>
      </c>
      <c r="T2329" s="8" t="n">
        <v>-2447</v>
      </c>
      <c r="U2329" s="9" t="n">
        <v>330</v>
      </c>
      <c r="V2329" s="10" t="n">
        <v>-2558</v>
      </c>
      <c r="W2329" s="10" t="n">
        <v>-2550</v>
      </c>
      <c r="X2329" s="7" t="n">
        <v>221</v>
      </c>
      <c r="Y2329" s="8" t="n">
        <v>-2662</v>
      </c>
      <c r="Z2329" s="8" t="n">
        <v>-2702</v>
      </c>
      <c r="AA2329" s="9" t="n">
        <v>335</v>
      </c>
      <c r="AB2329" s="10" t="n">
        <v>-2375</v>
      </c>
      <c r="AC2329" s="10" t="n">
        <v>-2310</v>
      </c>
      <c r="AD2329" s="7" t="n">
        <v>1063</v>
      </c>
      <c r="AE2329" s="8" t="n">
        <v>-3257</v>
      </c>
      <c r="AF2329" s="8" t="n">
        <v>-3365</v>
      </c>
      <c r="AG2329" s="9" t="n">
        <v>1022</v>
      </c>
      <c r="AH2329" s="10" t="n">
        <v>-2914</v>
      </c>
      <c r="AI2329" s="10" t="n">
        <v>-2929</v>
      </c>
      <c r="AJ2329" s="11" t="n">
        <v>1937</v>
      </c>
      <c r="AK2329" s="12" t="n">
        <v>-2754</v>
      </c>
      <c r="AL2329" s="12" t="n">
        <v>-2762</v>
      </c>
      <c r="AM2329" s="13" t="n">
        <v>89.5</v>
      </c>
      <c r="AN2329" s="13" t="n">
        <v>776.5</v>
      </c>
      <c r="AO2329" s="13" t="n">
        <v>5.5</v>
      </c>
      <c r="AP2329" s="13" t="n">
        <v>-3.5</v>
      </c>
    </row>
    <row r="2330">
      <c r="A2330" s="5" t="inlineStr">
        <is>
          <t>데이원컴퍼니</t>
        </is>
      </c>
      <c r="B2330" s="6" t="inlineStr">
        <is>
          <t>373160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inlineStr"/>
      <c r="J2330" s="10" t="inlineStr"/>
      <c r="K2330" s="10" t="inlineStr"/>
      <c r="L2330" s="7" t="inlineStr"/>
      <c r="M2330" s="8" t="inlineStr"/>
      <c r="N2330" s="8" t="inlineStr"/>
      <c r="O2330" s="9" t="inlineStr"/>
      <c r="P2330" s="10" t="inlineStr"/>
      <c r="Q2330" s="10" t="inlineStr"/>
      <c r="R2330" s="7" t="inlineStr"/>
      <c r="S2330" s="8" t="inlineStr"/>
      <c r="T2330" s="8" t="inlineStr"/>
      <c r="U2330" s="9" t="n">
        <v>27095</v>
      </c>
      <c r="V2330" s="10" t="n">
        <v>-1284</v>
      </c>
      <c r="W2330" s="10" t="n">
        <v>-1186</v>
      </c>
      <c r="X2330" s="7" t="n">
        <v>29183</v>
      </c>
      <c r="Y2330" s="8" t="n">
        <v>405</v>
      </c>
      <c r="Z2330" s="8" t="n">
        <v>249</v>
      </c>
      <c r="AA2330" s="9" t="n">
        <v>33697</v>
      </c>
      <c r="AB2330" s="10" t="n">
        <v>3427</v>
      </c>
      <c r="AC2330" s="10" t="n">
        <v>3572</v>
      </c>
      <c r="AD2330" s="7" t="n">
        <v>33885</v>
      </c>
      <c r="AE2330" s="8" t="n">
        <v>2024</v>
      </c>
      <c r="AF2330" s="8" t="n">
        <v>2105</v>
      </c>
      <c r="AG2330" s="9" t="n">
        <v>30319</v>
      </c>
      <c r="AH2330" s="10" t="n">
        <v>388</v>
      </c>
      <c r="AI2330" s="10" t="n">
        <v>694</v>
      </c>
      <c r="AJ2330" s="11" t="n">
        <v>26788</v>
      </c>
      <c r="AK2330" s="12" t="n">
        <v>-3043</v>
      </c>
      <c r="AL2330" s="12" t="n">
        <v>-3221</v>
      </c>
      <c r="AM2330" s="13" t="n">
        <v>-11.6</v>
      </c>
      <c r="AN2330" s="13" t="n">
        <v>-8.199999999999999</v>
      </c>
      <c r="AO2330" s="13" t="n">
        <v>-884.3</v>
      </c>
      <c r="AP2330" s="13" t="n">
        <v>-851.4</v>
      </c>
    </row>
    <row r="2331">
      <c r="A2331" s="5" t="inlineStr">
        <is>
          <t>엠아이큐브솔루션</t>
        </is>
      </c>
      <c r="B2331" s="6" t="inlineStr">
        <is>
          <t>373170</t>
        </is>
      </c>
      <c r="C2331" s="6" t="inlineStr">
        <is>
          <t>별도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7450</v>
      </c>
      <c r="J2331" s="10" t="n">
        <v>76</v>
      </c>
      <c r="K2331" s="10" t="n">
        <v>306</v>
      </c>
      <c r="L2331" s="7" t="n">
        <v>6409</v>
      </c>
      <c r="M2331" s="8" t="n">
        <v>-1066</v>
      </c>
      <c r="N2331" s="8" t="n">
        <v>-829</v>
      </c>
      <c r="O2331" s="9" t="n">
        <v>7658</v>
      </c>
      <c r="P2331" s="10" t="n">
        <v>514</v>
      </c>
      <c r="Q2331" s="10" t="n">
        <v>627</v>
      </c>
      <c r="R2331" s="7" t="n">
        <v>8119</v>
      </c>
      <c r="S2331" s="8" t="n">
        <v>-594</v>
      </c>
      <c r="T2331" s="8" t="n">
        <v>-247</v>
      </c>
      <c r="U2331" s="9" t="n">
        <v>6050</v>
      </c>
      <c r="V2331" s="10" t="n">
        <v>-618</v>
      </c>
      <c r="W2331" s="10" t="n">
        <v>-494</v>
      </c>
      <c r="X2331" s="7" t="n">
        <v>7410</v>
      </c>
      <c r="Y2331" s="8" t="n">
        <v>-236</v>
      </c>
      <c r="Z2331" s="8" t="n">
        <v>-25</v>
      </c>
      <c r="AA2331" s="9" t="n">
        <v>6109</v>
      </c>
      <c r="AB2331" s="10" t="n">
        <v>160</v>
      </c>
      <c r="AC2331" s="10" t="n">
        <v>374</v>
      </c>
      <c r="AD2331" s="7" t="n">
        <v>6051</v>
      </c>
      <c r="AE2331" s="8" t="n">
        <v>1580</v>
      </c>
      <c r="AF2331" s="8" t="n">
        <v>1776</v>
      </c>
      <c r="AG2331" s="9" t="n">
        <v>4438</v>
      </c>
      <c r="AH2331" s="10" t="n">
        <v>-838</v>
      </c>
      <c r="AI2331" s="10" t="n">
        <v>-660</v>
      </c>
      <c r="AJ2331" s="11" t="n">
        <v>5801</v>
      </c>
      <c r="AK2331" s="12" t="n">
        <v>-319</v>
      </c>
      <c r="AL2331" s="12" t="n">
        <v>-161</v>
      </c>
      <c r="AM2331" s="13" t="n">
        <v>30.7</v>
      </c>
      <c r="AN2331" s="13" t="n">
        <v>-21.7</v>
      </c>
      <c r="AO2331" s="13" t="n">
        <v>61.9</v>
      </c>
      <c r="AP2331" s="13" t="n">
        <v>-35.2</v>
      </c>
    </row>
    <row r="2332">
      <c r="A2332" s="5" t="inlineStr">
        <is>
          <t>엑스플러스</t>
        </is>
      </c>
      <c r="B2332" s="6" t="inlineStr">
        <is>
          <t>373200</t>
        </is>
      </c>
      <c r="C2332" s="6" t="inlineStr">
        <is>
          <t>연결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2987</v>
      </c>
      <c r="J2332" s="10" t="n">
        <v>-717</v>
      </c>
      <c r="K2332" s="10" t="n">
        <v>-1367</v>
      </c>
      <c r="L2332" s="7" t="n">
        <v>2952</v>
      </c>
      <c r="M2332" s="8" t="n">
        <v>-2354</v>
      </c>
      <c r="N2332" s="8" t="n">
        <v>-718</v>
      </c>
      <c r="O2332" s="9" t="n">
        <v>3599</v>
      </c>
      <c r="P2332" s="10" t="n">
        <v>45</v>
      </c>
      <c r="Q2332" s="10" t="n">
        <v>-523</v>
      </c>
      <c r="R2332" s="7" t="n">
        <v>889</v>
      </c>
      <c r="S2332" s="8" t="n">
        <v>-865</v>
      </c>
      <c r="T2332" s="8" t="n">
        <v>497</v>
      </c>
      <c r="U2332" s="9" t="n">
        <v>1145</v>
      </c>
      <c r="V2332" s="10" t="n">
        <v>-455</v>
      </c>
      <c r="W2332" s="10" t="n">
        <v>-912</v>
      </c>
      <c r="X2332" s="7" t="n">
        <v>2534</v>
      </c>
      <c r="Y2332" s="8" t="n">
        <v>-1729</v>
      </c>
      <c r="Z2332" s="8" t="n">
        <v>-770</v>
      </c>
      <c r="AA2332" s="9" t="n">
        <v>5021</v>
      </c>
      <c r="AB2332" s="10" t="n">
        <v>-753</v>
      </c>
      <c r="AC2332" s="10" t="n">
        <v>-5483</v>
      </c>
      <c r="AD2332" s="7" t="n">
        <v>1377</v>
      </c>
      <c r="AE2332" s="8" t="n">
        <v>-2219</v>
      </c>
      <c r="AF2332" s="8" t="n">
        <v>4876</v>
      </c>
      <c r="AG2332" s="9" t="n">
        <v>3930</v>
      </c>
      <c r="AH2332" s="10" t="n">
        <v>-1078</v>
      </c>
      <c r="AI2332" s="10" t="n">
        <v>-3394</v>
      </c>
      <c r="AJ2332" s="11" t="n">
        <v>2659</v>
      </c>
      <c r="AK2332" s="12" t="n">
        <v>-2290</v>
      </c>
      <c r="AL2332" s="12" t="n">
        <v>-3874</v>
      </c>
      <c r="AM2332" s="13" t="n">
        <v>-32.3</v>
      </c>
      <c r="AN2332" s="13" t="n">
        <v>4.9</v>
      </c>
      <c r="AO2332" s="13" t="n">
        <v>-112.4</v>
      </c>
      <c r="AP2332" s="13" t="n">
        <v>-32.4</v>
      </c>
    </row>
    <row r="2333">
      <c r="A2333" s="5" t="inlineStr">
        <is>
          <t>LG에너지솔루션</t>
        </is>
      </c>
      <c r="B2333" s="6" t="inlineStr">
        <is>
          <t>373220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8001400</v>
      </c>
      <c r="G2333" s="15" t="n">
        <v>338200</v>
      </c>
      <c r="H2333" s="15" t="n">
        <v>190300</v>
      </c>
      <c r="I2333" s="9" t="n">
        <v>6128714</v>
      </c>
      <c r="J2333" s="10" t="n">
        <v>157337</v>
      </c>
      <c r="K2333" s="10" t="n">
        <v>212052</v>
      </c>
      <c r="L2333" s="7" t="n">
        <v>6161866</v>
      </c>
      <c r="M2333" s="8" t="n">
        <v>195319</v>
      </c>
      <c r="N2333" s="8" t="n">
        <v>-23740</v>
      </c>
      <c r="O2333" s="9" t="n">
        <v>6877843</v>
      </c>
      <c r="P2333" s="10" t="n">
        <v>448259</v>
      </c>
      <c r="Q2333" s="10" t="n">
        <v>561307</v>
      </c>
      <c r="R2333" s="7" t="n">
        <v>6451162</v>
      </c>
      <c r="S2333" s="8" t="n">
        <v>-225528</v>
      </c>
      <c r="T2333" s="8" t="n">
        <v>-411017</v>
      </c>
      <c r="U2333" s="9" t="n">
        <v>6264995</v>
      </c>
      <c r="V2333" s="10" t="n">
        <v>374673</v>
      </c>
      <c r="W2333" s="10" t="n">
        <v>226573</v>
      </c>
      <c r="X2333" s="7" t="n">
        <v>5565408</v>
      </c>
      <c r="Y2333" s="8" t="n">
        <v>492159</v>
      </c>
      <c r="Z2333" s="8" t="n">
        <v>90605</v>
      </c>
      <c r="AA2333" s="9" t="n">
        <v>5699873</v>
      </c>
      <c r="AB2333" s="10" t="n">
        <v>601309</v>
      </c>
      <c r="AC2333" s="10" t="n">
        <v>536096</v>
      </c>
      <c r="AD2333" s="7" t="n">
        <v>6141483</v>
      </c>
      <c r="AE2333" s="8" t="n">
        <v>-122021</v>
      </c>
      <c r="AF2333" s="8" t="n">
        <v>-772471</v>
      </c>
      <c r="AG2333" s="9" t="n">
        <v>6554967</v>
      </c>
      <c r="AH2333" s="10" t="n">
        <v>-207755</v>
      </c>
      <c r="AI2333" s="10" t="n">
        <v>-944034</v>
      </c>
      <c r="AJ2333" s="11" t="n">
        <v>7560249</v>
      </c>
      <c r="AK2333" s="12" t="n">
        <v>113302</v>
      </c>
      <c r="AL2333" s="12" t="n">
        <v>-328644</v>
      </c>
      <c r="AM2333" s="13" t="n">
        <v>15.3</v>
      </c>
      <c r="AN2333" s="13" t="n">
        <v>35.8</v>
      </c>
      <c r="AO2333" s="13" t="n">
        <v>154.5</v>
      </c>
      <c r="AP2333" s="13" t="n">
        <v>-77</v>
      </c>
    </row>
    <row r="2334">
      <c r="A2334" s="5" t="inlineStr">
        <is>
          <t>DL이앤씨</t>
        </is>
      </c>
      <c r="B2334" s="6" t="inlineStr">
        <is>
          <t>375500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2336458</v>
      </c>
      <c r="G2334" s="15" t="n">
        <v>88749</v>
      </c>
      <c r="H2334" s="15" t="n">
        <v>5866</v>
      </c>
      <c r="I2334" s="9" t="n">
        <v>1890538</v>
      </c>
      <c r="J2334" s="10" t="n">
        <v>60892</v>
      </c>
      <c r="K2334" s="10" t="n">
        <v>25988</v>
      </c>
      <c r="L2334" s="7" t="n">
        <v>2070221</v>
      </c>
      <c r="M2334" s="8" t="n">
        <v>32570</v>
      </c>
      <c r="N2334" s="8" t="n">
        <v>40645</v>
      </c>
      <c r="O2334" s="9" t="n">
        <v>1918869</v>
      </c>
      <c r="P2334" s="10" t="n">
        <v>83343</v>
      </c>
      <c r="Q2334" s="10" t="n">
        <v>45278</v>
      </c>
      <c r="R2334" s="7" t="n">
        <v>2438814</v>
      </c>
      <c r="S2334" s="8" t="n">
        <v>94140</v>
      </c>
      <c r="T2334" s="8" t="n">
        <v>117313</v>
      </c>
      <c r="U2334" s="9" t="n">
        <v>1808165</v>
      </c>
      <c r="V2334" s="10" t="n">
        <v>80971</v>
      </c>
      <c r="W2334" s="10" t="n">
        <v>30245</v>
      </c>
      <c r="X2334" s="7" t="n">
        <v>1991446</v>
      </c>
      <c r="Y2334" s="8" t="n">
        <v>126206</v>
      </c>
      <c r="Z2334" s="8" t="n">
        <v>8291</v>
      </c>
      <c r="AA2334" s="9" t="n">
        <v>1906995</v>
      </c>
      <c r="AB2334" s="10" t="n">
        <v>116756</v>
      </c>
      <c r="AC2334" s="10" t="n">
        <v>126321</v>
      </c>
      <c r="AD2334" s="7" t="n">
        <v>1695819</v>
      </c>
      <c r="AE2334" s="8" t="n">
        <v>63020</v>
      </c>
      <c r="AF2334" s="8" t="n">
        <v>205332</v>
      </c>
      <c r="AG2334" s="9" t="n">
        <v>1725244</v>
      </c>
      <c r="AH2334" s="10" t="n">
        <v>157361</v>
      </c>
      <c r="AI2334" s="10" t="n">
        <v>160136</v>
      </c>
      <c r="AJ2334" s="11" t="n">
        <v>1802922</v>
      </c>
      <c r="AK2334" s="12" t="n">
        <v>159428</v>
      </c>
      <c r="AL2334" s="12" t="n">
        <v>129720</v>
      </c>
      <c r="AM2334" s="13" t="n">
        <v>4.5</v>
      </c>
      <c r="AN2334" s="13" t="n">
        <v>-9.5</v>
      </c>
      <c r="AO2334" s="13" t="n">
        <v>1.3</v>
      </c>
      <c r="AP2334" s="13" t="n">
        <v>26.3</v>
      </c>
    </row>
    <row r="2335">
      <c r="A2335" s="5" t="inlineStr">
        <is>
          <t>피코그램</t>
        </is>
      </c>
      <c r="B2335" s="6" t="inlineStr">
        <is>
          <t>376180</t>
        </is>
      </c>
      <c r="C2335" s="6" t="inlineStr">
        <is>
          <t>별도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7513</v>
      </c>
      <c r="J2335" s="10" t="n">
        <v>471</v>
      </c>
      <c r="K2335" s="10" t="n">
        <v>1011</v>
      </c>
      <c r="L2335" s="7" t="n">
        <v>8583</v>
      </c>
      <c r="M2335" s="8" t="n">
        <v>1280</v>
      </c>
      <c r="N2335" s="8" t="n">
        <v>2856</v>
      </c>
      <c r="O2335" s="9" t="n">
        <v>6803</v>
      </c>
      <c r="P2335" s="10" t="n">
        <v>25</v>
      </c>
      <c r="Q2335" s="10" t="n">
        <v>-1075</v>
      </c>
      <c r="R2335" s="7" t="n">
        <v>9245</v>
      </c>
      <c r="S2335" s="8" t="n">
        <v>1061</v>
      </c>
      <c r="T2335" s="8" t="n">
        <v>4335</v>
      </c>
      <c r="U2335" s="9" t="n">
        <v>8459</v>
      </c>
      <c r="V2335" s="10" t="n">
        <v>206</v>
      </c>
      <c r="W2335" s="10" t="n">
        <v>-4039</v>
      </c>
      <c r="X2335" s="7" t="n">
        <v>9945</v>
      </c>
      <c r="Y2335" s="8" t="n">
        <v>503</v>
      </c>
      <c r="Z2335" s="8" t="n">
        <v>1867</v>
      </c>
      <c r="AA2335" s="9" t="n">
        <v>6285</v>
      </c>
      <c r="AB2335" s="10" t="n">
        <v>-362</v>
      </c>
      <c r="AC2335" s="10" t="n">
        <v>217</v>
      </c>
      <c r="AD2335" s="7" t="n">
        <v>6184</v>
      </c>
      <c r="AE2335" s="8" t="n">
        <v>-1051</v>
      </c>
      <c r="AF2335" s="8" t="n">
        <v>858</v>
      </c>
      <c r="AG2335" s="9" t="n">
        <v>6602</v>
      </c>
      <c r="AH2335" s="10" t="n">
        <v>32</v>
      </c>
      <c r="AI2335" s="10" t="n">
        <v>820</v>
      </c>
      <c r="AJ2335" s="11" t="n">
        <v>8438</v>
      </c>
      <c r="AK2335" s="12" t="n">
        <v>1203</v>
      </c>
      <c r="AL2335" s="12" t="n">
        <v>2389</v>
      </c>
      <c r="AM2335" s="13" t="n">
        <v>27.8</v>
      </c>
      <c r="AN2335" s="13" t="n">
        <v>-15.2</v>
      </c>
      <c r="AO2335" s="13" t="n">
        <v>3659.4</v>
      </c>
      <c r="AP2335" s="13" t="n">
        <v>139.2</v>
      </c>
    </row>
    <row r="2336">
      <c r="A2336" s="5" t="inlineStr">
        <is>
          <t>HEM파마</t>
        </is>
      </c>
      <c r="B2336" s="6" t="inlineStr">
        <is>
          <t>376270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2588</v>
      </c>
      <c r="J2336" s="10" t="n">
        <v>-1737</v>
      </c>
      <c r="K2336" s="10" t="n">
        <v>-1728</v>
      </c>
      <c r="L2336" s="7" t="n">
        <v>2935</v>
      </c>
      <c r="M2336" s="8" t="n">
        <v>-1731</v>
      </c>
      <c r="N2336" s="8" t="n">
        <v>-1696</v>
      </c>
      <c r="O2336" s="9" t="n">
        <v>3224</v>
      </c>
      <c r="P2336" s="10" t="n">
        <v>-2227</v>
      </c>
      <c r="Q2336" s="10" t="n">
        <v>-2175</v>
      </c>
      <c r="R2336" s="7" t="n">
        <v>6320</v>
      </c>
      <c r="S2336" s="8" t="n">
        <v>-1987</v>
      </c>
      <c r="T2336" s="8" t="n">
        <v>-2047</v>
      </c>
      <c r="U2336" s="9" t="n">
        <v>3509</v>
      </c>
      <c r="V2336" s="10" t="n">
        <v>-2364</v>
      </c>
      <c r="W2336" s="10" t="n">
        <v>-2332</v>
      </c>
      <c r="X2336" s="7" t="n">
        <v>2845</v>
      </c>
      <c r="Y2336" s="8" t="n">
        <v>-2904</v>
      </c>
      <c r="Z2336" s="8" t="n">
        <v>-3288</v>
      </c>
      <c r="AA2336" s="9" t="n">
        <v>2956</v>
      </c>
      <c r="AB2336" s="10" t="n">
        <v>-3560</v>
      </c>
      <c r="AC2336" s="10" t="n">
        <v>-3545</v>
      </c>
      <c r="AD2336" s="7" t="n">
        <v>3669</v>
      </c>
      <c r="AE2336" s="8" t="n">
        <v>-6755</v>
      </c>
      <c r="AF2336" s="8" t="n">
        <v>-14559</v>
      </c>
      <c r="AG2336" s="9" t="n">
        <v>4941</v>
      </c>
      <c r="AH2336" s="10" t="n">
        <v>-3844</v>
      </c>
      <c r="AI2336" s="10" t="n">
        <v>-4043</v>
      </c>
      <c r="AJ2336" s="11" t="n">
        <v>4575</v>
      </c>
      <c r="AK2336" s="12" t="n">
        <v>-2859</v>
      </c>
      <c r="AL2336" s="12" t="n">
        <v>1405</v>
      </c>
      <c r="AM2336" s="13" t="n">
        <v>-7.4</v>
      </c>
      <c r="AN2336" s="13" t="n">
        <v>60.8</v>
      </c>
      <c r="AO2336" s="13" t="n">
        <v>25.6</v>
      </c>
      <c r="AP2336" s="13" t="n">
        <v>1.5</v>
      </c>
    </row>
    <row r="2337">
      <c r="A2337" s="5" t="inlineStr">
        <is>
          <t>씨유테크</t>
        </is>
      </c>
      <c r="B2337" s="6" t="inlineStr">
        <is>
          <t>376290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73016</v>
      </c>
      <c r="J2337" s="10" t="n">
        <v>3511</v>
      </c>
      <c r="K2337" s="10" t="n">
        <v>4583</v>
      </c>
      <c r="L2337" s="7" t="n">
        <v>61497</v>
      </c>
      <c r="M2337" s="8" t="n">
        <v>2384</v>
      </c>
      <c r="N2337" s="8" t="n">
        <v>3132</v>
      </c>
      <c r="O2337" s="9" t="n">
        <v>70025</v>
      </c>
      <c r="P2337" s="10" t="n">
        <v>2162</v>
      </c>
      <c r="Q2337" s="10" t="n">
        <v>-416</v>
      </c>
      <c r="R2337" s="7" t="n">
        <v>79633</v>
      </c>
      <c r="S2337" s="8" t="n">
        <v>3437</v>
      </c>
      <c r="T2337" s="8" t="n">
        <v>6269</v>
      </c>
      <c r="U2337" s="9" t="n">
        <v>51687</v>
      </c>
      <c r="V2337" s="10" t="n">
        <v>356</v>
      </c>
      <c r="W2337" s="10" t="n">
        <v>116</v>
      </c>
      <c r="X2337" s="7" t="n">
        <v>49770</v>
      </c>
      <c r="Y2337" s="8" t="n">
        <v>198</v>
      </c>
      <c r="Z2337" s="8" t="n">
        <v>-2826</v>
      </c>
      <c r="AA2337" s="9" t="n">
        <v>48404</v>
      </c>
      <c r="AB2337" s="10" t="n">
        <v>2087</v>
      </c>
      <c r="AC2337" s="10" t="n">
        <v>2863</v>
      </c>
      <c r="AD2337" s="7" t="n">
        <v>66652</v>
      </c>
      <c r="AE2337" s="8" t="n">
        <v>2779</v>
      </c>
      <c r="AF2337" s="8" t="n">
        <v>1211</v>
      </c>
      <c r="AG2337" s="9" t="n">
        <v>43375</v>
      </c>
      <c r="AH2337" s="10" t="n">
        <v>1722</v>
      </c>
      <c r="AI2337" s="10" t="n">
        <v>4042</v>
      </c>
      <c r="AJ2337" s="11" t="n">
        <v>47985</v>
      </c>
      <c r="AK2337" s="12" t="n">
        <v>1551</v>
      </c>
      <c r="AL2337" s="12" t="n">
        <v>2686</v>
      </c>
      <c r="AM2337" s="13" t="n">
        <v>10.6</v>
      </c>
      <c r="AN2337" s="13" t="n">
        <v>-3.6</v>
      </c>
      <c r="AO2337" s="13" t="n">
        <v>-9.9</v>
      </c>
      <c r="AP2337" s="13" t="n">
        <v>683.3</v>
      </c>
    </row>
    <row r="2338">
      <c r="A2338" s="5" t="inlineStr">
        <is>
          <t>디어유</t>
        </is>
      </c>
      <c r="B2338" s="6" t="inlineStr">
        <is>
          <t>376300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20280</v>
      </c>
      <c r="J2338" s="10" t="n">
        <v>7153</v>
      </c>
      <c r="K2338" s="10" t="n">
        <v>8947</v>
      </c>
      <c r="L2338" s="7" t="n">
        <v>19076</v>
      </c>
      <c r="M2338" s="8" t="n">
        <v>7051</v>
      </c>
      <c r="N2338" s="8" t="n">
        <v>6876</v>
      </c>
      <c r="O2338" s="9" t="n">
        <v>17736</v>
      </c>
      <c r="P2338" s="10" t="n">
        <v>6342</v>
      </c>
      <c r="Q2338" s="10" t="n">
        <v>3084</v>
      </c>
      <c r="R2338" s="7" t="n">
        <v>17772</v>
      </c>
      <c r="S2338" s="8" t="n">
        <v>4867</v>
      </c>
      <c r="T2338" s="8" t="n">
        <v>5481</v>
      </c>
      <c r="U2338" s="9" t="n">
        <v>17546</v>
      </c>
      <c r="V2338" s="10" t="n">
        <v>5481</v>
      </c>
      <c r="W2338" s="10" t="n">
        <v>5213</v>
      </c>
      <c r="X2338" s="7" t="n">
        <v>20184</v>
      </c>
      <c r="Y2338" s="8" t="n">
        <v>7442</v>
      </c>
      <c r="Z2338" s="8" t="n">
        <v>-6599</v>
      </c>
      <c r="AA2338" s="9" t="n">
        <v>22304</v>
      </c>
      <c r="AB2338" s="10" t="n">
        <v>8715</v>
      </c>
      <c r="AC2338" s="10" t="n">
        <v>9720</v>
      </c>
      <c r="AD2338" s="7" t="n">
        <v>23801</v>
      </c>
      <c r="AE2338" s="8" t="n">
        <v>9754</v>
      </c>
      <c r="AF2338" s="8" t="n">
        <v>10296</v>
      </c>
      <c r="AG2338" s="9" t="n">
        <v>23407</v>
      </c>
      <c r="AH2338" s="10" t="n">
        <v>9696</v>
      </c>
      <c r="AI2338" s="10" t="n">
        <v>11763</v>
      </c>
      <c r="AJ2338" s="11" t="n">
        <v>23352</v>
      </c>
      <c r="AK2338" s="12" t="n">
        <v>9406</v>
      </c>
      <c r="AL2338" s="12" t="n">
        <v>4532</v>
      </c>
      <c r="AM2338" s="13" t="n">
        <v>-0.2</v>
      </c>
      <c r="AN2338" s="13" t="n">
        <v>15.7</v>
      </c>
      <c r="AO2338" s="13" t="n">
        <v>-3</v>
      </c>
      <c r="AP2338" s="13" t="n">
        <v>26.4</v>
      </c>
    </row>
    <row r="2339">
      <c r="A2339" s="5" t="inlineStr">
        <is>
          <t>로킷헬스케어</t>
        </is>
      </c>
      <c r="B2339" s="6" t="inlineStr">
        <is>
          <t>376900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3292</v>
      </c>
      <c r="J2339" s="10" t="n">
        <v>-612</v>
      </c>
      <c r="K2339" s="10" t="n">
        <v>-604</v>
      </c>
      <c r="L2339" s="7" t="n">
        <v>3613</v>
      </c>
      <c r="M2339" s="8" t="n">
        <v>-1058</v>
      </c>
      <c r="N2339" s="8" t="n">
        <v>-469</v>
      </c>
      <c r="O2339" s="9" t="n">
        <v>2541</v>
      </c>
      <c r="P2339" s="10" t="n">
        <v>-1918</v>
      </c>
      <c r="Q2339" s="10" t="n">
        <v>-1749</v>
      </c>
      <c r="R2339" s="7" t="n">
        <v>3665</v>
      </c>
      <c r="S2339" s="8" t="n">
        <v>-1984</v>
      </c>
      <c r="T2339" s="8" t="n">
        <v>-4868</v>
      </c>
      <c r="U2339" s="9" t="n">
        <v>3695</v>
      </c>
      <c r="V2339" s="10" t="n">
        <v>-247</v>
      </c>
      <c r="W2339" s="10" t="n">
        <v>-352</v>
      </c>
      <c r="X2339" s="7" t="n">
        <v>6013</v>
      </c>
      <c r="Y2339" s="8" t="n">
        <v>22</v>
      </c>
      <c r="Z2339" s="8" t="n">
        <v>-980</v>
      </c>
      <c r="AA2339" s="9" t="n">
        <v>6955</v>
      </c>
      <c r="AB2339" s="10" t="n">
        <v>78</v>
      </c>
      <c r="AC2339" s="10" t="n">
        <v>-1166</v>
      </c>
      <c r="AD2339" s="7" t="n">
        <v>9584</v>
      </c>
      <c r="AE2339" s="8" t="n">
        <v>600</v>
      </c>
      <c r="AF2339" s="8" t="n">
        <v>-307</v>
      </c>
      <c r="AG2339" s="9" t="n">
        <v>8059</v>
      </c>
      <c r="AH2339" s="10" t="n">
        <v>-2351</v>
      </c>
      <c r="AI2339" s="10" t="n">
        <v>-1876</v>
      </c>
      <c r="AJ2339" s="11" t="n">
        <v>8216</v>
      </c>
      <c r="AK2339" s="12" t="n">
        <v>-13453</v>
      </c>
      <c r="AL2339" s="12" t="n">
        <v>-9343</v>
      </c>
      <c r="AM2339" s="13" t="n">
        <v>1.9</v>
      </c>
      <c r="AN2339" s="13" t="n">
        <v>36.6</v>
      </c>
      <c r="AO2339" s="13" t="n">
        <v>-472.2</v>
      </c>
      <c r="AP2339" s="13" t="n">
        <v>-61250</v>
      </c>
    </row>
    <row r="2340">
      <c r="A2340" s="5" t="inlineStr">
        <is>
          <t>노을</t>
        </is>
      </c>
      <c r="B2340" s="6" t="inlineStr">
        <is>
          <t>376930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29</v>
      </c>
      <c r="J2340" s="10" t="n">
        <v>-3952</v>
      </c>
      <c r="K2340" s="10" t="n">
        <v>-3922</v>
      </c>
      <c r="L2340" s="7" t="n">
        <v>175</v>
      </c>
      <c r="M2340" s="8" t="n">
        <v>-7727</v>
      </c>
      <c r="N2340" s="8" t="n">
        <v>-7716</v>
      </c>
      <c r="O2340" s="9" t="n">
        <v>1359</v>
      </c>
      <c r="P2340" s="10" t="n">
        <v>-4388</v>
      </c>
      <c r="Q2340" s="10" t="n">
        <v>-4249</v>
      </c>
      <c r="R2340" s="7" t="n">
        <v>38</v>
      </c>
      <c r="S2340" s="8" t="n">
        <v>-6728</v>
      </c>
      <c r="T2340" s="8" t="n">
        <v>-6582</v>
      </c>
      <c r="U2340" s="9" t="n">
        <v>1393</v>
      </c>
      <c r="V2340" s="10" t="n">
        <v>-4445</v>
      </c>
      <c r="W2340" s="10" t="n">
        <v>-4324</v>
      </c>
      <c r="X2340" s="7" t="n">
        <v>1401</v>
      </c>
      <c r="Y2340" s="8" t="n">
        <v>-5005</v>
      </c>
      <c r="Z2340" s="8" t="n">
        <v>-5315</v>
      </c>
      <c r="AA2340" s="9" t="n">
        <v>1082</v>
      </c>
      <c r="AB2340" s="10" t="n">
        <v>-3939</v>
      </c>
      <c r="AC2340" s="10" t="n">
        <v>-3981</v>
      </c>
      <c r="AD2340" s="7" t="n">
        <v>1246</v>
      </c>
      <c r="AE2340" s="8" t="n">
        <v>-6690</v>
      </c>
      <c r="AF2340" s="8" t="n">
        <v>-6335</v>
      </c>
      <c r="AG2340" s="9" t="n">
        <v>322</v>
      </c>
      <c r="AH2340" s="10" t="n">
        <v>-4854</v>
      </c>
      <c r="AI2340" s="10" t="n">
        <v>-4658</v>
      </c>
      <c r="AJ2340" s="11" t="n">
        <v>1008</v>
      </c>
      <c r="AK2340" s="12" t="n">
        <v>-4802</v>
      </c>
      <c r="AL2340" s="12" t="n">
        <v>-4691</v>
      </c>
      <c r="AM2340" s="13" t="n">
        <v>213</v>
      </c>
      <c r="AN2340" s="13" t="n">
        <v>-28.1</v>
      </c>
      <c r="AO2340" s="13" t="n">
        <v>1.1</v>
      </c>
      <c r="AP2340" s="13" t="n">
        <v>4.1</v>
      </c>
    </row>
    <row r="2341">
      <c r="A2341" s="5" t="inlineStr">
        <is>
          <t>원티드랩</t>
        </is>
      </c>
      <c r="B2341" s="6" t="inlineStr">
        <is>
          <t>376980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n">
        <v>-774</v>
      </c>
      <c r="K2341" s="10" t="n">
        <v>-449</v>
      </c>
      <c r="L2341" s="7" t="inlineStr"/>
      <c r="M2341" s="8" t="n">
        <v>406</v>
      </c>
      <c r="N2341" s="8" t="n">
        <v>240</v>
      </c>
      <c r="O2341" s="9" t="inlineStr"/>
      <c r="P2341" s="10" t="n">
        <v>575</v>
      </c>
      <c r="Q2341" s="10" t="n">
        <v>747</v>
      </c>
      <c r="R2341" s="7" t="inlineStr"/>
      <c r="S2341" s="8" t="n">
        <v>-1025</v>
      </c>
      <c r="T2341" s="8" t="n">
        <v>-1772</v>
      </c>
      <c r="U2341" s="9" t="n">
        <v>7939</v>
      </c>
      <c r="V2341" s="10" t="n">
        <v>-1209</v>
      </c>
      <c r="W2341" s="10" t="n">
        <v>-1151</v>
      </c>
      <c r="X2341" s="7" t="n">
        <v>9664</v>
      </c>
      <c r="Y2341" s="8" t="n">
        <v>524</v>
      </c>
      <c r="Z2341" s="8" t="n">
        <v>1190</v>
      </c>
      <c r="AA2341" s="9" t="n">
        <v>9656</v>
      </c>
      <c r="AB2341" s="10" t="n">
        <v>535</v>
      </c>
      <c r="AC2341" s="10" t="n">
        <v>882</v>
      </c>
      <c r="AD2341" s="7" t="n">
        <v>10915</v>
      </c>
      <c r="AE2341" s="8" t="n">
        <v>1170</v>
      </c>
      <c r="AF2341" s="8" t="n">
        <v>361</v>
      </c>
      <c r="AG2341" s="9" t="n">
        <v>8900</v>
      </c>
      <c r="AH2341" s="10" t="n">
        <v>-983</v>
      </c>
      <c r="AI2341" s="10" t="n">
        <v>-1510</v>
      </c>
      <c r="AJ2341" s="11" t="n">
        <v>11735</v>
      </c>
      <c r="AK2341" s="12" t="n">
        <v>1717</v>
      </c>
      <c r="AL2341" s="12" t="n">
        <v>2261</v>
      </c>
      <c r="AM2341" s="13" t="n">
        <v>31.9</v>
      </c>
      <c r="AN2341" s="13" t="n">
        <v>21.4</v>
      </c>
      <c r="AO2341" s="13" t="n">
        <v>274.7</v>
      </c>
      <c r="AP2341" s="13" t="n">
        <v>227.7</v>
      </c>
    </row>
    <row r="2342">
      <c r="A2342" s="5" t="inlineStr">
        <is>
          <t>비트맥스</t>
        </is>
      </c>
      <c r="B2342" s="6" t="inlineStr">
        <is>
          <t>377030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10833</v>
      </c>
      <c r="J2342" s="10" t="n">
        <v>-5568</v>
      </c>
      <c r="K2342" s="10" t="n">
        <v>-5989</v>
      </c>
      <c r="L2342" s="7" t="n">
        <v>8052</v>
      </c>
      <c r="M2342" s="8" t="n">
        <v>-3843</v>
      </c>
      <c r="N2342" s="8" t="n">
        <v>-1972</v>
      </c>
      <c r="O2342" s="9" t="n">
        <v>8394</v>
      </c>
      <c r="P2342" s="10" t="n">
        <v>-4643</v>
      </c>
      <c r="Q2342" s="10" t="n">
        <v>-5132</v>
      </c>
      <c r="R2342" s="7" t="n">
        <v>9893</v>
      </c>
      <c r="S2342" s="8" t="n">
        <v>-4491</v>
      </c>
      <c r="T2342" s="8" t="n">
        <v>-13879</v>
      </c>
      <c r="U2342" s="9" t="n">
        <v>7675</v>
      </c>
      <c r="V2342" s="10" t="n">
        <v>-3416</v>
      </c>
      <c r="W2342" s="10" t="n">
        <v>-4353</v>
      </c>
      <c r="X2342" s="7" t="n">
        <v>6217</v>
      </c>
      <c r="Y2342" s="8" t="n">
        <v>-2741</v>
      </c>
      <c r="Z2342" s="8" t="n">
        <v>-65741</v>
      </c>
      <c r="AA2342" s="9" t="n">
        <v>6777</v>
      </c>
      <c r="AB2342" s="10" t="n">
        <v>-2570</v>
      </c>
      <c r="AC2342" s="10" t="n">
        <v>-5882</v>
      </c>
      <c r="AD2342" s="7" t="n">
        <v>6546</v>
      </c>
      <c r="AE2342" s="8" t="n">
        <v>-2132</v>
      </c>
      <c r="AF2342" s="8" t="n">
        <v>-20375</v>
      </c>
      <c r="AG2342" s="9" t="n">
        <v>6136</v>
      </c>
      <c r="AH2342" s="10" t="n">
        <v>-1105</v>
      </c>
      <c r="AI2342" s="10" t="n">
        <v>-16574</v>
      </c>
      <c r="AJ2342" s="11" t="n">
        <v>4532</v>
      </c>
      <c r="AK2342" s="12" t="n">
        <v>-779</v>
      </c>
      <c r="AL2342" s="12" t="n">
        <v>-9033</v>
      </c>
      <c r="AM2342" s="13" t="n">
        <v>-26.1</v>
      </c>
      <c r="AN2342" s="13" t="n">
        <v>-27.1</v>
      </c>
      <c r="AO2342" s="13" t="n">
        <v>29.5</v>
      </c>
      <c r="AP2342" s="13" t="n">
        <v>71.59999999999999</v>
      </c>
    </row>
    <row r="2343">
      <c r="A2343" s="5" t="inlineStr">
        <is>
          <t>디앤디플랫폼리츠</t>
        </is>
      </c>
      <c r="B2343" s="6" t="inlineStr">
        <is>
          <t>377190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inlineStr"/>
      <c r="J2343" s="10" t="inlineStr"/>
      <c r="K2343" s="10" t="inlineStr"/>
      <c r="L2343" s="7" t="inlineStr"/>
      <c r="M2343" s="8" t="n">
        <v>5638</v>
      </c>
      <c r="N2343" s="8" t="n">
        <v>1611</v>
      </c>
      <c r="O2343" s="9" t="inlineStr"/>
      <c r="P2343" s="10" t="inlineStr"/>
      <c r="Q2343" s="10" t="inlineStr"/>
      <c r="R2343" s="7" t="inlineStr"/>
      <c r="S2343" s="8" t="inlineStr"/>
      <c r="T2343" s="8" t="inlineStr"/>
      <c r="U2343" s="9" t="inlineStr"/>
      <c r="V2343" s="10" t="inlineStr"/>
      <c r="W2343" s="10" t="inlineStr"/>
      <c r="X2343" s="7" t="inlineStr"/>
      <c r="Y2343" s="8" t="n">
        <v>9468</v>
      </c>
      <c r="Z2343" s="8" t="n">
        <v>3070</v>
      </c>
      <c r="AA2343" s="9" t="inlineStr"/>
      <c r="AB2343" s="10" t="inlineStr"/>
      <c r="AC2343" s="10" t="inlineStr"/>
      <c r="AD2343" s="7" t="inlineStr"/>
      <c r="AE2343" s="8" t="inlineStr"/>
      <c r="AF2343" s="8" t="inlineStr"/>
      <c r="AG2343" s="9" t="inlineStr"/>
      <c r="AH2343" s="10" t="inlineStr"/>
      <c r="AI2343" s="10" t="inlineStr"/>
      <c r="AJ2343" s="11" t="n">
        <v>14771</v>
      </c>
      <c r="AK2343" s="12" t="n">
        <v>10441</v>
      </c>
      <c r="AL2343" s="12" t="n">
        <v>2635</v>
      </c>
      <c r="AM2343" s="13" t="inlineStr"/>
      <c r="AN2343" s="13" t="inlineStr"/>
      <c r="AO2343" s="13" t="inlineStr"/>
      <c r="AP2343" s="13" t="n">
        <v>10.3</v>
      </c>
    </row>
    <row r="2344">
      <c r="A2344" s="5" t="inlineStr">
        <is>
          <t>프롬바이오</t>
        </is>
      </c>
      <c r="B2344" s="6" t="inlineStr">
        <is>
          <t>377220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19426</v>
      </c>
      <c r="J2344" s="10" t="n">
        <v>-6403</v>
      </c>
      <c r="K2344" s="10" t="n">
        <v>-6609</v>
      </c>
      <c r="L2344" s="7" t="n">
        <v>15936</v>
      </c>
      <c r="M2344" s="8" t="n">
        <v>-3729</v>
      </c>
      <c r="N2344" s="8" t="n">
        <v>-2798</v>
      </c>
      <c r="O2344" s="9" t="n">
        <v>14409</v>
      </c>
      <c r="P2344" s="10" t="n">
        <v>-4292</v>
      </c>
      <c r="Q2344" s="10" t="n">
        <v>-4589</v>
      </c>
      <c r="R2344" s="7" t="n">
        <v>17411</v>
      </c>
      <c r="S2344" s="8" t="n">
        <v>-9846</v>
      </c>
      <c r="T2344" s="8" t="n">
        <v>-12234</v>
      </c>
      <c r="U2344" s="9" t="n">
        <v>18500</v>
      </c>
      <c r="V2344" s="10" t="n">
        <v>-2308</v>
      </c>
      <c r="W2344" s="10" t="n">
        <v>-2943</v>
      </c>
      <c r="X2344" s="7" t="n">
        <v>15857</v>
      </c>
      <c r="Y2344" s="8" t="n">
        <v>-3850</v>
      </c>
      <c r="Z2344" s="8" t="n">
        <v>-4621</v>
      </c>
      <c r="AA2344" s="9" t="n">
        <v>18298</v>
      </c>
      <c r="AB2344" s="10" t="n">
        <v>-4439</v>
      </c>
      <c r="AC2344" s="10" t="n">
        <v>-4889</v>
      </c>
      <c r="AD2344" s="7" t="n">
        <v>19507</v>
      </c>
      <c r="AE2344" s="8" t="n">
        <v>-8006</v>
      </c>
      <c r="AF2344" s="8" t="n">
        <v>-10750</v>
      </c>
      <c r="AG2344" s="9" t="n">
        <v>19170</v>
      </c>
      <c r="AH2344" s="10" t="n">
        <v>-3285</v>
      </c>
      <c r="AI2344" s="10" t="n">
        <v>-3690</v>
      </c>
      <c r="AJ2344" s="11" t="n">
        <v>14665</v>
      </c>
      <c r="AK2344" s="12" t="n">
        <v>-553</v>
      </c>
      <c r="AL2344" s="12" t="n">
        <v>-1200</v>
      </c>
      <c r="AM2344" s="13" t="n">
        <v>-23.5</v>
      </c>
      <c r="AN2344" s="13" t="n">
        <v>-7.5</v>
      </c>
      <c r="AO2344" s="13" t="n">
        <v>83.2</v>
      </c>
      <c r="AP2344" s="13" t="n">
        <v>85.59999999999999</v>
      </c>
    </row>
    <row r="2345">
      <c r="A2345" s="5" t="inlineStr">
        <is>
          <t>카카오페이</t>
        </is>
      </c>
      <c r="B2345" s="6" t="inlineStr">
        <is>
          <t>377300</t>
        </is>
      </c>
      <c r="C2345" s="6" t="inlineStr">
        <is>
          <t>연결</t>
        </is>
      </c>
      <c r="D2345" s="6" t="inlineStr">
        <is>
          <t>2026Q2</t>
        </is>
      </c>
      <c r="E2345" s="6" t="inlineStr">
        <is>
          <t>2023Q4</t>
        </is>
      </c>
      <c r="F2345" s="14" t="n">
        <v>166139</v>
      </c>
      <c r="G2345" s="15" t="n">
        <v>-21483</v>
      </c>
      <c r="H2345" s="15" t="n">
        <v>-8360</v>
      </c>
      <c r="I2345" s="9" t="n">
        <v>176347</v>
      </c>
      <c r="J2345" s="10" t="n">
        <v>-9704</v>
      </c>
      <c r="K2345" s="10" t="n">
        <v>167</v>
      </c>
      <c r="L2345" s="7" t="n">
        <v>185497</v>
      </c>
      <c r="M2345" s="8" t="n">
        <v>-7270</v>
      </c>
      <c r="N2345" s="8" t="n">
        <v>626</v>
      </c>
      <c r="O2345" s="9" t="n">
        <v>186209</v>
      </c>
      <c r="P2345" s="10" t="n">
        <v>-7488</v>
      </c>
      <c r="Q2345" s="10" t="n">
        <v>-27529</v>
      </c>
      <c r="R2345" s="7" t="n">
        <v>218182</v>
      </c>
      <c r="S2345" s="8" t="n">
        <v>-33024</v>
      </c>
      <c r="T2345" s="8" t="n">
        <v>5198</v>
      </c>
      <c r="U2345" s="9" t="n">
        <v>211905</v>
      </c>
      <c r="V2345" s="10" t="n">
        <v>4411</v>
      </c>
      <c r="W2345" s="10" t="n">
        <v>14369</v>
      </c>
      <c r="X2345" s="7" t="n">
        <v>238289</v>
      </c>
      <c r="Y2345" s="8" t="n">
        <v>9328</v>
      </c>
      <c r="Z2345" s="8" t="n">
        <v>14120</v>
      </c>
      <c r="AA2345" s="9" t="n">
        <v>238350</v>
      </c>
      <c r="AB2345" s="10" t="n">
        <v>15801</v>
      </c>
      <c r="AC2345" s="10" t="n">
        <v>19149</v>
      </c>
      <c r="AD2345" s="7" t="n">
        <v>269827</v>
      </c>
      <c r="AE2345" s="8" t="n">
        <v>20827</v>
      </c>
      <c r="AF2345" s="8" t="n">
        <v>8053</v>
      </c>
      <c r="AG2345" s="9" t="n">
        <v>300286</v>
      </c>
      <c r="AH2345" s="10" t="n">
        <v>32244</v>
      </c>
      <c r="AI2345" s="10" t="n">
        <v>34700</v>
      </c>
      <c r="AJ2345" s="11" t="n">
        <v>335079</v>
      </c>
      <c r="AK2345" s="12" t="n">
        <v>58603</v>
      </c>
      <c r="AL2345" s="12" t="n">
        <v>49596</v>
      </c>
      <c r="AM2345" s="13" t="n">
        <v>11.6</v>
      </c>
      <c r="AN2345" s="13" t="n">
        <v>40.6</v>
      </c>
      <c r="AO2345" s="13" t="n">
        <v>81.7</v>
      </c>
      <c r="AP2345" s="13" t="n">
        <v>528.2</v>
      </c>
    </row>
    <row r="2346">
      <c r="A2346" s="5" t="inlineStr">
        <is>
          <t>이지트로닉스</t>
        </is>
      </c>
      <c r="B2346" s="6" t="inlineStr">
        <is>
          <t>377330</t>
        </is>
      </c>
      <c r="C2346" s="6" t="inlineStr">
        <is>
          <t>연결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10795</v>
      </c>
      <c r="J2346" s="10" t="n">
        <v>-949</v>
      </c>
      <c r="K2346" s="10" t="n">
        <v>-790</v>
      </c>
      <c r="L2346" s="7" t="n">
        <v>5456</v>
      </c>
      <c r="M2346" s="8" t="n">
        <v>-2174</v>
      </c>
      <c r="N2346" s="8" t="n">
        <v>-1628</v>
      </c>
      <c r="O2346" s="9" t="n">
        <v>5808</v>
      </c>
      <c r="P2346" s="10" t="n">
        <v>472</v>
      </c>
      <c r="Q2346" s="10" t="n">
        <v>231</v>
      </c>
      <c r="R2346" s="7" t="n">
        <v>14445</v>
      </c>
      <c r="S2346" s="8" t="n">
        <v>-1371</v>
      </c>
      <c r="T2346" s="8" t="n">
        <v>-1291</v>
      </c>
      <c r="U2346" s="9" t="n">
        <v>4228</v>
      </c>
      <c r="V2346" s="10" t="n">
        <v>1142</v>
      </c>
      <c r="W2346" s="10" t="n">
        <v>1217</v>
      </c>
      <c r="X2346" s="7" t="n">
        <v>1276</v>
      </c>
      <c r="Y2346" s="8" t="n">
        <v>-14218</v>
      </c>
      <c r="Z2346" s="8" t="n">
        <v>-12003</v>
      </c>
      <c r="AA2346" s="9" t="n">
        <v>3220</v>
      </c>
      <c r="AB2346" s="10" t="n">
        <v>-3138</v>
      </c>
      <c r="AC2346" s="10" t="n">
        <v>-2729</v>
      </c>
      <c r="AD2346" s="7" t="n">
        <v>4520</v>
      </c>
      <c r="AE2346" s="8" t="n">
        <v>-2416</v>
      </c>
      <c r="AF2346" s="8" t="n">
        <v>-2094</v>
      </c>
      <c r="AG2346" s="9" t="n">
        <v>1422</v>
      </c>
      <c r="AH2346" s="10" t="n">
        <v>-3460</v>
      </c>
      <c r="AI2346" s="10" t="n">
        <v>-3269</v>
      </c>
      <c r="AJ2346" s="11" t="n">
        <v>3483</v>
      </c>
      <c r="AK2346" s="12" t="n">
        <v>-2321</v>
      </c>
      <c r="AL2346" s="12" t="n">
        <v>-2110</v>
      </c>
      <c r="AM2346" s="13" t="n">
        <v>144.9</v>
      </c>
      <c r="AN2346" s="13" t="n">
        <v>173</v>
      </c>
      <c r="AO2346" s="13" t="n">
        <v>32.9</v>
      </c>
      <c r="AP2346" s="13" t="n">
        <v>83.7</v>
      </c>
    </row>
    <row r="2347">
      <c r="A2347" s="5" t="inlineStr">
        <is>
          <t>리파인</t>
        </is>
      </c>
      <c r="B2347" s="6" t="inlineStr">
        <is>
          <t>377450</t>
        </is>
      </c>
      <c r="C2347" s="6" t="inlineStr">
        <is>
          <t>별도</t>
        </is>
      </c>
      <c r="D2347" s="6" t="inlineStr">
        <is>
          <t>2026Q2</t>
        </is>
      </c>
      <c r="E2347" s="6" t="inlineStr">
        <is>
          <t>2023Q4</t>
        </is>
      </c>
      <c r="F2347" s="14" t="n">
        <v>18292</v>
      </c>
      <c r="G2347" s="15" t="n">
        <v>6020</v>
      </c>
      <c r="H2347" s="15" t="n">
        <v>5243</v>
      </c>
      <c r="I2347" s="14" t="n">
        <v>17951</v>
      </c>
      <c r="J2347" s="10" t="n">
        <v>6388</v>
      </c>
      <c r="K2347" s="10" t="n">
        <v>6706</v>
      </c>
      <c r="L2347" s="7" t="inlineStr"/>
      <c r="M2347" s="8" t="n">
        <v>6178</v>
      </c>
      <c r="N2347" s="8" t="n">
        <v>5819</v>
      </c>
      <c r="O2347" s="9" t="inlineStr"/>
      <c r="P2347" s="10" t="n">
        <v>4481</v>
      </c>
      <c r="Q2347" s="10" t="n">
        <v>4451</v>
      </c>
      <c r="R2347" s="7" t="inlineStr"/>
      <c r="S2347" s="8" t="n">
        <v>3458</v>
      </c>
      <c r="T2347" s="8" t="n">
        <v>3642</v>
      </c>
      <c r="U2347" s="9" t="inlineStr"/>
      <c r="V2347" s="10" t="n">
        <v>4512</v>
      </c>
      <c r="W2347" s="10" t="n">
        <v>4235</v>
      </c>
      <c r="X2347" s="7" t="inlineStr"/>
      <c r="Y2347" s="8" t="n">
        <v>6354</v>
      </c>
      <c r="Z2347" s="8" t="n">
        <v>5559</v>
      </c>
      <c r="AA2347" s="9" t="inlineStr"/>
      <c r="AB2347" s="10" t="n">
        <v>4820</v>
      </c>
      <c r="AC2347" s="10" t="n">
        <v>6182</v>
      </c>
      <c r="AD2347" s="7" t="inlineStr"/>
      <c r="AE2347" s="8" t="n">
        <v>3255</v>
      </c>
      <c r="AF2347" s="8" t="n">
        <v>-6914</v>
      </c>
      <c r="AG2347" s="9" t="n">
        <v>15029</v>
      </c>
      <c r="AH2347" s="10" t="n">
        <v>5552</v>
      </c>
      <c r="AI2347" s="10" t="n">
        <v>5706</v>
      </c>
      <c r="AJ2347" s="11" t="n">
        <v>14114</v>
      </c>
      <c r="AK2347" s="12" t="n">
        <v>4861</v>
      </c>
      <c r="AL2347" s="12" t="n">
        <v>4839</v>
      </c>
      <c r="AM2347" s="13" t="n">
        <v>-6.1</v>
      </c>
      <c r="AN2347" s="13" t="inlineStr"/>
      <c r="AO2347" s="13" t="n">
        <v>-12.4</v>
      </c>
      <c r="AP2347" s="13" t="n">
        <v>-23.5</v>
      </c>
    </row>
    <row r="2348">
      <c r="A2348" s="5" t="inlineStr">
        <is>
          <t>큐에이드</t>
        </is>
      </c>
      <c r="B2348" s="6" t="inlineStr">
        <is>
          <t>377460</t>
        </is>
      </c>
      <c r="C2348" s="6" t="inlineStr">
        <is>
          <t>별도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25267</v>
      </c>
      <c r="J2348" s="10" t="n">
        <v>-9285</v>
      </c>
      <c r="K2348" s="10" t="n">
        <v>-10537</v>
      </c>
      <c r="L2348" s="7" t="n">
        <v>29307</v>
      </c>
      <c r="M2348" s="8" t="n">
        <v>-4534</v>
      </c>
      <c r="N2348" s="8" t="n">
        <v>-7151</v>
      </c>
      <c r="O2348" s="9" t="n">
        <v>33616</v>
      </c>
      <c r="P2348" s="10" t="n">
        <v>-1287</v>
      </c>
      <c r="Q2348" s="10" t="n">
        <v>-2536</v>
      </c>
      <c r="R2348" s="7" t="n">
        <v>28114</v>
      </c>
      <c r="S2348" s="8" t="n">
        <v>14179</v>
      </c>
      <c r="T2348" s="8" t="n">
        <v>-29218</v>
      </c>
      <c r="U2348" s="9" t="n">
        <v>20630</v>
      </c>
      <c r="V2348" s="10" t="n">
        <v>-1146</v>
      </c>
      <c r="W2348" s="10" t="n">
        <v>-5967</v>
      </c>
      <c r="X2348" s="7" t="n">
        <v>23359</v>
      </c>
      <c r="Y2348" s="8" t="n">
        <v>947</v>
      </c>
      <c r="Z2348" s="8" t="n">
        <v>10155</v>
      </c>
      <c r="AA2348" s="9" t="n">
        <v>25961</v>
      </c>
      <c r="AB2348" s="10" t="n">
        <v>-1028</v>
      </c>
      <c r="AC2348" s="10" t="n">
        <v>-343</v>
      </c>
      <c r="AD2348" s="7" t="n">
        <v>21699</v>
      </c>
      <c r="AE2348" s="8" t="n">
        <v>-687</v>
      </c>
      <c r="AF2348" s="8" t="n">
        <v>3320</v>
      </c>
      <c r="AG2348" s="9" t="n">
        <v>19220</v>
      </c>
      <c r="AH2348" s="10" t="n">
        <v>-1394</v>
      </c>
      <c r="AI2348" s="10" t="n">
        <v>-1503</v>
      </c>
      <c r="AJ2348" s="11" t="n">
        <v>23530</v>
      </c>
      <c r="AK2348" s="12" t="n">
        <v>-700</v>
      </c>
      <c r="AL2348" s="12" t="n">
        <v>-1975</v>
      </c>
      <c r="AM2348" s="13" t="n">
        <v>22.4</v>
      </c>
      <c r="AN2348" s="13" t="n">
        <v>0.7</v>
      </c>
      <c r="AO2348" s="13" t="n">
        <v>49.8</v>
      </c>
      <c r="AP2348" s="13" t="n">
        <v>-173.9</v>
      </c>
    </row>
    <row r="2349">
      <c r="A2349" s="5" t="inlineStr">
        <is>
          <t>마음AI</t>
        </is>
      </c>
      <c r="B2349" s="6" t="inlineStr">
        <is>
          <t>377480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1879</v>
      </c>
      <c r="J2349" s="10" t="n">
        <v>-1686</v>
      </c>
      <c r="K2349" s="10" t="n">
        <v>-1938</v>
      </c>
      <c r="L2349" s="7" t="n">
        <v>2195</v>
      </c>
      <c r="M2349" s="8" t="n">
        <v>-1731</v>
      </c>
      <c r="N2349" s="8" t="n">
        <v>770</v>
      </c>
      <c r="O2349" s="9" t="n">
        <v>1802</v>
      </c>
      <c r="P2349" s="10" t="n">
        <v>-1853</v>
      </c>
      <c r="Q2349" s="10" t="n">
        <v>-2329</v>
      </c>
      <c r="R2349" s="7" t="n">
        <v>1898</v>
      </c>
      <c r="S2349" s="8" t="n">
        <v>-1848</v>
      </c>
      <c r="T2349" s="8" t="n">
        <v>-5183</v>
      </c>
      <c r="U2349" s="9" t="n">
        <v>2048</v>
      </c>
      <c r="V2349" s="10" t="n">
        <v>-1897</v>
      </c>
      <c r="W2349" s="10" t="n">
        <v>-4259</v>
      </c>
      <c r="X2349" s="7" t="n">
        <v>2301</v>
      </c>
      <c r="Y2349" s="8" t="n">
        <v>-1603</v>
      </c>
      <c r="Z2349" s="8" t="n">
        <v>-1858</v>
      </c>
      <c r="AA2349" s="9" t="n">
        <v>2083</v>
      </c>
      <c r="AB2349" s="10" t="n">
        <v>-1614</v>
      </c>
      <c r="AC2349" s="10" t="n">
        <v>-1781</v>
      </c>
      <c r="AD2349" s="7" t="n">
        <v>3354</v>
      </c>
      <c r="AE2349" s="8" t="n">
        <v>-1262</v>
      </c>
      <c r="AF2349" s="8" t="n">
        <v>238</v>
      </c>
      <c r="AG2349" s="9" t="n">
        <v>1711</v>
      </c>
      <c r="AH2349" s="10" t="n">
        <v>-2086</v>
      </c>
      <c r="AI2349" s="10" t="n">
        <v>-2198</v>
      </c>
      <c r="AJ2349" s="11" t="n">
        <v>962</v>
      </c>
      <c r="AK2349" s="12" t="n">
        <v>-3014</v>
      </c>
      <c r="AL2349" s="12" t="n">
        <v>-1352</v>
      </c>
      <c r="AM2349" s="13" t="n">
        <v>-43.8</v>
      </c>
      <c r="AN2349" s="13" t="n">
        <v>-58.2</v>
      </c>
      <c r="AO2349" s="13" t="n">
        <v>-44.5</v>
      </c>
      <c r="AP2349" s="13" t="n">
        <v>-88</v>
      </c>
    </row>
    <row r="2350">
      <c r="A2350" s="5" t="inlineStr">
        <is>
          <t>바이오노트</t>
        </is>
      </c>
      <c r="B2350" s="6" t="inlineStr">
        <is>
          <t>377740</t>
        </is>
      </c>
      <c r="C2350" s="6" t="inlineStr">
        <is>
          <t>연결</t>
        </is>
      </c>
      <c r="D2350" s="6" t="inlineStr">
        <is>
          <t>2026Q2</t>
        </is>
      </c>
      <c r="E2350" s="6" t="inlineStr">
        <is>
          <t>2023Q4</t>
        </is>
      </c>
      <c r="F2350" s="14" t="n">
        <v>21769</v>
      </c>
      <c r="G2350" s="15" t="n">
        <v>1846</v>
      </c>
      <c r="H2350" s="15" t="n">
        <v>-2107</v>
      </c>
      <c r="I2350" s="9" t="n">
        <v>25309</v>
      </c>
      <c r="J2350" s="10" t="n">
        <v>3473</v>
      </c>
      <c r="K2350" s="10" t="inlineStr"/>
      <c r="L2350" s="7" t="n">
        <v>26278</v>
      </c>
      <c r="M2350" s="8" t="n">
        <v>2664</v>
      </c>
      <c r="N2350" s="8" t="inlineStr"/>
      <c r="O2350" s="9" t="n">
        <v>26450</v>
      </c>
      <c r="P2350" s="10" t="n">
        <v>3535</v>
      </c>
      <c r="Q2350" s="10" t="inlineStr"/>
      <c r="R2350" s="7" t="n">
        <v>24743</v>
      </c>
      <c r="S2350" s="8" t="n">
        <v>2543</v>
      </c>
      <c r="T2350" s="15" t="n">
        <v>11226</v>
      </c>
      <c r="U2350" s="9" t="n">
        <v>28446</v>
      </c>
      <c r="V2350" s="10" t="n">
        <v>4694</v>
      </c>
      <c r="W2350" s="10" t="n">
        <v>4028</v>
      </c>
      <c r="X2350" s="7" t="n">
        <v>32406</v>
      </c>
      <c r="Y2350" s="8" t="n">
        <v>6349</v>
      </c>
      <c r="Z2350" s="8" t="n">
        <v>84531</v>
      </c>
      <c r="AA2350" s="9" t="n">
        <v>29500</v>
      </c>
      <c r="AB2350" s="10" t="n">
        <v>4822</v>
      </c>
      <c r="AC2350" s="10" t="n">
        <v>17941</v>
      </c>
      <c r="AD2350" s="7" t="n">
        <v>27972</v>
      </c>
      <c r="AE2350" s="8" t="n">
        <v>841</v>
      </c>
      <c r="AF2350" s="8" t="n">
        <v>-193998</v>
      </c>
      <c r="AG2350" s="9" t="n">
        <v>32567</v>
      </c>
      <c r="AH2350" s="10" t="n">
        <v>6345</v>
      </c>
      <c r="AI2350" s="10" t="n">
        <v>41299</v>
      </c>
      <c r="AJ2350" s="11" t="n">
        <v>36368</v>
      </c>
      <c r="AK2350" s="12" t="n">
        <v>8457</v>
      </c>
      <c r="AL2350" s="12" t="n">
        <v>9072</v>
      </c>
      <c r="AM2350" s="13" t="n">
        <v>11.7</v>
      </c>
      <c r="AN2350" s="13" t="n">
        <v>12.2</v>
      </c>
      <c r="AO2350" s="13" t="n">
        <v>33.3</v>
      </c>
      <c r="AP2350" s="13" t="n">
        <v>33.2</v>
      </c>
    </row>
    <row r="2351">
      <c r="A2351" s="5" t="inlineStr">
        <is>
          <t>필에너지</t>
        </is>
      </c>
      <c r="B2351" s="6" t="inlineStr">
        <is>
          <t>378340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57329</v>
      </c>
      <c r="J2351" s="10" t="n">
        <v>982</v>
      </c>
      <c r="K2351" s="10" t="n">
        <v>649</v>
      </c>
      <c r="L2351" s="7" t="n">
        <v>94237</v>
      </c>
      <c r="M2351" s="8" t="n">
        <v>7705</v>
      </c>
      <c r="N2351" s="8" t="n">
        <v>6108</v>
      </c>
      <c r="O2351" s="9" t="n">
        <v>57738</v>
      </c>
      <c r="P2351" s="10" t="n">
        <v>2228</v>
      </c>
      <c r="Q2351" s="10" t="n">
        <v>1463</v>
      </c>
      <c r="R2351" s="7" t="n">
        <v>76096</v>
      </c>
      <c r="S2351" s="8" t="n">
        <v>3287</v>
      </c>
      <c r="T2351" s="8" t="n">
        <v>5146</v>
      </c>
      <c r="U2351" s="9" t="n">
        <v>958</v>
      </c>
      <c r="V2351" s="10" t="n">
        <v>-6025</v>
      </c>
      <c r="W2351" s="10" t="n">
        <v>-5381</v>
      </c>
      <c r="X2351" s="7" t="n">
        <v>22919</v>
      </c>
      <c r="Y2351" s="8" t="n">
        <v>-3854</v>
      </c>
      <c r="Z2351" s="8" t="n">
        <v>-2907</v>
      </c>
      <c r="AA2351" s="9" t="n">
        <v>1362</v>
      </c>
      <c r="AB2351" s="10" t="n">
        <v>-5377</v>
      </c>
      <c r="AC2351" s="10" t="n">
        <v>-4700</v>
      </c>
      <c r="AD2351" s="7" t="n">
        <v>7955</v>
      </c>
      <c r="AE2351" s="8" t="n">
        <v>-6918</v>
      </c>
      <c r="AF2351" s="8" t="n">
        <v>-2861</v>
      </c>
      <c r="AG2351" s="9" t="n">
        <v>1738</v>
      </c>
      <c r="AH2351" s="10" t="n">
        <v>-3882</v>
      </c>
      <c r="AI2351" s="10" t="n">
        <v>-4097</v>
      </c>
      <c r="AJ2351" s="11" t="n">
        <v>2391</v>
      </c>
      <c r="AK2351" s="12" t="n">
        <v>-7144</v>
      </c>
      <c r="AL2351" s="12" t="n">
        <v>-3797</v>
      </c>
      <c r="AM2351" s="13" t="n">
        <v>37.6</v>
      </c>
      <c r="AN2351" s="13" t="n">
        <v>-89.59999999999999</v>
      </c>
      <c r="AO2351" s="13" t="n">
        <v>-84</v>
      </c>
      <c r="AP2351" s="13" t="n">
        <v>-85.40000000000001</v>
      </c>
    </row>
    <row r="2352">
      <c r="A2352" s="5" t="inlineStr">
        <is>
          <t>샤페론</t>
        </is>
      </c>
      <c r="B2352" s="6" t="inlineStr">
        <is>
          <t>378800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inlineStr"/>
      <c r="J2352" s="10" t="n">
        <v>-4837</v>
      </c>
      <c r="K2352" s="10" t="n">
        <v>-4850</v>
      </c>
      <c r="L2352" s="7" t="n">
        <v>18</v>
      </c>
      <c r="M2352" s="8" t="n">
        <v>-3686</v>
      </c>
      <c r="N2352" s="8" t="n">
        <v>-3710</v>
      </c>
      <c r="O2352" s="9" t="n">
        <v>0</v>
      </c>
      <c r="P2352" s="10" t="n">
        <v>-3085</v>
      </c>
      <c r="Q2352" s="10" t="n">
        <v>-2923</v>
      </c>
      <c r="R2352" s="7" t="inlineStr"/>
      <c r="S2352" s="8" t="n">
        <v>-3534</v>
      </c>
      <c r="T2352" s="8" t="n">
        <v>-3420</v>
      </c>
      <c r="U2352" s="9" t="n">
        <v>12</v>
      </c>
      <c r="V2352" s="10" t="n">
        <v>-3633</v>
      </c>
      <c r="W2352" s="10" t="n">
        <v>-3528</v>
      </c>
      <c r="X2352" s="7" t="n">
        <v>0</v>
      </c>
      <c r="Y2352" s="8" t="n">
        <v>-3372</v>
      </c>
      <c r="Z2352" s="8" t="n">
        <v>-3407</v>
      </c>
      <c r="AA2352" s="9" t="n">
        <v>168</v>
      </c>
      <c r="AB2352" s="10" t="n">
        <v>-4386</v>
      </c>
      <c r="AC2352" s="10" t="n">
        <v>-4234</v>
      </c>
      <c r="AD2352" s="7" t="n">
        <v>48</v>
      </c>
      <c r="AE2352" s="8" t="n">
        <v>-4448</v>
      </c>
      <c r="AF2352" s="8" t="n">
        <v>-4359</v>
      </c>
      <c r="AG2352" s="9" t="n">
        <v>65</v>
      </c>
      <c r="AH2352" s="10" t="n">
        <v>-3668</v>
      </c>
      <c r="AI2352" s="10" t="n">
        <v>-3544</v>
      </c>
      <c r="AJ2352" s="11" t="n">
        <v>41</v>
      </c>
      <c r="AK2352" s="12" t="n">
        <v>-3115</v>
      </c>
      <c r="AL2352" s="12" t="n">
        <v>-3697</v>
      </c>
      <c r="AM2352" s="13" t="n">
        <v>-36.9</v>
      </c>
      <c r="AN2352" s="13" t="inlineStr"/>
      <c r="AO2352" s="13" t="n">
        <v>15.1</v>
      </c>
      <c r="AP2352" s="13" t="n">
        <v>7.6</v>
      </c>
    </row>
    <row r="2353">
      <c r="A2353" s="5" t="inlineStr">
        <is>
          <t>화승알앤에이</t>
        </is>
      </c>
      <c r="B2353" s="6" t="inlineStr">
        <is>
          <t>378850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169838</v>
      </c>
      <c r="J2353" s="10" t="n">
        <v>8109</v>
      </c>
      <c r="K2353" s="10" t="n">
        <v>8875</v>
      </c>
      <c r="L2353" s="7" t="n">
        <v>189463</v>
      </c>
      <c r="M2353" s="8" t="n">
        <v>12041</v>
      </c>
      <c r="N2353" s="8" t="n">
        <v>10257</v>
      </c>
      <c r="O2353" s="9" t="n">
        <v>162239</v>
      </c>
      <c r="P2353" s="10" t="n">
        <v>5986</v>
      </c>
      <c r="Q2353" s="10" t="n">
        <v>-1307</v>
      </c>
      <c r="R2353" s="7" t="n">
        <v>185591</v>
      </c>
      <c r="S2353" s="8" t="n">
        <v>5210</v>
      </c>
      <c r="T2353" s="8" t="n">
        <v>14598</v>
      </c>
      <c r="U2353" s="9" t="n">
        <v>173229</v>
      </c>
      <c r="V2353" s="10" t="n">
        <v>7813</v>
      </c>
      <c r="W2353" s="10" t="n">
        <v>5064</v>
      </c>
      <c r="X2353" s="7" t="n">
        <v>181636</v>
      </c>
      <c r="Y2353" s="8" t="n">
        <v>5355</v>
      </c>
      <c r="Z2353" s="8" t="n">
        <v>-2857</v>
      </c>
      <c r="AA2353" s="9" t="n">
        <v>174670</v>
      </c>
      <c r="AB2353" s="10" t="n">
        <v>10257</v>
      </c>
      <c r="AC2353" s="10" t="n">
        <v>9873</v>
      </c>
      <c r="AD2353" s="7" t="n">
        <v>185025</v>
      </c>
      <c r="AE2353" s="8" t="n">
        <v>3657</v>
      </c>
      <c r="AF2353" s="8" t="n">
        <v>6154</v>
      </c>
      <c r="AG2353" s="9" t="n">
        <v>184716</v>
      </c>
      <c r="AH2353" s="10" t="n">
        <v>9057</v>
      </c>
      <c r="AI2353" s="10" t="n">
        <v>10915</v>
      </c>
      <c r="AJ2353" s="11" t="n">
        <v>201186</v>
      </c>
      <c r="AK2353" s="12" t="n">
        <v>10561</v>
      </c>
      <c r="AL2353" s="12" t="n">
        <v>8227</v>
      </c>
      <c r="AM2353" s="13" t="n">
        <v>8.9</v>
      </c>
      <c r="AN2353" s="13" t="n">
        <v>10.8</v>
      </c>
      <c r="AO2353" s="13" t="n">
        <v>16.6</v>
      </c>
      <c r="AP2353" s="13" t="n">
        <v>97.2</v>
      </c>
    </row>
    <row r="2354">
      <c r="A2354" s="5" t="inlineStr">
        <is>
          <t>옵티코어</t>
        </is>
      </c>
      <c r="B2354" s="6" t="inlineStr">
        <is>
          <t>380540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4374</v>
      </c>
      <c r="J2354" s="10" t="n">
        <v>-2234</v>
      </c>
      <c r="K2354" s="10" t="n">
        <v>-2363</v>
      </c>
      <c r="L2354" s="7" t="n">
        <v>5066</v>
      </c>
      <c r="M2354" s="8" t="n">
        <v>-2549</v>
      </c>
      <c r="N2354" s="8" t="n">
        <v>1482</v>
      </c>
      <c r="O2354" s="9" t="n">
        <v>5507</v>
      </c>
      <c r="P2354" s="10" t="n">
        <v>-1680</v>
      </c>
      <c r="Q2354" s="10" t="n">
        <v>-1969</v>
      </c>
      <c r="R2354" s="7" t="n">
        <v>8355</v>
      </c>
      <c r="S2354" s="8" t="n">
        <v>-60</v>
      </c>
      <c r="T2354" s="8" t="n">
        <v>-3866</v>
      </c>
      <c r="U2354" s="9" t="n">
        <v>3126</v>
      </c>
      <c r="V2354" s="10" t="n">
        <v>-1103</v>
      </c>
      <c r="W2354" s="10" t="n">
        <v>-1114</v>
      </c>
      <c r="X2354" s="7" t="n">
        <v>2064</v>
      </c>
      <c r="Y2354" s="8" t="n">
        <v>-2574</v>
      </c>
      <c r="Z2354" s="8" t="n">
        <v>-10774</v>
      </c>
      <c r="AA2354" s="9" t="n">
        <v>3130</v>
      </c>
      <c r="AB2354" s="10" t="n">
        <v>-1422</v>
      </c>
      <c r="AC2354" s="10" t="n">
        <v>-3690</v>
      </c>
      <c r="AD2354" s="7" t="n">
        <v>13192</v>
      </c>
      <c r="AE2354" s="8" t="n">
        <v>-828</v>
      </c>
      <c r="AF2354" s="8" t="n">
        <v>-6975</v>
      </c>
      <c r="AG2354" s="9" t="n">
        <v>11901</v>
      </c>
      <c r="AH2354" s="10" t="n">
        <v>-661</v>
      </c>
      <c r="AI2354" s="10" t="n">
        <v>-2355</v>
      </c>
      <c r="AJ2354" s="11" t="n">
        <v>3388</v>
      </c>
      <c r="AK2354" s="12" t="n">
        <v>-1873</v>
      </c>
      <c r="AL2354" s="12" t="n">
        <v>-9701</v>
      </c>
      <c r="AM2354" s="13" t="n">
        <v>-71.5</v>
      </c>
      <c r="AN2354" s="13" t="n">
        <v>64.09999999999999</v>
      </c>
      <c r="AO2354" s="13" t="n">
        <v>-183.4</v>
      </c>
      <c r="AP2354" s="13" t="n">
        <v>27.2</v>
      </c>
    </row>
    <row r="2355">
      <c r="A2355" s="5" t="inlineStr">
        <is>
          <t>뉴로핏</t>
        </is>
      </c>
      <c r="B2355" s="6" t="inlineStr">
        <is>
          <t>380550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inlineStr"/>
      <c r="P2355" s="10" t="inlineStr"/>
      <c r="Q2355" s="10" t="inlineStr"/>
      <c r="R2355" s="7" t="inlineStr"/>
      <c r="S2355" s="8" t="inlineStr"/>
      <c r="T2355" s="8" t="inlineStr"/>
      <c r="U2355" s="9" t="inlineStr"/>
      <c r="V2355" s="10" t="inlineStr"/>
      <c r="W2355" s="10" t="inlineStr"/>
      <c r="X2355" s="7" t="n">
        <v>755</v>
      </c>
      <c r="Y2355" s="8" t="n">
        <v>-3369</v>
      </c>
      <c r="Z2355" s="8" t="n">
        <v>-5932</v>
      </c>
      <c r="AA2355" s="9" t="n">
        <v>763</v>
      </c>
      <c r="AB2355" s="10" t="n">
        <v>-4227</v>
      </c>
      <c r="AC2355" s="10" t="n">
        <v>-6772</v>
      </c>
      <c r="AD2355" s="7" t="inlineStr"/>
      <c r="AE2355" s="8" t="inlineStr"/>
      <c r="AF2355" s="8" t="inlineStr"/>
      <c r="AG2355" s="9" t="n">
        <v>481</v>
      </c>
      <c r="AH2355" s="10" t="n">
        <v>-5816</v>
      </c>
      <c r="AI2355" s="10" t="n">
        <v>-5742</v>
      </c>
      <c r="AJ2355" s="11" t="n">
        <v>782</v>
      </c>
      <c r="AK2355" s="12" t="n">
        <v>-5232</v>
      </c>
      <c r="AL2355" s="12" t="n">
        <v>-5660</v>
      </c>
      <c r="AM2355" s="13" t="n">
        <v>62.6</v>
      </c>
      <c r="AN2355" s="13" t="n">
        <v>3.6</v>
      </c>
      <c r="AO2355" s="13" t="n">
        <v>10</v>
      </c>
      <c r="AP2355" s="13" t="n">
        <v>-55.3</v>
      </c>
    </row>
    <row r="2356">
      <c r="A2356" s="5" t="inlineStr">
        <is>
          <t>제닉스로보틱스</t>
        </is>
      </c>
      <c r="B2356" s="6" t="inlineStr">
        <is>
          <t>381620</t>
        </is>
      </c>
      <c r="C2356" s="6" t="inlineStr">
        <is>
          <t>연결</t>
        </is>
      </c>
      <c r="D2356" s="6" t="inlineStr">
        <is>
          <t>2026Q2</t>
        </is>
      </c>
      <c r="E2356" s="6" t="inlineStr">
        <is>
          <t>2024Q4</t>
        </is>
      </c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n">
        <v>12365</v>
      </c>
      <c r="P2356" s="10" t="n">
        <v>749</v>
      </c>
      <c r="Q2356" s="10" t="n">
        <v>591</v>
      </c>
      <c r="R2356" s="14" t="n">
        <v>20365</v>
      </c>
      <c r="S2356" s="15" t="n">
        <v>522</v>
      </c>
      <c r="T2356" s="15" t="n">
        <v>2193</v>
      </c>
      <c r="U2356" s="9" t="n">
        <v>5500</v>
      </c>
      <c r="V2356" s="10" t="n">
        <v>-1542</v>
      </c>
      <c r="W2356" s="10" t="n">
        <v>-370</v>
      </c>
      <c r="X2356" s="7" t="n">
        <v>7076</v>
      </c>
      <c r="Y2356" s="8" t="n">
        <v>-2912</v>
      </c>
      <c r="Z2356" s="8" t="n">
        <v>-2252</v>
      </c>
      <c r="AA2356" s="9" t="n">
        <v>8204</v>
      </c>
      <c r="AB2356" s="10" t="n">
        <v>-3790</v>
      </c>
      <c r="AC2356" s="10" t="n">
        <v>-2765</v>
      </c>
      <c r="AD2356" s="7" t="n">
        <v>1885</v>
      </c>
      <c r="AE2356" s="8" t="n">
        <v>-4069</v>
      </c>
      <c r="AF2356" s="8" t="n">
        <v>-1937</v>
      </c>
      <c r="AG2356" s="9" t="n">
        <v>4317</v>
      </c>
      <c r="AH2356" s="10" t="n">
        <v>-3107</v>
      </c>
      <c r="AI2356" s="10" t="n">
        <v>-2398</v>
      </c>
      <c r="AJ2356" s="11" t="n">
        <v>4477</v>
      </c>
      <c r="AK2356" s="12" t="n">
        <v>-2530</v>
      </c>
      <c r="AL2356" s="12" t="n">
        <v>-566</v>
      </c>
      <c r="AM2356" s="13" t="n">
        <v>3.7</v>
      </c>
      <c r="AN2356" s="13" t="n">
        <v>-36.7</v>
      </c>
      <c r="AO2356" s="13" t="n">
        <v>18.6</v>
      </c>
      <c r="AP2356" s="13" t="n">
        <v>13.1</v>
      </c>
    </row>
    <row r="2357">
      <c r="A2357" s="5" t="inlineStr">
        <is>
          <t>케이카</t>
        </is>
      </c>
      <c r="B2357" s="6" t="inlineStr">
        <is>
          <t>381970</t>
        </is>
      </c>
      <c r="C2357" s="6" t="inlineStr">
        <is>
          <t>별도</t>
        </is>
      </c>
      <c r="D2357" s="6" t="inlineStr">
        <is>
          <t>2026Q2</t>
        </is>
      </c>
      <c r="E2357" s="6" t="inlineStr">
        <is>
          <t>2023Q4</t>
        </is>
      </c>
      <c r="F2357" s="14" t="n">
        <v>495606</v>
      </c>
      <c r="G2357" s="15" t="n">
        <v>11922</v>
      </c>
      <c r="H2357" s="15" t="n">
        <v>4828</v>
      </c>
      <c r="I2357" s="9" t="n">
        <v>604428</v>
      </c>
      <c r="J2357" s="10" t="n">
        <v>17624</v>
      </c>
      <c r="K2357" s="10" t="n">
        <v>11788</v>
      </c>
      <c r="L2357" s="7" t="n">
        <v>589014</v>
      </c>
      <c r="M2357" s="8" t="n">
        <v>18103</v>
      </c>
      <c r="N2357" s="8" t="n">
        <v>11813</v>
      </c>
      <c r="O2357" s="9" t="n">
        <v>579697</v>
      </c>
      <c r="P2357" s="10" t="n">
        <v>17103</v>
      </c>
      <c r="Q2357" s="10" t="n">
        <v>11025</v>
      </c>
      <c r="R2357" s="7" t="n">
        <v>528391</v>
      </c>
      <c r="S2357" s="8" t="n">
        <v>15279</v>
      </c>
      <c r="T2357" s="8" t="n">
        <v>9339</v>
      </c>
      <c r="U2357" s="9" t="n">
        <v>604654</v>
      </c>
      <c r="V2357" s="10" t="n">
        <v>21464</v>
      </c>
      <c r="W2357" s="10" t="n">
        <v>14439</v>
      </c>
      <c r="X2357" s="7" t="n">
        <v>608869</v>
      </c>
      <c r="Y2357" s="8" t="n">
        <v>18121</v>
      </c>
      <c r="Z2357" s="8" t="n">
        <v>12012</v>
      </c>
      <c r="AA2357" s="9" t="n">
        <v>665536</v>
      </c>
      <c r="AB2357" s="10" t="n">
        <v>24000</v>
      </c>
      <c r="AC2357" s="10" t="n">
        <v>17170</v>
      </c>
      <c r="AD2357" s="7" t="n">
        <v>559780</v>
      </c>
      <c r="AE2357" s="8" t="n">
        <v>12389</v>
      </c>
      <c r="AF2357" s="8" t="n">
        <v>7265</v>
      </c>
      <c r="AG2357" s="9" t="n">
        <v>572135</v>
      </c>
      <c r="AH2357" s="10" t="n">
        <v>14208</v>
      </c>
      <c r="AI2357" s="10" t="n">
        <v>10232</v>
      </c>
      <c r="AJ2357" s="11" t="n">
        <v>439157</v>
      </c>
      <c r="AK2357" s="12" t="n">
        <v>-33635</v>
      </c>
      <c r="AL2357" s="12" t="n">
        <v>-27103</v>
      </c>
      <c r="AM2357" s="13" t="n">
        <v>-23.2</v>
      </c>
      <c r="AN2357" s="13" t="n">
        <v>-27.9</v>
      </c>
      <c r="AO2357" s="13" t="n">
        <v>-336.7</v>
      </c>
      <c r="AP2357" s="13" t="n">
        <v>-285.6</v>
      </c>
    </row>
    <row r="2358">
      <c r="A2358" s="5" t="inlineStr">
        <is>
          <t>온코크로스</t>
        </is>
      </c>
      <c r="B2358" s="6" t="inlineStr">
        <is>
          <t>382150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60</v>
      </c>
      <c r="J2358" s="10" t="n">
        <v>-1612</v>
      </c>
      <c r="K2358" s="10" t="n">
        <v>-1473</v>
      </c>
      <c r="L2358" s="7" t="n">
        <v>174</v>
      </c>
      <c r="M2358" s="8" t="n">
        <v>-1503</v>
      </c>
      <c r="N2358" s="8" t="n">
        <v>-1362</v>
      </c>
      <c r="O2358" s="9" t="n">
        <v>183</v>
      </c>
      <c r="P2358" s="10" t="n">
        <v>-1478</v>
      </c>
      <c r="Q2358" s="10" t="n">
        <v>-1371</v>
      </c>
      <c r="R2358" s="7" t="n">
        <v>655</v>
      </c>
      <c r="S2358" s="8" t="n">
        <v>-2372</v>
      </c>
      <c r="T2358" s="8" t="n">
        <v>-2277</v>
      </c>
      <c r="U2358" s="9" t="n">
        <v>63</v>
      </c>
      <c r="V2358" s="10" t="n">
        <v>-2386</v>
      </c>
      <c r="W2358" s="10" t="n">
        <v>-2254</v>
      </c>
      <c r="X2358" s="7" t="n">
        <v>138</v>
      </c>
      <c r="Y2358" s="8" t="n">
        <v>-1869</v>
      </c>
      <c r="Z2358" s="8" t="n">
        <v>-1759</v>
      </c>
      <c r="AA2358" s="9" t="n">
        <v>29</v>
      </c>
      <c r="AB2358" s="10" t="n">
        <v>-2365</v>
      </c>
      <c r="AC2358" s="10" t="n">
        <v>-2044</v>
      </c>
      <c r="AD2358" s="7" t="inlineStr"/>
      <c r="AE2358" s="8" t="n">
        <v>-2185</v>
      </c>
      <c r="AF2358" s="8" t="n">
        <v>-2872</v>
      </c>
      <c r="AG2358" s="9" t="inlineStr"/>
      <c r="AH2358" s="10" t="n">
        <v>-2514</v>
      </c>
      <c r="AI2358" s="10" t="n">
        <v>-2634</v>
      </c>
      <c r="AJ2358" s="11" t="inlineStr"/>
      <c r="AK2358" s="12" t="n">
        <v>-2698</v>
      </c>
      <c r="AL2358" s="12" t="n">
        <v>1011</v>
      </c>
      <c r="AM2358" s="13" t="inlineStr"/>
      <c r="AN2358" s="13" t="inlineStr"/>
      <c r="AO2358" s="13" t="n">
        <v>-7.3</v>
      </c>
      <c r="AP2358" s="13" t="n">
        <v>-44.4</v>
      </c>
    </row>
    <row r="2359">
      <c r="A2359" s="5" t="inlineStr">
        <is>
          <t>지아이텍</t>
        </is>
      </c>
      <c r="B2359" s="6" t="inlineStr">
        <is>
          <t>382480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8006</v>
      </c>
      <c r="J2359" s="10" t="n">
        <v>11</v>
      </c>
      <c r="K2359" s="10" t="n">
        <v>1386</v>
      </c>
      <c r="L2359" s="7" t="n">
        <v>8983</v>
      </c>
      <c r="M2359" s="8" t="n">
        <v>193</v>
      </c>
      <c r="N2359" s="8" t="n">
        <v>968</v>
      </c>
      <c r="O2359" s="9" t="n">
        <v>6902</v>
      </c>
      <c r="P2359" s="10" t="n">
        <v>381</v>
      </c>
      <c r="Q2359" s="10" t="n">
        <v>10</v>
      </c>
      <c r="R2359" s="7" t="n">
        <v>13875</v>
      </c>
      <c r="S2359" s="8" t="n">
        <v>2458</v>
      </c>
      <c r="T2359" s="8" t="n">
        <v>3798</v>
      </c>
      <c r="U2359" s="9" t="n">
        <v>5744</v>
      </c>
      <c r="V2359" s="10" t="n">
        <v>-1351</v>
      </c>
      <c r="W2359" s="10" t="n">
        <v>-791</v>
      </c>
      <c r="X2359" s="7" t="n">
        <v>11338</v>
      </c>
      <c r="Y2359" s="8" t="n">
        <v>1452</v>
      </c>
      <c r="Z2359" s="8" t="n">
        <v>-667</v>
      </c>
      <c r="AA2359" s="9" t="n">
        <v>6353</v>
      </c>
      <c r="AB2359" s="10" t="n">
        <v>-1448</v>
      </c>
      <c r="AC2359" s="10" t="n">
        <v>79</v>
      </c>
      <c r="AD2359" s="7" t="n">
        <v>12785</v>
      </c>
      <c r="AE2359" s="8" t="n">
        <v>2471</v>
      </c>
      <c r="AF2359" s="8" t="n">
        <v>2329</v>
      </c>
      <c r="AG2359" s="9" t="n">
        <v>10091</v>
      </c>
      <c r="AH2359" s="10" t="n">
        <v>517</v>
      </c>
      <c r="AI2359" s="10" t="n">
        <v>2193</v>
      </c>
      <c r="AJ2359" s="11" t="n">
        <v>9586</v>
      </c>
      <c r="AK2359" s="12" t="n">
        <v>-530</v>
      </c>
      <c r="AL2359" s="12" t="n">
        <v>365</v>
      </c>
      <c r="AM2359" s="13" t="n">
        <v>-5</v>
      </c>
      <c r="AN2359" s="13" t="n">
        <v>-15.5</v>
      </c>
      <c r="AO2359" s="13" t="n">
        <v>-202.5</v>
      </c>
      <c r="AP2359" s="13" t="n">
        <v>-136.5</v>
      </c>
    </row>
    <row r="2360">
      <c r="A2360" s="5" t="inlineStr">
        <is>
          <t>지앤비에스 에코</t>
        </is>
      </c>
      <c r="B2360" s="6" t="inlineStr">
        <is>
          <t>382800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19323</v>
      </c>
      <c r="J2360" s="10" t="n">
        <v>3021</v>
      </c>
      <c r="K2360" s="10" t="n">
        <v>3177</v>
      </c>
      <c r="L2360" s="7" t="n">
        <v>22005</v>
      </c>
      <c r="M2360" s="8" t="n">
        <v>5308</v>
      </c>
      <c r="N2360" s="8" t="n">
        <v>5816</v>
      </c>
      <c r="O2360" s="9" t="n">
        <v>10329</v>
      </c>
      <c r="P2360" s="10" t="n">
        <v>1103</v>
      </c>
      <c r="Q2360" s="10" t="n">
        <v>214</v>
      </c>
      <c r="R2360" s="7" t="n">
        <v>19106</v>
      </c>
      <c r="S2360" s="8" t="n">
        <v>2217</v>
      </c>
      <c r="T2360" s="8" t="n">
        <v>3307</v>
      </c>
      <c r="U2360" s="9" t="n">
        <v>18700</v>
      </c>
      <c r="V2360" s="10" t="n">
        <v>341</v>
      </c>
      <c r="W2360" s="10" t="n">
        <v>1170</v>
      </c>
      <c r="X2360" s="7" t="n">
        <v>25487</v>
      </c>
      <c r="Y2360" s="8" t="n">
        <v>2336</v>
      </c>
      <c r="Z2360" s="8" t="n">
        <v>-1265</v>
      </c>
      <c r="AA2360" s="9" t="n">
        <v>18101</v>
      </c>
      <c r="AB2360" s="10" t="n">
        <v>556</v>
      </c>
      <c r="AC2360" s="10" t="n">
        <v>2171</v>
      </c>
      <c r="AD2360" s="7" t="n">
        <v>29631</v>
      </c>
      <c r="AE2360" s="8" t="n">
        <v>4523</v>
      </c>
      <c r="AF2360" s="8" t="n">
        <v>4240</v>
      </c>
      <c r="AG2360" s="9" t="n">
        <v>41755</v>
      </c>
      <c r="AH2360" s="10" t="n">
        <v>9035</v>
      </c>
      <c r="AI2360" s="10" t="n">
        <v>10073</v>
      </c>
      <c r="AJ2360" s="11" t="n">
        <v>36664</v>
      </c>
      <c r="AK2360" s="12" t="n">
        <v>5079</v>
      </c>
      <c r="AL2360" s="12" t="n">
        <v>5116</v>
      </c>
      <c r="AM2360" s="13" t="n">
        <v>-12.2</v>
      </c>
      <c r="AN2360" s="13" t="n">
        <v>43.9</v>
      </c>
      <c r="AO2360" s="13" t="n">
        <v>-43.8</v>
      </c>
      <c r="AP2360" s="13" t="n">
        <v>117.4</v>
      </c>
    </row>
    <row r="2361">
      <c r="A2361" s="5" t="inlineStr">
        <is>
          <t>원준</t>
        </is>
      </c>
      <c r="B2361" s="6" t="inlineStr">
        <is>
          <t>382840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47378</v>
      </c>
      <c r="J2361" s="10" t="n">
        <v>7214</v>
      </c>
      <c r="K2361" s="10" t="n">
        <v>2395</v>
      </c>
      <c r="L2361" s="7" t="n">
        <v>45412</v>
      </c>
      <c r="M2361" s="8" t="n">
        <v>9624</v>
      </c>
      <c r="N2361" s="8" t="n">
        <v>5942</v>
      </c>
      <c r="O2361" s="9" t="n">
        <v>22453</v>
      </c>
      <c r="P2361" s="10" t="n">
        <v>-233</v>
      </c>
      <c r="Q2361" s="10" t="n">
        <v>1507</v>
      </c>
      <c r="R2361" s="7" t="n">
        <v>34608</v>
      </c>
      <c r="S2361" s="8" t="n">
        <v>-4176</v>
      </c>
      <c r="T2361" s="8" t="n">
        <v>-6105</v>
      </c>
      <c r="U2361" s="9" t="n">
        <v>97202</v>
      </c>
      <c r="V2361" s="10" t="n">
        <v>2607</v>
      </c>
      <c r="W2361" s="10" t="n">
        <v>782</v>
      </c>
      <c r="X2361" s="7" t="n">
        <v>23937</v>
      </c>
      <c r="Y2361" s="8" t="n">
        <v>3497</v>
      </c>
      <c r="Z2361" s="8" t="n">
        <v>-3542</v>
      </c>
      <c r="AA2361" s="9" t="n">
        <v>12973</v>
      </c>
      <c r="AB2361" s="10" t="n">
        <v>-1178</v>
      </c>
      <c r="AC2361" s="10" t="n">
        <v>-1220</v>
      </c>
      <c r="AD2361" s="7" t="n">
        <v>14988</v>
      </c>
      <c r="AE2361" s="8" t="n">
        <v>2052</v>
      </c>
      <c r="AF2361" s="8" t="n">
        <v>-9167</v>
      </c>
      <c r="AG2361" s="9" t="n">
        <v>608</v>
      </c>
      <c r="AH2361" s="10" t="n">
        <v>-4476</v>
      </c>
      <c r="AI2361" s="10" t="n">
        <v>-2183</v>
      </c>
      <c r="AJ2361" s="11" t="n">
        <v>3464</v>
      </c>
      <c r="AK2361" s="12" t="n">
        <v>-14229</v>
      </c>
      <c r="AL2361" s="12" t="n">
        <v>-18805</v>
      </c>
      <c r="AM2361" s="13" t="n">
        <v>469.7</v>
      </c>
      <c r="AN2361" s="13" t="n">
        <v>-85.5</v>
      </c>
      <c r="AO2361" s="13" t="n">
        <v>-217.9</v>
      </c>
      <c r="AP2361" s="13" t="n">
        <v>-506.9</v>
      </c>
    </row>
    <row r="2362">
      <c r="A2362" s="5" t="inlineStr">
        <is>
          <t>범한퓨얼셀</t>
        </is>
      </c>
      <c r="B2362" s="6" t="inlineStr">
        <is>
          <t>382900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6720</v>
      </c>
      <c r="J2362" s="10" t="n">
        <v>-635</v>
      </c>
      <c r="K2362" s="10" t="n">
        <v>-637</v>
      </c>
      <c r="L2362" s="7" t="n">
        <v>9194</v>
      </c>
      <c r="M2362" s="8" t="n">
        <v>1650</v>
      </c>
      <c r="N2362" s="8" t="n">
        <v>896</v>
      </c>
      <c r="O2362" s="9" t="n">
        <v>11000</v>
      </c>
      <c r="P2362" s="10" t="n">
        <v>1338</v>
      </c>
      <c r="Q2362" s="10" t="n">
        <v>705</v>
      </c>
      <c r="R2362" s="7" t="n">
        <v>9281</v>
      </c>
      <c r="S2362" s="8" t="n">
        <v>58</v>
      </c>
      <c r="T2362" s="8" t="n">
        <v>-339</v>
      </c>
      <c r="U2362" s="9" t="n">
        <v>10446</v>
      </c>
      <c r="V2362" s="10" t="n">
        <v>680</v>
      </c>
      <c r="W2362" s="10" t="n">
        <v>-73</v>
      </c>
      <c r="X2362" s="7" t="n">
        <v>7061</v>
      </c>
      <c r="Y2362" s="8" t="n">
        <v>156</v>
      </c>
      <c r="Z2362" s="8" t="n">
        <v>-467</v>
      </c>
      <c r="AA2362" s="9" t="n">
        <v>10399</v>
      </c>
      <c r="AB2362" s="10" t="n">
        <v>842</v>
      </c>
      <c r="AC2362" s="10" t="n">
        <v>229</v>
      </c>
      <c r="AD2362" s="7" t="n">
        <v>15455</v>
      </c>
      <c r="AE2362" s="8" t="n">
        <v>-820</v>
      </c>
      <c r="AF2362" s="8" t="n">
        <v>1493</v>
      </c>
      <c r="AG2362" s="9" t="n">
        <v>5054</v>
      </c>
      <c r="AH2362" s="10" t="n">
        <v>-2145</v>
      </c>
      <c r="AI2362" s="10" t="n">
        <v>-1669</v>
      </c>
      <c r="AJ2362" s="11" t="n">
        <v>17825</v>
      </c>
      <c r="AK2362" s="12" t="n">
        <v>-3233</v>
      </c>
      <c r="AL2362" s="12" t="n">
        <v>-3988</v>
      </c>
      <c r="AM2362" s="13" t="n">
        <v>252.7</v>
      </c>
      <c r="AN2362" s="13" t="n">
        <v>152.4</v>
      </c>
      <c r="AO2362" s="13" t="n">
        <v>-50.7</v>
      </c>
      <c r="AP2362" s="13" t="n">
        <v>-2172.4</v>
      </c>
    </row>
    <row r="2363">
      <c r="A2363" s="5" t="inlineStr">
        <is>
          <t>F&amp;F</t>
        </is>
      </c>
      <c r="B2363" s="6" t="inlineStr">
        <is>
          <t>383220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583218</v>
      </c>
      <c r="G2363" s="15" t="n">
        <v>144004</v>
      </c>
      <c r="H2363" s="15" t="n">
        <v>103106</v>
      </c>
      <c r="I2363" s="9" t="n">
        <v>507029</v>
      </c>
      <c r="J2363" s="10" t="n">
        <v>130211</v>
      </c>
      <c r="K2363" s="10" t="n">
        <v>96322</v>
      </c>
      <c r="L2363" s="7" t="n">
        <v>391473</v>
      </c>
      <c r="M2363" s="8" t="n">
        <v>91801</v>
      </c>
      <c r="N2363" s="8" t="n">
        <v>73951</v>
      </c>
      <c r="O2363" s="9" t="n">
        <v>450963</v>
      </c>
      <c r="P2363" s="10" t="n">
        <v>108305</v>
      </c>
      <c r="Q2363" s="10" t="n">
        <v>79801</v>
      </c>
      <c r="R2363" s="7" t="n">
        <v>546545</v>
      </c>
      <c r="S2363" s="8" t="n">
        <v>120420</v>
      </c>
      <c r="T2363" s="8" t="n">
        <v>105886</v>
      </c>
      <c r="U2363" s="9" t="n">
        <v>505616</v>
      </c>
      <c r="V2363" s="10" t="n">
        <v>123616</v>
      </c>
      <c r="W2363" s="10" t="n">
        <v>82569</v>
      </c>
      <c r="X2363" s="7" t="n">
        <v>378871</v>
      </c>
      <c r="Y2363" s="8" t="n">
        <v>84030</v>
      </c>
      <c r="Z2363" s="8" t="n">
        <v>62639</v>
      </c>
      <c r="AA2363" s="9" t="n">
        <v>474257</v>
      </c>
      <c r="AB2363" s="10" t="n">
        <v>128020</v>
      </c>
      <c r="AC2363" s="10" t="n">
        <v>100695</v>
      </c>
      <c r="AD2363" s="7" t="n">
        <v>575252</v>
      </c>
      <c r="AE2363" s="8" t="n">
        <v>132908</v>
      </c>
      <c r="AF2363" s="8" t="n">
        <v>154783</v>
      </c>
      <c r="AG2363" s="9" t="n">
        <v>560898</v>
      </c>
      <c r="AH2363" s="10" t="n">
        <v>153482</v>
      </c>
      <c r="AI2363" s="10" t="n">
        <v>197556</v>
      </c>
      <c r="AJ2363" s="11" t="n">
        <v>399622</v>
      </c>
      <c r="AK2363" s="12" t="n">
        <v>86499</v>
      </c>
      <c r="AL2363" s="12" t="n">
        <v>72988</v>
      </c>
      <c r="AM2363" s="13" t="n">
        <v>-28.8</v>
      </c>
      <c r="AN2363" s="13" t="n">
        <v>5.5</v>
      </c>
      <c r="AO2363" s="13" t="n">
        <v>-43.6</v>
      </c>
      <c r="AP2363" s="13" t="n">
        <v>2.9</v>
      </c>
    </row>
    <row r="2364">
      <c r="A2364" s="5" t="inlineStr">
        <is>
          <t>에코프로에이치엔</t>
        </is>
      </c>
      <c r="B2364" s="6" t="inlineStr">
        <is>
          <t>383310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47557</v>
      </c>
      <c r="G2364" s="15" t="n">
        <v>7175</v>
      </c>
      <c r="H2364" s="15" t="n">
        <v>5405</v>
      </c>
      <c r="I2364" s="9" t="n">
        <v>51505</v>
      </c>
      <c r="J2364" s="10" t="n">
        <v>7331</v>
      </c>
      <c r="K2364" s="10" t="n">
        <v>6570</v>
      </c>
      <c r="L2364" s="7" t="n">
        <v>46833</v>
      </c>
      <c r="M2364" s="8" t="n">
        <v>3599</v>
      </c>
      <c r="N2364" s="8" t="n">
        <v>3182</v>
      </c>
      <c r="O2364" s="9" t="n">
        <v>56117</v>
      </c>
      <c r="P2364" s="10" t="n">
        <v>5691</v>
      </c>
      <c r="Q2364" s="10" t="n">
        <v>4832</v>
      </c>
      <c r="R2364" s="7" t="n">
        <v>80045</v>
      </c>
      <c r="S2364" s="8" t="n">
        <v>7605</v>
      </c>
      <c r="T2364" s="8" t="n">
        <v>6964</v>
      </c>
      <c r="U2364" s="9" t="n">
        <v>34433</v>
      </c>
      <c r="V2364" s="10" t="n">
        <v>3405</v>
      </c>
      <c r="W2364" s="10" t="n">
        <v>3686</v>
      </c>
      <c r="X2364" s="7" t="n">
        <v>39002</v>
      </c>
      <c r="Y2364" s="8" t="n">
        <v>3663</v>
      </c>
      <c r="Z2364" s="8" t="n">
        <v>3394</v>
      </c>
      <c r="AA2364" s="9" t="n">
        <v>28397</v>
      </c>
      <c r="AB2364" s="10" t="n">
        <v>2334</v>
      </c>
      <c r="AC2364" s="10" t="n">
        <v>2498</v>
      </c>
      <c r="AD2364" s="7" t="n">
        <v>39225</v>
      </c>
      <c r="AE2364" s="8" t="n">
        <v>2308</v>
      </c>
      <c r="AF2364" s="8" t="n">
        <v>3643</v>
      </c>
      <c r="AG2364" s="9" t="n">
        <v>34667</v>
      </c>
      <c r="AH2364" s="10" t="n">
        <v>5029</v>
      </c>
      <c r="AI2364" s="10" t="n">
        <v>4521</v>
      </c>
      <c r="AJ2364" s="11" t="n">
        <v>51528</v>
      </c>
      <c r="AK2364" s="12" t="n">
        <v>5762</v>
      </c>
      <c r="AL2364" s="12" t="n">
        <v>5072</v>
      </c>
      <c r="AM2364" s="13" t="n">
        <v>48.6</v>
      </c>
      <c r="AN2364" s="13" t="n">
        <v>32.1</v>
      </c>
      <c r="AO2364" s="13" t="n">
        <v>14.6</v>
      </c>
      <c r="AP2364" s="13" t="n">
        <v>57.3</v>
      </c>
    </row>
    <row r="2365">
      <c r="A2365" s="5" t="inlineStr">
        <is>
          <t>LX홀딩스</t>
        </is>
      </c>
      <c r="B2365" s="6" t="inlineStr">
        <is>
          <t>383800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9847</v>
      </c>
      <c r="G2365" s="15" t="n">
        <v>-9077</v>
      </c>
      <c r="H2365" s="15" t="n">
        <v>-5363</v>
      </c>
      <c r="I2365" s="9" t="n">
        <v>9176</v>
      </c>
      <c r="J2365" s="10" t="n">
        <v>48624</v>
      </c>
      <c r="K2365" s="10" t="n">
        <v>48370</v>
      </c>
      <c r="L2365" s="7" t="n">
        <v>10646</v>
      </c>
      <c r="M2365" s="8" t="n">
        <v>58660</v>
      </c>
      <c r="N2365" s="8" t="n">
        <v>59738</v>
      </c>
      <c r="O2365" s="9" t="n">
        <v>10999</v>
      </c>
      <c r="P2365" s="10" t="n">
        <v>54832</v>
      </c>
      <c r="Q2365" s="10" t="n">
        <v>55283</v>
      </c>
      <c r="R2365" s="7" t="n">
        <v>9852</v>
      </c>
      <c r="S2365" s="8" t="n">
        <v>-6099</v>
      </c>
      <c r="T2365" s="8" t="n">
        <v>-3112</v>
      </c>
      <c r="U2365" s="9" t="n">
        <v>10062</v>
      </c>
      <c r="V2365" s="10" t="n">
        <v>71375</v>
      </c>
      <c r="W2365" s="10" t="n">
        <v>70469</v>
      </c>
      <c r="X2365" s="7" t="n">
        <v>10136</v>
      </c>
      <c r="Y2365" s="8" t="n">
        <v>42462</v>
      </c>
      <c r="Z2365" s="8" t="n">
        <v>43628</v>
      </c>
      <c r="AA2365" s="9" t="n">
        <v>11142</v>
      </c>
      <c r="AB2365" s="10" t="n">
        <v>37306</v>
      </c>
      <c r="AC2365" s="10" t="n">
        <v>37555</v>
      </c>
      <c r="AD2365" s="7" t="n">
        <v>9953</v>
      </c>
      <c r="AE2365" s="8" t="n">
        <v>-17745</v>
      </c>
      <c r="AF2365" s="8" t="n">
        <v>-16057</v>
      </c>
      <c r="AG2365" s="9" t="n">
        <v>14382</v>
      </c>
      <c r="AH2365" s="10" t="n">
        <v>41600</v>
      </c>
      <c r="AI2365" s="10" t="n">
        <v>37582</v>
      </c>
      <c r="AJ2365" s="11" t="n">
        <v>17286</v>
      </c>
      <c r="AK2365" s="12" t="n">
        <v>60337</v>
      </c>
      <c r="AL2365" s="12" t="n">
        <v>56551</v>
      </c>
      <c r="AM2365" s="13" t="n">
        <v>20.2</v>
      </c>
      <c r="AN2365" s="13" t="n">
        <v>70.5</v>
      </c>
      <c r="AO2365" s="13" t="n">
        <v>45</v>
      </c>
      <c r="AP2365" s="13" t="n">
        <v>42.1</v>
      </c>
    </row>
    <row r="2366">
      <c r="A2366" s="5" t="inlineStr">
        <is>
          <t>디티앤씨알오</t>
        </is>
      </c>
      <c r="B2366" s="6" t="inlineStr">
        <is>
          <t>383930</t>
        </is>
      </c>
      <c r="C2366" s="6" t="inlineStr">
        <is>
          <t>별도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n">
        <v>6579</v>
      </c>
      <c r="J2366" s="10" t="n">
        <v>-4637</v>
      </c>
      <c r="K2366" s="10" t="n">
        <v>-4633</v>
      </c>
      <c r="L2366" s="7" t="n">
        <v>7257</v>
      </c>
      <c r="M2366" s="8" t="n">
        <v>-4071</v>
      </c>
      <c r="N2366" s="8" t="n">
        <v>-5229</v>
      </c>
      <c r="O2366" s="9" t="n">
        <v>10513</v>
      </c>
      <c r="P2366" s="10" t="n">
        <v>-2045</v>
      </c>
      <c r="Q2366" s="10" t="n">
        <v>-1830</v>
      </c>
      <c r="R2366" s="7" t="n">
        <v>11622</v>
      </c>
      <c r="S2366" s="8" t="n">
        <v>-542</v>
      </c>
      <c r="T2366" s="8" t="n">
        <v>9693</v>
      </c>
      <c r="U2366" s="9" t="n">
        <v>10107</v>
      </c>
      <c r="V2366" s="10" t="n">
        <v>-3486</v>
      </c>
      <c r="W2366" s="10" t="n">
        <v>-4273</v>
      </c>
      <c r="X2366" s="7" t="n">
        <v>10059</v>
      </c>
      <c r="Y2366" s="8" t="n">
        <v>-1972</v>
      </c>
      <c r="Z2366" s="8" t="n">
        <v>710</v>
      </c>
      <c r="AA2366" s="9" t="n">
        <v>12570</v>
      </c>
      <c r="AB2366" s="10" t="n">
        <v>-905</v>
      </c>
      <c r="AC2366" s="10" t="n">
        <v>-1956</v>
      </c>
      <c r="AD2366" s="7" t="n">
        <v>15011</v>
      </c>
      <c r="AE2366" s="8" t="n">
        <v>621</v>
      </c>
      <c r="AF2366" s="8" t="n">
        <v>2742</v>
      </c>
      <c r="AG2366" s="9" t="n">
        <v>10127</v>
      </c>
      <c r="AH2366" s="10" t="n">
        <v>-3583</v>
      </c>
      <c r="AI2366" s="10" t="n">
        <v>-13778</v>
      </c>
      <c r="AJ2366" s="11" t="n">
        <v>11294</v>
      </c>
      <c r="AK2366" s="12" t="n">
        <v>-6565</v>
      </c>
      <c r="AL2366" s="12" t="n">
        <v>-4104</v>
      </c>
      <c r="AM2366" s="13" t="n">
        <v>11.5</v>
      </c>
      <c r="AN2366" s="13" t="n">
        <v>12.3</v>
      </c>
      <c r="AO2366" s="13" t="n">
        <v>-83.2</v>
      </c>
      <c r="AP2366" s="13" t="n">
        <v>-232.9</v>
      </c>
    </row>
    <row r="2367">
      <c r="A2367" s="5" t="inlineStr">
        <is>
          <t>코어라인소프트</t>
        </is>
      </c>
      <c r="B2367" s="6" t="inlineStr">
        <is>
          <t>384470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n">
        <v>-3407</v>
      </c>
      <c r="K2367" s="10" t="n">
        <v>-3059</v>
      </c>
      <c r="L2367" s="7" t="inlineStr"/>
      <c r="M2367" s="8" t="n">
        <v>-3221</v>
      </c>
      <c r="N2367" s="8" t="n">
        <v>-3070</v>
      </c>
      <c r="O2367" s="9" t="inlineStr"/>
      <c r="P2367" s="10" t="n">
        <v>-3447</v>
      </c>
      <c r="Q2367" s="10" t="n">
        <v>-3635</v>
      </c>
      <c r="R2367" s="7" t="inlineStr"/>
      <c r="S2367" s="8" t="n">
        <v>-3704</v>
      </c>
      <c r="T2367" s="8" t="n">
        <v>-4374</v>
      </c>
      <c r="U2367" s="9" t="inlineStr"/>
      <c r="V2367" s="10" t="n">
        <v>-3699</v>
      </c>
      <c r="W2367" s="10" t="n">
        <v>-3950</v>
      </c>
      <c r="X2367" s="7" t="inlineStr"/>
      <c r="Y2367" s="8" t="n">
        <v>-3227</v>
      </c>
      <c r="Z2367" s="8" t="n">
        <v>-3602</v>
      </c>
      <c r="AA2367" s="9" t="inlineStr"/>
      <c r="AB2367" s="10" t="n">
        <v>-3592</v>
      </c>
      <c r="AC2367" s="10" t="n">
        <v>-3698</v>
      </c>
      <c r="AD2367" s="14" t="n">
        <v>1328</v>
      </c>
      <c r="AE2367" s="8" t="n">
        <v>-2927</v>
      </c>
      <c r="AF2367" s="8" t="n">
        <v>-3246</v>
      </c>
      <c r="AG2367" s="9" t="inlineStr"/>
      <c r="AH2367" s="10" t="n">
        <v>-3103</v>
      </c>
      <c r="AI2367" s="10" t="n">
        <v>-3221</v>
      </c>
      <c r="AJ2367" s="11" t="inlineStr"/>
      <c r="AK2367" s="12" t="n">
        <v>-2369</v>
      </c>
      <c r="AL2367" s="12" t="n">
        <v>-3724</v>
      </c>
      <c r="AM2367" s="13" t="inlineStr"/>
      <c r="AN2367" s="13" t="inlineStr"/>
      <c r="AO2367" s="13" t="n">
        <v>23.7</v>
      </c>
      <c r="AP2367" s="13" t="n">
        <v>26.6</v>
      </c>
    </row>
    <row r="2368">
      <c r="A2368" s="5" t="inlineStr">
        <is>
          <t>파인메딕스</t>
        </is>
      </c>
      <c r="B2368" s="6" t="inlineStr">
        <is>
          <t>387570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n">
        <v>1899</v>
      </c>
      <c r="V2368" s="10" t="n">
        <v>-851</v>
      </c>
      <c r="W2368" s="10" t="n">
        <v>-846</v>
      </c>
      <c r="X2368" s="7" t="n">
        <v>2460</v>
      </c>
      <c r="Y2368" s="8" t="n">
        <v>-524</v>
      </c>
      <c r="Z2368" s="8" t="n">
        <v>-409</v>
      </c>
      <c r="AA2368" s="9" t="n">
        <v>2197</v>
      </c>
      <c r="AB2368" s="10" t="n">
        <v>-1074</v>
      </c>
      <c r="AC2368" s="10" t="n">
        <v>-996</v>
      </c>
      <c r="AD2368" s="7" t="n">
        <v>2967</v>
      </c>
      <c r="AE2368" s="8" t="n">
        <v>-131</v>
      </c>
      <c r="AF2368" s="8" t="n">
        <v>373</v>
      </c>
      <c r="AG2368" s="9" t="n">
        <v>2232</v>
      </c>
      <c r="AH2368" s="10" t="n">
        <v>-751</v>
      </c>
      <c r="AI2368" s="10" t="n">
        <v>-753</v>
      </c>
      <c r="AJ2368" s="11" t="n">
        <v>4031</v>
      </c>
      <c r="AK2368" s="12" t="n">
        <v>790</v>
      </c>
      <c r="AL2368" s="12" t="n">
        <v>777</v>
      </c>
      <c r="AM2368" s="13" t="n">
        <v>80.59999999999999</v>
      </c>
      <c r="AN2368" s="13" t="n">
        <v>63.9</v>
      </c>
      <c r="AO2368" s="13" t="n">
        <v>205.2</v>
      </c>
      <c r="AP2368" s="13" t="n">
        <v>250.8</v>
      </c>
    </row>
    <row r="2369">
      <c r="A2369" s="5" t="inlineStr">
        <is>
          <t>레메디</t>
        </is>
      </c>
      <c r="B2369" s="6" t="inlineStr">
        <is>
          <t>387690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inlineStr"/>
      <c r="Y2369" s="8" t="inlineStr"/>
      <c r="Z2369" s="8" t="inlineStr"/>
      <c r="AA2369" s="9" t="inlineStr"/>
      <c r="AB2369" s="10" t="inlineStr"/>
      <c r="AC2369" s="10" t="inlineStr"/>
      <c r="AD2369" s="7" t="inlineStr"/>
      <c r="AE2369" s="8" t="inlineStr"/>
      <c r="AF2369" s="8" t="inlineStr"/>
      <c r="AG2369" s="9" t="inlineStr"/>
      <c r="AH2369" s="10" t="inlineStr"/>
      <c r="AI2369" s="10" t="inlineStr"/>
      <c r="AJ2369" s="11" t="n">
        <v>6184</v>
      </c>
      <c r="AK2369" s="12" t="n">
        <v>2833</v>
      </c>
      <c r="AL2369" s="12" t="n">
        <v>1859</v>
      </c>
      <c r="AM2369" s="13" t="inlineStr"/>
      <c r="AN2369" s="13" t="inlineStr"/>
      <c r="AO2369" s="13" t="inlineStr"/>
      <c r="AP2369" s="13" t="inlineStr"/>
    </row>
    <row r="2370">
      <c r="A2370" s="5" t="inlineStr">
        <is>
          <t>지투파워</t>
        </is>
      </c>
      <c r="B2370" s="6" t="inlineStr">
        <is>
          <t>388050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n">
        <v>9667</v>
      </c>
      <c r="J2370" s="10" t="n">
        <v>366</v>
      </c>
      <c r="K2370" s="10" t="n">
        <v>564</v>
      </c>
      <c r="L2370" s="7" t="n">
        <v>9376</v>
      </c>
      <c r="M2370" s="8" t="n">
        <v>170</v>
      </c>
      <c r="N2370" s="8" t="n">
        <v>474</v>
      </c>
      <c r="O2370" s="9" t="n">
        <v>11953</v>
      </c>
      <c r="P2370" s="10" t="n">
        <v>895</v>
      </c>
      <c r="Q2370" s="10" t="n">
        <v>890</v>
      </c>
      <c r="R2370" s="7" t="n">
        <v>24427</v>
      </c>
      <c r="S2370" s="8" t="n">
        <v>2239</v>
      </c>
      <c r="T2370" s="8" t="n">
        <v>2283</v>
      </c>
      <c r="U2370" s="9" t="n">
        <v>9971</v>
      </c>
      <c r="V2370" s="10" t="n">
        <v>-317</v>
      </c>
      <c r="W2370" s="10" t="n">
        <v>-296</v>
      </c>
      <c r="X2370" s="7" t="n">
        <v>14227</v>
      </c>
      <c r="Y2370" s="8" t="n">
        <v>588</v>
      </c>
      <c r="Z2370" s="8" t="n">
        <v>615</v>
      </c>
      <c r="AA2370" s="9" t="n">
        <v>15646</v>
      </c>
      <c r="AB2370" s="10" t="n">
        <v>2237</v>
      </c>
      <c r="AC2370" s="10" t="n">
        <v>1933</v>
      </c>
      <c r="AD2370" s="7" t="n">
        <v>37534</v>
      </c>
      <c r="AE2370" s="8" t="n">
        <v>6299</v>
      </c>
      <c r="AF2370" s="8" t="n">
        <v>3302</v>
      </c>
      <c r="AG2370" s="9" t="n">
        <v>19180</v>
      </c>
      <c r="AH2370" s="10" t="n">
        <v>2268</v>
      </c>
      <c r="AI2370" s="10" t="n">
        <v>1894</v>
      </c>
      <c r="AJ2370" s="11" t="n">
        <v>10417</v>
      </c>
      <c r="AK2370" s="12" t="n">
        <v>413</v>
      </c>
      <c r="AL2370" s="12" t="n">
        <v>349</v>
      </c>
      <c r="AM2370" s="13" t="n">
        <v>-45.7</v>
      </c>
      <c r="AN2370" s="13" t="n">
        <v>-26.8</v>
      </c>
      <c r="AO2370" s="13" t="n">
        <v>-81.8</v>
      </c>
      <c r="AP2370" s="13" t="n">
        <v>-29.8</v>
      </c>
    </row>
    <row r="2371">
      <c r="A2371" s="5" t="inlineStr">
        <is>
          <t>씨엠티엑스</t>
        </is>
      </c>
      <c r="B2371" s="6" t="inlineStr">
        <is>
          <t>388210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77350</v>
      </c>
      <c r="Y2371" s="8" t="n">
        <v>26313</v>
      </c>
      <c r="Z2371" s="8" t="n">
        <v>-45826</v>
      </c>
      <c r="AA2371" s="9" t="n">
        <v>41027</v>
      </c>
      <c r="AB2371" s="10" t="n">
        <v>15465</v>
      </c>
      <c r="AC2371" s="10" t="n">
        <v>15553</v>
      </c>
      <c r="AD2371" s="7" t="inlineStr"/>
      <c r="AE2371" s="8" t="inlineStr"/>
      <c r="AF2371" s="8" t="inlineStr"/>
      <c r="AG2371" s="9" t="n">
        <v>44121</v>
      </c>
      <c r="AH2371" s="10" t="n">
        <v>13510</v>
      </c>
      <c r="AI2371" s="10" t="n">
        <v>14101</v>
      </c>
      <c r="AJ2371" s="11" t="n">
        <v>47897</v>
      </c>
      <c r="AK2371" s="12" t="n">
        <v>15575</v>
      </c>
      <c r="AL2371" s="12" t="n">
        <v>10087</v>
      </c>
      <c r="AM2371" s="13" t="n">
        <v>8.6</v>
      </c>
      <c r="AN2371" s="13" t="n">
        <v>-38.1</v>
      </c>
      <c r="AO2371" s="13" t="n">
        <v>15.3</v>
      </c>
      <c r="AP2371" s="13" t="n">
        <v>-40.8</v>
      </c>
    </row>
    <row r="2372">
      <c r="A2372" s="5" t="inlineStr">
        <is>
          <t>지에프씨생명과학</t>
        </is>
      </c>
      <c r="B2372" s="6" t="inlineStr">
        <is>
          <t>388610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4491</v>
      </c>
      <c r="Y2372" s="8" t="n">
        <v>193</v>
      </c>
      <c r="Z2372" s="8" t="n">
        <v>76</v>
      </c>
      <c r="AA2372" s="9" t="n">
        <v>4180</v>
      </c>
      <c r="AB2372" s="10" t="n">
        <v>-284</v>
      </c>
      <c r="AC2372" s="10" t="n">
        <v>-288</v>
      </c>
      <c r="AD2372" s="7" t="inlineStr"/>
      <c r="AE2372" s="8" t="inlineStr"/>
      <c r="AF2372" s="8" t="inlineStr"/>
      <c r="AG2372" s="9" t="n">
        <v>5040</v>
      </c>
      <c r="AH2372" s="10" t="n">
        <v>464</v>
      </c>
      <c r="AI2372" s="10" t="n">
        <v>477</v>
      </c>
      <c r="AJ2372" s="11" t="n">
        <v>5464</v>
      </c>
      <c r="AK2372" s="12" t="n">
        <v>581</v>
      </c>
      <c r="AL2372" s="12" t="n">
        <v>417</v>
      </c>
      <c r="AM2372" s="13" t="n">
        <v>8.4</v>
      </c>
      <c r="AN2372" s="13" t="n">
        <v>21.7</v>
      </c>
      <c r="AO2372" s="13" t="n">
        <v>25.2</v>
      </c>
      <c r="AP2372" s="13" t="n">
        <v>201</v>
      </c>
    </row>
    <row r="2373">
      <c r="A2373" s="5" t="inlineStr">
        <is>
          <t>유일로보틱스</t>
        </is>
      </c>
      <c r="B2373" s="6" t="inlineStr">
        <is>
          <t>388720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7899</v>
      </c>
      <c r="J2373" s="10" t="n">
        <v>-1043</v>
      </c>
      <c r="K2373" s="10" t="n">
        <v>-14252</v>
      </c>
      <c r="L2373" s="7" t="n">
        <v>8308</v>
      </c>
      <c r="M2373" s="8" t="n">
        <v>309</v>
      </c>
      <c r="N2373" s="8" t="n">
        <v>4752</v>
      </c>
      <c r="O2373" s="9" t="n">
        <v>10093</v>
      </c>
      <c r="P2373" s="10" t="n">
        <v>134</v>
      </c>
      <c r="Q2373" s="10" t="n">
        <v>83</v>
      </c>
      <c r="R2373" s="7" t="n">
        <v>8869</v>
      </c>
      <c r="S2373" s="8" t="n">
        <v>995</v>
      </c>
      <c r="T2373" s="8" t="n">
        <v>364</v>
      </c>
      <c r="U2373" s="9" t="n">
        <v>10073</v>
      </c>
      <c r="V2373" s="10" t="n">
        <v>435</v>
      </c>
      <c r="W2373" s="10" t="n">
        <v>-193</v>
      </c>
      <c r="X2373" s="7" t="n">
        <v>7090</v>
      </c>
      <c r="Y2373" s="8" t="n">
        <v>-4131</v>
      </c>
      <c r="Z2373" s="8" t="n">
        <v>-17819</v>
      </c>
      <c r="AA2373" s="9" t="n">
        <v>9295</v>
      </c>
      <c r="AB2373" s="10" t="n">
        <v>-3960</v>
      </c>
      <c r="AC2373" s="10" t="n">
        <v>-932</v>
      </c>
      <c r="AD2373" s="7" t="inlineStr"/>
      <c r="AE2373" s="8" t="n">
        <v>-4964</v>
      </c>
      <c r="AF2373" s="8" t="n">
        <v>-5726</v>
      </c>
      <c r="AG2373" s="9" t="n">
        <v>4559</v>
      </c>
      <c r="AH2373" s="10" t="n">
        <v>-4112</v>
      </c>
      <c r="AI2373" s="10" t="n">
        <v>-7990</v>
      </c>
      <c r="AJ2373" s="11" t="inlineStr"/>
      <c r="AK2373" s="12" t="n">
        <v>-1457</v>
      </c>
      <c r="AL2373" s="12" t="n">
        <v>-1283</v>
      </c>
      <c r="AM2373" s="13" t="inlineStr"/>
      <c r="AN2373" s="13" t="inlineStr"/>
      <c r="AO2373" s="13" t="n">
        <v>64.59999999999999</v>
      </c>
      <c r="AP2373" s="13" t="n">
        <v>64.7</v>
      </c>
    </row>
    <row r="2374">
      <c r="A2374" s="5" t="inlineStr">
        <is>
          <t>라이콤</t>
        </is>
      </c>
      <c r="B2374" s="6" t="inlineStr">
        <is>
          <t>388790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2825</v>
      </c>
      <c r="J2374" s="10" t="n">
        <v>-782</v>
      </c>
      <c r="K2374" s="10" t="n">
        <v>-480</v>
      </c>
      <c r="L2374" s="7" t="n">
        <v>3162</v>
      </c>
      <c r="M2374" s="8" t="n">
        <v>-1334</v>
      </c>
      <c r="N2374" s="8" t="n">
        <v>-1015</v>
      </c>
      <c r="O2374" s="9" t="n">
        <v>2732</v>
      </c>
      <c r="P2374" s="10" t="n">
        <v>-1246</v>
      </c>
      <c r="Q2374" s="10" t="n">
        <v>-865</v>
      </c>
      <c r="R2374" s="7" t="n">
        <v>4418</v>
      </c>
      <c r="S2374" s="8" t="n">
        <v>-1980</v>
      </c>
      <c r="T2374" s="8" t="n">
        <v>-1391</v>
      </c>
      <c r="U2374" s="9" t="n">
        <v>3703</v>
      </c>
      <c r="V2374" s="10" t="n">
        <v>-432</v>
      </c>
      <c r="W2374" s="10" t="n">
        <v>-168</v>
      </c>
      <c r="X2374" s="7" t="n">
        <v>2543</v>
      </c>
      <c r="Y2374" s="8" t="n">
        <v>-1064</v>
      </c>
      <c r="Z2374" s="8" t="n">
        <v>-1045</v>
      </c>
      <c r="AA2374" s="9" t="n">
        <v>3255</v>
      </c>
      <c r="AB2374" s="10" t="n">
        <v>-330</v>
      </c>
      <c r="AC2374" s="10" t="n">
        <v>-252</v>
      </c>
      <c r="AD2374" s="7" t="n">
        <v>8187</v>
      </c>
      <c r="AE2374" s="8" t="n">
        <v>2408</v>
      </c>
      <c r="AF2374" s="8" t="n">
        <v>1726</v>
      </c>
      <c r="AG2374" s="9" t="n">
        <v>2699</v>
      </c>
      <c r="AH2374" s="10" t="n">
        <v>-880</v>
      </c>
      <c r="AI2374" s="10" t="n">
        <v>-716</v>
      </c>
      <c r="AJ2374" s="11" t="n">
        <v>4530</v>
      </c>
      <c r="AK2374" s="12" t="n">
        <v>128</v>
      </c>
      <c r="AL2374" s="12" t="n">
        <v>113</v>
      </c>
      <c r="AM2374" s="13" t="n">
        <v>67.8</v>
      </c>
      <c r="AN2374" s="13" t="n">
        <v>78.09999999999999</v>
      </c>
      <c r="AO2374" s="13" t="n">
        <v>114.5</v>
      </c>
      <c r="AP2374" s="13" t="n">
        <v>112</v>
      </c>
    </row>
    <row r="2375">
      <c r="A2375" s="5" t="inlineStr">
        <is>
          <t>파로스아이바이오</t>
        </is>
      </c>
      <c r="B2375" s="6" t="inlineStr">
        <is>
          <t>388870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inlineStr"/>
      <c r="J2375" s="10" t="n">
        <v>-3535</v>
      </c>
      <c r="K2375" s="10" t="n">
        <v>-3005</v>
      </c>
      <c r="L2375" s="7" t="inlineStr"/>
      <c r="M2375" s="8" t="n">
        <v>-3146</v>
      </c>
      <c r="N2375" s="8" t="n">
        <v>-2844</v>
      </c>
      <c r="O2375" s="9" t="inlineStr"/>
      <c r="P2375" s="10" t="n">
        <v>-3004</v>
      </c>
      <c r="Q2375" s="10" t="n">
        <v>-2538</v>
      </c>
      <c r="R2375" s="7" t="inlineStr"/>
      <c r="S2375" s="8" t="n">
        <v>-2916</v>
      </c>
      <c r="T2375" s="8" t="n">
        <v>-2173</v>
      </c>
      <c r="U2375" s="9" t="n">
        <v>0</v>
      </c>
      <c r="V2375" s="10" t="n">
        <v>-3148</v>
      </c>
      <c r="W2375" s="10" t="n">
        <v>-3032</v>
      </c>
      <c r="X2375" s="7" t="inlineStr"/>
      <c r="Y2375" s="8" t="n">
        <v>-2430</v>
      </c>
      <c r="Z2375" s="8" t="n">
        <v>-2782</v>
      </c>
      <c r="AA2375" s="9" t="inlineStr"/>
      <c r="AB2375" s="10" t="n">
        <v>-2993</v>
      </c>
      <c r="AC2375" s="10" t="n">
        <v>-1835</v>
      </c>
      <c r="AD2375" s="7" t="inlineStr"/>
      <c r="AE2375" s="8" t="n">
        <v>-2936</v>
      </c>
      <c r="AF2375" s="8" t="n">
        <v>-3108</v>
      </c>
      <c r="AG2375" s="9" t="inlineStr"/>
      <c r="AH2375" s="10" t="n">
        <v>-2367</v>
      </c>
      <c r="AI2375" s="10" t="n">
        <v>-2213</v>
      </c>
      <c r="AJ2375" s="11" t="inlineStr"/>
      <c r="AK2375" s="12" t="n">
        <v>-2280</v>
      </c>
      <c r="AL2375" s="12" t="n">
        <v>-2335</v>
      </c>
      <c r="AM2375" s="13" t="inlineStr"/>
      <c r="AN2375" s="13" t="inlineStr"/>
      <c r="AO2375" s="13" t="n">
        <v>3.7</v>
      </c>
      <c r="AP2375" s="13" t="n">
        <v>6.2</v>
      </c>
    </row>
    <row r="2376">
      <c r="A2376" s="5" t="inlineStr">
        <is>
          <t>자람테크놀로지</t>
        </is>
      </c>
      <c r="B2376" s="6" t="inlineStr">
        <is>
          <t>389020</t>
        </is>
      </c>
      <c r="C2376" s="6" t="inlineStr">
        <is>
          <t>별도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5958</v>
      </c>
      <c r="J2376" s="10" t="n">
        <v>550</v>
      </c>
      <c r="K2376" s="10" t="n">
        <v>1270</v>
      </c>
      <c r="L2376" s="7" t="n">
        <v>5311</v>
      </c>
      <c r="M2376" s="8" t="n">
        <v>416</v>
      </c>
      <c r="N2376" s="8" t="n">
        <v>391</v>
      </c>
      <c r="O2376" s="9" t="n">
        <v>5629</v>
      </c>
      <c r="P2376" s="10" t="n">
        <v>511</v>
      </c>
      <c r="Q2376" s="10" t="n">
        <v>29</v>
      </c>
      <c r="R2376" s="7" t="n">
        <v>5272</v>
      </c>
      <c r="S2376" s="8" t="n">
        <v>-1112</v>
      </c>
      <c r="T2376" s="8" t="n">
        <v>293</v>
      </c>
      <c r="U2376" s="9" t="n">
        <v>3098</v>
      </c>
      <c r="V2376" s="10" t="n">
        <v>-1309</v>
      </c>
      <c r="W2376" s="10" t="n">
        <v>-1640</v>
      </c>
      <c r="X2376" s="7" t="n">
        <v>2700</v>
      </c>
      <c r="Y2376" s="8" t="n">
        <v>-1632</v>
      </c>
      <c r="Z2376" s="8" t="n">
        <v>-1604</v>
      </c>
      <c r="AA2376" s="9" t="n">
        <v>2095</v>
      </c>
      <c r="AB2376" s="10" t="n">
        <v>-1958</v>
      </c>
      <c r="AC2376" s="10" t="n">
        <v>-1705</v>
      </c>
      <c r="AD2376" s="7" t="n">
        <v>2751</v>
      </c>
      <c r="AE2376" s="8" t="n">
        <v>-2166</v>
      </c>
      <c r="AF2376" s="8" t="n">
        <v>-1895</v>
      </c>
      <c r="AG2376" s="9" t="n">
        <v>5185</v>
      </c>
      <c r="AH2376" s="10" t="n">
        <v>-1550</v>
      </c>
      <c r="AI2376" s="10" t="n">
        <v>-247</v>
      </c>
      <c r="AJ2376" s="11" t="n">
        <v>6095</v>
      </c>
      <c r="AK2376" s="12" t="n">
        <v>-314</v>
      </c>
      <c r="AL2376" s="12" t="n">
        <v>-240</v>
      </c>
      <c r="AM2376" s="13" t="n">
        <v>17.6</v>
      </c>
      <c r="AN2376" s="13" t="n">
        <v>125.7</v>
      </c>
      <c r="AO2376" s="13" t="n">
        <v>79.7</v>
      </c>
      <c r="AP2376" s="13" t="n">
        <v>80.8</v>
      </c>
    </row>
    <row r="2377">
      <c r="A2377" s="5" t="inlineStr">
        <is>
          <t>지니너스</t>
        </is>
      </c>
      <c r="B2377" s="6" t="inlineStr">
        <is>
          <t>389030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1759</v>
      </c>
      <c r="J2377" s="10" t="n">
        <v>-2846</v>
      </c>
      <c r="K2377" s="10" t="n">
        <v>-2805</v>
      </c>
      <c r="L2377" s="7" t="n">
        <v>1472</v>
      </c>
      <c r="M2377" s="8" t="n">
        <v>-3745</v>
      </c>
      <c r="N2377" s="8" t="n">
        <v>-3914</v>
      </c>
      <c r="O2377" s="9" t="n">
        <v>1765</v>
      </c>
      <c r="P2377" s="10" t="n">
        <v>-2080</v>
      </c>
      <c r="Q2377" s="10" t="n">
        <v>-1997</v>
      </c>
      <c r="R2377" s="7" t="n">
        <v>1459</v>
      </c>
      <c r="S2377" s="8" t="n">
        <v>-3589</v>
      </c>
      <c r="T2377" s="8" t="n">
        <v>-3557</v>
      </c>
      <c r="U2377" s="9" t="n">
        <v>2628</v>
      </c>
      <c r="V2377" s="10" t="n">
        <v>-2382</v>
      </c>
      <c r="W2377" s="10" t="n">
        <v>-2366</v>
      </c>
      <c r="X2377" s="7" t="n">
        <v>2570</v>
      </c>
      <c r="Y2377" s="8" t="n">
        <v>-4004</v>
      </c>
      <c r="Z2377" s="8" t="n">
        <v>-4424</v>
      </c>
      <c r="AA2377" s="9" t="n">
        <v>2151</v>
      </c>
      <c r="AB2377" s="10" t="n">
        <v>-2329</v>
      </c>
      <c r="AC2377" s="10" t="n">
        <v>-2449</v>
      </c>
      <c r="AD2377" s="7" t="n">
        <v>3134</v>
      </c>
      <c r="AE2377" s="8" t="n">
        <v>-2956</v>
      </c>
      <c r="AF2377" s="8" t="n">
        <v>-8134</v>
      </c>
      <c r="AG2377" s="9" t="n">
        <v>2386</v>
      </c>
      <c r="AH2377" s="10" t="n">
        <v>-2048</v>
      </c>
      <c r="AI2377" s="10" t="n">
        <v>-2027</v>
      </c>
      <c r="AJ2377" s="11" t="n">
        <v>3607</v>
      </c>
      <c r="AK2377" s="12" t="n">
        <v>-4595</v>
      </c>
      <c r="AL2377" s="12" t="n">
        <v>-7746</v>
      </c>
      <c r="AM2377" s="13" t="n">
        <v>51.2</v>
      </c>
      <c r="AN2377" s="13" t="n">
        <v>40.4</v>
      </c>
      <c r="AO2377" s="13" t="n">
        <v>-124.4</v>
      </c>
      <c r="AP2377" s="13" t="n">
        <v>-14.8</v>
      </c>
    </row>
    <row r="2378">
      <c r="A2378" s="5" t="inlineStr">
        <is>
          <t>포바이포</t>
        </is>
      </c>
      <c r="B2378" s="6" t="inlineStr">
        <is>
          <t>389140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inlineStr"/>
      <c r="J2378" s="10" t="n">
        <v>-4812</v>
      </c>
      <c r="K2378" s="10" t="n">
        <v>-4922</v>
      </c>
      <c r="L2378" s="7" t="inlineStr"/>
      <c r="M2378" s="8" t="n">
        <v>-4136</v>
      </c>
      <c r="N2378" s="8" t="n">
        <v>-4605</v>
      </c>
      <c r="O2378" s="9" t="inlineStr"/>
      <c r="P2378" s="10" t="n">
        <v>-3088</v>
      </c>
      <c r="Q2378" s="10" t="n">
        <v>-1130</v>
      </c>
      <c r="R2378" s="7" t="inlineStr"/>
      <c r="S2378" s="8" t="n">
        <v>-1855</v>
      </c>
      <c r="T2378" s="8" t="n">
        <v>-1639</v>
      </c>
      <c r="U2378" s="9" t="inlineStr"/>
      <c r="V2378" s="10" t="n">
        <v>-2603</v>
      </c>
      <c r="W2378" s="10" t="n">
        <v>-2993</v>
      </c>
      <c r="X2378" s="7" t="inlineStr"/>
      <c r="Y2378" s="8" t="n">
        <v>-89</v>
      </c>
      <c r="Z2378" s="8" t="n">
        <v>-382</v>
      </c>
      <c r="AA2378" s="9" t="inlineStr"/>
      <c r="AB2378" s="10" t="n">
        <v>-2053</v>
      </c>
      <c r="AC2378" s="10" t="n">
        <v>-2499</v>
      </c>
      <c r="AD2378" s="7" t="inlineStr"/>
      <c r="AE2378" s="8" t="n">
        <v>-2651</v>
      </c>
      <c r="AF2378" s="8" t="n">
        <v>-5085</v>
      </c>
      <c r="AG2378" s="9" t="inlineStr"/>
      <c r="AH2378" s="10" t="n">
        <v>-2503</v>
      </c>
      <c r="AI2378" s="10" t="n">
        <v>-2756</v>
      </c>
      <c r="AJ2378" s="11" t="inlineStr"/>
      <c r="AK2378" s="12" t="n">
        <v>-603</v>
      </c>
      <c r="AL2378" s="12" t="n">
        <v>-565</v>
      </c>
      <c r="AM2378" s="13" t="inlineStr"/>
      <c r="AN2378" s="13" t="inlineStr"/>
      <c r="AO2378" s="13" t="n">
        <v>75.90000000000001</v>
      </c>
      <c r="AP2378" s="13" t="n">
        <v>-577.5</v>
      </c>
    </row>
    <row r="2379">
      <c r="A2379" s="5" t="inlineStr">
        <is>
          <t>대명에너지</t>
        </is>
      </c>
      <c r="B2379" s="6" t="inlineStr">
        <is>
          <t>389260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14842</v>
      </c>
      <c r="J2379" s="10" t="n">
        <v>3651</v>
      </c>
      <c r="K2379" s="10" t="n">
        <v>4349</v>
      </c>
      <c r="L2379" s="7" t="n">
        <v>14892</v>
      </c>
      <c r="M2379" s="8" t="n">
        <v>990</v>
      </c>
      <c r="N2379" s="8" t="n">
        <v>-1058</v>
      </c>
      <c r="O2379" s="9" t="n">
        <v>17433</v>
      </c>
      <c r="P2379" s="10" t="n">
        <v>865</v>
      </c>
      <c r="Q2379" s="10" t="n">
        <v>3779</v>
      </c>
      <c r="R2379" s="7" t="n">
        <v>20595</v>
      </c>
      <c r="S2379" s="8" t="n">
        <v>4199</v>
      </c>
      <c r="T2379" s="8" t="n">
        <v>720</v>
      </c>
      <c r="U2379" s="9" t="n">
        <v>19162</v>
      </c>
      <c r="V2379" s="10" t="n">
        <v>5682</v>
      </c>
      <c r="W2379" s="10" t="n">
        <v>8404</v>
      </c>
      <c r="X2379" s="7" t="n">
        <v>22062</v>
      </c>
      <c r="Y2379" s="8" t="n">
        <v>2989</v>
      </c>
      <c r="Z2379" s="8" t="n">
        <v>-3221</v>
      </c>
      <c r="AA2379" s="9" t="n">
        <v>36955</v>
      </c>
      <c r="AB2379" s="10" t="n">
        <v>240</v>
      </c>
      <c r="AC2379" s="10" t="n">
        <v>-1919</v>
      </c>
      <c r="AD2379" s="7" t="n">
        <v>52792</v>
      </c>
      <c r="AE2379" s="8" t="n">
        <v>7888</v>
      </c>
      <c r="AF2379" s="8" t="n">
        <v>10880</v>
      </c>
      <c r="AG2379" s="9" t="n">
        <v>30811</v>
      </c>
      <c r="AH2379" s="10" t="n">
        <v>17927</v>
      </c>
      <c r="AI2379" s="10" t="n">
        <v>4800</v>
      </c>
      <c r="AJ2379" s="11" t="n">
        <v>25346</v>
      </c>
      <c r="AK2379" s="12" t="n">
        <v>3397</v>
      </c>
      <c r="AL2379" s="12" t="n">
        <v>16526</v>
      </c>
      <c r="AM2379" s="13" t="n">
        <v>-17.7</v>
      </c>
      <c r="AN2379" s="13" t="n">
        <v>14.9</v>
      </c>
      <c r="AO2379" s="13" t="n">
        <v>-81.09999999999999</v>
      </c>
      <c r="AP2379" s="13" t="n">
        <v>13.7</v>
      </c>
    </row>
    <row r="2380">
      <c r="A2380" s="5" t="inlineStr">
        <is>
          <t>인벤티지랩</t>
        </is>
      </c>
      <c r="B2380" s="6" t="inlineStr">
        <is>
          <t>389470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97</v>
      </c>
      <c r="J2380" s="10" t="n">
        <v>-4240</v>
      </c>
      <c r="K2380" s="10" t="n">
        <v>2407</v>
      </c>
      <c r="L2380" s="7" t="n">
        <v>389</v>
      </c>
      <c r="M2380" s="8" t="n">
        <v>-3945</v>
      </c>
      <c r="N2380" s="8" t="n">
        <v>-2269</v>
      </c>
      <c r="O2380" s="9" t="n">
        <v>218</v>
      </c>
      <c r="P2380" s="10" t="n">
        <v>-5403</v>
      </c>
      <c r="Q2380" s="10" t="n">
        <v>-11485</v>
      </c>
      <c r="R2380" s="7" t="n">
        <v>1079</v>
      </c>
      <c r="S2380" s="8" t="n">
        <v>-5376</v>
      </c>
      <c r="T2380" s="8" t="n">
        <v>-5650</v>
      </c>
      <c r="U2380" s="9" t="n">
        <v>169</v>
      </c>
      <c r="V2380" s="10" t="n">
        <v>-5373</v>
      </c>
      <c r="W2380" s="10" t="n">
        <v>-8160</v>
      </c>
      <c r="X2380" s="7" t="n">
        <v>865</v>
      </c>
      <c r="Y2380" s="8" t="n">
        <v>-8054</v>
      </c>
      <c r="Z2380" s="8" t="n">
        <v>-284</v>
      </c>
      <c r="AA2380" s="9" t="n">
        <v>832</v>
      </c>
      <c r="AB2380" s="10" t="n">
        <v>-7434</v>
      </c>
      <c r="AC2380" s="10" t="n">
        <v>-6526</v>
      </c>
      <c r="AD2380" s="7" t="n">
        <v>1073</v>
      </c>
      <c r="AE2380" s="8" t="n">
        <v>-7520</v>
      </c>
      <c r="AF2380" s="8" t="n">
        <v>-941</v>
      </c>
      <c r="AG2380" s="9" t="n">
        <v>393</v>
      </c>
      <c r="AH2380" s="10" t="n">
        <v>-8384</v>
      </c>
      <c r="AI2380" s="10" t="n">
        <v>923</v>
      </c>
      <c r="AJ2380" s="11" t="n">
        <v>176</v>
      </c>
      <c r="AK2380" s="12" t="n">
        <v>-10285</v>
      </c>
      <c r="AL2380" s="12" t="n">
        <v>-4223</v>
      </c>
      <c r="AM2380" s="13" t="n">
        <v>-55.2</v>
      </c>
      <c r="AN2380" s="13" t="n">
        <v>-79.7</v>
      </c>
      <c r="AO2380" s="13" t="n">
        <v>-22.7</v>
      </c>
      <c r="AP2380" s="13" t="n">
        <v>-27.7</v>
      </c>
    </row>
    <row r="2381">
      <c r="A2381" s="5" t="inlineStr">
        <is>
          <t>에스비비테크</t>
        </is>
      </c>
      <c r="B2381" s="6" t="inlineStr">
        <is>
          <t>389500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1145</v>
      </c>
      <c r="J2381" s="10" t="n">
        <v>-1718</v>
      </c>
      <c r="K2381" s="10" t="n">
        <v>-2435</v>
      </c>
      <c r="L2381" s="7" t="n">
        <v>1633</v>
      </c>
      <c r="M2381" s="8" t="n">
        <v>-1741</v>
      </c>
      <c r="N2381" s="8" t="n">
        <v>4917</v>
      </c>
      <c r="O2381" s="9" t="n">
        <v>1113</v>
      </c>
      <c r="P2381" s="10" t="n">
        <v>-1890</v>
      </c>
      <c r="Q2381" s="10" t="n">
        <v>-1616</v>
      </c>
      <c r="R2381" s="7" t="n">
        <v>1575</v>
      </c>
      <c r="S2381" s="8" t="n">
        <v>-1544</v>
      </c>
      <c r="T2381" s="8" t="n">
        <v>-1763</v>
      </c>
      <c r="U2381" s="9" t="n">
        <v>1177</v>
      </c>
      <c r="V2381" s="10" t="n">
        <v>-1896</v>
      </c>
      <c r="W2381" s="10" t="n">
        <v>-1866</v>
      </c>
      <c r="X2381" s="7" t="n">
        <v>1840</v>
      </c>
      <c r="Y2381" s="8" t="n">
        <v>-1926</v>
      </c>
      <c r="Z2381" s="8" t="n">
        <v>-2169</v>
      </c>
      <c r="AA2381" s="9" t="n">
        <v>2010</v>
      </c>
      <c r="AB2381" s="10" t="n">
        <v>-2140</v>
      </c>
      <c r="AC2381" s="10" t="n">
        <v>-2159</v>
      </c>
      <c r="AD2381" s="7" t="n">
        <v>2172</v>
      </c>
      <c r="AE2381" s="8" t="n">
        <v>-901</v>
      </c>
      <c r="AF2381" s="8" t="n">
        <v>-3260</v>
      </c>
      <c r="AG2381" s="9" t="n">
        <v>1772</v>
      </c>
      <c r="AH2381" s="10" t="n">
        <v>-1849</v>
      </c>
      <c r="AI2381" s="10" t="n">
        <v>-8806</v>
      </c>
      <c r="AJ2381" s="11" t="n">
        <v>2704</v>
      </c>
      <c r="AK2381" s="12" t="n">
        <v>-2952</v>
      </c>
      <c r="AL2381" s="12" t="n">
        <v>-3228</v>
      </c>
      <c r="AM2381" s="13" t="n">
        <v>52.6</v>
      </c>
      <c r="AN2381" s="13" t="n">
        <v>47</v>
      </c>
      <c r="AO2381" s="13" t="n">
        <v>-59.7</v>
      </c>
      <c r="AP2381" s="13" t="n">
        <v>-53.3</v>
      </c>
    </row>
    <row r="2382">
      <c r="A2382" s="5" t="inlineStr">
        <is>
          <t>넥스트바이오메디컬</t>
        </is>
      </c>
      <c r="B2382" s="6" t="inlineStr">
        <is>
          <t>389650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n">
        <v>2192</v>
      </c>
      <c r="P2382" s="10" t="n">
        <v>-1009</v>
      </c>
      <c r="Q2382" s="10" t="n">
        <v>-1337</v>
      </c>
      <c r="R2382" s="7" t="inlineStr"/>
      <c r="S2382" s="8" t="inlineStr"/>
      <c r="T2382" s="8" t="inlineStr"/>
      <c r="U2382" s="9" t="n">
        <v>3774</v>
      </c>
      <c r="V2382" s="10" t="n">
        <v>-668</v>
      </c>
      <c r="W2382" s="10" t="n">
        <v>-421</v>
      </c>
      <c r="X2382" s="7" t="n">
        <v>3971</v>
      </c>
      <c r="Y2382" s="8" t="n">
        <v>21</v>
      </c>
      <c r="Z2382" s="8" t="n">
        <v>-902</v>
      </c>
      <c r="AA2382" s="9" t="n">
        <v>4933</v>
      </c>
      <c r="AB2382" s="10" t="n">
        <v>370</v>
      </c>
      <c r="AC2382" s="10" t="n">
        <v>1061</v>
      </c>
      <c r="AD2382" s="7" t="n">
        <v>3799</v>
      </c>
      <c r="AE2382" s="8" t="n">
        <v>-443</v>
      </c>
      <c r="AF2382" s="8" t="n">
        <v>-49</v>
      </c>
      <c r="AG2382" s="9" t="n">
        <v>4121</v>
      </c>
      <c r="AH2382" s="10" t="n">
        <v>-1191</v>
      </c>
      <c r="AI2382" s="10" t="n">
        <v>-146</v>
      </c>
      <c r="AJ2382" s="11" t="n">
        <v>4936</v>
      </c>
      <c r="AK2382" s="12" t="n">
        <v>-1034</v>
      </c>
      <c r="AL2382" s="12" t="n">
        <v>-633</v>
      </c>
      <c r="AM2382" s="13" t="n">
        <v>19.8</v>
      </c>
      <c r="AN2382" s="13" t="n">
        <v>24.3</v>
      </c>
      <c r="AO2382" s="13" t="n">
        <v>13.2</v>
      </c>
      <c r="AP2382" s="13" t="n">
        <v>-5023.8</v>
      </c>
    </row>
    <row r="2383">
      <c r="A2383" s="5" t="inlineStr">
        <is>
          <t>유디엠텍</t>
        </is>
      </c>
      <c r="B2383" s="6" t="inlineStr">
        <is>
          <t>389680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inlineStr"/>
      <c r="P2383" s="10" t="inlineStr"/>
      <c r="Q2383" s="10" t="inlineStr"/>
      <c r="R2383" s="7" t="inlineStr"/>
      <c r="S2383" s="8" t="inlineStr"/>
      <c r="T2383" s="8" t="inlineStr"/>
      <c r="U2383" s="9" t="n">
        <v>631</v>
      </c>
      <c r="V2383" s="10" t="n">
        <v>-1109</v>
      </c>
      <c r="W2383" s="10" t="n">
        <v>-1058</v>
      </c>
      <c r="X2383" s="7" t="n">
        <v>789</v>
      </c>
      <c r="Y2383" s="8" t="n">
        <v>-1319</v>
      </c>
      <c r="Z2383" s="8" t="n">
        <v>-1199</v>
      </c>
      <c r="AA2383" s="9" t="n">
        <v>479</v>
      </c>
      <c r="AB2383" s="10" t="n">
        <v>-976</v>
      </c>
      <c r="AC2383" s="10" t="n">
        <v>-1027</v>
      </c>
      <c r="AD2383" s="7" t="n">
        <v>1314</v>
      </c>
      <c r="AE2383" s="8" t="n">
        <v>-243</v>
      </c>
      <c r="AF2383" s="8" t="n">
        <v>-218</v>
      </c>
      <c r="AG2383" s="9" t="n">
        <v>890</v>
      </c>
      <c r="AH2383" s="10" t="n">
        <v>-559</v>
      </c>
      <c r="AI2383" s="10" t="n">
        <v>-527</v>
      </c>
      <c r="AJ2383" s="11" t="n">
        <v>743</v>
      </c>
      <c r="AK2383" s="12" t="n">
        <v>-693</v>
      </c>
      <c r="AL2383" s="12" t="n">
        <v>-627</v>
      </c>
      <c r="AM2383" s="13" t="n">
        <v>-16.5</v>
      </c>
      <c r="AN2383" s="13" t="n">
        <v>-5.8</v>
      </c>
      <c r="AO2383" s="13" t="n">
        <v>-24</v>
      </c>
      <c r="AP2383" s="13" t="n">
        <v>47.5</v>
      </c>
    </row>
    <row r="2384">
      <c r="A2384" s="5" t="inlineStr">
        <is>
          <t>코닉오토메이션</t>
        </is>
      </c>
      <c r="B2384" s="6" t="inlineStr">
        <is>
          <t>391710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2095</v>
      </c>
      <c r="J2384" s="10" t="n">
        <v>-1426</v>
      </c>
      <c r="K2384" s="10" t="n">
        <v>-1383</v>
      </c>
      <c r="L2384" s="7" t="n">
        <v>28525</v>
      </c>
      <c r="M2384" s="8" t="n">
        <v>100</v>
      </c>
      <c r="N2384" s="8" t="n">
        <v>516</v>
      </c>
      <c r="O2384" s="9" t="n">
        <v>7296</v>
      </c>
      <c r="P2384" s="10" t="n">
        <v>-803</v>
      </c>
      <c r="Q2384" s="10" t="n">
        <v>-785</v>
      </c>
      <c r="R2384" s="7" t="n">
        <v>17595</v>
      </c>
      <c r="S2384" s="8" t="n">
        <v>2174</v>
      </c>
      <c r="T2384" s="8" t="n">
        <v>2676</v>
      </c>
      <c r="U2384" s="9" t="n">
        <v>3911</v>
      </c>
      <c r="V2384" s="10" t="n">
        <v>-1625</v>
      </c>
      <c r="W2384" s="10" t="n">
        <v>-1518</v>
      </c>
      <c r="X2384" s="7" t="n">
        <v>5859</v>
      </c>
      <c r="Y2384" s="8" t="n">
        <v>-1744</v>
      </c>
      <c r="Z2384" s="8" t="n">
        <v>-1795</v>
      </c>
      <c r="AA2384" s="9" t="n">
        <v>7406</v>
      </c>
      <c r="AB2384" s="10" t="n">
        <v>-300</v>
      </c>
      <c r="AC2384" s="10" t="n">
        <v>-295</v>
      </c>
      <c r="AD2384" s="7" t="n">
        <v>12924</v>
      </c>
      <c r="AE2384" s="8" t="n">
        <v>927</v>
      </c>
      <c r="AF2384" s="8" t="n">
        <v>708</v>
      </c>
      <c r="AG2384" s="9" t="n">
        <v>8600</v>
      </c>
      <c r="AH2384" s="10" t="n">
        <v>199</v>
      </c>
      <c r="AI2384" s="10" t="n">
        <v>-90</v>
      </c>
      <c r="AJ2384" s="11" t="n">
        <v>4930</v>
      </c>
      <c r="AK2384" s="12" t="n">
        <v>-1560</v>
      </c>
      <c r="AL2384" s="12" t="n">
        <v>-5715</v>
      </c>
      <c r="AM2384" s="13" t="n">
        <v>-42.7</v>
      </c>
      <c r="AN2384" s="13" t="n">
        <v>-15.9</v>
      </c>
      <c r="AO2384" s="13" t="n">
        <v>-883.9</v>
      </c>
      <c r="AP2384" s="13" t="n">
        <v>10.6</v>
      </c>
    </row>
    <row r="2385">
      <c r="A2385" s="5" t="inlineStr">
        <is>
          <t>토마토시스템</t>
        </is>
      </c>
      <c r="B2385" s="6" t="inlineStr">
        <is>
          <t>393210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4412</v>
      </c>
      <c r="J2385" s="10" t="n">
        <v>-1368</v>
      </c>
      <c r="K2385" s="10" t="n">
        <v>-1359</v>
      </c>
      <c r="L2385" s="7" t="n">
        <v>6570</v>
      </c>
      <c r="M2385" s="8" t="n">
        <v>105</v>
      </c>
      <c r="N2385" s="8" t="n">
        <v>960</v>
      </c>
      <c r="O2385" s="9" t="n">
        <v>4795</v>
      </c>
      <c r="P2385" s="10" t="n">
        <v>-791</v>
      </c>
      <c r="Q2385" s="10" t="n">
        <v>-390</v>
      </c>
      <c r="R2385" s="7" t="n">
        <v>5845</v>
      </c>
      <c r="S2385" s="8" t="n">
        <v>-1352</v>
      </c>
      <c r="T2385" s="8" t="n">
        <v>-1035</v>
      </c>
      <c r="U2385" s="9" t="n">
        <v>5587</v>
      </c>
      <c r="V2385" s="10" t="n">
        <v>-809</v>
      </c>
      <c r="W2385" s="10" t="n">
        <v>-620</v>
      </c>
      <c r="X2385" s="7" t="n">
        <v>5860</v>
      </c>
      <c r="Y2385" s="8" t="n">
        <v>-752</v>
      </c>
      <c r="Z2385" s="8" t="n">
        <v>-642</v>
      </c>
      <c r="AA2385" s="9" t="n">
        <v>6971</v>
      </c>
      <c r="AB2385" s="10" t="n">
        <v>-766</v>
      </c>
      <c r="AC2385" s="10" t="n">
        <v>-834</v>
      </c>
      <c r="AD2385" s="7" t="n">
        <v>8846</v>
      </c>
      <c r="AE2385" s="8" t="n">
        <v>-46</v>
      </c>
      <c r="AF2385" s="8" t="n">
        <v>-682</v>
      </c>
      <c r="AG2385" s="9" t="n">
        <v>8284</v>
      </c>
      <c r="AH2385" s="10" t="n">
        <v>240</v>
      </c>
      <c r="AI2385" s="10" t="n">
        <v>1295</v>
      </c>
      <c r="AJ2385" s="11" t="n">
        <v>8416</v>
      </c>
      <c r="AK2385" s="12" t="n">
        <v>21</v>
      </c>
      <c r="AL2385" s="12" t="n">
        <v>-364</v>
      </c>
      <c r="AM2385" s="13" t="n">
        <v>1.6</v>
      </c>
      <c r="AN2385" s="13" t="n">
        <v>43.6</v>
      </c>
      <c r="AO2385" s="13" t="n">
        <v>-91.2</v>
      </c>
      <c r="AP2385" s="13" t="n">
        <v>102.8</v>
      </c>
    </row>
    <row r="2386">
      <c r="A2386" s="5" t="inlineStr">
        <is>
          <t>더블유씨피</t>
        </is>
      </c>
      <c r="B2386" s="6" t="inlineStr">
        <is>
          <t>393890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92222</v>
      </c>
      <c r="G2386" s="15" t="n">
        <v>3940</v>
      </c>
      <c r="H2386" s="15" t="n">
        <v>3489</v>
      </c>
      <c r="I2386" s="9" t="n">
        <v>122406</v>
      </c>
      <c r="J2386" s="10" t="n">
        <v>607</v>
      </c>
      <c r="K2386" s="10" t="n">
        <v>3372</v>
      </c>
      <c r="L2386" s="7" t="n">
        <v>116602</v>
      </c>
      <c r="M2386" s="8" t="n">
        <v>1826</v>
      </c>
      <c r="N2386" s="8" t="n">
        <v>3404</v>
      </c>
      <c r="O2386" s="9" t="n">
        <v>65495</v>
      </c>
      <c r="P2386" s="10" t="n">
        <v>-19418</v>
      </c>
      <c r="Q2386" s="10" t="n">
        <v>-21016</v>
      </c>
      <c r="R2386" s="7" t="n">
        <v>17570</v>
      </c>
      <c r="S2386" s="8" t="n">
        <v>-53953</v>
      </c>
      <c r="T2386" s="8" t="n">
        <v>-57966</v>
      </c>
      <c r="U2386" s="9" t="n">
        <v>16309</v>
      </c>
      <c r="V2386" s="10" t="n">
        <v>-30433</v>
      </c>
      <c r="W2386" s="10" t="n">
        <v>-33373</v>
      </c>
      <c r="X2386" s="7" t="n">
        <v>38204</v>
      </c>
      <c r="Y2386" s="8" t="n">
        <v>-26002</v>
      </c>
      <c r="Z2386" s="8" t="n">
        <v>-27978</v>
      </c>
      <c r="AA2386" s="9" t="n">
        <v>29111</v>
      </c>
      <c r="AB2386" s="10" t="n">
        <v>-31002</v>
      </c>
      <c r="AC2386" s="10" t="n">
        <v>-46068</v>
      </c>
      <c r="AD2386" s="7" t="n">
        <v>27189</v>
      </c>
      <c r="AE2386" s="8" t="n">
        <v>-40206</v>
      </c>
      <c r="AF2386" s="8" t="n">
        <v>-54647</v>
      </c>
      <c r="AG2386" s="9" t="n">
        <v>42868</v>
      </c>
      <c r="AH2386" s="10" t="n">
        <v>-20513</v>
      </c>
      <c r="AI2386" s="10" t="n">
        <v>-48410</v>
      </c>
      <c r="AJ2386" s="11" t="n">
        <v>36237</v>
      </c>
      <c r="AK2386" s="12" t="n">
        <v>-15499</v>
      </c>
      <c r="AL2386" s="12" t="n">
        <v>810</v>
      </c>
      <c r="AM2386" s="13" t="n">
        <v>-15.5</v>
      </c>
      <c r="AN2386" s="13" t="n">
        <v>-5.1</v>
      </c>
      <c r="AO2386" s="13" t="n">
        <v>24.4</v>
      </c>
      <c r="AP2386" s="13" t="n">
        <v>40.4</v>
      </c>
    </row>
    <row r="2387">
      <c r="A2387" s="5" t="inlineStr">
        <is>
          <t>대진첨단소재</t>
        </is>
      </c>
      <c r="B2387" s="6" t="inlineStr">
        <is>
          <t>393970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n">
        <v>20220</v>
      </c>
      <c r="V2387" s="10" t="n">
        <v>1445</v>
      </c>
      <c r="W2387" s="10" t="n">
        <v>-239</v>
      </c>
      <c r="X2387" s="7" t="n">
        <v>12320</v>
      </c>
      <c r="Y2387" s="8" t="n">
        <v>-4863</v>
      </c>
      <c r="Z2387" s="8" t="n">
        <v>-10262</v>
      </c>
      <c r="AA2387" s="9" t="n">
        <v>32496</v>
      </c>
      <c r="AB2387" s="10" t="n">
        <v>1257</v>
      </c>
      <c r="AC2387" s="10" t="n">
        <v>108</v>
      </c>
      <c r="AD2387" s="7" t="n">
        <v>19477</v>
      </c>
      <c r="AE2387" s="8" t="n">
        <v>-18201</v>
      </c>
      <c r="AF2387" s="8" t="n">
        <v>-29670</v>
      </c>
      <c r="AG2387" s="9" t="n">
        <v>26305</v>
      </c>
      <c r="AH2387" s="10" t="n">
        <v>-4901</v>
      </c>
      <c r="AI2387" s="10" t="n">
        <v>-4257</v>
      </c>
      <c r="AJ2387" s="11" t="n">
        <v>27002</v>
      </c>
      <c r="AK2387" s="12" t="n">
        <v>-560</v>
      </c>
      <c r="AL2387" s="12" t="n">
        <v>-930</v>
      </c>
      <c r="AM2387" s="13" t="n">
        <v>2.6</v>
      </c>
      <c r="AN2387" s="13" t="n">
        <v>119.2</v>
      </c>
      <c r="AO2387" s="13" t="n">
        <v>88.59999999999999</v>
      </c>
      <c r="AP2387" s="13" t="n">
        <v>88.5</v>
      </c>
    </row>
    <row r="2388">
      <c r="A2388" s="5" t="inlineStr">
        <is>
          <t>오픈엣지테크놀로지</t>
        </is>
      </c>
      <c r="B2388" s="6" t="inlineStr">
        <is>
          <t>394280</t>
        </is>
      </c>
      <c r="C2388" s="6" t="inlineStr">
        <is>
          <t>연결</t>
        </is>
      </c>
      <c r="D2388" s="6" t="inlineStr">
        <is>
          <t>2026Q2</t>
        </is>
      </c>
      <c r="E2388" s="6" t="inlineStr">
        <is>
          <t>2023Q4</t>
        </is>
      </c>
      <c r="F2388" s="14" t="n">
        <v>13144</v>
      </c>
      <c r="G2388" s="15" t="n">
        <v>4176</v>
      </c>
      <c r="H2388" s="15" t="n">
        <v>4955</v>
      </c>
      <c r="I2388" s="9" t="n">
        <v>2484</v>
      </c>
      <c r="J2388" s="10" t="n">
        <v>-7106</v>
      </c>
      <c r="K2388" s="10" t="n">
        <v>-7106</v>
      </c>
      <c r="L2388" s="7" t="n">
        <v>4050</v>
      </c>
      <c r="M2388" s="8" t="n">
        <v>-5733</v>
      </c>
      <c r="N2388" s="8" t="n">
        <v>-5762</v>
      </c>
      <c r="O2388" s="9" t="n">
        <v>6624</v>
      </c>
      <c r="P2388" s="10" t="n">
        <v>-2477</v>
      </c>
      <c r="Q2388" s="10" t="n">
        <v>-2739</v>
      </c>
      <c r="R2388" s="7" t="n">
        <v>2170</v>
      </c>
      <c r="S2388" s="8" t="n">
        <v>-9296</v>
      </c>
      <c r="T2388" s="8" t="n">
        <v>-11680</v>
      </c>
      <c r="U2388" s="9" t="n">
        <v>4801</v>
      </c>
      <c r="V2388" s="10" t="n">
        <v>-6610</v>
      </c>
      <c r="W2388" s="10" t="n">
        <v>-6367</v>
      </c>
      <c r="X2388" s="7" t="n">
        <v>2597</v>
      </c>
      <c r="Y2388" s="8" t="n">
        <v>-8758</v>
      </c>
      <c r="Z2388" s="8" t="n">
        <v>-8889</v>
      </c>
      <c r="AA2388" s="9" t="n">
        <v>5256</v>
      </c>
      <c r="AB2388" s="10" t="n">
        <v>-5975</v>
      </c>
      <c r="AC2388" s="10" t="n">
        <v>-5637</v>
      </c>
      <c r="AD2388" s="7" t="n">
        <v>3405</v>
      </c>
      <c r="AE2388" s="8" t="n">
        <v>-7564</v>
      </c>
      <c r="AF2388" s="8" t="n">
        <v>-9240</v>
      </c>
      <c r="AG2388" s="9" t="n">
        <v>2674</v>
      </c>
      <c r="AH2388" s="10" t="n">
        <v>-9018</v>
      </c>
      <c r="AI2388" s="10" t="n">
        <v>-9135</v>
      </c>
      <c r="AJ2388" s="11" t="n">
        <v>2942</v>
      </c>
      <c r="AK2388" s="12" t="n">
        <v>-6254</v>
      </c>
      <c r="AL2388" s="12" t="n">
        <v>-6107</v>
      </c>
      <c r="AM2388" s="13" t="n">
        <v>10</v>
      </c>
      <c r="AN2388" s="13" t="n">
        <v>13.3</v>
      </c>
      <c r="AO2388" s="13" t="n">
        <v>30.6</v>
      </c>
      <c r="AP2388" s="13" t="n">
        <v>28.6</v>
      </c>
    </row>
    <row r="2389">
      <c r="A2389" s="5" t="inlineStr">
        <is>
          <t>리센스메디컬</t>
        </is>
      </c>
      <c r="B2389" s="6" t="inlineStr">
        <is>
          <t>394420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inlineStr"/>
      <c r="V2389" s="10" t="inlineStr"/>
      <c r="W2389" s="10" t="inlineStr"/>
      <c r="X2389" s="7" t="inlineStr"/>
      <c r="Y2389" s="8" t="inlineStr"/>
      <c r="Z2389" s="8" t="inlineStr"/>
      <c r="AA2389" s="9" t="inlineStr"/>
      <c r="AB2389" s="10" t="inlineStr"/>
      <c r="AC2389" s="10" t="inlineStr"/>
      <c r="AD2389" s="7" t="inlineStr"/>
      <c r="AE2389" s="8" t="inlineStr"/>
      <c r="AF2389" s="8" t="inlineStr"/>
      <c r="AG2389" s="9" t="n">
        <v>1021</v>
      </c>
      <c r="AH2389" s="10" t="inlineStr"/>
      <c r="AI2389" s="10" t="inlineStr"/>
      <c r="AJ2389" s="11" t="n">
        <v>1687</v>
      </c>
      <c r="AK2389" s="12" t="inlineStr"/>
      <c r="AL2389" s="12" t="inlineStr"/>
      <c r="AM2389" s="13" t="n">
        <v>65.2</v>
      </c>
      <c r="AN2389" s="13" t="inlineStr"/>
      <c r="AO2389" s="13" t="inlineStr"/>
      <c r="AP2389" s="13" t="inlineStr"/>
    </row>
    <row r="2390">
      <c r="A2390" s="5" t="inlineStr">
        <is>
          <t>쓰리빌리언</t>
        </is>
      </c>
      <c r="B2390" s="6" t="inlineStr">
        <is>
          <t>394800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n">
        <v>2004</v>
      </c>
      <c r="V2390" s="10" t="n">
        <v>-1966</v>
      </c>
      <c r="W2390" s="10" t="n">
        <v>-1706</v>
      </c>
      <c r="X2390" s="7" t="n">
        <v>2592</v>
      </c>
      <c r="Y2390" s="8" t="n">
        <v>-1594</v>
      </c>
      <c r="Z2390" s="8" t="n">
        <v>-1622</v>
      </c>
      <c r="AA2390" s="9" t="n">
        <v>3230</v>
      </c>
      <c r="AB2390" s="10" t="n">
        <v>-1269</v>
      </c>
      <c r="AC2390" s="10" t="n">
        <v>-1080</v>
      </c>
      <c r="AD2390" s="7" t="n">
        <v>3883</v>
      </c>
      <c r="AE2390" s="8" t="n">
        <v>-1060</v>
      </c>
      <c r="AF2390" s="8" t="n">
        <v>-1003</v>
      </c>
      <c r="AG2390" s="9" t="n">
        <v>3363</v>
      </c>
      <c r="AH2390" s="10" t="n">
        <v>-1661</v>
      </c>
      <c r="AI2390" s="10" t="n">
        <v>-1467</v>
      </c>
      <c r="AJ2390" s="11" t="n">
        <v>3795</v>
      </c>
      <c r="AK2390" s="12" t="n">
        <v>-1667</v>
      </c>
      <c r="AL2390" s="12" t="n">
        <v>6718</v>
      </c>
      <c r="AM2390" s="13" t="n">
        <v>12.8</v>
      </c>
      <c r="AN2390" s="13" t="n">
        <v>46.4</v>
      </c>
      <c r="AO2390" s="13" t="n">
        <v>-0.4</v>
      </c>
      <c r="AP2390" s="13" t="n">
        <v>-4.6</v>
      </c>
    </row>
    <row r="2391">
      <c r="A2391" s="5" t="inlineStr">
        <is>
          <t>SK리츠</t>
        </is>
      </c>
      <c r="B2391" s="6" t="inlineStr">
        <is>
          <t>395400</t>
        </is>
      </c>
      <c r="C2391" s="6" t="inlineStr">
        <is>
          <t>별도</t>
        </is>
      </c>
      <c r="D2391" s="6" t="inlineStr">
        <is>
          <t>2026Q2</t>
        </is>
      </c>
      <c r="E2391" s="6" t="inlineStr">
        <is>
          <t>2023Q4, 2024Q1, 2024Q3, 2025Q1, 2025Q2, 2025Q3, 2025Q4, 2026Q1, 2026Q2</t>
        </is>
      </c>
      <c r="F2391" s="14" t="n">
        <v>34159</v>
      </c>
      <c r="G2391" s="15" t="n">
        <v>29270</v>
      </c>
      <c r="H2391" s="15" t="n">
        <v>15441</v>
      </c>
      <c r="I2391" s="14" t="n">
        <v>30880</v>
      </c>
      <c r="J2391" s="15" t="n">
        <v>25873</v>
      </c>
      <c r="K2391" s="15" t="n">
        <v>12448</v>
      </c>
      <c r="L2391" s="7" t="inlineStr"/>
      <c r="M2391" s="8" t="inlineStr"/>
      <c r="N2391" s="8" t="inlineStr"/>
      <c r="O2391" s="14" t="n">
        <v>30297</v>
      </c>
      <c r="P2391" s="15" t="n">
        <v>25166</v>
      </c>
      <c r="Q2391" s="15" t="n">
        <v>8211</v>
      </c>
      <c r="R2391" s="7" t="inlineStr"/>
      <c r="S2391" s="8" t="inlineStr"/>
      <c r="T2391" s="8" t="inlineStr"/>
      <c r="U2391" s="14" t="n">
        <v>36275</v>
      </c>
      <c r="V2391" s="15" t="n">
        <v>30725</v>
      </c>
      <c r="W2391" s="15" t="n">
        <v>14233</v>
      </c>
      <c r="X2391" s="14" t="n">
        <v>38355</v>
      </c>
      <c r="Y2391" s="15" t="n">
        <v>36487</v>
      </c>
      <c r="Z2391" s="15" t="n">
        <v>21249</v>
      </c>
      <c r="AA2391" s="14" t="n">
        <v>34581</v>
      </c>
      <c r="AB2391" s="15" t="n">
        <v>32656</v>
      </c>
      <c r="AC2391" s="15" t="n">
        <v>18722</v>
      </c>
      <c r="AD2391" s="14" t="n">
        <v>44158</v>
      </c>
      <c r="AE2391" s="15" t="n">
        <v>42066</v>
      </c>
      <c r="AF2391" s="15" t="n">
        <v>27372</v>
      </c>
      <c r="AG2391" s="14" t="n">
        <v>42221</v>
      </c>
      <c r="AH2391" s="15" t="n">
        <v>39209</v>
      </c>
      <c r="AI2391" s="15" t="n">
        <v>22134</v>
      </c>
      <c r="AJ2391" s="14" t="n">
        <v>49033</v>
      </c>
      <c r="AK2391" s="15" t="n">
        <v>45493</v>
      </c>
      <c r="AL2391" s="15" t="n">
        <v>28749</v>
      </c>
      <c r="AM2391" s="13" t="n">
        <v>16.1</v>
      </c>
      <c r="AN2391" s="13" t="n">
        <v>27.8</v>
      </c>
      <c r="AO2391" s="13" t="n">
        <v>16</v>
      </c>
      <c r="AP2391" s="13" t="n">
        <v>24.7</v>
      </c>
    </row>
    <row r="2392">
      <c r="A2392" s="5" t="inlineStr">
        <is>
          <t>넥스트칩</t>
        </is>
      </c>
      <c r="B2392" s="6" t="inlineStr">
        <is>
          <t>396270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6038</v>
      </c>
      <c r="J2392" s="10" t="n">
        <v>-4653</v>
      </c>
      <c r="K2392" s="10" t="n">
        <v>-4673</v>
      </c>
      <c r="L2392" s="7" t="n">
        <v>6605</v>
      </c>
      <c r="M2392" s="8" t="n">
        <v>-4213</v>
      </c>
      <c r="N2392" s="8" t="n">
        <v>-5154</v>
      </c>
      <c r="O2392" s="9" t="n">
        <v>9122</v>
      </c>
      <c r="P2392" s="10" t="n">
        <v>-3774</v>
      </c>
      <c r="Q2392" s="10" t="n">
        <v>-4496</v>
      </c>
      <c r="R2392" s="7" t="n">
        <v>10487</v>
      </c>
      <c r="S2392" s="8" t="n">
        <v>-5799</v>
      </c>
      <c r="T2392" s="8" t="n">
        <v>-6367</v>
      </c>
      <c r="U2392" s="9" t="n">
        <v>8660</v>
      </c>
      <c r="V2392" s="10" t="n">
        <v>-4672</v>
      </c>
      <c r="W2392" s="10" t="n">
        <v>-5952</v>
      </c>
      <c r="X2392" s="7" t="n">
        <v>9397</v>
      </c>
      <c r="Y2392" s="8" t="n">
        <v>-2783</v>
      </c>
      <c r="Z2392" s="8" t="n">
        <v>-4539</v>
      </c>
      <c r="AA2392" s="9" t="n">
        <v>9973</v>
      </c>
      <c r="AB2392" s="10" t="n">
        <v>-5439</v>
      </c>
      <c r="AC2392" s="10" t="n">
        <v>-6712</v>
      </c>
      <c r="AD2392" s="7" t="n">
        <v>11624</v>
      </c>
      <c r="AE2392" s="8" t="n">
        <v>-42</v>
      </c>
      <c r="AF2392" s="8" t="n">
        <v>1245</v>
      </c>
      <c r="AG2392" s="9" t="n">
        <v>11672</v>
      </c>
      <c r="AH2392" s="10" t="n">
        <v>-2426</v>
      </c>
      <c r="AI2392" s="10" t="n">
        <v>-3677</v>
      </c>
      <c r="AJ2392" s="11" t="n">
        <v>13208</v>
      </c>
      <c r="AK2392" s="12" t="n">
        <v>-590</v>
      </c>
      <c r="AL2392" s="12" t="n">
        <v>-711</v>
      </c>
      <c r="AM2392" s="13" t="n">
        <v>13.2</v>
      </c>
      <c r="AN2392" s="13" t="n">
        <v>40.6</v>
      </c>
      <c r="AO2392" s="13" t="n">
        <v>75.7</v>
      </c>
      <c r="AP2392" s="13" t="n">
        <v>78.8</v>
      </c>
    </row>
    <row r="2393">
      <c r="A2393" s="5" t="inlineStr">
        <is>
          <t>세아메카닉스</t>
        </is>
      </c>
      <c r="B2393" s="6" t="inlineStr">
        <is>
          <t>396300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23558</v>
      </c>
      <c r="J2393" s="10" t="n">
        <v>435</v>
      </c>
      <c r="K2393" s="10" t="n">
        <v>639</v>
      </c>
      <c r="L2393" s="7" t="n">
        <v>22314</v>
      </c>
      <c r="M2393" s="8" t="n">
        <v>227</v>
      </c>
      <c r="N2393" s="8" t="n">
        <v>512</v>
      </c>
      <c r="O2393" s="9" t="n">
        <v>24468</v>
      </c>
      <c r="P2393" s="10" t="n">
        <v>-456</v>
      </c>
      <c r="Q2393" s="10" t="n">
        <v>-560</v>
      </c>
      <c r="R2393" s="7" t="n">
        <v>21998</v>
      </c>
      <c r="S2393" s="8" t="n">
        <v>-2865</v>
      </c>
      <c r="T2393" s="8" t="n">
        <v>1954</v>
      </c>
      <c r="U2393" s="9" t="n">
        <v>19602</v>
      </c>
      <c r="V2393" s="10" t="n">
        <v>-607</v>
      </c>
      <c r="W2393" s="10" t="n">
        <v>-434</v>
      </c>
      <c r="X2393" s="7" t="n">
        <v>18303</v>
      </c>
      <c r="Y2393" s="8" t="n">
        <v>-1302</v>
      </c>
      <c r="Z2393" s="8" t="n">
        <v>-1045</v>
      </c>
      <c r="AA2393" s="9" t="n">
        <v>23330</v>
      </c>
      <c r="AB2393" s="10" t="n">
        <v>-344</v>
      </c>
      <c r="AC2393" s="10" t="n">
        <v>806</v>
      </c>
      <c r="AD2393" s="7" t="n">
        <v>24592</v>
      </c>
      <c r="AE2393" s="8" t="n">
        <v>403</v>
      </c>
      <c r="AF2393" s="8" t="n">
        <v>2096</v>
      </c>
      <c r="AG2393" s="9" t="n">
        <v>33618</v>
      </c>
      <c r="AH2393" s="10" t="n">
        <v>1654</v>
      </c>
      <c r="AI2393" s="10" t="n">
        <v>2206</v>
      </c>
      <c r="AJ2393" s="11" t="n">
        <v>37449</v>
      </c>
      <c r="AK2393" s="12" t="n">
        <v>2041</v>
      </c>
      <c r="AL2393" s="12" t="n">
        <v>3194</v>
      </c>
      <c r="AM2393" s="13" t="n">
        <v>11.4</v>
      </c>
      <c r="AN2393" s="13" t="n">
        <v>104.6</v>
      </c>
      <c r="AO2393" s="13" t="n">
        <v>23.4</v>
      </c>
      <c r="AP2393" s="13" t="n">
        <v>256.8</v>
      </c>
    </row>
    <row r="2394">
      <c r="A2394" s="5" t="inlineStr">
        <is>
          <t>워트</t>
        </is>
      </c>
      <c r="B2394" s="6" t="inlineStr">
        <is>
          <t>396470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3826</v>
      </c>
      <c r="J2394" s="10" t="n">
        <v>87</v>
      </c>
      <c r="K2394" s="10" t="n">
        <v>654</v>
      </c>
      <c r="L2394" s="7" t="n">
        <v>3326</v>
      </c>
      <c r="M2394" s="8" t="n">
        <v>193</v>
      </c>
      <c r="N2394" s="8" t="n">
        <v>500</v>
      </c>
      <c r="O2394" s="9" t="n">
        <v>3501</v>
      </c>
      <c r="P2394" s="10" t="n">
        <v>700</v>
      </c>
      <c r="Q2394" s="10" t="n">
        <v>1265</v>
      </c>
      <c r="R2394" s="7" t="n">
        <v>4531</v>
      </c>
      <c r="S2394" s="8" t="n">
        <v>1051</v>
      </c>
      <c r="T2394" s="8" t="n">
        <v>973</v>
      </c>
      <c r="U2394" s="9" t="n">
        <v>4596</v>
      </c>
      <c r="V2394" s="10" t="n">
        <v>1026</v>
      </c>
      <c r="W2394" s="10" t="n">
        <v>1297</v>
      </c>
      <c r="X2394" s="7" t="n">
        <v>2259</v>
      </c>
      <c r="Y2394" s="8" t="n">
        <v>-27</v>
      </c>
      <c r="Z2394" s="8" t="n">
        <v>156</v>
      </c>
      <c r="AA2394" s="9" t="n">
        <v>2415</v>
      </c>
      <c r="AB2394" s="10" t="n">
        <v>226</v>
      </c>
      <c r="AC2394" s="10" t="n">
        <v>519</v>
      </c>
      <c r="AD2394" s="7" t="n">
        <v>5951</v>
      </c>
      <c r="AE2394" s="8" t="n">
        <v>1258</v>
      </c>
      <c r="AF2394" s="8" t="n">
        <v>1597</v>
      </c>
      <c r="AG2394" s="9" t="n">
        <v>4331</v>
      </c>
      <c r="AH2394" s="10" t="n">
        <v>955</v>
      </c>
      <c r="AI2394" s="10" t="n">
        <v>1062</v>
      </c>
      <c r="AJ2394" s="11" t="n">
        <v>7705</v>
      </c>
      <c r="AK2394" s="12" t="n">
        <v>2077</v>
      </c>
      <c r="AL2394" s="12" t="n">
        <v>1918</v>
      </c>
      <c r="AM2394" s="13" t="n">
        <v>77.90000000000001</v>
      </c>
      <c r="AN2394" s="13" t="n">
        <v>241.1</v>
      </c>
      <c r="AO2394" s="13" t="n">
        <v>117.5</v>
      </c>
      <c r="AP2394" s="13" t="n">
        <v>7792.6</v>
      </c>
    </row>
    <row r="2395">
      <c r="A2395" s="5" t="inlineStr">
        <is>
          <t>미래에셋글로벌리츠</t>
        </is>
      </c>
      <c r="B2395" s="6" t="inlineStr">
        <is>
          <t>396690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n">
        <v>6590</v>
      </c>
      <c r="M2395" s="8" t="n">
        <v>2243</v>
      </c>
      <c r="N2395" s="8" t="n">
        <v>1542</v>
      </c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6854</v>
      </c>
      <c r="Y2395" s="8" t="n">
        <v>2712</v>
      </c>
      <c r="Z2395" s="8" t="n">
        <v>197</v>
      </c>
      <c r="AA2395" s="9" t="inlineStr"/>
      <c r="AB2395" s="10" t="inlineStr"/>
      <c r="AC2395" s="10" t="inlineStr"/>
      <c r="AD2395" s="7" t="inlineStr"/>
      <c r="AE2395" s="8" t="inlineStr"/>
      <c r="AF2395" s="8" t="inlineStr"/>
      <c r="AG2395" s="9" t="inlineStr"/>
      <c r="AH2395" s="10" t="inlineStr"/>
      <c r="AI2395" s="10" t="inlineStr"/>
      <c r="AJ2395" s="11" t="n">
        <v>5941</v>
      </c>
      <c r="AK2395" s="12" t="n">
        <v>2784</v>
      </c>
      <c r="AL2395" s="12" t="n">
        <v>-7770</v>
      </c>
      <c r="AM2395" s="13" t="inlineStr"/>
      <c r="AN2395" s="13" t="n">
        <v>-13.3</v>
      </c>
      <c r="AO2395" s="13" t="inlineStr"/>
      <c r="AP2395" s="13" t="n">
        <v>2.7</v>
      </c>
    </row>
    <row r="2396">
      <c r="A2396" s="5" t="inlineStr">
        <is>
          <t>에이프릴바이오</t>
        </is>
      </c>
      <c r="B2396" s="6" t="inlineStr">
        <is>
          <t>397030</t>
        </is>
      </c>
      <c r="C2396" s="6" t="inlineStr">
        <is>
          <t>별도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n">
        <v>-2520</v>
      </c>
      <c r="K2396" s="10" t="n">
        <v>-2030</v>
      </c>
      <c r="L2396" s="7" t="inlineStr"/>
      <c r="M2396" s="8" t="n">
        <v>18169</v>
      </c>
      <c r="N2396" s="8" t="n">
        <v>18576</v>
      </c>
      <c r="O2396" s="9" t="inlineStr"/>
      <c r="P2396" s="10" t="n">
        <v>-2431</v>
      </c>
      <c r="Q2396" s="10" t="n">
        <v>-3119</v>
      </c>
      <c r="R2396" s="7" t="inlineStr"/>
      <c r="S2396" s="8" t="n">
        <v>3651</v>
      </c>
      <c r="T2396" s="8" t="n">
        <v>6578</v>
      </c>
      <c r="U2396" s="9" t="inlineStr"/>
      <c r="V2396" s="10" t="n">
        <v>-110</v>
      </c>
      <c r="W2396" s="10" t="n">
        <v>594</v>
      </c>
      <c r="X2396" s="7" t="inlineStr"/>
      <c r="Y2396" s="8" t="n">
        <v>-2657</v>
      </c>
      <c r="Z2396" s="8" t="n">
        <v>-3093</v>
      </c>
      <c r="AA2396" s="9" t="inlineStr"/>
      <c r="AB2396" s="10" t="n">
        <v>-2500</v>
      </c>
      <c r="AC2396" s="10" t="n">
        <v>-4956</v>
      </c>
      <c r="AD2396" s="7" t="inlineStr"/>
      <c r="AE2396" s="8" t="n">
        <v>-1997</v>
      </c>
      <c r="AF2396" s="8" t="n">
        <v>-2273</v>
      </c>
      <c r="AG2396" s="9" t="inlineStr"/>
      <c r="AH2396" s="10" t="n">
        <v>-2193</v>
      </c>
      <c r="AI2396" s="10" t="n">
        <v>201</v>
      </c>
      <c r="AJ2396" s="11" t="inlineStr"/>
      <c r="AK2396" s="12" t="n">
        <v>-2915</v>
      </c>
      <c r="AL2396" s="12" t="n">
        <v>-1985</v>
      </c>
      <c r="AM2396" s="13" t="inlineStr"/>
      <c r="AN2396" s="13" t="inlineStr"/>
      <c r="AO2396" s="13" t="n">
        <v>-32.9</v>
      </c>
      <c r="AP2396" s="13" t="n">
        <v>-9.699999999999999</v>
      </c>
    </row>
    <row r="2397">
      <c r="A2397" s="5" t="inlineStr">
        <is>
          <t>애드포러스</t>
        </is>
      </c>
      <c r="B2397" s="6" t="inlineStr">
        <is>
          <t>397810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inlineStr"/>
      <c r="V2397" s="10" t="inlineStr"/>
      <c r="W2397" s="10" t="inlineStr"/>
      <c r="X2397" s="7" t="n">
        <v>8947</v>
      </c>
      <c r="Y2397" s="8" t="n">
        <v>1244</v>
      </c>
      <c r="Z2397" s="8" t="n">
        <v>978</v>
      </c>
      <c r="AA2397" s="9" t="n">
        <v>6484</v>
      </c>
      <c r="AB2397" s="10" t="n">
        <v>318</v>
      </c>
      <c r="AC2397" s="10" t="n">
        <v>-4102</v>
      </c>
      <c r="AD2397" s="7" t="inlineStr"/>
      <c r="AE2397" s="8" t="inlineStr"/>
      <c r="AF2397" s="8" t="inlineStr"/>
      <c r="AG2397" s="9" t="n">
        <v>7819</v>
      </c>
      <c r="AH2397" s="10" t="n">
        <v>676</v>
      </c>
      <c r="AI2397" s="10" t="n">
        <v>905</v>
      </c>
      <c r="AJ2397" s="11" t="n">
        <v>12515</v>
      </c>
      <c r="AK2397" s="12" t="n">
        <v>463</v>
      </c>
      <c r="AL2397" s="12" t="n">
        <v>472</v>
      </c>
      <c r="AM2397" s="13" t="n">
        <v>60.1</v>
      </c>
      <c r="AN2397" s="13" t="n">
        <v>39.9</v>
      </c>
      <c r="AO2397" s="13" t="n">
        <v>-31.5</v>
      </c>
      <c r="AP2397" s="13" t="n">
        <v>-62.8</v>
      </c>
    </row>
    <row r="2398">
      <c r="A2398" s="5" t="inlineStr">
        <is>
          <t>에스지헬스케어</t>
        </is>
      </c>
      <c r="B2398" s="6" t="inlineStr">
        <is>
          <t>398120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n">
        <v>3664</v>
      </c>
      <c r="V2398" s="10" t="n">
        <v>-290</v>
      </c>
      <c r="W2398" s="10" t="n">
        <v>-403</v>
      </c>
      <c r="X2398" s="7" t="n">
        <v>4116</v>
      </c>
      <c r="Y2398" s="8" t="n">
        <v>-444</v>
      </c>
      <c r="Z2398" s="8" t="n">
        <v>-366</v>
      </c>
      <c r="AA2398" s="9" t="n">
        <v>5122</v>
      </c>
      <c r="AB2398" s="10" t="n">
        <v>96</v>
      </c>
      <c r="AC2398" s="10" t="n">
        <v>66</v>
      </c>
      <c r="AD2398" s="7" t="n">
        <v>11699</v>
      </c>
      <c r="AE2398" s="8" t="n">
        <v>2105</v>
      </c>
      <c r="AF2398" s="8" t="n">
        <v>1638</v>
      </c>
      <c r="AG2398" s="9" t="n">
        <v>4942</v>
      </c>
      <c r="AH2398" s="10" t="n">
        <v>162</v>
      </c>
      <c r="AI2398" s="10" t="n">
        <v>24</v>
      </c>
      <c r="AJ2398" s="11" t="n">
        <v>4193</v>
      </c>
      <c r="AK2398" s="12" t="n">
        <v>-751</v>
      </c>
      <c r="AL2398" s="12" t="n">
        <v>-668</v>
      </c>
      <c r="AM2398" s="13" t="n">
        <v>-15.2</v>
      </c>
      <c r="AN2398" s="13" t="n">
        <v>1.9</v>
      </c>
      <c r="AO2398" s="13" t="n">
        <v>-563.6</v>
      </c>
      <c r="AP2398" s="13" t="n">
        <v>-69.09999999999999</v>
      </c>
    </row>
    <row r="2399">
      <c r="A2399" s="5" t="inlineStr">
        <is>
          <t>가온칩스</t>
        </is>
      </c>
      <c r="B2399" s="6" t="inlineStr">
        <is>
          <t>399720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17935</v>
      </c>
      <c r="J2399" s="10" t="n">
        <v>-609</v>
      </c>
      <c r="K2399" s="10" t="n">
        <v>-402</v>
      </c>
      <c r="L2399" s="7" t="n">
        <v>23270</v>
      </c>
      <c r="M2399" s="8" t="n">
        <v>67</v>
      </c>
      <c r="N2399" s="8" t="n">
        <v>1510</v>
      </c>
      <c r="O2399" s="9" t="n">
        <v>28908</v>
      </c>
      <c r="P2399" s="10" t="n">
        <v>2236</v>
      </c>
      <c r="Q2399" s="10" t="n">
        <v>1649</v>
      </c>
      <c r="R2399" s="7" t="n">
        <v>26379</v>
      </c>
      <c r="S2399" s="8" t="n">
        <v>1831</v>
      </c>
      <c r="T2399" s="8" t="n">
        <v>4774</v>
      </c>
      <c r="U2399" s="9" t="n">
        <v>15201</v>
      </c>
      <c r="V2399" s="10" t="n">
        <v>-6426</v>
      </c>
      <c r="W2399" s="10" t="n">
        <v>-5628</v>
      </c>
      <c r="X2399" s="7" t="n">
        <v>9139</v>
      </c>
      <c r="Y2399" s="8" t="n">
        <v>-4730</v>
      </c>
      <c r="Z2399" s="8" t="n">
        <v>-4085</v>
      </c>
      <c r="AA2399" s="9" t="n">
        <v>11063</v>
      </c>
      <c r="AB2399" s="10" t="n">
        <v>-7277</v>
      </c>
      <c r="AC2399" s="10" t="n">
        <v>-5986</v>
      </c>
      <c r="AD2399" s="7" t="n">
        <v>33107</v>
      </c>
      <c r="AE2399" s="8" t="n">
        <v>1712</v>
      </c>
      <c r="AF2399" s="8" t="n">
        <v>1330</v>
      </c>
      <c r="AG2399" s="9" t="n">
        <v>20570</v>
      </c>
      <c r="AH2399" s="10" t="n">
        <v>-3906</v>
      </c>
      <c r="AI2399" s="10" t="n">
        <v>-1540</v>
      </c>
      <c r="AJ2399" s="11" t="n">
        <v>21310</v>
      </c>
      <c r="AK2399" s="12" t="n">
        <v>328</v>
      </c>
      <c r="AL2399" s="12" t="n">
        <v>729</v>
      </c>
      <c r="AM2399" s="13" t="n">
        <v>3.6</v>
      </c>
      <c r="AN2399" s="13" t="n">
        <v>133.2</v>
      </c>
      <c r="AO2399" s="13" t="n">
        <v>108.4</v>
      </c>
      <c r="AP2399" s="13" t="n">
        <v>106.9</v>
      </c>
    </row>
    <row r="2400">
      <c r="A2400" s="5" t="inlineStr">
        <is>
          <t>NH올원리츠</t>
        </is>
      </c>
      <c r="B2400" s="6" t="inlineStr">
        <is>
          <t>400760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inlineStr"/>
      <c r="J2400" s="10" t="inlineStr"/>
      <c r="K2400" s="10" t="inlineStr"/>
      <c r="L2400" s="7" t="n">
        <v>9543</v>
      </c>
      <c r="M2400" s="8" t="n">
        <v>4884</v>
      </c>
      <c r="N2400" s="8" t="n">
        <v>141</v>
      </c>
      <c r="O2400" s="9" t="inlineStr"/>
      <c r="P2400" s="10" t="inlineStr"/>
      <c r="Q2400" s="10" t="inlineStr"/>
      <c r="R2400" s="7" t="inlineStr"/>
      <c r="S2400" s="8" t="inlineStr"/>
      <c r="T2400" s="8" t="inlineStr"/>
      <c r="U2400" s="9" t="inlineStr"/>
      <c r="V2400" s="10" t="inlineStr"/>
      <c r="W2400" s="10" t="inlineStr"/>
      <c r="X2400" s="7" t="n">
        <v>13882</v>
      </c>
      <c r="Y2400" s="8" t="n">
        <v>8288</v>
      </c>
      <c r="Z2400" s="8" t="n">
        <v>-414</v>
      </c>
      <c r="AA2400" s="9" t="inlineStr"/>
      <c r="AB2400" s="10" t="inlineStr"/>
      <c r="AC2400" s="10" t="inlineStr"/>
      <c r="AD2400" s="7" t="inlineStr"/>
      <c r="AE2400" s="8" t="inlineStr"/>
      <c r="AF2400" s="8" t="inlineStr"/>
      <c r="AG2400" s="9" t="inlineStr"/>
      <c r="AH2400" s="10" t="inlineStr"/>
      <c r="AI2400" s="10" t="inlineStr"/>
      <c r="AJ2400" s="11" t="n">
        <v>12798</v>
      </c>
      <c r="AK2400" s="12" t="n">
        <v>8405</v>
      </c>
      <c r="AL2400" s="12" t="n">
        <v>89</v>
      </c>
      <c r="AM2400" s="13" t="inlineStr"/>
      <c r="AN2400" s="13" t="n">
        <v>-7.8</v>
      </c>
      <c r="AO2400" s="13" t="inlineStr"/>
      <c r="AP2400" s="13" t="n">
        <v>1.4</v>
      </c>
    </row>
    <row r="2401">
      <c r="A2401" s="5" t="inlineStr">
        <is>
          <t>코난테크놀로지</t>
        </is>
      </c>
      <c r="B2401" s="6" t="inlineStr">
        <is>
          <t>402030</t>
        </is>
      </c>
      <c r="C2401" s="6" t="inlineStr">
        <is>
          <t>별도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2573</v>
      </c>
      <c r="J2401" s="10" t="n">
        <v>-6221</v>
      </c>
      <c r="K2401" s="10" t="n">
        <v>-6023</v>
      </c>
      <c r="L2401" s="7" t="n">
        <v>6266</v>
      </c>
      <c r="M2401" s="8" t="n">
        <v>-4426</v>
      </c>
      <c r="N2401" s="8" t="n">
        <v>-4302</v>
      </c>
      <c r="O2401" s="9" t="n">
        <v>3651</v>
      </c>
      <c r="P2401" s="10" t="n">
        <v>-4772</v>
      </c>
      <c r="Q2401" s="10" t="n">
        <v>-4676</v>
      </c>
      <c r="R2401" s="7" t="n">
        <v>13829</v>
      </c>
      <c r="S2401" s="8" t="n">
        <v>1313</v>
      </c>
      <c r="T2401" s="8" t="n">
        <v>1397</v>
      </c>
      <c r="U2401" s="9" t="n">
        <v>4066</v>
      </c>
      <c r="V2401" s="10" t="n">
        <v>-3989</v>
      </c>
      <c r="W2401" s="10" t="n">
        <v>-3942</v>
      </c>
      <c r="X2401" s="7" t="n">
        <v>3390</v>
      </c>
      <c r="Y2401" s="8" t="n">
        <v>-4452</v>
      </c>
      <c r="Z2401" s="8" t="n">
        <v>-4429</v>
      </c>
      <c r="AA2401" s="9" t="n">
        <v>16463</v>
      </c>
      <c r="AB2401" s="10" t="n">
        <v>-1552</v>
      </c>
      <c r="AC2401" s="10" t="n">
        <v>-1526</v>
      </c>
      <c r="AD2401" s="7" t="n">
        <v>10061</v>
      </c>
      <c r="AE2401" s="8" t="n">
        <v>128</v>
      </c>
      <c r="AF2401" s="8" t="n">
        <v>212</v>
      </c>
      <c r="AG2401" s="9" t="n">
        <v>3876</v>
      </c>
      <c r="AH2401" s="10" t="n">
        <v>-3988</v>
      </c>
      <c r="AI2401" s="10" t="n">
        <v>-4729</v>
      </c>
      <c r="AJ2401" s="11" t="n">
        <v>4172</v>
      </c>
      <c r="AK2401" s="12" t="n">
        <v>-2821</v>
      </c>
      <c r="AL2401" s="12" t="n">
        <v>-2678</v>
      </c>
      <c r="AM2401" s="13" t="n">
        <v>7.6</v>
      </c>
      <c r="AN2401" s="13" t="n">
        <v>23.1</v>
      </c>
      <c r="AO2401" s="13" t="n">
        <v>29.3</v>
      </c>
      <c r="AP2401" s="13" t="n">
        <v>36.6</v>
      </c>
    </row>
    <row r="2402">
      <c r="A2402" s="5" t="inlineStr">
        <is>
          <t>SK스퀘어</t>
        </is>
      </c>
      <c r="B2402" s="6" t="inlineStr">
        <is>
          <t>402340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498278</v>
      </c>
      <c r="J2402" s="10" t="n">
        <v>323785</v>
      </c>
      <c r="K2402" s="10" t="n">
        <v>333285</v>
      </c>
      <c r="L2402" s="7" t="n">
        <v>468566</v>
      </c>
      <c r="M2402" s="8" t="n">
        <v>774813</v>
      </c>
      <c r="N2402" s="8" t="n">
        <v>728816</v>
      </c>
      <c r="O2402" s="9" t="n">
        <v>457502</v>
      </c>
      <c r="P2402" s="10" t="n">
        <v>1161984</v>
      </c>
      <c r="Q2402" s="10" t="n">
        <v>1129172</v>
      </c>
      <c r="R2402" s="7" t="n">
        <v>482265</v>
      </c>
      <c r="S2402" s="8" t="n">
        <v>1652001</v>
      </c>
      <c r="T2402" s="8" t="n">
        <v>1459242</v>
      </c>
      <c r="U2402" s="9" t="n">
        <v>402808</v>
      </c>
      <c r="V2402" s="10" t="n">
        <v>1652323</v>
      </c>
      <c r="W2402" s="10" t="n">
        <v>1612259</v>
      </c>
      <c r="X2402" s="7" t="n">
        <v>406594</v>
      </c>
      <c r="Y2402" s="8" t="n">
        <v>1401104</v>
      </c>
      <c r="Z2402" s="8" t="n">
        <v>1447114</v>
      </c>
      <c r="AA2402" s="9" t="n">
        <v>407889</v>
      </c>
      <c r="AB2402" s="10" t="n">
        <v>2645508</v>
      </c>
      <c r="AC2402" s="10" t="n">
        <v>2482405</v>
      </c>
      <c r="AD2402" s="7" t="n">
        <v>194230</v>
      </c>
      <c r="AE2402" s="8" t="n">
        <v>3098486</v>
      </c>
      <c r="AF2402" s="8" t="n">
        <v>3276917</v>
      </c>
      <c r="AG2402" s="9" t="n">
        <v>300349</v>
      </c>
      <c r="AH2402" s="10" t="n">
        <v>8278295</v>
      </c>
      <c r="AI2402" s="10" t="n">
        <v>8374748</v>
      </c>
      <c r="AJ2402" s="11" t="n">
        <v>328549</v>
      </c>
      <c r="AK2402" s="12" t="n">
        <v>19235428</v>
      </c>
      <c r="AL2402" s="12" t="n">
        <v>18675023</v>
      </c>
      <c r="AM2402" s="13" t="n">
        <v>9.4</v>
      </c>
      <c r="AN2402" s="13" t="n">
        <v>-19.2</v>
      </c>
      <c r="AO2402" s="13" t="n">
        <v>132.4</v>
      </c>
      <c r="AP2402" s="13" t="n">
        <v>1272.9</v>
      </c>
    </row>
    <row r="2403">
      <c r="A2403" s="5" t="inlineStr">
        <is>
          <t>그린리소스</t>
        </is>
      </c>
      <c r="B2403" s="6" t="inlineStr">
        <is>
          <t>402490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4068</v>
      </c>
      <c r="J2403" s="10" t="n">
        <v>635</v>
      </c>
      <c r="K2403" s="10" t="n">
        <v>863</v>
      </c>
      <c r="L2403" s="7" t="n">
        <v>4348</v>
      </c>
      <c r="M2403" s="8" t="n">
        <v>587</v>
      </c>
      <c r="N2403" s="8" t="n">
        <v>465</v>
      </c>
      <c r="O2403" s="9" t="n">
        <v>4362</v>
      </c>
      <c r="P2403" s="10" t="n">
        <v>313</v>
      </c>
      <c r="Q2403" s="10" t="n">
        <v>340</v>
      </c>
      <c r="R2403" s="7" t="n">
        <v>5721</v>
      </c>
      <c r="S2403" s="8" t="n">
        <v>-463</v>
      </c>
      <c r="T2403" s="8" t="n">
        <v>738</v>
      </c>
      <c r="U2403" s="9" t="n">
        <v>19993</v>
      </c>
      <c r="V2403" s="10" t="n">
        <v>838</v>
      </c>
      <c r="W2403" s="10" t="n">
        <v>2896</v>
      </c>
      <c r="X2403" s="7" t="n">
        <v>25753</v>
      </c>
      <c r="Y2403" s="8" t="n">
        <v>848</v>
      </c>
      <c r="Z2403" s="8" t="n">
        <v>1246</v>
      </c>
      <c r="AA2403" s="9" t="n">
        <v>28058</v>
      </c>
      <c r="AB2403" s="10" t="n">
        <v>1937</v>
      </c>
      <c r="AC2403" s="10" t="n">
        <v>7707</v>
      </c>
      <c r="AD2403" s="7" t="n">
        <v>28351</v>
      </c>
      <c r="AE2403" s="8" t="n">
        <v>2410</v>
      </c>
      <c r="AF2403" s="8" t="n">
        <v>-1309</v>
      </c>
      <c r="AG2403" s="9" t="n">
        <v>20926</v>
      </c>
      <c r="AH2403" s="10" t="n">
        <v>2481</v>
      </c>
      <c r="AI2403" s="10" t="n">
        <v>6445</v>
      </c>
      <c r="AJ2403" s="11" t="n">
        <v>14419</v>
      </c>
      <c r="AK2403" s="12" t="n">
        <v>331</v>
      </c>
      <c r="AL2403" s="12" t="n">
        <v>-3780</v>
      </c>
      <c r="AM2403" s="13" t="n">
        <v>-31.1</v>
      </c>
      <c r="AN2403" s="13" t="n">
        <v>-44</v>
      </c>
      <c r="AO2403" s="13" t="n">
        <v>-86.7</v>
      </c>
      <c r="AP2403" s="13" t="n">
        <v>-61</v>
      </c>
    </row>
    <row r="2404">
      <c r="A2404" s="5" t="inlineStr">
        <is>
          <t>라피치</t>
        </is>
      </c>
      <c r="B2404" s="6" t="inlineStr">
        <is>
          <t>403360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inlineStr"/>
      <c r="J2404" s="10" t="inlineStr"/>
      <c r="K2404" s="10" t="inlineStr"/>
      <c r="L2404" s="7" t="inlineStr"/>
      <c r="M2404" s="8" t="inlineStr"/>
      <c r="N2404" s="8" t="inlineStr"/>
      <c r="O2404" s="9" t="inlineStr"/>
      <c r="P2404" s="10" t="inlineStr"/>
      <c r="Q2404" s="10" t="inlineStr"/>
      <c r="R2404" s="7" t="inlineStr"/>
      <c r="S2404" s="8" t="inlineStr"/>
      <c r="T2404" s="8" t="inlineStr"/>
      <c r="U2404" s="9" t="inlineStr"/>
      <c r="V2404" s="10" t="inlineStr"/>
      <c r="W2404" s="10" t="inlineStr"/>
      <c r="X2404" s="7" t="inlineStr"/>
      <c r="Y2404" s="8" t="inlineStr"/>
      <c r="Z2404" s="8" t="inlineStr"/>
      <c r="AA2404" s="9" t="inlineStr"/>
      <c r="AB2404" s="10" t="inlineStr"/>
      <c r="AC2404" s="10" t="inlineStr"/>
      <c r="AD2404" s="7" t="inlineStr"/>
      <c r="AE2404" s="8" t="inlineStr"/>
      <c r="AF2404" s="8" t="inlineStr"/>
      <c r="AG2404" s="9" t="inlineStr"/>
      <c r="AH2404" s="10" t="inlineStr"/>
      <c r="AI2404" s="10" t="inlineStr"/>
      <c r="AJ2404" s="11" t="n">
        <v>14984</v>
      </c>
      <c r="AK2404" s="12" t="n">
        <v>1292</v>
      </c>
      <c r="AL2404" s="12" t="n">
        <v>1254</v>
      </c>
      <c r="AM2404" s="13" t="inlineStr"/>
      <c r="AN2404" s="13" t="inlineStr"/>
      <c r="AO2404" s="13" t="inlineStr"/>
      <c r="AP2404" s="13" t="inlineStr"/>
    </row>
    <row r="2405">
      <c r="A2405" s="5" t="inlineStr">
        <is>
          <t>우듬지팜</t>
        </is>
      </c>
      <c r="B2405" s="6" t="inlineStr">
        <is>
          <t>403490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16257</v>
      </c>
      <c r="J2405" s="10" t="n">
        <v>966</v>
      </c>
      <c r="K2405" s="10" t="n">
        <v>713</v>
      </c>
      <c r="L2405" s="7" t="n">
        <v>19927</v>
      </c>
      <c r="M2405" s="8" t="n">
        <v>2004</v>
      </c>
      <c r="N2405" s="8" t="n">
        <v>1752</v>
      </c>
      <c r="O2405" s="9" t="n">
        <v>11941</v>
      </c>
      <c r="P2405" s="10" t="n">
        <v>-1408</v>
      </c>
      <c r="Q2405" s="10" t="n">
        <v>-1295</v>
      </c>
      <c r="R2405" s="7" t="n">
        <v>15781</v>
      </c>
      <c r="S2405" s="8" t="n">
        <v>1991</v>
      </c>
      <c r="T2405" s="8" t="n">
        <v>1599</v>
      </c>
      <c r="U2405" s="9" t="n">
        <v>14618</v>
      </c>
      <c r="V2405" s="10" t="n">
        <v>56</v>
      </c>
      <c r="W2405" s="10" t="n">
        <v>-144</v>
      </c>
      <c r="X2405" s="7" t="n">
        <v>18599</v>
      </c>
      <c r="Y2405" s="8" t="n">
        <v>1244</v>
      </c>
      <c r="Z2405" s="8" t="n">
        <v>570</v>
      </c>
      <c r="AA2405" s="9" t="n">
        <v>13489</v>
      </c>
      <c r="AB2405" s="10" t="n">
        <v>-1113</v>
      </c>
      <c r="AC2405" s="10" t="n">
        <v>-1296</v>
      </c>
      <c r="AD2405" s="7" t="n">
        <v>16971</v>
      </c>
      <c r="AE2405" s="8" t="n">
        <v>-1071</v>
      </c>
      <c r="AF2405" s="8" t="n">
        <v>-3518</v>
      </c>
      <c r="AG2405" s="9" t="n">
        <v>12443</v>
      </c>
      <c r="AH2405" s="10" t="n">
        <v>-2220</v>
      </c>
      <c r="AI2405" s="10" t="n">
        <v>-2696</v>
      </c>
      <c r="AJ2405" s="11" t="n">
        <v>18391</v>
      </c>
      <c r="AK2405" s="12" t="n">
        <v>747</v>
      </c>
      <c r="AL2405" s="12" t="n">
        <v>-112</v>
      </c>
      <c r="AM2405" s="13" t="n">
        <v>47.8</v>
      </c>
      <c r="AN2405" s="13" t="n">
        <v>-1.1</v>
      </c>
      <c r="AO2405" s="13" t="n">
        <v>133.6</v>
      </c>
      <c r="AP2405" s="13" t="n">
        <v>-40</v>
      </c>
    </row>
    <row r="2406">
      <c r="A2406" s="5" t="inlineStr">
        <is>
          <t>쏘카</t>
        </is>
      </c>
      <c r="B2406" s="6" t="inlineStr">
        <is>
          <t>403550</t>
        </is>
      </c>
      <c r="C2406" s="6" t="inlineStr">
        <is>
          <t>연결</t>
        </is>
      </c>
      <c r="D2406" s="6" t="inlineStr">
        <is>
          <t>2026Q2</t>
        </is>
      </c>
      <c r="E2406" s="6" t="inlineStr">
        <is>
          <t>2023Q4</t>
        </is>
      </c>
      <c r="F2406" s="14" t="n">
        <v>96175</v>
      </c>
      <c r="G2406" s="15" t="n">
        <v>-2756</v>
      </c>
      <c r="H2406" s="15" t="n">
        <v>-14755</v>
      </c>
      <c r="I2406" s="9" t="n">
        <v>90575</v>
      </c>
      <c r="J2406" s="10" t="n">
        <v>-10759</v>
      </c>
      <c r="K2406" s="10" t="n">
        <v>-16743</v>
      </c>
      <c r="L2406" s="7" t="n">
        <v>101762</v>
      </c>
      <c r="M2406" s="8" t="n">
        <v>-6653</v>
      </c>
      <c r="N2406" s="8" t="n">
        <v>-11589</v>
      </c>
      <c r="O2406" s="9" t="n">
        <v>117004</v>
      </c>
      <c r="P2406" s="10" t="n">
        <v>4648</v>
      </c>
      <c r="Q2406" s="10" t="n">
        <v>1163</v>
      </c>
      <c r="R2406" s="7" t="n">
        <v>122422</v>
      </c>
      <c r="S2406" s="8" t="n">
        <v>2963</v>
      </c>
      <c r="T2406" s="8" t="n">
        <v>-3840</v>
      </c>
      <c r="U2406" s="9" t="n">
        <v>131505</v>
      </c>
      <c r="V2406" s="10" t="n">
        <v>1414</v>
      </c>
      <c r="W2406" s="10" t="n">
        <v>-3513</v>
      </c>
      <c r="X2406" s="7" t="n">
        <v>98660</v>
      </c>
      <c r="Y2406" s="8" t="n">
        <v>1835</v>
      </c>
      <c r="Z2406" s="8" t="n">
        <v>-1781</v>
      </c>
      <c r="AA2406" s="9" t="n">
        <v>111814</v>
      </c>
      <c r="AB2406" s="10" t="n">
        <v>6815</v>
      </c>
      <c r="AC2406" s="10" t="n">
        <v>1592</v>
      </c>
      <c r="AD2406" s="7" t="n">
        <v>128724</v>
      </c>
      <c r="AE2406" s="8" t="n">
        <v>13185</v>
      </c>
      <c r="AF2406" s="8" t="n">
        <v>-14687</v>
      </c>
      <c r="AG2406" s="9" t="n">
        <v>97122</v>
      </c>
      <c r="AH2406" s="10" t="n">
        <v>1388</v>
      </c>
      <c r="AI2406" s="10" t="n">
        <v>-8786</v>
      </c>
      <c r="AJ2406" s="11" t="n">
        <v>120993</v>
      </c>
      <c r="AK2406" s="12" t="n">
        <v>6811</v>
      </c>
      <c r="AL2406" s="12" t="n">
        <v>6465</v>
      </c>
      <c r="AM2406" s="13" t="n">
        <v>24.6</v>
      </c>
      <c r="AN2406" s="13" t="n">
        <v>22.6</v>
      </c>
      <c r="AO2406" s="13" t="n">
        <v>390.7</v>
      </c>
      <c r="AP2406" s="13" t="n">
        <v>271.2</v>
      </c>
    </row>
    <row r="2407">
      <c r="A2407" s="5" t="inlineStr">
        <is>
          <t>더핑크퐁컴퍼니</t>
        </is>
      </c>
      <c r="B2407" s="6" t="inlineStr">
        <is>
          <t>403850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n">
        <v>23496</v>
      </c>
      <c r="J2407" s="10" t="n">
        <v>1819</v>
      </c>
      <c r="K2407" s="10" t="n">
        <v>3983</v>
      </c>
      <c r="L2407" s="7" t="n">
        <v>24957</v>
      </c>
      <c r="M2407" s="8" t="n">
        <v>2737</v>
      </c>
      <c r="N2407" s="8" t="n">
        <v>7667</v>
      </c>
      <c r="O2407" s="9" t="n">
        <v>27305</v>
      </c>
      <c r="P2407" s="10" t="n">
        <v>3462</v>
      </c>
      <c r="Q2407" s="10" t="n">
        <v>-362</v>
      </c>
      <c r="R2407" s="7" t="n">
        <v>21610</v>
      </c>
      <c r="S2407" s="8" t="n">
        <v>10793</v>
      </c>
      <c r="T2407" s="8" t="n">
        <v>-6294</v>
      </c>
      <c r="U2407" s="9" t="n">
        <v>24137</v>
      </c>
      <c r="V2407" s="10" t="n">
        <v>6100</v>
      </c>
      <c r="W2407" s="10" t="n">
        <v>5287</v>
      </c>
      <c r="X2407" s="7" t="n">
        <v>21045</v>
      </c>
      <c r="Y2407" s="8" t="n">
        <v>2853</v>
      </c>
      <c r="Z2407" s="8" t="n">
        <v>-1496</v>
      </c>
      <c r="AA2407" s="9" t="n">
        <v>22960</v>
      </c>
      <c r="AB2407" s="10" t="n">
        <v>3685</v>
      </c>
      <c r="AC2407" s="10" t="n">
        <v>6806</v>
      </c>
      <c r="AD2407" s="7" t="n">
        <v>25720</v>
      </c>
      <c r="AE2407" s="8" t="n">
        <v>6724</v>
      </c>
      <c r="AF2407" s="8" t="n">
        <v>7527</v>
      </c>
      <c r="AG2407" s="9" t="n">
        <v>20653</v>
      </c>
      <c r="AH2407" s="10" t="n">
        <v>2937</v>
      </c>
      <c r="AI2407" s="10" t="n">
        <v>6147</v>
      </c>
      <c r="AJ2407" s="11" t="n">
        <v>21705</v>
      </c>
      <c r="AK2407" s="12" t="n">
        <v>2657</v>
      </c>
      <c r="AL2407" s="12" t="n">
        <v>21542</v>
      </c>
      <c r="AM2407" s="13" t="n">
        <v>5.1</v>
      </c>
      <c r="AN2407" s="13" t="n">
        <v>3.1</v>
      </c>
      <c r="AO2407" s="13" t="n">
        <v>-9.5</v>
      </c>
      <c r="AP2407" s="13" t="n">
        <v>-6.9</v>
      </c>
    </row>
    <row r="2408">
      <c r="A2408" s="5" t="inlineStr">
        <is>
          <t>HPSP</t>
        </is>
      </c>
      <c r="B2408" s="6" t="inlineStr">
        <is>
          <t>403870</t>
        </is>
      </c>
      <c r="C2408" s="6" t="inlineStr">
        <is>
          <t>별도</t>
        </is>
      </c>
      <c r="D2408" s="6" t="inlineStr">
        <is>
          <t>2026Q2</t>
        </is>
      </c>
      <c r="E2408" s="6" t="inlineStr">
        <is>
          <t>2023Q4</t>
        </is>
      </c>
      <c r="F2408" s="14" t="n">
        <v>30476</v>
      </c>
      <c r="G2408" s="15" t="n">
        <v>12111</v>
      </c>
      <c r="H2408" s="15" t="n">
        <v>6425</v>
      </c>
      <c r="I2408" s="9" t="n">
        <v>37753</v>
      </c>
      <c r="J2408" s="10" t="n">
        <v>19975</v>
      </c>
      <c r="K2408" s="10" t="n">
        <v>21338</v>
      </c>
      <c r="L2408" s="7" t="n">
        <v>27309</v>
      </c>
      <c r="M2408" s="8" t="n">
        <v>12051</v>
      </c>
      <c r="N2408" s="8" t="n">
        <v>14410</v>
      </c>
      <c r="O2408" s="9" t="n">
        <v>49721</v>
      </c>
      <c r="P2408" s="10" t="n">
        <v>26164</v>
      </c>
      <c r="Q2408" s="10" t="n">
        <v>17055</v>
      </c>
      <c r="R2408" s="7" t="inlineStr"/>
      <c r="S2408" s="8" t="n">
        <v>35756</v>
      </c>
      <c r="T2408" s="8" t="n">
        <v>33477</v>
      </c>
      <c r="U2408" s="9" t="n">
        <v>36895</v>
      </c>
      <c r="V2408" s="10" t="n">
        <v>18707</v>
      </c>
      <c r="W2408" s="10" t="n">
        <v>15201</v>
      </c>
      <c r="X2408" s="7" t="n">
        <v>51347</v>
      </c>
      <c r="Y2408" s="8" t="n">
        <v>28644</v>
      </c>
      <c r="Z2408" s="8" t="n">
        <v>20703</v>
      </c>
      <c r="AA2408" s="9" t="n">
        <v>32047</v>
      </c>
      <c r="AB2408" s="10" t="n">
        <v>15107</v>
      </c>
      <c r="AC2408" s="10" t="n">
        <v>13487</v>
      </c>
      <c r="AD2408" s="7" t="n">
        <v>52676</v>
      </c>
      <c r="AE2408" s="8" t="n">
        <v>27444</v>
      </c>
      <c r="AF2408" s="8" t="n">
        <v>23271</v>
      </c>
      <c r="AG2408" s="9" t="n">
        <v>31940</v>
      </c>
      <c r="AH2408" s="10" t="n">
        <v>16136</v>
      </c>
      <c r="AI2408" s="10" t="n">
        <v>24862</v>
      </c>
      <c r="AJ2408" s="11" t="n">
        <v>46123</v>
      </c>
      <c r="AK2408" s="12" t="n">
        <v>28314</v>
      </c>
      <c r="AL2408" s="12" t="n">
        <v>24107</v>
      </c>
      <c r="AM2408" s="13" t="n">
        <v>44.4</v>
      </c>
      <c r="AN2408" s="13" t="n">
        <v>-10.2</v>
      </c>
      <c r="AO2408" s="13" t="n">
        <v>75.5</v>
      </c>
      <c r="AP2408" s="13" t="n">
        <v>-1.2</v>
      </c>
    </row>
    <row r="2409">
      <c r="A2409" s="5" t="inlineStr">
        <is>
          <t>신한서부티엔디리츠</t>
        </is>
      </c>
      <c r="B2409" s="6" t="inlineStr">
        <is>
          <t>404990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inlineStr"/>
      <c r="J2409" s="10" t="inlineStr"/>
      <c r="K2409" s="10" t="inlineStr"/>
      <c r="L2409" s="7" t="n">
        <v>8937</v>
      </c>
      <c r="M2409" s="8" t="n">
        <v>5739</v>
      </c>
      <c r="N2409" s="8" t="n">
        <v>-670</v>
      </c>
      <c r="O2409" s="9" t="inlineStr"/>
      <c r="P2409" s="10" t="inlineStr"/>
      <c r="Q2409" s="10" t="inlineStr"/>
      <c r="R2409" s="7" t="inlineStr"/>
      <c r="S2409" s="8" t="inlineStr"/>
      <c r="T2409" s="8" t="inlineStr"/>
      <c r="U2409" s="9" t="inlineStr"/>
      <c r="V2409" s="10" t="inlineStr"/>
      <c r="W2409" s="10" t="inlineStr"/>
      <c r="X2409" s="7" t="n">
        <v>15508</v>
      </c>
      <c r="Y2409" s="8" t="n">
        <v>11486</v>
      </c>
      <c r="Z2409" s="8" t="n">
        <v>2457</v>
      </c>
      <c r="AA2409" s="9" t="inlineStr"/>
      <c r="AB2409" s="10" t="inlineStr"/>
      <c r="AC2409" s="10" t="inlineStr"/>
      <c r="AD2409" s="7" t="inlineStr"/>
      <c r="AE2409" s="8" t="inlineStr"/>
      <c r="AF2409" s="8" t="inlineStr"/>
      <c r="AG2409" s="9" t="inlineStr"/>
      <c r="AH2409" s="10" t="inlineStr"/>
      <c r="AI2409" s="10" t="inlineStr"/>
      <c r="AJ2409" s="11" t="n">
        <v>15532</v>
      </c>
      <c r="AK2409" s="12" t="n">
        <v>11334</v>
      </c>
      <c r="AL2409" s="12" t="n">
        <v>2995</v>
      </c>
      <c r="AM2409" s="13" t="inlineStr"/>
      <c r="AN2409" s="13" t="n">
        <v>0.2</v>
      </c>
      <c r="AO2409" s="13" t="inlineStr"/>
      <c r="AP2409" s="13" t="n">
        <v>-1.3</v>
      </c>
    </row>
    <row r="2410">
      <c r="A2410" s="5" t="inlineStr">
        <is>
          <t>플라즈맵</t>
        </is>
      </c>
      <c r="B2410" s="6" t="inlineStr">
        <is>
          <t>405000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4077</v>
      </c>
      <c r="J2410" s="10" t="n">
        <v>-3149</v>
      </c>
      <c r="K2410" s="10" t="n">
        <v>-3593</v>
      </c>
      <c r="L2410" s="7" t="n">
        <v>2575</v>
      </c>
      <c r="M2410" s="8" t="n">
        <v>-4152</v>
      </c>
      <c r="N2410" s="8" t="n">
        <v>-5772</v>
      </c>
      <c r="O2410" s="9" t="n">
        <v>1585</v>
      </c>
      <c r="P2410" s="10" t="n">
        <v>-4836</v>
      </c>
      <c r="Q2410" s="10" t="n">
        <v>-5817</v>
      </c>
      <c r="R2410" s="7" t="n">
        <v>1902</v>
      </c>
      <c r="S2410" s="8" t="n">
        <v>-5522</v>
      </c>
      <c r="T2410" s="8" t="n">
        <v>-5603</v>
      </c>
      <c r="U2410" s="9" t="n">
        <v>1042</v>
      </c>
      <c r="V2410" s="10" t="n">
        <v>-2171</v>
      </c>
      <c r="W2410" s="10" t="n">
        <v>-2662</v>
      </c>
      <c r="X2410" s="7" t="n">
        <v>1090</v>
      </c>
      <c r="Y2410" s="8" t="n">
        <v>-2779</v>
      </c>
      <c r="Z2410" s="8" t="n">
        <v>-836</v>
      </c>
      <c r="AA2410" s="9" t="n">
        <v>2160</v>
      </c>
      <c r="AB2410" s="10" t="n">
        <v>-1640</v>
      </c>
      <c r="AC2410" s="10" t="n">
        <v>-1799</v>
      </c>
      <c r="AD2410" s="7" t="n">
        <v>4191</v>
      </c>
      <c r="AE2410" s="8" t="n">
        <v>-1011</v>
      </c>
      <c r="AF2410" s="8" t="n">
        <v>-1290</v>
      </c>
      <c r="AG2410" s="9" t="n">
        <v>2822</v>
      </c>
      <c r="AH2410" s="10" t="n">
        <v>-2150</v>
      </c>
      <c r="AI2410" s="10" t="n">
        <v>-2318</v>
      </c>
      <c r="AJ2410" s="11" t="n">
        <v>2844</v>
      </c>
      <c r="AK2410" s="12" t="n">
        <v>-2286</v>
      </c>
      <c r="AL2410" s="12" t="n">
        <v>-2321</v>
      </c>
      <c r="AM2410" s="13" t="n">
        <v>0.8</v>
      </c>
      <c r="AN2410" s="13" t="n">
        <v>160.9</v>
      </c>
      <c r="AO2410" s="13" t="n">
        <v>-6.3</v>
      </c>
      <c r="AP2410" s="13" t="n">
        <v>17.7</v>
      </c>
    </row>
    <row r="2411">
      <c r="A2411" s="5" t="inlineStr">
        <is>
          <t>큐알티</t>
        </is>
      </c>
      <c r="B2411" s="6" t="inlineStr">
        <is>
          <t>405100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13743</v>
      </c>
      <c r="J2411" s="10" t="n">
        <v>22</v>
      </c>
      <c r="K2411" s="10" t="n">
        <v>252</v>
      </c>
      <c r="L2411" s="7" t="n">
        <v>15805</v>
      </c>
      <c r="M2411" s="8" t="n">
        <v>1256</v>
      </c>
      <c r="N2411" s="8" t="n">
        <v>1117</v>
      </c>
      <c r="O2411" s="9" t="n">
        <v>16448</v>
      </c>
      <c r="P2411" s="10" t="n">
        <v>1782</v>
      </c>
      <c r="Q2411" s="10" t="n">
        <v>1403</v>
      </c>
      <c r="R2411" s="7" t="n">
        <v>19255</v>
      </c>
      <c r="S2411" s="8" t="n">
        <v>1707</v>
      </c>
      <c r="T2411" s="8" t="n">
        <v>85</v>
      </c>
      <c r="U2411" s="9" t="n">
        <v>15381</v>
      </c>
      <c r="V2411" s="10" t="n">
        <v>567</v>
      </c>
      <c r="W2411" s="10" t="n">
        <v>304</v>
      </c>
      <c r="X2411" s="7" t="n">
        <v>17370</v>
      </c>
      <c r="Y2411" s="8" t="n">
        <v>1177</v>
      </c>
      <c r="Z2411" s="8" t="n">
        <v>920</v>
      </c>
      <c r="AA2411" s="9" t="n">
        <v>19029</v>
      </c>
      <c r="AB2411" s="10" t="n">
        <v>2045</v>
      </c>
      <c r="AC2411" s="10" t="n">
        <v>1361</v>
      </c>
      <c r="AD2411" s="7" t="n">
        <v>17081</v>
      </c>
      <c r="AE2411" s="8" t="n">
        <v>994</v>
      </c>
      <c r="AF2411" s="8" t="n">
        <v>309</v>
      </c>
      <c r="AG2411" s="9" t="n">
        <v>20415</v>
      </c>
      <c r="AH2411" s="10" t="n">
        <v>2978</v>
      </c>
      <c r="AI2411" s="10" t="n">
        <v>2676</v>
      </c>
      <c r="AJ2411" s="11" t="n">
        <v>18496</v>
      </c>
      <c r="AK2411" s="12" t="n">
        <v>1226</v>
      </c>
      <c r="AL2411" s="12" t="n">
        <v>1105</v>
      </c>
      <c r="AM2411" s="13" t="n">
        <v>-9.4</v>
      </c>
      <c r="AN2411" s="13" t="n">
        <v>6.5</v>
      </c>
      <c r="AO2411" s="13" t="n">
        <v>-58.8</v>
      </c>
      <c r="AP2411" s="13" t="n">
        <v>4.2</v>
      </c>
    </row>
    <row r="2412">
      <c r="A2412" s="5" t="inlineStr">
        <is>
          <t>나라셀라</t>
        </is>
      </c>
      <c r="B2412" s="6" t="inlineStr">
        <is>
          <t>405920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23875</v>
      </c>
      <c r="J2412" s="10" t="n">
        <v>-594</v>
      </c>
      <c r="K2412" s="10" t="n">
        <v>-1252</v>
      </c>
      <c r="L2412" s="7" t="n">
        <v>17704</v>
      </c>
      <c r="M2412" s="8" t="n">
        <v>-1680</v>
      </c>
      <c r="N2412" s="8" t="n">
        <v>-2466</v>
      </c>
      <c r="O2412" s="9" t="n">
        <v>19642</v>
      </c>
      <c r="P2412" s="10" t="n">
        <v>-891</v>
      </c>
      <c r="Q2412" s="10" t="n">
        <v>-1465</v>
      </c>
      <c r="R2412" s="7" t="n">
        <v>21486</v>
      </c>
      <c r="S2412" s="8" t="n">
        <v>-313</v>
      </c>
      <c r="T2412" s="8" t="n">
        <v>-561</v>
      </c>
      <c r="U2412" s="9" t="n">
        <v>20926</v>
      </c>
      <c r="V2412" s="10" t="n">
        <v>81</v>
      </c>
      <c r="W2412" s="10" t="n">
        <v>320</v>
      </c>
      <c r="X2412" s="7" t="n">
        <v>18547</v>
      </c>
      <c r="Y2412" s="8" t="n">
        <v>-530</v>
      </c>
      <c r="Z2412" s="8" t="n">
        <v>-250</v>
      </c>
      <c r="AA2412" s="9" t="n">
        <v>20682</v>
      </c>
      <c r="AB2412" s="10" t="n">
        <v>217</v>
      </c>
      <c r="AC2412" s="10" t="n">
        <v>-385</v>
      </c>
      <c r="AD2412" s="7" t="n">
        <v>21954</v>
      </c>
      <c r="AE2412" s="8" t="n">
        <v>1216</v>
      </c>
      <c r="AF2412" s="8" t="n">
        <v>370</v>
      </c>
      <c r="AG2412" s="9" t="n">
        <v>22287</v>
      </c>
      <c r="AH2412" s="10" t="n">
        <v>525</v>
      </c>
      <c r="AI2412" s="10" t="n">
        <v>-166</v>
      </c>
      <c r="AJ2412" s="11" t="n">
        <v>21470</v>
      </c>
      <c r="AK2412" s="12" t="n">
        <v>205</v>
      </c>
      <c r="AL2412" s="12" t="n">
        <v>-904</v>
      </c>
      <c r="AM2412" s="13" t="n">
        <v>-3.7</v>
      </c>
      <c r="AN2412" s="13" t="n">
        <v>15.8</v>
      </c>
      <c r="AO2412" s="13" t="n">
        <v>-61</v>
      </c>
      <c r="AP2412" s="13" t="n">
        <v>138.7</v>
      </c>
    </row>
    <row r="2413">
      <c r="A2413" s="5" t="inlineStr">
        <is>
          <t>뷰티스킨</t>
        </is>
      </c>
      <c r="B2413" s="6" t="inlineStr">
        <is>
          <t>406820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19674</v>
      </c>
      <c r="J2413" s="10" t="n">
        <v>1423</v>
      </c>
      <c r="K2413" s="10" t="n">
        <v>1334</v>
      </c>
      <c r="L2413" s="7" t="n">
        <v>26898</v>
      </c>
      <c r="M2413" s="8" t="n">
        <v>1818</v>
      </c>
      <c r="N2413" s="8" t="n">
        <v>691</v>
      </c>
      <c r="O2413" s="9" t="n">
        <v>18185</v>
      </c>
      <c r="P2413" s="10" t="n">
        <v>-1277</v>
      </c>
      <c r="Q2413" s="10" t="n">
        <v>-1377</v>
      </c>
      <c r="R2413" s="7" t="n">
        <v>16114</v>
      </c>
      <c r="S2413" s="8" t="n">
        <v>-3177</v>
      </c>
      <c r="T2413" s="8" t="n">
        <v>-6324</v>
      </c>
      <c r="U2413" s="9" t="n">
        <v>18696</v>
      </c>
      <c r="V2413" s="10" t="n">
        <v>-777</v>
      </c>
      <c r="W2413" s="10" t="n">
        <v>-1456</v>
      </c>
      <c r="X2413" s="7" t="n">
        <v>14546</v>
      </c>
      <c r="Y2413" s="8" t="n">
        <v>-1725</v>
      </c>
      <c r="Z2413" s="8" t="n">
        <v>-2275</v>
      </c>
      <c r="AA2413" s="9" t="n">
        <v>11454</v>
      </c>
      <c r="AB2413" s="10" t="n">
        <v>123</v>
      </c>
      <c r="AC2413" s="10" t="n">
        <v>-256</v>
      </c>
      <c r="AD2413" s="7" t="n">
        <v>10226</v>
      </c>
      <c r="AE2413" s="8" t="n">
        <v>-780</v>
      </c>
      <c r="AF2413" s="8" t="n">
        <v>1839</v>
      </c>
      <c r="AG2413" s="9" t="n">
        <v>12516</v>
      </c>
      <c r="AH2413" s="10" t="n">
        <v>-1484</v>
      </c>
      <c r="AI2413" s="10" t="n">
        <v>-2033</v>
      </c>
      <c r="AJ2413" s="11" t="n">
        <v>17476</v>
      </c>
      <c r="AK2413" s="12" t="n">
        <v>413</v>
      </c>
      <c r="AL2413" s="12" t="n">
        <v>-2723</v>
      </c>
      <c r="AM2413" s="13" t="n">
        <v>39.6</v>
      </c>
      <c r="AN2413" s="13" t="n">
        <v>20.1</v>
      </c>
      <c r="AO2413" s="13" t="n">
        <v>127.8</v>
      </c>
      <c r="AP2413" s="13" t="n">
        <v>123.9</v>
      </c>
    </row>
    <row r="2414">
      <c r="A2414" s="5" t="inlineStr">
        <is>
          <t>꿈비</t>
        </is>
      </c>
      <c r="B2414" s="6" t="inlineStr">
        <is>
          <t>407400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9089</v>
      </c>
      <c r="J2414" s="10" t="n">
        <v>-176</v>
      </c>
      <c r="K2414" s="10" t="n">
        <v>-188</v>
      </c>
      <c r="L2414" s="7" t="n">
        <v>10689</v>
      </c>
      <c r="M2414" s="8" t="n">
        <v>290</v>
      </c>
      <c r="N2414" s="8" t="n">
        <v>-1656</v>
      </c>
      <c r="O2414" s="9" t="n">
        <v>9850</v>
      </c>
      <c r="P2414" s="10" t="n">
        <v>-128</v>
      </c>
      <c r="Q2414" s="10" t="n">
        <v>-561</v>
      </c>
      <c r="R2414" s="7" t="n">
        <v>9865</v>
      </c>
      <c r="S2414" s="8" t="n">
        <v>417</v>
      </c>
      <c r="T2414" s="8" t="n">
        <v>-254</v>
      </c>
      <c r="U2414" s="9" t="n">
        <v>11945</v>
      </c>
      <c r="V2414" s="10" t="n">
        <v>-241</v>
      </c>
      <c r="W2414" s="10" t="n">
        <v>-779</v>
      </c>
      <c r="X2414" s="7" t="n">
        <v>16167</v>
      </c>
      <c r="Y2414" s="8" t="n">
        <v>302</v>
      </c>
      <c r="Z2414" s="8" t="n">
        <v>889</v>
      </c>
      <c r="AA2414" s="9" t="n">
        <v>26466</v>
      </c>
      <c r="AB2414" s="10" t="n">
        <v>-3030</v>
      </c>
      <c r="AC2414" s="10" t="n">
        <v>-4745</v>
      </c>
      <c r="AD2414" s="7" t="n">
        <v>31816</v>
      </c>
      <c r="AE2414" s="8" t="n">
        <v>-1279</v>
      </c>
      <c r="AF2414" s="8" t="n">
        <v>-10437</v>
      </c>
      <c r="AG2414" s="9" t="n">
        <v>31591</v>
      </c>
      <c r="AH2414" s="10" t="n">
        <v>-239</v>
      </c>
      <c r="AI2414" s="10" t="n">
        <v>-385</v>
      </c>
      <c r="AJ2414" s="11" t="n">
        <v>35839</v>
      </c>
      <c r="AK2414" s="12" t="n">
        <v>210</v>
      </c>
      <c r="AL2414" s="12" t="n">
        <v>4028</v>
      </c>
      <c r="AM2414" s="13" t="n">
        <v>13.4</v>
      </c>
      <c r="AN2414" s="13" t="n">
        <v>121.7</v>
      </c>
      <c r="AO2414" s="13" t="n">
        <v>187.9</v>
      </c>
      <c r="AP2414" s="13" t="n">
        <v>-30.5</v>
      </c>
    </row>
    <row r="2415">
      <c r="A2415" s="5" t="inlineStr">
        <is>
          <t>한패스</t>
        </is>
      </c>
      <c r="B2415" s="6" t="inlineStr">
        <is>
          <t>408470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inlineStr"/>
      <c r="J2415" s="10" t="inlineStr"/>
      <c r="K2415" s="10" t="inlineStr"/>
      <c r="L2415" s="7" t="inlineStr"/>
      <c r="M2415" s="8" t="inlineStr"/>
      <c r="N2415" s="8" t="inlineStr"/>
      <c r="O2415" s="9" t="inlineStr"/>
      <c r="P2415" s="10" t="inlineStr"/>
      <c r="Q2415" s="10" t="inlineStr"/>
      <c r="R2415" s="7" t="inlineStr"/>
      <c r="S2415" s="8" t="inlineStr"/>
      <c r="T2415" s="8" t="inlineStr"/>
      <c r="U2415" s="9" t="inlineStr"/>
      <c r="V2415" s="10" t="inlineStr"/>
      <c r="W2415" s="10" t="inlineStr"/>
      <c r="X2415" s="7" t="inlineStr"/>
      <c r="Y2415" s="8" t="inlineStr"/>
      <c r="Z2415" s="8" t="inlineStr"/>
      <c r="AA2415" s="9" t="inlineStr"/>
      <c r="AB2415" s="10" t="inlineStr"/>
      <c r="AC2415" s="10" t="inlineStr"/>
      <c r="AD2415" s="7" t="inlineStr"/>
      <c r="AE2415" s="8" t="inlineStr"/>
      <c r="AF2415" s="8" t="inlineStr"/>
      <c r="AG2415" s="9" t="n">
        <v>17056</v>
      </c>
      <c r="AH2415" s="10" t="n">
        <v>-747</v>
      </c>
      <c r="AI2415" s="10" t="n">
        <v>652</v>
      </c>
      <c r="AJ2415" s="11" t="n">
        <v>14416</v>
      </c>
      <c r="AK2415" s="12" t="n">
        <v>-3211</v>
      </c>
      <c r="AL2415" s="12" t="n">
        <v>-4878</v>
      </c>
      <c r="AM2415" s="13" t="n">
        <v>-15.5</v>
      </c>
      <c r="AN2415" s="13" t="inlineStr"/>
      <c r="AO2415" s="13" t="n">
        <v>-329.9</v>
      </c>
      <c r="AP2415" s="13" t="inlineStr"/>
    </row>
    <row r="2416">
      <c r="A2416" s="5" t="inlineStr">
        <is>
          <t>스튜디오미르</t>
        </is>
      </c>
      <c r="B2416" s="6" t="inlineStr">
        <is>
          <t>408900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4854</v>
      </c>
      <c r="J2416" s="10" t="n">
        <v>-354</v>
      </c>
      <c r="K2416" s="10" t="n">
        <v>-61</v>
      </c>
      <c r="L2416" s="7" t="n">
        <v>4621</v>
      </c>
      <c r="M2416" s="8" t="n">
        <v>-62</v>
      </c>
      <c r="N2416" s="8" t="n">
        <v>732</v>
      </c>
      <c r="O2416" s="9" t="n">
        <v>4162</v>
      </c>
      <c r="P2416" s="10" t="n">
        <v>-751</v>
      </c>
      <c r="Q2416" s="10" t="n">
        <v>-1278</v>
      </c>
      <c r="R2416" s="7" t="n">
        <v>3934</v>
      </c>
      <c r="S2416" s="8" t="n">
        <v>-735</v>
      </c>
      <c r="T2416" s="8" t="n">
        <v>716</v>
      </c>
      <c r="U2416" s="9" t="n">
        <v>3797</v>
      </c>
      <c r="V2416" s="10" t="n">
        <v>-759</v>
      </c>
      <c r="W2416" s="10" t="n">
        <v>-741</v>
      </c>
      <c r="X2416" s="7" t="n">
        <v>3593</v>
      </c>
      <c r="Y2416" s="8" t="n">
        <v>-965</v>
      </c>
      <c r="Z2416" s="8" t="n">
        <v>-1159</v>
      </c>
      <c r="AA2416" s="9" t="n">
        <v>3888</v>
      </c>
      <c r="AB2416" s="10" t="n">
        <v>-749</v>
      </c>
      <c r="AC2416" s="10" t="n">
        <v>-242</v>
      </c>
      <c r="AD2416" s="7" t="n">
        <v>5113</v>
      </c>
      <c r="AE2416" s="8" t="n">
        <v>327</v>
      </c>
      <c r="AF2416" s="8" t="n">
        <v>708</v>
      </c>
      <c r="AG2416" s="9" t="n">
        <v>3548</v>
      </c>
      <c r="AH2416" s="10" t="n">
        <v>-902</v>
      </c>
      <c r="AI2416" s="10" t="n">
        <v>-219</v>
      </c>
      <c r="AJ2416" s="11" t="n">
        <v>3869</v>
      </c>
      <c r="AK2416" s="12" t="n">
        <v>-430</v>
      </c>
      <c r="AL2416" s="12" t="n">
        <v>-317</v>
      </c>
      <c r="AM2416" s="13" t="n">
        <v>9</v>
      </c>
      <c r="AN2416" s="13" t="n">
        <v>7.7</v>
      </c>
      <c r="AO2416" s="13" t="n">
        <v>52.3</v>
      </c>
      <c r="AP2416" s="13" t="n">
        <v>55.4</v>
      </c>
    </row>
    <row r="2417">
      <c r="A2417" s="5" t="inlineStr">
        <is>
          <t>메쎄이상</t>
        </is>
      </c>
      <c r="B2417" s="6" t="inlineStr">
        <is>
          <t>408920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11945</v>
      </c>
      <c r="J2417" s="10" t="n">
        <v>3160</v>
      </c>
      <c r="K2417" s="10" t="n">
        <v>2647</v>
      </c>
      <c r="L2417" s="7" t="n">
        <v>13019</v>
      </c>
      <c r="M2417" s="8" t="n">
        <v>2963</v>
      </c>
      <c r="N2417" s="8" t="n">
        <v>2045</v>
      </c>
      <c r="O2417" s="9" t="n">
        <v>13806</v>
      </c>
      <c r="P2417" s="10" t="n">
        <v>3159</v>
      </c>
      <c r="Q2417" s="10" t="n">
        <v>2281</v>
      </c>
      <c r="R2417" s="7" t="n">
        <v>28307</v>
      </c>
      <c r="S2417" s="8" t="n">
        <v>7818</v>
      </c>
      <c r="T2417" s="8" t="n">
        <v>6506</v>
      </c>
      <c r="U2417" s="9" t="n">
        <v>13174</v>
      </c>
      <c r="V2417" s="10" t="n">
        <v>3291</v>
      </c>
      <c r="W2417" s="10" t="n">
        <v>2775</v>
      </c>
      <c r="X2417" s="7" t="n">
        <v>17436</v>
      </c>
      <c r="Y2417" s="8" t="n">
        <v>6469</v>
      </c>
      <c r="Z2417" s="8" t="n">
        <v>5263</v>
      </c>
      <c r="AA2417" s="9" t="n">
        <v>21946</v>
      </c>
      <c r="AB2417" s="10" t="n">
        <v>6340</v>
      </c>
      <c r="AC2417" s="10" t="n">
        <v>4900</v>
      </c>
      <c r="AD2417" s="7" t="n">
        <v>20266</v>
      </c>
      <c r="AE2417" s="8" t="n">
        <v>2897</v>
      </c>
      <c r="AF2417" s="8" t="n">
        <v>2536</v>
      </c>
      <c r="AG2417" s="9" t="n">
        <v>16566</v>
      </c>
      <c r="AH2417" s="10" t="n">
        <v>4959</v>
      </c>
      <c r="AI2417" s="10" t="n">
        <v>4539</v>
      </c>
      <c r="AJ2417" s="11" t="n">
        <v>19383</v>
      </c>
      <c r="AK2417" s="12" t="n">
        <v>6651</v>
      </c>
      <c r="AL2417" s="12" t="n">
        <v>5432</v>
      </c>
      <c r="AM2417" s="13" t="n">
        <v>17</v>
      </c>
      <c r="AN2417" s="13" t="n">
        <v>11.2</v>
      </c>
      <c r="AO2417" s="13" t="n">
        <v>34.1</v>
      </c>
      <c r="AP2417" s="13" t="n">
        <v>2.8</v>
      </c>
    </row>
    <row r="2418">
      <c r="A2418" s="5" t="inlineStr">
        <is>
          <t>샌즈랩</t>
        </is>
      </c>
      <c r="B2418" s="6" t="inlineStr">
        <is>
          <t>411080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974</v>
      </c>
      <c r="J2418" s="10" t="n">
        <v>-1736</v>
      </c>
      <c r="K2418" s="10" t="n">
        <v>-1416</v>
      </c>
      <c r="L2418" s="7" t="n">
        <v>661</v>
      </c>
      <c r="M2418" s="8" t="n">
        <v>-1268</v>
      </c>
      <c r="N2418" s="8" t="n">
        <v>-359</v>
      </c>
      <c r="O2418" s="9" t="n">
        <v>1793</v>
      </c>
      <c r="P2418" s="10" t="n">
        <v>-820</v>
      </c>
      <c r="Q2418" s="10" t="n">
        <v>-686</v>
      </c>
      <c r="R2418" s="7" t="n">
        <v>4869</v>
      </c>
      <c r="S2418" s="8" t="n">
        <v>115</v>
      </c>
      <c r="T2418" s="8" t="n">
        <v>160</v>
      </c>
      <c r="U2418" s="9" t="n">
        <v>714</v>
      </c>
      <c r="V2418" s="10" t="n">
        <v>-1447</v>
      </c>
      <c r="W2418" s="10" t="n">
        <v>-1537</v>
      </c>
      <c r="X2418" s="7" t="n">
        <v>3708</v>
      </c>
      <c r="Y2418" s="8" t="n">
        <v>-1404</v>
      </c>
      <c r="Z2418" s="8" t="n">
        <v>370</v>
      </c>
      <c r="AA2418" s="9" t="n">
        <v>802</v>
      </c>
      <c r="AB2418" s="10" t="n">
        <v>-1452</v>
      </c>
      <c r="AC2418" s="10" t="n">
        <v>-911</v>
      </c>
      <c r="AD2418" s="7" t="n">
        <v>6388</v>
      </c>
      <c r="AE2418" s="8" t="n">
        <v>2533</v>
      </c>
      <c r="AF2418" s="8" t="n">
        <v>1613</v>
      </c>
      <c r="AG2418" s="9" t="n">
        <v>1827</v>
      </c>
      <c r="AH2418" s="10" t="n">
        <v>-1009</v>
      </c>
      <c r="AI2418" s="10" t="n">
        <v>-638</v>
      </c>
      <c r="AJ2418" s="11" t="n">
        <v>1547</v>
      </c>
      <c r="AK2418" s="12" t="n">
        <v>-866</v>
      </c>
      <c r="AL2418" s="12" t="n">
        <v>-1861</v>
      </c>
      <c r="AM2418" s="13" t="n">
        <v>-15.3</v>
      </c>
      <c r="AN2418" s="13" t="n">
        <v>-58.3</v>
      </c>
      <c r="AO2418" s="13" t="n">
        <v>14.2</v>
      </c>
      <c r="AP2418" s="13" t="n">
        <v>38.3</v>
      </c>
    </row>
    <row r="2419">
      <c r="A2419" s="5" t="inlineStr">
        <is>
          <t>레이저쎌</t>
        </is>
      </c>
      <c r="B2419" s="6" t="inlineStr">
        <is>
          <t>412350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462</v>
      </c>
      <c r="J2419" s="10" t="n">
        <v>-1677</v>
      </c>
      <c r="K2419" s="10" t="n">
        <v>-1181</v>
      </c>
      <c r="L2419" s="7" t="n">
        <v>1102</v>
      </c>
      <c r="M2419" s="8" t="n">
        <v>-1987</v>
      </c>
      <c r="N2419" s="8" t="n">
        <v>-2188</v>
      </c>
      <c r="O2419" s="9" t="n">
        <v>2298</v>
      </c>
      <c r="P2419" s="10" t="n">
        <v>-2503</v>
      </c>
      <c r="Q2419" s="10" t="n">
        <v>-2761</v>
      </c>
      <c r="R2419" s="7" t="n">
        <v>154</v>
      </c>
      <c r="S2419" s="8" t="n">
        <v>-3042</v>
      </c>
      <c r="T2419" s="8" t="n">
        <v>-2367</v>
      </c>
      <c r="U2419" s="9" t="n">
        <v>1162</v>
      </c>
      <c r="V2419" s="10" t="n">
        <v>-2432</v>
      </c>
      <c r="W2419" s="10" t="n">
        <v>-2825</v>
      </c>
      <c r="X2419" s="7" t="n">
        <v>984</v>
      </c>
      <c r="Y2419" s="8" t="n">
        <v>-4171</v>
      </c>
      <c r="Z2419" s="8" t="n">
        <v>-4101</v>
      </c>
      <c r="AA2419" s="9" t="n">
        <v>213</v>
      </c>
      <c r="AB2419" s="10" t="n">
        <v>-3113</v>
      </c>
      <c r="AC2419" s="10" t="n">
        <v>-2878</v>
      </c>
      <c r="AD2419" s="7" t="n">
        <v>2325</v>
      </c>
      <c r="AE2419" s="8" t="n">
        <v>-3831</v>
      </c>
      <c r="AF2419" s="8" t="n">
        <v>-6403</v>
      </c>
      <c r="AG2419" s="9" t="n">
        <v>1194</v>
      </c>
      <c r="AH2419" s="10" t="n">
        <v>-1705</v>
      </c>
      <c r="AI2419" s="10" t="n">
        <v>-1700</v>
      </c>
      <c r="AJ2419" s="11" t="n">
        <v>2061</v>
      </c>
      <c r="AK2419" s="12" t="n">
        <v>-1051</v>
      </c>
      <c r="AL2419" s="12" t="n">
        <v>-3624</v>
      </c>
      <c r="AM2419" s="13" t="n">
        <v>72.59999999999999</v>
      </c>
      <c r="AN2419" s="13" t="n">
        <v>109.5</v>
      </c>
      <c r="AO2419" s="13" t="n">
        <v>38.4</v>
      </c>
      <c r="AP2419" s="13" t="n">
        <v>74.8</v>
      </c>
    </row>
    <row r="2420">
      <c r="A2420" s="5" t="inlineStr">
        <is>
          <t>제일엠앤에스</t>
        </is>
      </c>
      <c r="B2420" s="6" t="inlineStr">
        <is>
          <t>412540</t>
        </is>
      </c>
      <c r="C2420" s="6" t="inlineStr">
        <is>
          <t>연결</t>
        </is>
      </c>
      <c r="D2420" s="6" t="inlineStr">
        <is>
          <t>2026Q2</t>
        </is>
      </c>
      <c r="E2420" s="6" t="inlineStr">
        <is>
          <t>2024Q1</t>
        </is>
      </c>
      <c r="F2420" s="7" t="inlineStr"/>
      <c r="G2420" s="8" t="inlineStr"/>
      <c r="H2420" s="8" t="inlineStr"/>
      <c r="I2420" s="14" t="n">
        <v>74182</v>
      </c>
      <c r="J2420" s="15" t="n">
        <v>3258</v>
      </c>
      <c r="K2420" s="15" t="n">
        <v>3868</v>
      </c>
      <c r="L2420" s="7" t="n">
        <v>113412</v>
      </c>
      <c r="M2420" s="8" t="n">
        <v>2013</v>
      </c>
      <c r="N2420" s="8" t="n">
        <v>-31</v>
      </c>
      <c r="O2420" s="9" t="n">
        <v>97160</v>
      </c>
      <c r="P2420" s="10" t="n">
        <v>2977</v>
      </c>
      <c r="Q2420" s="10" t="n">
        <v>2378</v>
      </c>
      <c r="R2420" s="7" t="inlineStr"/>
      <c r="S2420" s="8" t="inlineStr"/>
      <c r="T2420" s="8" t="inlineStr"/>
      <c r="U2420" s="9" t="n">
        <v>142856</v>
      </c>
      <c r="V2420" s="10" t="n">
        <v>33905</v>
      </c>
      <c r="W2420" s="10" t="n">
        <v>25314</v>
      </c>
      <c r="X2420" s="7" t="n">
        <v>-22007</v>
      </c>
      <c r="Y2420" s="8" t="n">
        <v>-26960</v>
      </c>
      <c r="Z2420" s="8" t="n">
        <v>-26076</v>
      </c>
      <c r="AA2420" s="9" t="n">
        <v>118786</v>
      </c>
      <c r="AB2420" s="10" t="n">
        <v>-19886</v>
      </c>
      <c r="AC2420" s="10" t="n">
        <v>-21298</v>
      </c>
      <c r="AD2420" s="7" t="n">
        <v>-88370</v>
      </c>
      <c r="AE2420" s="8" t="n">
        <v>5699</v>
      </c>
      <c r="AF2420" s="8" t="n">
        <v>6358</v>
      </c>
      <c r="AG2420" s="9" t="n">
        <v>15459</v>
      </c>
      <c r="AH2420" s="10" t="n">
        <v>1282</v>
      </c>
      <c r="AI2420" s="10" t="n">
        <v>-913</v>
      </c>
      <c r="AJ2420" s="11" t="n">
        <v>111617</v>
      </c>
      <c r="AK2420" s="12" t="n">
        <v>3753</v>
      </c>
      <c r="AL2420" s="12" t="n">
        <v>4138</v>
      </c>
      <c r="AM2420" s="13" t="n">
        <v>622</v>
      </c>
      <c r="AN2420" s="13" t="n">
        <v>607.2</v>
      </c>
      <c r="AO2420" s="13" t="n">
        <v>192.7</v>
      </c>
      <c r="AP2420" s="13" t="n">
        <v>113.9</v>
      </c>
    </row>
    <row r="2421">
      <c r="A2421" s="5" t="inlineStr">
        <is>
          <t>엠오티</t>
        </is>
      </c>
      <c r="B2421" s="6" t="inlineStr">
        <is>
          <t>413390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inlineStr"/>
      <c r="J2421" s="10" t="inlineStr"/>
      <c r="K2421" s="10" t="inlineStr"/>
      <c r="L2421" s="7" t="inlineStr"/>
      <c r="M2421" s="8" t="inlineStr"/>
      <c r="N2421" s="8" t="inlineStr"/>
      <c r="O2421" s="9" t="inlineStr"/>
      <c r="P2421" s="10" t="inlineStr"/>
      <c r="Q2421" s="10" t="inlineStr"/>
      <c r="R2421" s="7" t="inlineStr"/>
      <c r="S2421" s="8" t="inlineStr"/>
      <c r="T2421" s="8" t="inlineStr"/>
      <c r="U2421" s="9" t="n">
        <v>16351</v>
      </c>
      <c r="V2421" s="10" t="n">
        <v>611</v>
      </c>
      <c r="W2421" s="10" t="n">
        <v>210</v>
      </c>
      <c r="X2421" s="7" t="n">
        <v>9945</v>
      </c>
      <c r="Y2421" s="8" t="n">
        <v>-1041</v>
      </c>
      <c r="Z2421" s="8" t="n">
        <v>-970</v>
      </c>
      <c r="AA2421" s="9" t="n">
        <v>22912</v>
      </c>
      <c r="AB2421" s="10" t="n">
        <v>3851</v>
      </c>
      <c r="AC2421" s="10" t="n">
        <v>3018</v>
      </c>
      <c r="AD2421" s="7" t="n">
        <v>26246</v>
      </c>
      <c r="AE2421" s="8" t="n">
        <v>988</v>
      </c>
      <c r="AF2421" s="8" t="n">
        <v>1215</v>
      </c>
      <c r="AG2421" s="9" t="n">
        <v>11364</v>
      </c>
      <c r="AH2421" s="10" t="n">
        <v>152</v>
      </c>
      <c r="AI2421" s="10" t="n">
        <v>295</v>
      </c>
      <c r="AJ2421" s="11" t="n">
        <v>31139</v>
      </c>
      <c r="AK2421" s="12" t="n">
        <v>1204</v>
      </c>
      <c r="AL2421" s="12" t="n">
        <v>1087</v>
      </c>
      <c r="AM2421" s="13" t="n">
        <v>174</v>
      </c>
      <c r="AN2421" s="13" t="n">
        <v>213.1</v>
      </c>
      <c r="AO2421" s="13" t="n">
        <v>692.1</v>
      </c>
      <c r="AP2421" s="13" t="n">
        <v>215.7</v>
      </c>
    </row>
    <row r="2422">
      <c r="A2422" s="5" t="inlineStr">
        <is>
          <t>씨피시스템</t>
        </is>
      </c>
      <c r="B2422" s="6" t="inlineStr">
        <is>
          <t>413630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0</v>
      </c>
      <c r="J2422" s="10" t="n">
        <v>-20</v>
      </c>
      <c r="K2422" s="10" t="n">
        <v>59</v>
      </c>
      <c r="L2422" s="7" t="n">
        <v>5530</v>
      </c>
      <c r="M2422" s="8" t="n">
        <v>742</v>
      </c>
      <c r="N2422" s="8" t="n">
        <v>-15756</v>
      </c>
      <c r="O2422" s="9" t="n">
        <v>4915</v>
      </c>
      <c r="P2422" s="10" t="n">
        <v>447</v>
      </c>
      <c r="Q2422" s="10" t="n">
        <v>588</v>
      </c>
      <c r="R2422" s="7" t="n">
        <v>10846</v>
      </c>
      <c r="S2422" s="8" t="n">
        <v>2147</v>
      </c>
      <c r="T2422" s="8" t="n">
        <v>3015</v>
      </c>
      <c r="U2422" s="9" t="n">
        <v>4960</v>
      </c>
      <c r="V2422" s="10" t="n">
        <v>475</v>
      </c>
      <c r="W2422" s="10" t="n">
        <v>598</v>
      </c>
      <c r="X2422" s="7" t="n">
        <v>5203</v>
      </c>
      <c r="Y2422" s="8" t="n">
        <v>704</v>
      </c>
      <c r="Z2422" s="8" t="n">
        <v>292</v>
      </c>
      <c r="AA2422" s="9" t="n">
        <v>4618</v>
      </c>
      <c r="AB2422" s="10" t="n">
        <v>554</v>
      </c>
      <c r="AC2422" s="10" t="n">
        <v>694</v>
      </c>
      <c r="AD2422" s="7" t="n">
        <v>4273</v>
      </c>
      <c r="AE2422" s="8" t="n">
        <v>406</v>
      </c>
      <c r="AF2422" s="8" t="n">
        <v>418</v>
      </c>
      <c r="AG2422" s="9" t="n">
        <v>5209</v>
      </c>
      <c r="AH2422" s="10" t="n">
        <v>534</v>
      </c>
      <c r="AI2422" s="10" t="n">
        <v>1095</v>
      </c>
      <c r="AJ2422" s="11" t="n">
        <v>6847</v>
      </c>
      <c r="AK2422" s="12" t="n">
        <v>1873</v>
      </c>
      <c r="AL2422" s="12" t="n">
        <v>1788</v>
      </c>
      <c r="AM2422" s="13" t="n">
        <v>31.4</v>
      </c>
      <c r="AN2422" s="13" t="n">
        <v>31.6</v>
      </c>
      <c r="AO2422" s="13" t="n">
        <v>250.7</v>
      </c>
      <c r="AP2422" s="13" t="n">
        <v>166.1</v>
      </c>
    </row>
    <row r="2423">
      <c r="A2423" s="5" t="inlineStr">
        <is>
          <t>비아이매트릭스</t>
        </is>
      </c>
      <c r="B2423" s="6" t="inlineStr">
        <is>
          <t>413640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5094</v>
      </c>
      <c r="J2423" s="10" t="inlineStr"/>
      <c r="K2423" s="10" t="inlineStr"/>
      <c r="L2423" s="7" t="n">
        <v>7523</v>
      </c>
      <c r="M2423" s="8" t="inlineStr"/>
      <c r="N2423" s="8" t="inlineStr"/>
      <c r="O2423" s="9" t="n">
        <v>8986</v>
      </c>
      <c r="P2423" s="10" t="inlineStr"/>
      <c r="Q2423" s="10" t="inlineStr"/>
      <c r="R2423" s="7" t="n">
        <v>9263</v>
      </c>
      <c r="S2423" s="8" t="inlineStr"/>
      <c r="T2423" s="8" t="inlineStr"/>
      <c r="U2423" s="9" t="n">
        <v>7002</v>
      </c>
      <c r="V2423" s="10" t="inlineStr"/>
      <c r="W2423" s="10" t="inlineStr"/>
      <c r="X2423" s="7" t="n">
        <v>8078</v>
      </c>
      <c r="Y2423" s="8" t="inlineStr"/>
      <c r="Z2423" s="8" t="inlineStr"/>
      <c r="AA2423" s="9" t="n">
        <v>7259</v>
      </c>
      <c r="AB2423" s="10" t="inlineStr"/>
      <c r="AC2423" s="10" t="inlineStr"/>
      <c r="AD2423" s="7" t="n">
        <v>9109</v>
      </c>
      <c r="AE2423" s="8" t="inlineStr"/>
      <c r="AF2423" s="8" t="inlineStr"/>
      <c r="AG2423" s="9" t="n">
        <v>8524</v>
      </c>
      <c r="AH2423" s="10" t="n">
        <v>-236</v>
      </c>
      <c r="AI2423" s="10" t="n">
        <v>-58</v>
      </c>
      <c r="AJ2423" s="11" t="n">
        <v>7583</v>
      </c>
      <c r="AK2423" s="12" t="n">
        <v>-727</v>
      </c>
      <c r="AL2423" s="12" t="n">
        <v>-595</v>
      </c>
      <c r="AM2423" s="13" t="n">
        <v>-11</v>
      </c>
      <c r="AN2423" s="13" t="n">
        <v>-6.1</v>
      </c>
      <c r="AO2423" s="13" t="n">
        <v>-208.1</v>
      </c>
      <c r="AP2423" s="13" t="inlineStr"/>
    </row>
    <row r="2424">
      <c r="A2424" s="5" t="inlineStr">
        <is>
          <t>스튜디오삼익</t>
        </is>
      </c>
      <c r="B2424" s="6" t="inlineStr">
        <is>
          <t>415380</t>
        </is>
      </c>
      <c r="C2424" s="6" t="inlineStr">
        <is>
          <t>별도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27681</v>
      </c>
      <c r="J2424" s="10" t="n">
        <v>1135</v>
      </c>
      <c r="K2424" s="10" t="n">
        <v>919</v>
      </c>
      <c r="L2424" s="7" t="n">
        <v>26608</v>
      </c>
      <c r="M2424" s="8" t="n">
        <v>1185</v>
      </c>
      <c r="N2424" s="8" t="n">
        <v>1149</v>
      </c>
      <c r="O2424" s="9" t="n">
        <v>25080</v>
      </c>
      <c r="P2424" s="10" t="n">
        <v>506</v>
      </c>
      <c r="Q2424" s="10" t="n">
        <v>539</v>
      </c>
      <c r="R2424" s="7" t="n">
        <v>28559</v>
      </c>
      <c r="S2424" s="8" t="n">
        <v>1162</v>
      </c>
      <c r="T2424" s="8" t="n">
        <v>1039</v>
      </c>
      <c r="U2424" s="9" t="n">
        <v>27805</v>
      </c>
      <c r="V2424" s="10" t="n">
        <v>1176</v>
      </c>
      <c r="W2424" s="10" t="n">
        <v>1029</v>
      </c>
      <c r="X2424" s="7" t="n">
        <v>22499</v>
      </c>
      <c r="Y2424" s="8" t="n">
        <v>407</v>
      </c>
      <c r="Z2424" s="8" t="n">
        <v>433</v>
      </c>
      <c r="AA2424" s="9" t="n">
        <v>21935</v>
      </c>
      <c r="AB2424" s="10" t="n">
        <v>551</v>
      </c>
      <c r="AC2424" s="10" t="n">
        <v>631</v>
      </c>
      <c r="AD2424" s="7" t="n">
        <v>23692</v>
      </c>
      <c r="AE2424" s="8" t="n">
        <v>695</v>
      </c>
      <c r="AF2424" s="8" t="n">
        <v>696</v>
      </c>
      <c r="AG2424" s="9" t="n">
        <v>22554</v>
      </c>
      <c r="AH2424" s="10" t="n">
        <v>512</v>
      </c>
      <c r="AI2424" s="10" t="n">
        <v>562</v>
      </c>
      <c r="AJ2424" s="11" t="n">
        <v>22304</v>
      </c>
      <c r="AK2424" s="12" t="n">
        <v>363</v>
      </c>
      <c r="AL2424" s="12" t="n">
        <v>415</v>
      </c>
      <c r="AM2424" s="13" t="n">
        <v>-1.1</v>
      </c>
      <c r="AN2424" s="13" t="n">
        <v>-0.9</v>
      </c>
      <c r="AO2424" s="13" t="n">
        <v>-29.1</v>
      </c>
      <c r="AP2424" s="13" t="n">
        <v>-10.8</v>
      </c>
    </row>
    <row r="2425">
      <c r="A2425" s="5" t="inlineStr">
        <is>
          <t>신성에스티</t>
        </is>
      </c>
      <c r="B2425" s="6" t="inlineStr">
        <is>
          <t>416180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30701</v>
      </c>
      <c r="J2425" s="10" t="n">
        <v>3152</v>
      </c>
      <c r="K2425" s="10" t="n">
        <v>2464</v>
      </c>
      <c r="L2425" s="7" t="n">
        <v>34662</v>
      </c>
      <c r="M2425" s="8" t="n">
        <v>3196</v>
      </c>
      <c r="N2425" s="8" t="n">
        <v>2196</v>
      </c>
      <c r="O2425" s="9" t="n">
        <v>33702</v>
      </c>
      <c r="P2425" s="10" t="n">
        <v>2233</v>
      </c>
      <c r="Q2425" s="10" t="n">
        <v>2015</v>
      </c>
      <c r="R2425" s="7" t="n">
        <v>27963</v>
      </c>
      <c r="S2425" s="8" t="n">
        <v>224</v>
      </c>
      <c r="T2425" s="8" t="n">
        <v>429</v>
      </c>
      <c r="U2425" s="9" t="n">
        <v>29421</v>
      </c>
      <c r="V2425" s="10" t="n">
        <v>2954</v>
      </c>
      <c r="W2425" s="10" t="n">
        <v>2201</v>
      </c>
      <c r="X2425" s="7" t="n">
        <v>23935</v>
      </c>
      <c r="Y2425" s="8" t="n">
        <v>185</v>
      </c>
      <c r="Z2425" s="8" t="n">
        <v>-230</v>
      </c>
      <c r="AA2425" s="9" t="n">
        <v>29597</v>
      </c>
      <c r="AB2425" s="10" t="n">
        <v>1379</v>
      </c>
      <c r="AC2425" s="10" t="n">
        <v>103</v>
      </c>
      <c r="AD2425" s="7" t="n">
        <v>33960</v>
      </c>
      <c r="AE2425" s="8" t="n">
        <v>-2247</v>
      </c>
      <c r="AF2425" s="8" t="n">
        <v>-1520</v>
      </c>
      <c r="AG2425" s="9" t="n">
        <v>50245</v>
      </c>
      <c r="AH2425" s="10" t="n">
        <v>-542</v>
      </c>
      <c r="AI2425" s="10" t="n">
        <v>-950</v>
      </c>
      <c r="AJ2425" s="11" t="n">
        <v>59874</v>
      </c>
      <c r="AK2425" s="12" t="n">
        <v>1672</v>
      </c>
      <c r="AL2425" s="12" t="n">
        <v>1229</v>
      </c>
      <c r="AM2425" s="13" t="n">
        <v>19.2</v>
      </c>
      <c r="AN2425" s="13" t="n">
        <v>150.2</v>
      </c>
      <c r="AO2425" s="13" t="n">
        <v>408.5</v>
      </c>
      <c r="AP2425" s="13" t="n">
        <v>803.8</v>
      </c>
    </row>
    <row r="2426">
      <c r="A2426" s="5" t="inlineStr">
        <is>
          <t>나노팀</t>
        </is>
      </c>
      <c r="B2426" s="6" t="inlineStr">
        <is>
          <t>417010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10181</v>
      </c>
      <c r="J2426" s="10" t="n">
        <v>519</v>
      </c>
      <c r="K2426" s="10" t="n">
        <v>362</v>
      </c>
      <c r="L2426" s="7" t="n">
        <v>8871</v>
      </c>
      <c r="M2426" s="8" t="n">
        <v>-506</v>
      </c>
      <c r="N2426" s="8" t="n">
        <v>-523</v>
      </c>
      <c r="O2426" s="9" t="n">
        <v>6791</v>
      </c>
      <c r="P2426" s="10" t="n">
        <v>-1388</v>
      </c>
      <c r="Q2426" s="10" t="n">
        <v>-1829</v>
      </c>
      <c r="R2426" s="7" t="n">
        <v>6549</v>
      </c>
      <c r="S2426" s="8" t="n">
        <v>-2387</v>
      </c>
      <c r="T2426" s="8" t="n">
        <v>-1716</v>
      </c>
      <c r="U2426" s="9" t="n">
        <v>9046</v>
      </c>
      <c r="V2426" s="10" t="n">
        <v>86</v>
      </c>
      <c r="W2426" s="10" t="n">
        <v>-458</v>
      </c>
      <c r="X2426" s="7" t="n">
        <v>10874</v>
      </c>
      <c r="Y2426" s="8" t="n">
        <v>62</v>
      </c>
      <c r="Z2426" s="8" t="n">
        <v>-2</v>
      </c>
      <c r="AA2426" s="9" t="n">
        <v>10311</v>
      </c>
      <c r="AB2426" s="10" t="n">
        <v>-469</v>
      </c>
      <c r="AC2426" s="10" t="n">
        <v>-406</v>
      </c>
      <c r="AD2426" s="7" t="n">
        <v>10093</v>
      </c>
      <c r="AE2426" s="8" t="n">
        <v>-180</v>
      </c>
      <c r="AF2426" s="8" t="n">
        <v>1864</v>
      </c>
      <c r="AG2426" s="9" t="n">
        <v>9841</v>
      </c>
      <c r="AH2426" s="10" t="n">
        <v>-639</v>
      </c>
      <c r="AI2426" s="10" t="n">
        <v>-981</v>
      </c>
      <c r="AJ2426" s="11" t="n">
        <v>14178</v>
      </c>
      <c r="AK2426" s="12" t="n">
        <v>1414</v>
      </c>
      <c r="AL2426" s="12" t="n">
        <v>727</v>
      </c>
      <c r="AM2426" s="13" t="n">
        <v>44.1</v>
      </c>
      <c r="AN2426" s="13" t="n">
        <v>30.4</v>
      </c>
      <c r="AO2426" s="13" t="n">
        <v>321.3</v>
      </c>
      <c r="AP2426" s="13" t="n">
        <v>2180.6</v>
      </c>
    </row>
    <row r="2427">
      <c r="A2427" s="5" t="inlineStr">
        <is>
          <t>니어스랩</t>
        </is>
      </c>
      <c r="B2427" s="6" t="inlineStr">
        <is>
          <t>417030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inlineStr"/>
      <c r="J2427" s="10" t="inlineStr"/>
      <c r="K2427" s="10" t="inlineStr"/>
      <c r="L2427" s="7" t="inlineStr"/>
      <c r="M2427" s="8" t="inlineStr"/>
      <c r="N2427" s="8" t="inlineStr"/>
      <c r="O2427" s="9" t="inlineStr"/>
      <c r="P2427" s="10" t="inlineStr"/>
      <c r="Q2427" s="10" t="inlineStr"/>
      <c r="R2427" s="7" t="inlineStr"/>
      <c r="S2427" s="8" t="inlineStr"/>
      <c r="T2427" s="8" t="inlineStr"/>
      <c r="U2427" s="9" t="inlineStr"/>
      <c r="V2427" s="10" t="inlineStr"/>
      <c r="W2427" s="10" t="inlineStr"/>
      <c r="X2427" s="7" t="inlineStr"/>
      <c r="Y2427" s="8" t="inlineStr"/>
      <c r="Z2427" s="8" t="inlineStr"/>
      <c r="AA2427" s="9" t="inlineStr"/>
      <c r="AB2427" s="10" t="inlineStr"/>
      <c r="AC2427" s="10" t="inlineStr"/>
      <c r="AD2427" s="7" t="inlineStr"/>
      <c r="AE2427" s="8" t="inlineStr"/>
      <c r="AF2427" s="8" t="inlineStr"/>
      <c r="AG2427" s="9" t="inlineStr"/>
      <c r="AH2427" s="10" t="inlineStr"/>
      <c r="AI2427" s="10" t="inlineStr"/>
      <c r="AJ2427" s="11" t="n">
        <v>16922</v>
      </c>
      <c r="AK2427" s="12" t="n">
        <v>680</v>
      </c>
      <c r="AL2427" s="12" t="n">
        <v>-156</v>
      </c>
      <c r="AM2427" s="13" t="inlineStr"/>
      <c r="AN2427" s="13" t="inlineStr"/>
      <c r="AO2427" s="13" t="inlineStr"/>
      <c r="AP2427" s="13" t="inlineStr"/>
    </row>
    <row r="2428">
      <c r="A2428" s="5" t="inlineStr">
        <is>
          <t>핑거스토리</t>
        </is>
      </c>
      <c r="B2428" s="6" t="inlineStr">
        <is>
          <t>417180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4580</v>
      </c>
      <c r="J2428" s="10" t="n">
        <v>327</v>
      </c>
      <c r="K2428" s="10" t="n">
        <v>-121</v>
      </c>
      <c r="L2428" s="7" t="n">
        <v>4530</v>
      </c>
      <c r="M2428" s="8" t="n">
        <v>333</v>
      </c>
      <c r="N2428" s="8" t="n">
        <v>1086</v>
      </c>
      <c r="O2428" s="9" t="n">
        <v>4748</v>
      </c>
      <c r="P2428" s="10" t="n">
        <v>510</v>
      </c>
      <c r="Q2428" s="10" t="n">
        <v>115</v>
      </c>
      <c r="R2428" s="7" t="n">
        <v>4492</v>
      </c>
      <c r="S2428" s="8" t="n">
        <v>337</v>
      </c>
      <c r="T2428" s="8" t="n">
        <v>598</v>
      </c>
      <c r="U2428" s="9" t="n">
        <v>4334</v>
      </c>
      <c r="V2428" s="10" t="n">
        <v>274</v>
      </c>
      <c r="W2428" s="10" t="n">
        <v>534</v>
      </c>
      <c r="X2428" s="7" t="n">
        <v>4208</v>
      </c>
      <c r="Y2428" s="8" t="n">
        <v>168</v>
      </c>
      <c r="Z2428" s="8" t="n">
        <v>3908</v>
      </c>
      <c r="AA2428" s="9" t="n">
        <v>4382</v>
      </c>
      <c r="AB2428" s="10" t="n">
        <v>217</v>
      </c>
      <c r="AC2428" s="10" t="n">
        <v>116</v>
      </c>
      <c r="AD2428" s="7" t="n">
        <v>4376</v>
      </c>
      <c r="AE2428" s="8" t="n">
        <v>188</v>
      </c>
      <c r="AF2428" s="8" t="n">
        <v>-1046</v>
      </c>
      <c r="AG2428" s="9" t="n">
        <v>4994</v>
      </c>
      <c r="AH2428" s="10" t="n">
        <v>-108</v>
      </c>
      <c r="AI2428" s="10" t="n">
        <v>-136</v>
      </c>
      <c r="AJ2428" s="11" t="n">
        <v>4769</v>
      </c>
      <c r="AK2428" s="12" t="n">
        <v>-345</v>
      </c>
      <c r="AL2428" s="12" t="n">
        <v>592</v>
      </c>
      <c r="AM2428" s="13" t="n">
        <v>-4.5</v>
      </c>
      <c r="AN2428" s="13" t="n">
        <v>13.3</v>
      </c>
      <c r="AO2428" s="13" t="n">
        <v>-219.4</v>
      </c>
      <c r="AP2428" s="13" t="n">
        <v>-305.4</v>
      </c>
    </row>
    <row r="2429">
      <c r="A2429" s="5" t="inlineStr">
        <is>
          <t>LS머트리얼즈</t>
        </is>
      </c>
      <c r="B2429" s="6" t="inlineStr">
        <is>
          <t>417200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32625</v>
      </c>
      <c r="J2429" s="10" t="n">
        <v>1241</v>
      </c>
      <c r="K2429" s="10" t="n">
        <v>1673</v>
      </c>
      <c r="L2429" s="7" t="n">
        <v>38924</v>
      </c>
      <c r="M2429" s="8" t="n">
        <v>1947</v>
      </c>
      <c r="N2429" s="8" t="n">
        <v>1494</v>
      </c>
      <c r="O2429" s="9" t="n">
        <v>33307</v>
      </c>
      <c r="P2429" s="10" t="n">
        <v>1061</v>
      </c>
      <c r="Q2429" s="10" t="n">
        <v>1079</v>
      </c>
      <c r="R2429" s="7" t="n">
        <v>37220</v>
      </c>
      <c r="S2429" s="8" t="n">
        <v>1948</v>
      </c>
      <c r="T2429" s="8" t="n">
        <v>1445</v>
      </c>
      <c r="U2429" s="9" t="n">
        <v>35326</v>
      </c>
      <c r="V2429" s="10" t="n">
        <v>-1083</v>
      </c>
      <c r="W2429" s="10" t="n">
        <v>-1129</v>
      </c>
      <c r="X2429" s="7" t="n">
        <v>39193</v>
      </c>
      <c r="Y2429" s="8" t="n">
        <v>38</v>
      </c>
      <c r="Z2429" s="8" t="n">
        <v>-191</v>
      </c>
      <c r="AA2429" s="9" t="n">
        <v>38504</v>
      </c>
      <c r="AB2429" s="10" t="n">
        <v>-211</v>
      </c>
      <c r="AC2429" s="10" t="n">
        <v>-582</v>
      </c>
      <c r="AD2429" s="7" t="n">
        <v>40559</v>
      </c>
      <c r="AE2429" s="8" t="n">
        <v>1114</v>
      </c>
      <c r="AF2429" s="8" t="n">
        <v>895</v>
      </c>
      <c r="AG2429" s="9" t="n">
        <v>43052</v>
      </c>
      <c r="AH2429" s="10" t="n">
        <v>-1148</v>
      </c>
      <c r="AI2429" s="10" t="n">
        <v>-1739</v>
      </c>
      <c r="AJ2429" s="11" t="n">
        <v>51298</v>
      </c>
      <c r="AK2429" s="12" t="n">
        <v>533</v>
      </c>
      <c r="AL2429" s="12" t="n">
        <v>-287</v>
      </c>
      <c r="AM2429" s="13" t="n">
        <v>19.2</v>
      </c>
      <c r="AN2429" s="13" t="n">
        <v>30.9</v>
      </c>
      <c r="AO2429" s="13" t="n">
        <v>146.4</v>
      </c>
      <c r="AP2429" s="13" t="n">
        <v>1302.6</v>
      </c>
    </row>
    <row r="2430">
      <c r="A2430" s="5" t="inlineStr">
        <is>
          <t>제이아이테크</t>
        </is>
      </c>
      <c r="B2430" s="6" t="inlineStr">
        <is>
          <t>417500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13362</v>
      </c>
      <c r="J2430" s="10" t="n">
        <v>2051</v>
      </c>
      <c r="K2430" s="10" t="n">
        <v>1667</v>
      </c>
      <c r="L2430" s="7" t="n">
        <v>18000</v>
      </c>
      <c r="M2430" s="8" t="n">
        <v>3779</v>
      </c>
      <c r="N2430" s="8" t="n">
        <v>1480</v>
      </c>
      <c r="O2430" s="9" t="n">
        <v>13233</v>
      </c>
      <c r="P2430" s="10" t="n">
        <v>2135</v>
      </c>
      <c r="Q2430" s="10" t="n">
        <v>1128</v>
      </c>
      <c r="R2430" s="7" t="n">
        <v>12698</v>
      </c>
      <c r="S2430" s="8" t="n">
        <v>740</v>
      </c>
      <c r="T2430" s="8" t="n">
        <v>3805</v>
      </c>
      <c r="U2430" s="9" t="n">
        <v>12663</v>
      </c>
      <c r="V2430" s="10" t="n">
        <v>2507</v>
      </c>
      <c r="W2430" s="10" t="n">
        <v>2353</v>
      </c>
      <c r="X2430" s="7" t="n">
        <v>11507</v>
      </c>
      <c r="Y2430" s="8" t="n">
        <v>1781</v>
      </c>
      <c r="Z2430" s="8" t="n">
        <v>1391</v>
      </c>
      <c r="AA2430" s="9" t="n">
        <v>15922</v>
      </c>
      <c r="AB2430" s="10" t="n">
        <v>3153</v>
      </c>
      <c r="AC2430" s="10" t="n">
        <v>3462</v>
      </c>
      <c r="AD2430" s="7" t="n">
        <v>13459</v>
      </c>
      <c r="AE2430" s="8" t="n">
        <v>2956</v>
      </c>
      <c r="AF2430" s="8" t="n">
        <v>-533</v>
      </c>
      <c r="AG2430" s="9" t="n">
        <v>15437</v>
      </c>
      <c r="AH2430" s="10" t="n">
        <v>3900</v>
      </c>
      <c r="AI2430" s="10" t="n">
        <v>3806</v>
      </c>
      <c r="AJ2430" s="11" t="n">
        <v>21882</v>
      </c>
      <c r="AK2430" s="12" t="n">
        <v>6341</v>
      </c>
      <c r="AL2430" s="12" t="n">
        <v>3917</v>
      </c>
      <c r="AM2430" s="13" t="n">
        <v>41.8</v>
      </c>
      <c r="AN2430" s="13" t="n">
        <v>90.2</v>
      </c>
      <c r="AO2430" s="13" t="n">
        <v>62.6</v>
      </c>
      <c r="AP2430" s="13" t="n">
        <v>256</v>
      </c>
    </row>
    <row r="2431">
      <c r="A2431" s="5" t="inlineStr">
        <is>
          <t>트루엔</t>
        </is>
      </c>
      <c r="B2431" s="6" t="inlineStr">
        <is>
          <t>417790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9236</v>
      </c>
      <c r="J2431" s="10" t="n">
        <v>2271</v>
      </c>
      <c r="K2431" s="10" t="n">
        <v>2292</v>
      </c>
      <c r="L2431" s="7" t="n">
        <v>15081</v>
      </c>
      <c r="M2431" s="8" t="n">
        <v>3873</v>
      </c>
      <c r="N2431" s="8" t="n">
        <v>3634</v>
      </c>
      <c r="O2431" s="9" t="n">
        <v>13465</v>
      </c>
      <c r="P2431" s="10" t="n">
        <v>5263</v>
      </c>
      <c r="Q2431" s="10" t="n">
        <v>4634</v>
      </c>
      <c r="R2431" s="7" t="n">
        <v>15819</v>
      </c>
      <c r="S2431" s="8" t="n">
        <v>4050</v>
      </c>
      <c r="T2431" s="8" t="n">
        <v>3807</v>
      </c>
      <c r="U2431" s="9" t="n">
        <v>9891</v>
      </c>
      <c r="V2431" s="10" t="n">
        <v>2455</v>
      </c>
      <c r="W2431" s="10" t="n">
        <v>2446</v>
      </c>
      <c r="X2431" s="7" t="n">
        <v>14633</v>
      </c>
      <c r="Y2431" s="8" t="n">
        <v>4051</v>
      </c>
      <c r="Z2431" s="8" t="n">
        <v>3606</v>
      </c>
      <c r="AA2431" s="9" t="n">
        <v>11341</v>
      </c>
      <c r="AB2431" s="10" t="n">
        <v>3575</v>
      </c>
      <c r="AC2431" s="10" t="n">
        <v>2849</v>
      </c>
      <c r="AD2431" s="7" t="n">
        <v>13249</v>
      </c>
      <c r="AE2431" s="8" t="n">
        <v>3174</v>
      </c>
      <c r="AF2431" s="8" t="n">
        <v>3201</v>
      </c>
      <c r="AG2431" s="9" t="n">
        <v>7818</v>
      </c>
      <c r="AH2431" s="10" t="n">
        <v>1679</v>
      </c>
      <c r="AI2431" s="10" t="n">
        <v>1642</v>
      </c>
      <c r="AJ2431" s="11" t="n">
        <v>16666</v>
      </c>
      <c r="AK2431" s="12" t="n">
        <v>4454</v>
      </c>
      <c r="AL2431" s="12" t="n">
        <v>4019</v>
      </c>
      <c r="AM2431" s="13" t="n">
        <v>113.2</v>
      </c>
      <c r="AN2431" s="13" t="n">
        <v>13.9</v>
      </c>
      <c r="AO2431" s="13" t="n">
        <v>165.3</v>
      </c>
      <c r="AP2431" s="13" t="n">
        <v>9.9</v>
      </c>
    </row>
    <row r="2432">
      <c r="A2432" s="5" t="inlineStr">
        <is>
          <t>저스템</t>
        </is>
      </c>
      <c r="B2432" s="6" t="inlineStr">
        <is>
          <t>417840</t>
        </is>
      </c>
      <c r="C2432" s="6" t="inlineStr">
        <is>
          <t>연결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4064</v>
      </c>
      <c r="J2432" s="10" t="n">
        <v>-4136</v>
      </c>
      <c r="K2432" s="10" t="n">
        <v>-4113</v>
      </c>
      <c r="L2432" s="7" t="n">
        <v>7672</v>
      </c>
      <c r="M2432" s="8" t="n">
        <v>-2046</v>
      </c>
      <c r="N2432" s="8" t="n">
        <v>-1573</v>
      </c>
      <c r="O2432" s="9" t="n">
        <v>15832</v>
      </c>
      <c r="P2432" s="10" t="n">
        <v>847</v>
      </c>
      <c r="Q2432" s="10" t="n">
        <v>430</v>
      </c>
      <c r="R2432" s="7" t="n">
        <v>11133</v>
      </c>
      <c r="S2432" s="8" t="n">
        <v>726</v>
      </c>
      <c r="T2432" s="8" t="n">
        <v>3094</v>
      </c>
      <c r="U2432" s="9" t="n">
        <v>10617</v>
      </c>
      <c r="V2432" s="10" t="n">
        <v>1646</v>
      </c>
      <c r="W2432" s="10" t="n">
        <v>1538</v>
      </c>
      <c r="X2432" s="7" t="n">
        <v>11305</v>
      </c>
      <c r="Y2432" s="8" t="n">
        <v>2078</v>
      </c>
      <c r="Z2432" s="8" t="n">
        <v>1609</v>
      </c>
      <c r="AA2432" s="9" t="n">
        <v>12109</v>
      </c>
      <c r="AB2432" s="10" t="n">
        <v>545</v>
      </c>
      <c r="AC2432" s="10" t="n">
        <v>760</v>
      </c>
      <c r="AD2432" s="7" t="n">
        <v>14258</v>
      </c>
      <c r="AE2432" s="8" t="n">
        <v>366</v>
      </c>
      <c r="AF2432" s="8" t="n">
        <v>-451</v>
      </c>
      <c r="AG2432" s="9" t="n">
        <v>17693</v>
      </c>
      <c r="AH2432" s="10" t="n">
        <v>4073</v>
      </c>
      <c r="AI2432" s="10" t="n">
        <v>4605</v>
      </c>
      <c r="AJ2432" s="11" t="n">
        <v>29324</v>
      </c>
      <c r="AK2432" s="12" t="n">
        <v>9276</v>
      </c>
      <c r="AL2432" s="12" t="n">
        <v>6790</v>
      </c>
      <c r="AM2432" s="13" t="n">
        <v>65.7</v>
      </c>
      <c r="AN2432" s="13" t="n">
        <v>159.4</v>
      </c>
      <c r="AO2432" s="13" t="n">
        <v>127.7</v>
      </c>
      <c r="AP2432" s="13" t="n">
        <v>346.4</v>
      </c>
    </row>
    <row r="2433">
      <c r="A2433" s="5" t="inlineStr">
        <is>
          <t>오브젠</t>
        </is>
      </c>
      <c r="B2433" s="6" t="inlineStr">
        <is>
          <t>417860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inlineStr"/>
      <c r="J2433" s="10" t="n">
        <v>-2045</v>
      </c>
      <c r="K2433" s="10" t="n">
        <v>-1944</v>
      </c>
      <c r="L2433" s="7" t="inlineStr"/>
      <c r="M2433" s="8" t="n">
        <v>-1635</v>
      </c>
      <c r="N2433" s="8" t="n">
        <v>-1523</v>
      </c>
      <c r="O2433" s="9" t="inlineStr"/>
      <c r="P2433" s="10" t="n">
        <v>-166</v>
      </c>
      <c r="Q2433" s="10" t="n">
        <v>-64</v>
      </c>
      <c r="R2433" s="7" t="inlineStr"/>
      <c r="S2433" s="8" t="n">
        <v>-304</v>
      </c>
      <c r="T2433" s="8" t="n">
        <v>248</v>
      </c>
      <c r="U2433" s="9" t="inlineStr"/>
      <c r="V2433" s="10" t="n">
        <v>69</v>
      </c>
      <c r="W2433" s="10" t="n">
        <v>4</v>
      </c>
      <c r="X2433" s="7" t="inlineStr"/>
      <c r="Y2433" s="8" t="n">
        <v>744</v>
      </c>
      <c r="Z2433" s="8" t="n">
        <v>-10194</v>
      </c>
      <c r="AA2433" s="9" t="inlineStr"/>
      <c r="AB2433" s="10" t="n">
        <v>120</v>
      </c>
      <c r="AC2433" s="10" t="n">
        <v>6358</v>
      </c>
      <c r="AD2433" s="7" t="inlineStr"/>
      <c r="AE2433" s="8" t="n">
        <v>-665</v>
      </c>
      <c r="AF2433" s="8" t="n">
        <v>666</v>
      </c>
      <c r="AG2433" s="9" t="n">
        <v>13090</v>
      </c>
      <c r="AH2433" s="10" t="n">
        <v>-465</v>
      </c>
      <c r="AI2433" s="10" t="n">
        <v>-484</v>
      </c>
      <c r="AJ2433" s="11" t="n">
        <v>12510</v>
      </c>
      <c r="AK2433" s="12" t="n">
        <v>-650</v>
      </c>
      <c r="AL2433" s="12" t="n">
        <v>4323</v>
      </c>
      <c r="AM2433" s="13" t="n">
        <v>-4.4</v>
      </c>
      <c r="AN2433" s="13" t="inlineStr"/>
      <c r="AO2433" s="13" t="n">
        <v>-39.8</v>
      </c>
      <c r="AP2433" s="13" t="n">
        <v>-187.4</v>
      </c>
    </row>
    <row r="2434">
      <c r="A2434" s="5" t="inlineStr">
        <is>
          <t>모델솔루션</t>
        </is>
      </c>
      <c r="B2434" s="6" t="inlineStr">
        <is>
          <t>417970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15576</v>
      </c>
      <c r="J2434" s="10" t="n">
        <v>78</v>
      </c>
      <c r="K2434" s="10" t="n">
        <v>516</v>
      </c>
      <c r="L2434" s="7" t="n">
        <v>17048</v>
      </c>
      <c r="M2434" s="8" t="n">
        <v>1083</v>
      </c>
      <c r="N2434" s="8" t="n">
        <v>1207</v>
      </c>
      <c r="O2434" s="9" t="n">
        <v>16529</v>
      </c>
      <c r="P2434" s="10" t="n">
        <v>1664</v>
      </c>
      <c r="Q2434" s="10" t="n">
        <v>1629</v>
      </c>
      <c r="R2434" s="7" t="n">
        <v>18881</v>
      </c>
      <c r="S2434" s="8" t="n">
        <v>1362</v>
      </c>
      <c r="T2434" s="8" t="n">
        <v>1936</v>
      </c>
      <c r="U2434" s="9" t="n">
        <v>16413</v>
      </c>
      <c r="V2434" s="10" t="n">
        <v>512</v>
      </c>
      <c r="W2434" s="10" t="n">
        <v>605</v>
      </c>
      <c r="X2434" s="7" t="n">
        <v>18419</v>
      </c>
      <c r="Y2434" s="8" t="n">
        <v>1634</v>
      </c>
      <c r="Z2434" s="8" t="n">
        <v>1054</v>
      </c>
      <c r="AA2434" s="9" t="n">
        <v>20516</v>
      </c>
      <c r="AB2434" s="10" t="n">
        <v>3313</v>
      </c>
      <c r="AC2434" s="10" t="n">
        <v>3071</v>
      </c>
      <c r="AD2434" s="7" t="n">
        <v>21154</v>
      </c>
      <c r="AE2434" s="8" t="n">
        <v>2613</v>
      </c>
      <c r="AF2434" s="8" t="n">
        <v>2099</v>
      </c>
      <c r="AG2434" s="9" t="n">
        <v>18709</v>
      </c>
      <c r="AH2434" s="10" t="n">
        <v>748</v>
      </c>
      <c r="AI2434" s="10" t="n">
        <v>1966</v>
      </c>
      <c r="AJ2434" s="11" t="n">
        <v>20043</v>
      </c>
      <c r="AK2434" s="12" t="n">
        <v>1786</v>
      </c>
      <c r="AL2434" s="12" t="n">
        <v>1730</v>
      </c>
      <c r="AM2434" s="13" t="n">
        <v>7.1</v>
      </c>
      <c r="AN2434" s="13" t="n">
        <v>8.800000000000001</v>
      </c>
      <c r="AO2434" s="13" t="n">
        <v>138.8</v>
      </c>
      <c r="AP2434" s="13" t="n">
        <v>9.300000000000001</v>
      </c>
    </row>
    <row r="2435">
      <c r="A2435" s="5" t="inlineStr">
        <is>
          <t>시큐레터</t>
        </is>
      </c>
      <c r="B2435" s="6" t="inlineStr">
        <is>
          <t>418250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206</v>
      </c>
      <c r="J2435" s="10" t="n">
        <v>-2958</v>
      </c>
      <c r="K2435" s="10" t="n">
        <v>-2848</v>
      </c>
      <c r="L2435" s="7" t="n">
        <v>306</v>
      </c>
      <c r="M2435" s="8" t="n">
        <v>-1296</v>
      </c>
      <c r="N2435" s="8" t="n">
        <v>-1208</v>
      </c>
      <c r="O2435" s="9" t="n">
        <v>233</v>
      </c>
      <c r="P2435" s="10" t="n">
        <v>-1596</v>
      </c>
      <c r="Q2435" s="10" t="n">
        <v>-1602</v>
      </c>
      <c r="R2435" s="7" t="n">
        <v>667</v>
      </c>
      <c r="S2435" s="8" t="n">
        <v>-1414</v>
      </c>
      <c r="T2435" s="8" t="n">
        <v>-3778</v>
      </c>
      <c r="U2435" s="9" t="n">
        <v>163</v>
      </c>
      <c r="V2435" s="10" t="n">
        <v>-1847</v>
      </c>
      <c r="W2435" s="10" t="n">
        <v>-1832</v>
      </c>
      <c r="X2435" s="7" t="n">
        <v>163</v>
      </c>
      <c r="Y2435" s="8" t="n">
        <v>-1847</v>
      </c>
      <c r="Z2435" s="8" t="n">
        <v>-1832</v>
      </c>
      <c r="AA2435" s="9" t="n">
        <v>163</v>
      </c>
      <c r="AB2435" s="10" t="n">
        <v>-735</v>
      </c>
      <c r="AC2435" s="10" t="n">
        <v>-691</v>
      </c>
      <c r="AD2435" s="7" t="n">
        <v>680</v>
      </c>
      <c r="AE2435" s="8" t="n">
        <v>142</v>
      </c>
      <c r="AF2435" s="8" t="n">
        <v>67</v>
      </c>
      <c r="AG2435" s="9" t="n">
        <v>1298</v>
      </c>
      <c r="AH2435" s="10" t="n">
        <v>-242</v>
      </c>
      <c r="AI2435" s="10" t="n">
        <v>-243</v>
      </c>
      <c r="AJ2435" s="11" t="n">
        <v>1602</v>
      </c>
      <c r="AK2435" s="12" t="n">
        <v>-618</v>
      </c>
      <c r="AL2435" s="12" t="n">
        <v>-685</v>
      </c>
      <c r="AM2435" s="13" t="n">
        <v>23.4</v>
      </c>
      <c r="AN2435" s="13" t="n">
        <v>882.8</v>
      </c>
      <c r="AO2435" s="13" t="n">
        <v>-155.4</v>
      </c>
      <c r="AP2435" s="13" t="n">
        <v>66.5</v>
      </c>
    </row>
    <row r="2436">
      <c r="A2436" s="5" t="inlineStr">
        <is>
          <t>라온텍</t>
        </is>
      </c>
      <c r="B2436" s="6" t="inlineStr">
        <is>
          <t>418420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2747</v>
      </c>
      <c r="J2436" s="10" t="n">
        <v>-646</v>
      </c>
      <c r="K2436" s="10" t="n">
        <v>-493</v>
      </c>
      <c r="L2436" s="7" t="n">
        <v>1674</v>
      </c>
      <c r="M2436" s="8" t="n">
        <v>-1705</v>
      </c>
      <c r="N2436" s="8" t="n">
        <v>-1596</v>
      </c>
      <c r="O2436" s="9" t="n">
        <v>1515</v>
      </c>
      <c r="P2436" s="10" t="n">
        <v>-2758</v>
      </c>
      <c r="Q2436" s="10" t="n">
        <v>-2801</v>
      </c>
      <c r="R2436" s="7" t="n">
        <v>2967</v>
      </c>
      <c r="S2436" s="8" t="n">
        <v>-1880</v>
      </c>
      <c r="T2436" s="8" t="n">
        <v>-1588</v>
      </c>
      <c r="U2436" s="9" t="n">
        <v>739</v>
      </c>
      <c r="V2436" s="10" t="n">
        <v>-2606</v>
      </c>
      <c r="W2436" s="10" t="n">
        <v>-2631</v>
      </c>
      <c r="X2436" s="7" t="n">
        <v>4207</v>
      </c>
      <c r="Y2436" s="8" t="n">
        <v>303</v>
      </c>
      <c r="Z2436" s="8" t="n">
        <v>138</v>
      </c>
      <c r="AA2436" s="9" t="n">
        <v>1782</v>
      </c>
      <c r="AB2436" s="10" t="n">
        <v>-1497</v>
      </c>
      <c r="AC2436" s="10" t="n">
        <v>-1626</v>
      </c>
      <c r="AD2436" s="7" t="n">
        <v>2018</v>
      </c>
      <c r="AE2436" s="8" t="n">
        <v>-2010</v>
      </c>
      <c r="AF2436" s="8" t="n">
        <v>-2432</v>
      </c>
      <c r="AG2436" s="9" t="n">
        <v>918</v>
      </c>
      <c r="AH2436" s="10" t="n">
        <v>-3319</v>
      </c>
      <c r="AI2436" s="10" t="n">
        <v>-3573</v>
      </c>
      <c r="AJ2436" s="11" t="n">
        <v>1462</v>
      </c>
      <c r="AK2436" s="12" t="n">
        <v>-2972</v>
      </c>
      <c r="AL2436" s="12" t="n">
        <v>-3272</v>
      </c>
      <c r="AM2436" s="13" t="n">
        <v>59.3</v>
      </c>
      <c r="AN2436" s="13" t="n">
        <v>-65.2</v>
      </c>
      <c r="AO2436" s="13" t="n">
        <v>10.5</v>
      </c>
      <c r="AP2436" s="13" t="n">
        <v>-1080.9</v>
      </c>
    </row>
    <row r="2437">
      <c r="A2437" s="5" t="inlineStr">
        <is>
          <t>KT밀리의서재</t>
        </is>
      </c>
      <c r="B2437" s="6" t="inlineStr">
        <is>
          <t>418470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16821</v>
      </c>
      <c r="J2437" s="10" t="n">
        <v>2869</v>
      </c>
      <c r="K2437" s="10" t="n">
        <v>2673</v>
      </c>
      <c r="L2437" s="7" t="n">
        <v>17815</v>
      </c>
      <c r="M2437" s="8" t="n">
        <v>3701</v>
      </c>
      <c r="N2437" s="8" t="n">
        <v>4012</v>
      </c>
      <c r="O2437" s="9" t="n">
        <v>18486</v>
      </c>
      <c r="P2437" s="10" t="n">
        <v>3137</v>
      </c>
      <c r="Q2437" s="10" t="n">
        <v>3126</v>
      </c>
      <c r="R2437" s="7" t="n">
        <v>19477</v>
      </c>
      <c r="S2437" s="8" t="n">
        <v>1294</v>
      </c>
      <c r="T2437" s="8" t="n">
        <v>1692</v>
      </c>
      <c r="U2437" s="9" t="n">
        <v>20003</v>
      </c>
      <c r="V2437" s="10" t="n">
        <v>3719</v>
      </c>
      <c r="W2437" s="10" t="n">
        <v>3258</v>
      </c>
      <c r="X2437" s="7" t="n">
        <v>20691</v>
      </c>
      <c r="Y2437" s="8" t="n">
        <v>4741</v>
      </c>
      <c r="Z2437" s="8" t="n">
        <v>3894</v>
      </c>
      <c r="AA2437" s="9" t="n">
        <v>22792</v>
      </c>
      <c r="AB2437" s="10" t="n">
        <v>4284</v>
      </c>
      <c r="AC2437" s="10" t="n">
        <v>2984</v>
      </c>
      <c r="AD2437" s="7" t="n">
        <v>24704</v>
      </c>
      <c r="AE2437" s="8" t="n">
        <v>1627</v>
      </c>
      <c r="AF2437" s="8" t="n">
        <v>5626</v>
      </c>
      <c r="AG2437" s="9" t="n">
        <v>23932</v>
      </c>
      <c r="AH2437" s="10" t="n">
        <v>3901</v>
      </c>
      <c r="AI2437" s="10" t="n">
        <v>3914</v>
      </c>
      <c r="AJ2437" s="11" t="n">
        <v>23846</v>
      </c>
      <c r="AK2437" s="12" t="n">
        <v>3392</v>
      </c>
      <c r="AL2437" s="12" t="n">
        <v>2718</v>
      </c>
      <c r="AM2437" s="13" t="n">
        <v>-0.4</v>
      </c>
      <c r="AN2437" s="13" t="n">
        <v>15.2</v>
      </c>
      <c r="AO2437" s="13" t="n">
        <v>-13</v>
      </c>
      <c r="AP2437" s="13" t="n">
        <v>-28.5</v>
      </c>
    </row>
    <row r="2438">
      <c r="A2438" s="5" t="inlineStr">
        <is>
          <t>제이오</t>
        </is>
      </c>
      <c r="B2438" s="6" t="inlineStr">
        <is>
          <t>418550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27339</v>
      </c>
      <c r="J2438" s="10" t="n">
        <v>1210</v>
      </c>
      <c r="K2438" s="10" t="n">
        <v>1578</v>
      </c>
      <c r="L2438" s="7" t="n">
        <v>20430</v>
      </c>
      <c r="M2438" s="8" t="n">
        <v>439</v>
      </c>
      <c r="N2438" s="8" t="n">
        <v>262</v>
      </c>
      <c r="O2438" s="9" t="n">
        <v>20318</v>
      </c>
      <c r="P2438" s="10" t="n">
        <v>-675</v>
      </c>
      <c r="Q2438" s="10" t="n">
        <v>-952</v>
      </c>
      <c r="R2438" s="7" t="n">
        <v>14787</v>
      </c>
      <c r="S2438" s="8" t="n">
        <v>-6431</v>
      </c>
      <c r="T2438" s="8" t="n">
        <v>-9762</v>
      </c>
      <c r="U2438" s="9" t="n">
        <v>10996</v>
      </c>
      <c r="V2438" s="10" t="n">
        <v>170</v>
      </c>
      <c r="W2438" s="10" t="n">
        <v>392</v>
      </c>
      <c r="X2438" s="7" t="n">
        <v>18949</v>
      </c>
      <c r="Y2438" s="8" t="n">
        <v>52</v>
      </c>
      <c r="Z2438" s="8" t="n">
        <v>-4110</v>
      </c>
      <c r="AA2438" s="9" t="n">
        <v>15858</v>
      </c>
      <c r="AB2438" s="10" t="n">
        <v>-661</v>
      </c>
      <c r="AC2438" s="10" t="n">
        <v>-174</v>
      </c>
      <c r="AD2438" s="7" t="n">
        <v>9371</v>
      </c>
      <c r="AE2438" s="8" t="n">
        <v>-3793</v>
      </c>
      <c r="AF2438" s="8" t="n">
        <v>-3552</v>
      </c>
      <c r="AG2438" s="9" t="n">
        <v>7172</v>
      </c>
      <c r="AH2438" s="10" t="n">
        <v>-1962</v>
      </c>
      <c r="AI2438" s="10" t="n">
        <v>-394</v>
      </c>
      <c r="AJ2438" s="11" t="n">
        <v>8935</v>
      </c>
      <c r="AK2438" s="12" t="n">
        <v>-1552</v>
      </c>
      <c r="AL2438" s="12" t="n">
        <v>-2476</v>
      </c>
      <c r="AM2438" s="13" t="n">
        <v>24.6</v>
      </c>
      <c r="AN2438" s="13" t="n">
        <v>-52.8</v>
      </c>
      <c r="AO2438" s="13" t="n">
        <v>20.9</v>
      </c>
      <c r="AP2438" s="13" t="n">
        <v>-3084.6</v>
      </c>
    </row>
    <row r="2439">
      <c r="A2439" s="5" t="inlineStr">
        <is>
          <t>E8</t>
        </is>
      </c>
      <c r="B2439" s="6" t="inlineStr">
        <is>
          <t>418620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424</v>
      </c>
      <c r="J2439" s="10" t="n">
        <v>-3623</v>
      </c>
      <c r="K2439" s="10" t="n">
        <v>-4378</v>
      </c>
      <c r="L2439" s="7" t="n">
        <v>488</v>
      </c>
      <c r="M2439" s="8" t="n">
        <v>-1822</v>
      </c>
      <c r="N2439" s="8" t="n">
        <v>-3251</v>
      </c>
      <c r="O2439" s="9" t="n">
        <v>711</v>
      </c>
      <c r="P2439" s="10" t="n">
        <v>-2422</v>
      </c>
      <c r="Q2439" s="10" t="n">
        <v>-2168</v>
      </c>
      <c r="R2439" s="7" t="n">
        <v>662</v>
      </c>
      <c r="S2439" s="8" t="n">
        <v>-2732</v>
      </c>
      <c r="T2439" s="8" t="n">
        <v>-976</v>
      </c>
      <c r="U2439" s="9" t="n">
        <v>731</v>
      </c>
      <c r="V2439" s="10" t="n">
        <v>-3082</v>
      </c>
      <c r="W2439" s="10" t="n">
        <v>-3197</v>
      </c>
      <c r="X2439" s="7" t="n">
        <v>202</v>
      </c>
      <c r="Y2439" s="8" t="n">
        <v>-2475</v>
      </c>
      <c r="Z2439" s="8" t="n">
        <v>-2567</v>
      </c>
      <c r="AA2439" s="9" t="n">
        <v>443</v>
      </c>
      <c r="AB2439" s="10" t="n">
        <v>-2441</v>
      </c>
      <c r="AC2439" s="10" t="n">
        <v>-2617</v>
      </c>
      <c r="AD2439" s="7" t="n">
        <v>279</v>
      </c>
      <c r="AE2439" s="8" t="n">
        <v>-3248</v>
      </c>
      <c r="AF2439" s="8" t="n">
        <v>-3046</v>
      </c>
      <c r="AG2439" s="9" t="n">
        <v>367</v>
      </c>
      <c r="AH2439" s="10" t="n">
        <v>-2657</v>
      </c>
      <c r="AI2439" s="10" t="n">
        <v>-2779</v>
      </c>
      <c r="AJ2439" s="11" t="n">
        <v>793</v>
      </c>
      <c r="AK2439" s="12" t="n">
        <v>-2521</v>
      </c>
      <c r="AL2439" s="12" t="n">
        <v>-2606</v>
      </c>
      <c r="AM2439" s="13" t="n">
        <v>116.1</v>
      </c>
      <c r="AN2439" s="13" t="n">
        <v>292.6</v>
      </c>
      <c r="AO2439" s="13" t="n">
        <v>5.1</v>
      </c>
      <c r="AP2439" s="13" t="n">
        <v>-1.9</v>
      </c>
    </row>
    <row r="2440">
      <c r="A2440" s="5" t="inlineStr">
        <is>
          <t>삼기에너지솔루션즈</t>
        </is>
      </c>
      <c r="B2440" s="6" t="inlineStr">
        <is>
          <t>419050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19404</v>
      </c>
      <c r="J2440" s="10" t="n">
        <v>-1538</v>
      </c>
      <c r="K2440" s="10" t="n">
        <v>-611</v>
      </c>
      <c r="L2440" s="7" t="n">
        <v>19242</v>
      </c>
      <c r="M2440" s="8" t="n">
        <v>-3645</v>
      </c>
      <c r="N2440" s="8" t="n">
        <v>136</v>
      </c>
      <c r="O2440" s="9" t="n">
        <v>29583</v>
      </c>
      <c r="P2440" s="10" t="n">
        <v>-511</v>
      </c>
      <c r="Q2440" s="10" t="n">
        <v>-4866</v>
      </c>
      <c r="R2440" s="7" t="n">
        <v>30478</v>
      </c>
      <c r="S2440" s="8" t="n">
        <v>-568</v>
      </c>
      <c r="T2440" s="8" t="n">
        <v>531</v>
      </c>
      <c r="U2440" s="9" t="n">
        <v>29548</v>
      </c>
      <c r="V2440" s="10" t="n">
        <v>2082</v>
      </c>
      <c r="W2440" s="10" t="n">
        <v>-560</v>
      </c>
      <c r="X2440" s="7" t="n">
        <v>35844</v>
      </c>
      <c r="Y2440" s="8" t="n">
        <v>3566</v>
      </c>
      <c r="Z2440" s="8" t="n">
        <v>1098</v>
      </c>
      <c r="AA2440" s="9" t="n">
        <v>39242</v>
      </c>
      <c r="AB2440" s="10" t="n">
        <v>2877</v>
      </c>
      <c r="AC2440" s="10" t="n">
        <v>721</v>
      </c>
      <c r="AD2440" s="7" t="n">
        <v>39595</v>
      </c>
      <c r="AE2440" s="8" t="n">
        <v>-3092</v>
      </c>
      <c r="AF2440" s="8" t="n">
        <v>-12332</v>
      </c>
      <c r="AG2440" s="9" t="n">
        <v>48944</v>
      </c>
      <c r="AH2440" s="10" t="n">
        <v>1141</v>
      </c>
      <c r="AI2440" s="10" t="n">
        <v>467</v>
      </c>
      <c r="AJ2440" s="11" t="n">
        <v>64308</v>
      </c>
      <c r="AK2440" s="12" t="n">
        <v>3807</v>
      </c>
      <c r="AL2440" s="12" t="n">
        <v>4716</v>
      </c>
      <c r="AM2440" s="13" t="n">
        <v>31.4</v>
      </c>
      <c r="AN2440" s="13" t="n">
        <v>79.40000000000001</v>
      </c>
      <c r="AO2440" s="13" t="n">
        <v>233.7</v>
      </c>
      <c r="AP2440" s="13" t="n">
        <v>6.8</v>
      </c>
    </row>
    <row r="2441">
      <c r="A2441" s="5" t="inlineStr">
        <is>
          <t>엔젯</t>
        </is>
      </c>
      <c r="B2441" s="6" t="inlineStr">
        <is>
          <t>419080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2004</v>
      </c>
      <c r="J2441" s="10" t="n">
        <v>-1206</v>
      </c>
      <c r="K2441" s="10" t="n">
        <v>498</v>
      </c>
      <c r="L2441" s="7" t="n">
        <v>1834</v>
      </c>
      <c r="M2441" s="8" t="n">
        <v>-1594</v>
      </c>
      <c r="N2441" s="8" t="n">
        <v>-1077</v>
      </c>
      <c r="O2441" s="9" t="n">
        <v>1988</v>
      </c>
      <c r="P2441" s="10" t="n">
        <v>-1214</v>
      </c>
      <c r="Q2441" s="10" t="n">
        <v>-1247</v>
      </c>
      <c r="R2441" s="7" t="n">
        <v>434</v>
      </c>
      <c r="S2441" s="8" t="n">
        <v>-2520</v>
      </c>
      <c r="T2441" s="8" t="n">
        <v>-1653</v>
      </c>
      <c r="U2441" s="9" t="n">
        <v>2069</v>
      </c>
      <c r="V2441" s="10" t="n">
        <v>-1239</v>
      </c>
      <c r="W2441" s="10" t="n">
        <v>-1013</v>
      </c>
      <c r="X2441" s="7" t="n">
        <v>1932</v>
      </c>
      <c r="Y2441" s="8" t="n">
        <v>-1344</v>
      </c>
      <c r="Z2441" s="8" t="n">
        <v>-2497</v>
      </c>
      <c r="AA2441" s="9" t="n">
        <v>882</v>
      </c>
      <c r="AB2441" s="10" t="n">
        <v>-1928</v>
      </c>
      <c r="AC2441" s="10" t="n">
        <v>-1615</v>
      </c>
      <c r="AD2441" s="7" t="n">
        <v>532</v>
      </c>
      <c r="AE2441" s="8" t="n">
        <v>-1769</v>
      </c>
      <c r="AF2441" s="8" t="n">
        <v>-2038</v>
      </c>
      <c r="AG2441" s="9" t="n">
        <v>4365</v>
      </c>
      <c r="AH2441" s="10" t="n">
        <v>-1361</v>
      </c>
      <c r="AI2441" s="10" t="n">
        <v>-1117</v>
      </c>
      <c r="AJ2441" s="11" t="n">
        <v>4074</v>
      </c>
      <c r="AK2441" s="12" t="n">
        <v>107</v>
      </c>
      <c r="AL2441" s="12" t="n">
        <v>-1204</v>
      </c>
      <c r="AM2441" s="13" t="n">
        <v>-6.7</v>
      </c>
      <c r="AN2441" s="13" t="n">
        <v>110.9</v>
      </c>
      <c r="AO2441" s="13" t="n">
        <v>107.9</v>
      </c>
      <c r="AP2441" s="13" t="n">
        <v>108</v>
      </c>
    </row>
    <row r="2442">
      <c r="A2442" s="5" t="inlineStr">
        <is>
          <t>산돌</t>
        </is>
      </c>
      <c r="B2442" s="6" t="inlineStr">
        <is>
          <t>419120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3239</v>
      </c>
      <c r="J2442" s="10" t="n">
        <v>114</v>
      </c>
      <c r="K2442" s="10" t="n">
        <v>566</v>
      </c>
      <c r="L2442" s="7" t="n">
        <v>3482</v>
      </c>
      <c r="M2442" s="8" t="n">
        <v>347</v>
      </c>
      <c r="N2442" s="8" t="n">
        <v>309</v>
      </c>
      <c r="O2442" s="9" t="n">
        <v>4529</v>
      </c>
      <c r="P2442" s="10" t="n">
        <v>1074</v>
      </c>
      <c r="Q2442" s="10" t="n">
        <v>603</v>
      </c>
      <c r="R2442" s="7" t="n">
        <v>4499</v>
      </c>
      <c r="S2442" s="8" t="n">
        <v>1327</v>
      </c>
      <c r="T2442" s="8" t="n">
        <v>3532</v>
      </c>
      <c r="U2442" s="9" t="n">
        <v>5168</v>
      </c>
      <c r="V2442" s="10" t="n">
        <v>1830</v>
      </c>
      <c r="W2442" s="10" t="n">
        <v>1565</v>
      </c>
      <c r="X2442" s="7" t="n">
        <v>4932</v>
      </c>
      <c r="Y2442" s="8" t="n">
        <v>1063</v>
      </c>
      <c r="Z2442" s="8" t="n">
        <v>1236</v>
      </c>
      <c r="AA2442" s="9" t="n">
        <v>4818</v>
      </c>
      <c r="AB2442" s="10" t="n">
        <v>335</v>
      </c>
      <c r="AC2442" s="10" t="n">
        <v>1139</v>
      </c>
      <c r="AD2442" s="7" t="n">
        <v>5050</v>
      </c>
      <c r="AE2442" s="8" t="n">
        <v>1227</v>
      </c>
      <c r="AF2442" s="8" t="n">
        <v>-298</v>
      </c>
      <c r="AG2442" s="9" t="n">
        <v>5286</v>
      </c>
      <c r="AH2442" s="10" t="n">
        <v>1703</v>
      </c>
      <c r="AI2442" s="10" t="n">
        <v>745</v>
      </c>
      <c r="AJ2442" s="11" t="n">
        <v>4924</v>
      </c>
      <c r="AK2442" s="12" t="n">
        <v>1178</v>
      </c>
      <c r="AL2442" s="12" t="n">
        <v>610</v>
      </c>
      <c r="AM2442" s="13" t="n">
        <v>-6.8</v>
      </c>
      <c r="AN2442" s="13" t="n">
        <v>-0.2</v>
      </c>
      <c r="AO2442" s="13" t="n">
        <v>-30.8</v>
      </c>
      <c r="AP2442" s="13" t="n">
        <v>10.8</v>
      </c>
    </row>
    <row r="2443">
      <c r="A2443" s="5" t="inlineStr">
        <is>
          <t>SAMG엔터</t>
        </is>
      </c>
      <c r="B2443" s="6" t="inlineStr">
        <is>
          <t>419530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25310</v>
      </c>
      <c r="J2443" s="10" t="n">
        <v>-5906</v>
      </c>
      <c r="K2443" s="10" t="n">
        <v>-6549</v>
      </c>
      <c r="L2443" s="7" t="n">
        <v>24295</v>
      </c>
      <c r="M2443" s="8" t="n">
        <v>-3739</v>
      </c>
      <c r="N2443" s="8" t="n">
        <v>-9798</v>
      </c>
      <c r="O2443" s="9" t="n">
        <v>24952</v>
      </c>
      <c r="P2443" s="10" t="n">
        <v>-5492</v>
      </c>
      <c r="Q2443" s="10" t="n">
        <v>-6896</v>
      </c>
      <c r="R2443" s="7" t="n">
        <v>41881</v>
      </c>
      <c r="S2443" s="8" t="n">
        <v>9028</v>
      </c>
      <c r="T2443" s="8" t="n">
        <v>3865</v>
      </c>
      <c r="U2443" s="9" t="n">
        <v>35698</v>
      </c>
      <c r="V2443" s="10" t="n">
        <v>6286</v>
      </c>
      <c r="W2443" s="10" t="n">
        <v>5669</v>
      </c>
      <c r="X2443" s="7" t="n">
        <v>35451</v>
      </c>
      <c r="Y2443" s="8" t="n">
        <v>5353</v>
      </c>
      <c r="Z2443" s="8" t="n">
        <v>25550</v>
      </c>
      <c r="AA2443" s="9" t="n">
        <v>21693</v>
      </c>
      <c r="AB2443" s="10" t="n">
        <v>-727</v>
      </c>
      <c r="AC2443" s="10" t="n">
        <v>-1014</v>
      </c>
      <c r="AD2443" s="7" t="n">
        <v>48410</v>
      </c>
      <c r="AE2443" s="8" t="n">
        <v>11721</v>
      </c>
      <c r="AF2443" s="8" t="n">
        <v>-65</v>
      </c>
      <c r="AG2443" s="9" t="n">
        <v>37660</v>
      </c>
      <c r="AH2443" s="10" t="n">
        <v>3884</v>
      </c>
      <c r="AI2443" s="10" t="n">
        <v>4613</v>
      </c>
      <c r="AJ2443" s="11" t="n">
        <v>37458</v>
      </c>
      <c r="AK2443" s="12" t="n">
        <v>2070</v>
      </c>
      <c r="AL2443" s="12" t="n">
        <v>-350</v>
      </c>
      <c r="AM2443" s="13" t="n">
        <v>-0.5</v>
      </c>
      <c r="AN2443" s="13" t="n">
        <v>5.7</v>
      </c>
      <c r="AO2443" s="13" t="n">
        <v>-46.7</v>
      </c>
      <c r="AP2443" s="13" t="n">
        <v>-61.3</v>
      </c>
    </row>
    <row r="2444">
      <c r="A2444" s="5" t="inlineStr">
        <is>
          <t>비스토스</t>
        </is>
      </c>
      <c r="B2444" s="6" t="inlineStr">
        <is>
          <t>419540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5816</v>
      </c>
      <c r="J2444" s="10" t="n">
        <v>265</v>
      </c>
      <c r="K2444" s="10" t="n">
        <v>587</v>
      </c>
      <c r="L2444" s="7" t="n">
        <v>4359</v>
      </c>
      <c r="M2444" s="8" t="n">
        <v>-11</v>
      </c>
      <c r="N2444" s="8" t="n">
        <v>98</v>
      </c>
      <c r="O2444" s="9" t="n">
        <v>3207</v>
      </c>
      <c r="P2444" s="10" t="n">
        <v>-625</v>
      </c>
      <c r="Q2444" s="10" t="n">
        <v>-578</v>
      </c>
      <c r="R2444" s="7" t="n">
        <v>6873</v>
      </c>
      <c r="S2444" s="8" t="n">
        <v>682</v>
      </c>
      <c r="T2444" s="8" t="n">
        <v>741</v>
      </c>
      <c r="U2444" s="9" t="n">
        <v>3712</v>
      </c>
      <c r="V2444" s="10" t="n">
        <v>-578</v>
      </c>
      <c r="W2444" s="10" t="n">
        <v>-546</v>
      </c>
      <c r="X2444" s="7" t="n">
        <v>4479</v>
      </c>
      <c r="Y2444" s="8" t="n">
        <v>7</v>
      </c>
      <c r="Z2444" s="8" t="n">
        <v>18</v>
      </c>
      <c r="AA2444" s="9" t="n">
        <v>4308</v>
      </c>
      <c r="AB2444" s="10" t="n">
        <v>-459</v>
      </c>
      <c r="AC2444" s="10" t="n">
        <v>-477</v>
      </c>
      <c r="AD2444" s="7" t="n">
        <v>4601</v>
      </c>
      <c r="AE2444" s="8" t="n">
        <v>-66</v>
      </c>
      <c r="AF2444" s="8" t="n">
        <v>306</v>
      </c>
      <c r="AG2444" s="9" t="n">
        <v>2972</v>
      </c>
      <c r="AH2444" s="10" t="n">
        <v>-391</v>
      </c>
      <c r="AI2444" s="10" t="n">
        <v>-301</v>
      </c>
      <c r="AJ2444" s="11" t="n">
        <v>4196</v>
      </c>
      <c r="AK2444" s="12" t="n">
        <v>-856</v>
      </c>
      <c r="AL2444" s="12" t="n">
        <v>-536</v>
      </c>
      <c r="AM2444" s="13" t="n">
        <v>41.2</v>
      </c>
      <c r="AN2444" s="13" t="n">
        <v>-6.3</v>
      </c>
      <c r="AO2444" s="13" t="n">
        <v>-118.9</v>
      </c>
      <c r="AP2444" s="13" t="n">
        <v>-12328.6</v>
      </c>
    </row>
    <row r="2445">
      <c r="A2445" s="5" t="inlineStr">
        <is>
          <t>제이투케이바이오</t>
        </is>
      </c>
      <c r="B2445" s="6" t="inlineStr">
        <is>
          <t>420570</t>
        </is>
      </c>
      <c r="C2445" s="6" t="inlineStr">
        <is>
          <t>연결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7809</v>
      </c>
      <c r="J2445" s="10" t="n">
        <v>843</v>
      </c>
      <c r="K2445" s="10" t="n">
        <v>-4323</v>
      </c>
      <c r="L2445" s="7" t="n">
        <v>12043</v>
      </c>
      <c r="M2445" s="8" t="n">
        <v>2904</v>
      </c>
      <c r="N2445" s="8" t="n">
        <v>2612</v>
      </c>
      <c r="O2445" s="9" t="n">
        <v>6513</v>
      </c>
      <c r="P2445" s="10" t="n">
        <v>-133</v>
      </c>
      <c r="Q2445" s="10" t="n">
        <v>-250</v>
      </c>
      <c r="R2445" s="7" t="n">
        <v>6764</v>
      </c>
      <c r="S2445" s="8" t="n">
        <v>12</v>
      </c>
      <c r="T2445" s="8" t="n">
        <v>290</v>
      </c>
      <c r="U2445" s="9" t="n">
        <v>7268</v>
      </c>
      <c r="V2445" s="10" t="n">
        <v>332</v>
      </c>
      <c r="W2445" s="10" t="n">
        <v>239</v>
      </c>
      <c r="X2445" s="7" t="n">
        <v>8529</v>
      </c>
      <c r="Y2445" s="8" t="n">
        <v>698</v>
      </c>
      <c r="Z2445" s="8" t="n">
        <v>883</v>
      </c>
      <c r="AA2445" s="9" t="n">
        <v>8563</v>
      </c>
      <c r="AB2445" s="10" t="n">
        <v>1249</v>
      </c>
      <c r="AC2445" s="10" t="n">
        <v>838</v>
      </c>
      <c r="AD2445" s="7" t="n">
        <v>8606</v>
      </c>
      <c r="AE2445" s="8" t="n">
        <v>641</v>
      </c>
      <c r="AF2445" s="8" t="n">
        <v>713</v>
      </c>
      <c r="AG2445" s="9" t="n">
        <v>11126</v>
      </c>
      <c r="AH2445" s="10" t="n">
        <v>1915</v>
      </c>
      <c r="AI2445" s="10" t="n">
        <v>1595</v>
      </c>
      <c r="AJ2445" s="11" t="n">
        <v>15605</v>
      </c>
      <c r="AK2445" s="12" t="n">
        <v>2693</v>
      </c>
      <c r="AL2445" s="12" t="n">
        <v>2666</v>
      </c>
      <c r="AM2445" s="13" t="n">
        <v>40.3</v>
      </c>
      <c r="AN2445" s="13" t="n">
        <v>83</v>
      </c>
      <c r="AO2445" s="13" t="n">
        <v>40.6</v>
      </c>
      <c r="AP2445" s="13" t="n">
        <v>285.8</v>
      </c>
    </row>
    <row r="2446">
      <c r="A2446" s="5" t="inlineStr">
        <is>
          <t>기가비스</t>
        </is>
      </c>
      <c r="B2446" s="6" t="inlineStr">
        <is>
          <t>420770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6241</v>
      </c>
      <c r="J2446" s="10" t="n">
        <v>-885</v>
      </c>
      <c r="K2446" s="10" t="n">
        <v>231</v>
      </c>
      <c r="L2446" s="7" t="n">
        <v>9037</v>
      </c>
      <c r="M2446" s="8" t="n">
        <v>347</v>
      </c>
      <c r="N2446" s="8" t="n">
        <v>925</v>
      </c>
      <c r="O2446" s="9" t="n">
        <v>3988</v>
      </c>
      <c r="P2446" s="10" t="n">
        <v>-314</v>
      </c>
      <c r="Q2446" s="10" t="n">
        <v>1344</v>
      </c>
      <c r="R2446" s="7" t="n">
        <v>6867</v>
      </c>
      <c r="S2446" s="8" t="n">
        <v>-935</v>
      </c>
      <c r="T2446" s="8" t="n">
        <v>912</v>
      </c>
      <c r="U2446" s="9" t="n">
        <v>4608</v>
      </c>
      <c r="V2446" s="10" t="n">
        <v>-1928</v>
      </c>
      <c r="W2446" s="10" t="n">
        <v>-293</v>
      </c>
      <c r="X2446" s="7" t="n">
        <v>8894</v>
      </c>
      <c r="Y2446" s="8" t="n">
        <v>2034</v>
      </c>
      <c r="Z2446" s="8" t="n">
        <v>1394</v>
      </c>
      <c r="AA2446" s="9" t="n">
        <v>7226</v>
      </c>
      <c r="AB2446" s="10" t="n">
        <v>866</v>
      </c>
      <c r="AC2446" s="10" t="n">
        <v>2067</v>
      </c>
      <c r="AD2446" s="7" t="n">
        <v>31707</v>
      </c>
      <c r="AE2446" s="8" t="n">
        <v>11129</v>
      </c>
      <c r="AF2446" s="8" t="n">
        <v>12284</v>
      </c>
      <c r="AG2446" s="9" t="n">
        <v>5988</v>
      </c>
      <c r="AH2446" s="10" t="n">
        <v>-971</v>
      </c>
      <c r="AI2446" s="10" t="n">
        <v>636</v>
      </c>
      <c r="AJ2446" s="11" t="n">
        <v>22307</v>
      </c>
      <c r="AK2446" s="12" t="n">
        <v>6611</v>
      </c>
      <c r="AL2446" s="12" t="n">
        <v>5997</v>
      </c>
      <c r="AM2446" s="13" t="n">
        <v>272.5</v>
      </c>
      <c r="AN2446" s="13" t="n">
        <v>150.8</v>
      </c>
      <c r="AO2446" s="13" t="n">
        <v>780.8</v>
      </c>
      <c r="AP2446" s="13" t="n">
        <v>225</v>
      </c>
    </row>
    <row r="2447">
      <c r="A2447" s="5" t="inlineStr">
        <is>
          <t>벨로크</t>
        </is>
      </c>
      <c r="B2447" s="6" t="inlineStr">
        <is>
          <t>424760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3178</v>
      </c>
      <c r="J2447" s="10" t="n">
        <v>-1204</v>
      </c>
      <c r="K2447" s="10" t="n">
        <v>-1064</v>
      </c>
      <c r="L2447" s="7" t="n">
        <v>5171</v>
      </c>
      <c r="M2447" s="8" t="n">
        <v>-800</v>
      </c>
      <c r="N2447" s="8" t="n">
        <v>-25</v>
      </c>
      <c r="O2447" s="9" t="n">
        <v>8431</v>
      </c>
      <c r="P2447" s="10" t="n">
        <v>-523</v>
      </c>
      <c r="Q2447" s="10" t="n">
        <v>-400</v>
      </c>
      <c r="R2447" s="7" t="n">
        <v>14087</v>
      </c>
      <c r="S2447" s="8" t="n">
        <v>562</v>
      </c>
      <c r="T2447" s="8" t="n">
        <v>298</v>
      </c>
      <c r="U2447" s="9" t="n">
        <v>3579</v>
      </c>
      <c r="V2447" s="10" t="n">
        <v>-955</v>
      </c>
      <c r="W2447" s="10" t="n">
        <v>-915</v>
      </c>
      <c r="X2447" s="7" t="n">
        <v>9570</v>
      </c>
      <c r="Y2447" s="8" t="n">
        <v>392</v>
      </c>
      <c r="Z2447" s="8" t="n">
        <v>1373</v>
      </c>
      <c r="AA2447" s="9" t="n">
        <v>7256</v>
      </c>
      <c r="AB2447" s="10" t="n">
        <v>-742</v>
      </c>
      <c r="AC2447" s="10" t="n">
        <v>-304</v>
      </c>
      <c r="AD2447" s="7" t="n">
        <v>14977</v>
      </c>
      <c r="AE2447" s="8" t="n">
        <v>2182</v>
      </c>
      <c r="AF2447" s="8" t="n">
        <v>1971</v>
      </c>
      <c r="AG2447" s="9" t="n">
        <v>3922</v>
      </c>
      <c r="AH2447" s="10" t="n">
        <v>-1304</v>
      </c>
      <c r="AI2447" s="10" t="n">
        <v>-1332</v>
      </c>
      <c r="AJ2447" s="11" t="n">
        <v>6130</v>
      </c>
      <c r="AK2447" s="12" t="n">
        <v>-130</v>
      </c>
      <c r="AL2447" s="12" t="n">
        <v>1242</v>
      </c>
      <c r="AM2447" s="13" t="n">
        <v>56.3</v>
      </c>
      <c r="AN2447" s="13" t="n">
        <v>-35.9</v>
      </c>
      <c r="AO2447" s="13" t="n">
        <v>90</v>
      </c>
      <c r="AP2447" s="13" t="n">
        <v>-133.2</v>
      </c>
    </row>
    <row r="2448">
      <c r="A2448" s="5" t="inlineStr">
        <is>
          <t>이뮨온시아</t>
        </is>
      </c>
      <c r="B2448" s="6" t="inlineStr">
        <is>
          <t>424870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inlineStr"/>
      <c r="J2448" s="10" t="inlineStr"/>
      <c r="K2448" s="10" t="inlineStr"/>
      <c r="L2448" s="7" t="inlineStr"/>
      <c r="M2448" s="8" t="inlineStr"/>
      <c r="N2448" s="8" t="inlineStr"/>
      <c r="O2448" s="9" t="inlineStr"/>
      <c r="P2448" s="10" t="inlineStr"/>
      <c r="Q2448" s="10" t="inlineStr"/>
      <c r="R2448" s="7" t="inlineStr"/>
      <c r="S2448" s="8" t="inlineStr"/>
      <c r="T2448" s="8" t="inlineStr"/>
      <c r="U2448" s="9" t="inlineStr"/>
      <c r="V2448" s="10" t="inlineStr"/>
      <c r="W2448" s="10" t="inlineStr"/>
      <c r="X2448" s="7" t="n">
        <v>59</v>
      </c>
      <c r="Y2448" s="8" t="n">
        <v>-3323</v>
      </c>
      <c r="Z2448" s="8" t="n">
        <v>-3072</v>
      </c>
      <c r="AA2448" s="9" t="inlineStr"/>
      <c r="AB2448" s="10" t="n">
        <v>-10596</v>
      </c>
      <c r="AC2448" s="10" t="n">
        <v>-10371</v>
      </c>
      <c r="AD2448" s="7" t="inlineStr"/>
      <c r="AE2448" s="8" t="inlineStr"/>
      <c r="AF2448" s="8" t="inlineStr"/>
      <c r="AG2448" s="9" t="n">
        <v>0</v>
      </c>
      <c r="AH2448" s="10" t="n">
        <v>-5751</v>
      </c>
      <c r="AI2448" s="10" t="n">
        <v>-5618</v>
      </c>
      <c r="AJ2448" s="11" t="n">
        <v>0</v>
      </c>
      <c r="AK2448" s="12" t="n">
        <v>-4274</v>
      </c>
      <c r="AL2448" s="12" t="n">
        <v>-3902</v>
      </c>
      <c r="AM2448" s="13" t="inlineStr"/>
      <c r="AN2448" s="13" t="n">
        <v>-100</v>
      </c>
      <c r="AO2448" s="13" t="n">
        <v>25.7</v>
      </c>
      <c r="AP2448" s="13" t="n">
        <v>-28.6</v>
      </c>
    </row>
    <row r="2449">
      <c r="A2449" s="5" t="inlineStr">
        <is>
          <t>스마트레이더시스템</t>
        </is>
      </c>
      <c r="B2449" s="6" t="inlineStr">
        <is>
          <t>424960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1974</v>
      </c>
      <c r="J2449" s="10" t="n">
        <v>-2004</v>
      </c>
      <c r="K2449" s="10" t="n">
        <v>-1828</v>
      </c>
      <c r="L2449" s="7" t="n">
        <v>911</v>
      </c>
      <c r="M2449" s="8" t="n">
        <v>-1602</v>
      </c>
      <c r="N2449" s="8" t="n">
        <v>93</v>
      </c>
      <c r="O2449" s="9" t="n">
        <v>946</v>
      </c>
      <c r="P2449" s="10" t="n">
        <v>-1443</v>
      </c>
      <c r="Q2449" s="10" t="n">
        <v>-1574</v>
      </c>
      <c r="R2449" s="7" t="n">
        <v>906</v>
      </c>
      <c r="S2449" s="8" t="n">
        <v>-1707</v>
      </c>
      <c r="T2449" s="8" t="n">
        <v>-3150</v>
      </c>
      <c r="U2449" s="9" t="n">
        <v>2045</v>
      </c>
      <c r="V2449" s="10" t="n">
        <v>-2467</v>
      </c>
      <c r="W2449" s="10" t="n">
        <v>-2604</v>
      </c>
      <c r="X2449" s="7" t="n">
        <v>2615</v>
      </c>
      <c r="Y2449" s="8" t="n">
        <v>-1236</v>
      </c>
      <c r="Z2449" s="8" t="n">
        <v>1161</v>
      </c>
      <c r="AA2449" s="9" t="n">
        <v>1826</v>
      </c>
      <c r="AB2449" s="10" t="n">
        <v>-964</v>
      </c>
      <c r="AC2449" s="10" t="n">
        <v>-1227</v>
      </c>
      <c r="AD2449" s="7" t="n">
        <v>2911</v>
      </c>
      <c r="AE2449" s="8" t="n">
        <v>-603</v>
      </c>
      <c r="AF2449" s="8" t="n">
        <v>-297</v>
      </c>
      <c r="AG2449" s="9" t="n">
        <v>1464</v>
      </c>
      <c r="AH2449" s="10" t="n">
        <v>-1474</v>
      </c>
      <c r="AI2449" s="10" t="n">
        <v>-1738</v>
      </c>
      <c r="AJ2449" s="11" t="n">
        <v>1944</v>
      </c>
      <c r="AK2449" s="12" t="n">
        <v>-1798</v>
      </c>
      <c r="AL2449" s="12" t="n">
        <v>-5116</v>
      </c>
      <c r="AM2449" s="13" t="n">
        <v>32.8</v>
      </c>
      <c r="AN2449" s="13" t="n">
        <v>-25.7</v>
      </c>
      <c r="AO2449" s="13" t="n">
        <v>-22</v>
      </c>
      <c r="AP2449" s="13" t="n">
        <v>-45.5</v>
      </c>
    </row>
    <row r="2450">
      <c r="A2450" s="5" t="inlineStr">
        <is>
          <t>마이크로투나노</t>
        </is>
      </c>
      <c r="B2450" s="6" t="inlineStr">
        <is>
          <t>424980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625</v>
      </c>
      <c r="J2450" s="10" t="n">
        <v>-2946</v>
      </c>
      <c r="K2450" s="10" t="n">
        <v>-2243</v>
      </c>
      <c r="L2450" s="7" t="n">
        <v>2161</v>
      </c>
      <c r="M2450" s="8" t="n">
        <v>-3442</v>
      </c>
      <c r="N2450" s="8" t="n">
        <v>-3475</v>
      </c>
      <c r="O2450" s="9" t="n">
        <v>3110</v>
      </c>
      <c r="P2450" s="10" t="n">
        <v>-1204</v>
      </c>
      <c r="Q2450" s="10" t="n">
        <v>-692</v>
      </c>
      <c r="R2450" s="7" t="n">
        <v>4255</v>
      </c>
      <c r="S2450" s="8" t="n">
        <v>-1957</v>
      </c>
      <c r="T2450" s="8" t="n">
        <v>-1450</v>
      </c>
      <c r="U2450" s="9" t="n">
        <v>5471</v>
      </c>
      <c r="V2450" s="10" t="n">
        <v>542</v>
      </c>
      <c r="W2450" s="10" t="n">
        <v>533</v>
      </c>
      <c r="X2450" s="7" t="n">
        <v>5351</v>
      </c>
      <c r="Y2450" s="8" t="n">
        <v>-1136</v>
      </c>
      <c r="Z2450" s="8" t="n">
        <v>-1391</v>
      </c>
      <c r="AA2450" s="9" t="n">
        <v>6853</v>
      </c>
      <c r="AB2450" s="10" t="n">
        <v>-782</v>
      </c>
      <c r="AC2450" s="10" t="n">
        <v>-749</v>
      </c>
      <c r="AD2450" s="7" t="n">
        <v>4553</v>
      </c>
      <c r="AE2450" s="8" t="n">
        <v>-2033</v>
      </c>
      <c r="AF2450" s="8" t="n">
        <v>-3343</v>
      </c>
      <c r="AG2450" s="9" t="n">
        <v>8646</v>
      </c>
      <c r="AH2450" s="10" t="n">
        <v>775</v>
      </c>
      <c r="AI2450" s="10" t="n">
        <v>577</v>
      </c>
      <c r="AJ2450" s="11" t="n">
        <v>11179</v>
      </c>
      <c r="AK2450" s="12" t="n">
        <v>1133</v>
      </c>
      <c r="AL2450" s="12" t="n">
        <v>921</v>
      </c>
      <c r="AM2450" s="13" t="n">
        <v>29.3</v>
      </c>
      <c r="AN2450" s="13" t="n">
        <v>108.9</v>
      </c>
      <c r="AO2450" s="13" t="n">
        <v>46.2</v>
      </c>
      <c r="AP2450" s="13" t="n">
        <v>199.7</v>
      </c>
    </row>
    <row r="2451">
      <c r="A2451" s="5" t="inlineStr">
        <is>
          <t>티이엠씨</t>
        </is>
      </c>
      <c r="B2451" s="6" t="inlineStr">
        <is>
          <t>425040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108630</v>
      </c>
      <c r="J2451" s="10" t="n">
        <v>8673</v>
      </c>
      <c r="K2451" s="10" t="n">
        <v>9524</v>
      </c>
      <c r="L2451" s="7" t="n">
        <v>65451</v>
      </c>
      <c r="M2451" s="8" t="n">
        <v>2931</v>
      </c>
      <c r="N2451" s="8" t="n">
        <v>2055</v>
      </c>
      <c r="O2451" s="9" t="n">
        <v>50387</v>
      </c>
      <c r="P2451" s="10" t="n">
        <v>5871</v>
      </c>
      <c r="Q2451" s="10" t="n">
        <v>1493</v>
      </c>
      <c r="R2451" s="7" t="n">
        <v>85767</v>
      </c>
      <c r="S2451" s="8" t="n">
        <v>2226</v>
      </c>
      <c r="T2451" s="8" t="n">
        <v>4001</v>
      </c>
      <c r="U2451" s="9" t="n">
        <v>63027</v>
      </c>
      <c r="V2451" s="10" t="n">
        <v>6746</v>
      </c>
      <c r="W2451" s="10" t="n">
        <v>4433</v>
      </c>
      <c r="X2451" s="7" t="n">
        <v>76332</v>
      </c>
      <c r="Y2451" s="8" t="n">
        <v>6899</v>
      </c>
      <c r="Z2451" s="8" t="n">
        <v>1758</v>
      </c>
      <c r="AA2451" s="9" t="n">
        <v>57962</v>
      </c>
      <c r="AB2451" s="10" t="n">
        <v>4990</v>
      </c>
      <c r="AC2451" s="10" t="n">
        <v>4378</v>
      </c>
      <c r="AD2451" s="7" t="n">
        <v>82387</v>
      </c>
      <c r="AE2451" s="8" t="n">
        <v>6203</v>
      </c>
      <c r="AF2451" s="8" t="n">
        <v>7131</v>
      </c>
      <c r="AG2451" s="9" t="n">
        <v>49514</v>
      </c>
      <c r="AH2451" s="10" t="n">
        <v>142</v>
      </c>
      <c r="AI2451" s="10" t="n">
        <v>2102</v>
      </c>
      <c r="AJ2451" s="11" t="n">
        <v>86461</v>
      </c>
      <c r="AK2451" s="12" t="n">
        <v>5859</v>
      </c>
      <c r="AL2451" s="12" t="n">
        <v>5292</v>
      </c>
      <c r="AM2451" s="13" t="n">
        <v>74.59999999999999</v>
      </c>
      <c r="AN2451" s="13" t="n">
        <v>13.3</v>
      </c>
      <c r="AO2451" s="13" t="n">
        <v>4026.1</v>
      </c>
      <c r="AP2451" s="13" t="n">
        <v>-15.1</v>
      </c>
    </row>
    <row r="2452">
      <c r="A2452" s="5" t="inlineStr">
        <is>
          <t>티에프이</t>
        </is>
      </c>
      <c r="B2452" s="6" t="inlineStr">
        <is>
          <t>425420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17358</v>
      </c>
      <c r="J2452" s="10" t="n">
        <v>1339</v>
      </c>
      <c r="K2452" s="10" t="n">
        <v>1682</v>
      </c>
      <c r="L2452" s="7" t="n">
        <v>18297</v>
      </c>
      <c r="M2452" s="8" t="n">
        <v>1610</v>
      </c>
      <c r="N2452" s="8" t="n">
        <v>315</v>
      </c>
      <c r="O2452" s="9" t="n">
        <v>17250</v>
      </c>
      <c r="P2452" s="10" t="n">
        <v>243</v>
      </c>
      <c r="Q2452" s="10" t="n">
        <v>261</v>
      </c>
      <c r="R2452" s="7" t="n">
        <v>20722</v>
      </c>
      <c r="S2452" s="8" t="n">
        <v>1199</v>
      </c>
      <c r="T2452" s="8" t="n">
        <v>-806</v>
      </c>
      <c r="U2452" s="9" t="n">
        <v>22012</v>
      </c>
      <c r="V2452" s="10" t="n">
        <v>2976</v>
      </c>
      <c r="W2452" s="10" t="n">
        <v>2624</v>
      </c>
      <c r="X2452" s="7" t="n">
        <v>25062</v>
      </c>
      <c r="Y2452" s="8" t="n">
        <v>3920</v>
      </c>
      <c r="Z2452" s="8" t="n">
        <v>3556</v>
      </c>
      <c r="AA2452" s="9" t="n">
        <v>27220</v>
      </c>
      <c r="AB2452" s="10" t="n">
        <v>4827</v>
      </c>
      <c r="AC2452" s="10" t="n">
        <v>4654</v>
      </c>
      <c r="AD2452" s="7" t="n">
        <v>37448</v>
      </c>
      <c r="AE2452" s="8" t="n">
        <v>7333</v>
      </c>
      <c r="AF2452" s="8" t="n">
        <v>7273</v>
      </c>
      <c r="AG2452" s="9" t="n">
        <v>32317</v>
      </c>
      <c r="AH2452" s="10" t="n">
        <v>3333</v>
      </c>
      <c r="AI2452" s="10" t="n">
        <v>3444</v>
      </c>
      <c r="AJ2452" s="11" t="n">
        <v>33609</v>
      </c>
      <c r="AK2452" s="12" t="n">
        <v>6082</v>
      </c>
      <c r="AL2452" s="12" t="n">
        <v>5947</v>
      </c>
      <c r="AM2452" s="13" t="n">
        <v>4</v>
      </c>
      <c r="AN2452" s="13" t="n">
        <v>34.1</v>
      </c>
      <c r="AO2452" s="13" t="n">
        <v>82.5</v>
      </c>
      <c r="AP2452" s="13" t="n">
        <v>55.2</v>
      </c>
    </row>
    <row r="2453">
      <c r="A2453" s="5" t="inlineStr">
        <is>
          <t>시지트로닉스</t>
        </is>
      </c>
      <c r="B2453" s="6" t="inlineStr">
        <is>
          <t>429270</t>
        </is>
      </c>
      <c r="C2453" s="6" t="inlineStr">
        <is>
          <t>별도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3031</v>
      </c>
      <c r="J2453" s="10" t="n">
        <v>-1258</v>
      </c>
      <c r="K2453" s="10" t="inlineStr"/>
      <c r="L2453" s="7" t="n">
        <v>3189</v>
      </c>
      <c r="M2453" s="8" t="n">
        <v>-1384</v>
      </c>
      <c r="N2453" s="8" t="inlineStr"/>
      <c r="O2453" s="9" t="n">
        <v>3387</v>
      </c>
      <c r="P2453" s="10" t="n">
        <v>-1500</v>
      </c>
      <c r="Q2453" s="10" t="inlineStr"/>
      <c r="R2453" s="7" t="n">
        <v>2566</v>
      </c>
      <c r="S2453" s="8" t="n">
        <v>-2143</v>
      </c>
      <c r="T2453" s="8" t="inlineStr"/>
      <c r="U2453" s="9" t="n">
        <v>2609</v>
      </c>
      <c r="V2453" s="10" t="n">
        <v>-1527</v>
      </c>
      <c r="W2453" s="10" t="n">
        <v>-1584</v>
      </c>
      <c r="X2453" s="7" t="n">
        <v>3408</v>
      </c>
      <c r="Y2453" s="8" t="n">
        <v>-1904</v>
      </c>
      <c r="Z2453" s="8" t="inlineStr"/>
      <c r="AA2453" s="9" t="n">
        <v>3924</v>
      </c>
      <c r="AB2453" s="10" t="n">
        <v>-1641</v>
      </c>
      <c r="AC2453" s="10" t="inlineStr"/>
      <c r="AD2453" s="7" t="n">
        <v>2808</v>
      </c>
      <c r="AE2453" s="8" t="n">
        <v>-2514</v>
      </c>
      <c r="AF2453" s="8" t="inlineStr"/>
      <c r="AG2453" s="9" t="n">
        <v>3586</v>
      </c>
      <c r="AH2453" s="10" t="n">
        <v>-2262</v>
      </c>
      <c r="AI2453" s="10" t="n">
        <v>-2063</v>
      </c>
      <c r="AJ2453" s="11" t="n">
        <v>3781</v>
      </c>
      <c r="AK2453" s="12" t="n">
        <v>-2137</v>
      </c>
      <c r="AL2453" s="12" t="n">
        <v>-2135</v>
      </c>
      <c r="AM2453" s="13" t="n">
        <v>5.4</v>
      </c>
      <c r="AN2453" s="13" t="n">
        <v>10.9</v>
      </c>
      <c r="AO2453" s="13" t="n">
        <v>5.5</v>
      </c>
      <c r="AP2453" s="13" t="n">
        <v>-12.2</v>
      </c>
    </row>
    <row r="2454">
      <c r="A2454" s="5" t="inlineStr">
        <is>
          <t>한싹</t>
        </is>
      </c>
      <c r="B2454" s="6" t="inlineStr">
        <is>
          <t>430690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3410</v>
      </c>
      <c r="J2454" s="10" t="n">
        <v>-1173</v>
      </c>
      <c r="K2454" s="10" t="n">
        <v>-1050</v>
      </c>
      <c r="L2454" s="7" t="n">
        <v>5561</v>
      </c>
      <c r="M2454" s="8" t="n">
        <v>-728</v>
      </c>
      <c r="N2454" s="8" t="n">
        <v>-137</v>
      </c>
      <c r="O2454" s="9" t="n">
        <v>3999</v>
      </c>
      <c r="P2454" s="10" t="n">
        <v>-1215</v>
      </c>
      <c r="Q2454" s="10" t="n">
        <v>-855</v>
      </c>
      <c r="R2454" s="7" t="n">
        <v>7548</v>
      </c>
      <c r="S2454" s="8" t="n">
        <v>403</v>
      </c>
      <c r="T2454" s="8" t="n">
        <v>2167</v>
      </c>
      <c r="U2454" s="9" t="n">
        <v>4199</v>
      </c>
      <c r="V2454" s="10" t="n">
        <v>-1003</v>
      </c>
      <c r="W2454" s="10" t="n">
        <v>-971</v>
      </c>
      <c r="X2454" s="7" t="n">
        <v>5251</v>
      </c>
      <c r="Y2454" s="8" t="n">
        <v>-690</v>
      </c>
      <c r="Z2454" s="8" t="n">
        <v>-700</v>
      </c>
      <c r="AA2454" s="9" t="n">
        <v>5455</v>
      </c>
      <c r="AB2454" s="10" t="n">
        <v>-996</v>
      </c>
      <c r="AC2454" s="10" t="n">
        <v>-937</v>
      </c>
      <c r="AD2454" s="7" t="n">
        <v>11353</v>
      </c>
      <c r="AE2454" s="8" t="n">
        <v>741</v>
      </c>
      <c r="AF2454" s="8" t="n">
        <v>-151</v>
      </c>
      <c r="AG2454" s="9" t="n">
        <v>3524</v>
      </c>
      <c r="AH2454" s="10" t="n">
        <v>-1809</v>
      </c>
      <c r="AI2454" s="10" t="n">
        <v>-1927</v>
      </c>
      <c r="AJ2454" s="11" t="n">
        <v>7574</v>
      </c>
      <c r="AK2454" s="12" t="n">
        <v>808</v>
      </c>
      <c r="AL2454" s="12" t="n">
        <v>802</v>
      </c>
      <c r="AM2454" s="13" t="n">
        <v>114.9</v>
      </c>
      <c r="AN2454" s="13" t="n">
        <v>44.2</v>
      </c>
      <c r="AO2454" s="13" t="n">
        <v>144.7</v>
      </c>
      <c r="AP2454" s="13" t="n">
        <v>217.1</v>
      </c>
    </row>
    <row r="2455">
      <c r="A2455" s="5" t="inlineStr">
        <is>
          <t>케이쓰리아이</t>
        </is>
      </c>
      <c r="B2455" s="6" t="inlineStr">
        <is>
          <t>431190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inlineStr"/>
      <c r="J2455" s="10" t="inlineStr"/>
      <c r="K2455" s="10" t="inlineStr"/>
      <c r="L2455" s="7" t="inlineStr"/>
      <c r="M2455" s="8" t="inlineStr"/>
      <c r="N2455" s="8" t="inlineStr"/>
      <c r="O2455" s="9" t="n">
        <v>2163</v>
      </c>
      <c r="P2455" s="10" t="n">
        <v>-2385</v>
      </c>
      <c r="Q2455" s="10" t="n">
        <v>-2325</v>
      </c>
      <c r="R2455" s="7" t="inlineStr"/>
      <c r="S2455" s="8" t="inlineStr"/>
      <c r="T2455" s="8" t="inlineStr"/>
      <c r="U2455" s="9" t="n">
        <v>3590</v>
      </c>
      <c r="V2455" s="10" t="n">
        <v>-1456</v>
      </c>
      <c r="W2455" s="10" t="n">
        <v>-1212</v>
      </c>
      <c r="X2455" s="7" t="n">
        <v>2508</v>
      </c>
      <c r="Y2455" s="8" t="n">
        <v>-1344</v>
      </c>
      <c r="Z2455" s="8" t="n">
        <v>-1228</v>
      </c>
      <c r="AA2455" s="9" t="n">
        <v>4626</v>
      </c>
      <c r="AB2455" s="10" t="n">
        <v>-130</v>
      </c>
      <c r="AC2455" s="10" t="n">
        <v>-727</v>
      </c>
      <c r="AD2455" s="7" t="n">
        <v>5916</v>
      </c>
      <c r="AE2455" s="8" t="n">
        <v>-576</v>
      </c>
      <c r="AF2455" s="8" t="n">
        <v>-1110</v>
      </c>
      <c r="AG2455" s="9" t="n">
        <v>2963</v>
      </c>
      <c r="AH2455" s="10" t="n">
        <v>-1376</v>
      </c>
      <c r="AI2455" s="10" t="n">
        <v>-1222</v>
      </c>
      <c r="AJ2455" s="11" t="n">
        <v>3140</v>
      </c>
      <c r="AK2455" s="12" t="n">
        <v>-1606</v>
      </c>
      <c r="AL2455" s="12" t="n">
        <v>-1248</v>
      </c>
      <c r="AM2455" s="13" t="n">
        <v>6</v>
      </c>
      <c r="AN2455" s="13" t="n">
        <v>25.2</v>
      </c>
      <c r="AO2455" s="13" t="n">
        <v>-16.7</v>
      </c>
      <c r="AP2455" s="13" t="n">
        <v>-19.5</v>
      </c>
    </row>
    <row r="2456">
      <c r="A2456" s="5" t="inlineStr">
        <is>
          <t>KB스타리츠</t>
        </is>
      </c>
      <c r="B2456" s="6" t="inlineStr">
        <is>
          <t>432320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n">
        <v>13050</v>
      </c>
      <c r="M2456" s="8" t="n">
        <v>6683</v>
      </c>
      <c r="N2456" s="8" t="n">
        <v>2077</v>
      </c>
      <c r="O2456" s="9" t="inlineStr"/>
      <c r="P2456" s="10" t="inlineStr"/>
      <c r="Q2456" s="10" t="inlineStr"/>
      <c r="R2456" s="7" t="inlineStr"/>
      <c r="S2456" s="8" t="inlineStr"/>
      <c r="T2456" s="8" t="inlineStr"/>
      <c r="U2456" s="9" t="inlineStr"/>
      <c r="V2456" s="10" t="inlineStr"/>
      <c r="W2456" s="10" t="inlineStr"/>
      <c r="X2456" s="7" t="n">
        <v>14682</v>
      </c>
      <c r="Y2456" s="8" t="n">
        <v>8489</v>
      </c>
      <c r="Z2456" s="8" t="n">
        <v>3072</v>
      </c>
      <c r="AA2456" s="9" t="inlineStr"/>
      <c r="AB2456" s="10" t="inlineStr"/>
      <c r="AC2456" s="10" t="inlineStr"/>
      <c r="AD2456" s="7" t="inlineStr"/>
      <c r="AE2456" s="8" t="inlineStr"/>
      <c r="AF2456" s="8" t="inlineStr"/>
      <c r="AG2456" s="9" t="inlineStr"/>
      <c r="AH2456" s="10" t="inlineStr"/>
      <c r="AI2456" s="10" t="inlineStr"/>
      <c r="AJ2456" s="11" t="n">
        <v>16331</v>
      </c>
      <c r="AK2456" s="12" t="n">
        <v>9958</v>
      </c>
      <c r="AL2456" s="12" t="n">
        <v>2574</v>
      </c>
      <c r="AM2456" s="13" t="inlineStr"/>
      <c r="AN2456" s="13" t="n">
        <v>11.2</v>
      </c>
      <c r="AO2456" s="13" t="inlineStr"/>
      <c r="AP2456" s="13" t="n">
        <v>17.3</v>
      </c>
    </row>
    <row r="2457">
      <c r="A2457" s="5" t="inlineStr">
        <is>
          <t>와이랩</t>
        </is>
      </c>
      <c r="B2457" s="6" t="inlineStr">
        <is>
          <t>432430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6355</v>
      </c>
      <c r="J2457" s="10" t="n">
        <v>-1864</v>
      </c>
      <c r="K2457" s="10" t="n">
        <v>-1745</v>
      </c>
      <c r="L2457" s="7" t="n">
        <v>3355</v>
      </c>
      <c r="M2457" s="8" t="n">
        <v>-2414</v>
      </c>
      <c r="N2457" s="8" t="n">
        <v>-2233</v>
      </c>
      <c r="O2457" s="9" t="n">
        <v>7425</v>
      </c>
      <c r="P2457" s="10" t="n">
        <v>-2507</v>
      </c>
      <c r="Q2457" s="10" t="n">
        <v>-2445</v>
      </c>
      <c r="R2457" s="7" t="n">
        <v>7831</v>
      </c>
      <c r="S2457" s="8" t="n">
        <v>-3254</v>
      </c>
      <c r="T2457" s="8" t="n">
        <v>-3079</v>
      </c>
      <c r="U2457" s="9" t="n">
        <v>14263</v>
      </c>
      <c r="V2457" s="10" t="n">
        <v>-2459</v>
      </c>
      <c r="W2457" s="10" t="n">
        <v>-2432</v>
      </c>
      <c r="X2457" s="7" t="n">
        <v>11570</v>
      </c>
      <c r="Y2457" s="8" t="n">
        <v>-2047</v>
      </c>
      <c r="Z2457" s="8" t="n">
        <v>-1996</v>
      </c>
      <c r="AA2457" s="9" t="n">
        <v>10007</v>
      </c>
      <c r="AB2457" s="10" t="n">
        <v>-2128</v>
      </c>
      <c r="AC2457" s="10" t="n">
        <v>-2065</v>
      </c>
      <c r="AD2457" s="7" t="n">
        <v>1229</v>
      </c>
      <c r="AE2457" s="8" t="n">
        <v>-2104</v>
      </c>
      <c r="AF2457" s="8" t="n">
        <v>-2137</v>
      </c>
      <c r="AG2457" s="9" t="n">
        <v>12809</v>
      </c>
      <c r="AH2457" s="10" t="n">
        <v>-4048</v>
      </c>
      <c r="AI2457" s="10" t="n">
        <v>-4123</v>
      </c>
      <c r="AJ2457" s="11" t="n">
        <v>20450</v>
      </c>
      <c r="AK2457" s="12" t="n">
        <v>-1978</v>
      </c>
      <c r="AL2457" s="12" t="n">
        <v>-2153</v>
      </c>
      <c r="AM2457" s="13" t="n">
        <v>59.7</v>
      </c>
      <c r="AN2457" s="13" t="n">
        <v>76.8</v>
      </c>
      <c r="AO2457" s="13" t="n">
        <v>51.1</v>
      </c>
      <c r="AP2457" s="13" t="n">
        <v>3.4</v>
      </c>
    </row>
    <row r="2458">
      <c r="A2458" s="5" t="inlineStr">
        <is>
          <t>케이엔에스</t>
        </is>
      </c>
      <c r="B2458" s="6" t="inlineStr">
        <is>
          <t>432470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9458</v>
      </c>
      <c r="J2458" s="10" t="n">
        <v>703</v>
      </c>
      <c r="K2458" s="10" t="n">
        <v>900</v>
      </c>
      <c r="L2458" s="7" t="n">
        <v>6528</v>
      </c>
      <c r="M2458" s="8" t="n">
        <v>109</v>
      </c>
      <c r="N2458" s="8" t="n">
        <v>336</v>
      </c>
      <c r="O2458" s="9" t="n">
        <v>7541</v>
      </c>
      <c r="P2458" s="10" t="n">
        <v>375</v>
      </c>
      <c r="Q2458" s="10" t="n">
        <v>440</v>
      </c>
      <c r="R2458" s="7" t="n">
        <v>3429</v>
      </c>
      <c r="S2458" s="8" t="n">
        <v>-379</v>
      </c>
      <c r="T2458" s="8" t="n">
        <v>286</v>
      </c>
      <c r="U2458" s="9" t="n">
        <v>13587</v>
      </c>
      <c r="V2458" s="10" t="n">
        <v>1092</v>
      </c>
      <c r="W2458" s="10" t="n">
        <v>960</v>
      </c>
      <c r="X2458" s="7" t="n">
        <v>13014</v>
      </c>
      <c r="Y2458" s="8" t="n">
        <v>643</v>
      </c>
      <c r="Z2458" s="8" t="n">
        <v>1081</v>
      </c>
      <c r="AA2458" s="9" t="n">
        <v>8500</v>
      </c>
      <c r="AB2458" s="10" t="n">
        <v>-157</v>
      </c>
      <c r="AC2458" s="10" t="n">
        <v>225</v>
      </c>
      <c r="AD2458" s="7" t="n">
        <v>6129</v>
      </c>
      <c r="AE2458" s="8" t="n">
        <v>-3142</v>
      </c>
      <c r="AF2458" s="8" t="n">
        <v>-3311</v>
      </c>
      <c r="AG2458" s="9" t="n">
        <v>13282</v>
      </c>
      <c r="AH2458" s="10" t="n">
        <v>1337</v>
      </c>
      <c r="AI2458" s="10" t="n">
        <v>796</v>
      </c>
      <c r="AJ2458" s="11" t="n">
        <v>17234</v>
      </c>
      <c r="AK2458" s="12" t="n">
        <v>1716</v>
      </c>
      <c r="AL2458" s="12" t="n">
        <v>-21</v>
      </c>
      <c r="AM2458" s="13" t="n">
        <v>29.8</v>
      </c>
      <c r="AN2458" s="13" t="n">
        <v>32.4</v>
      </c>
      <c r="AO2458" s="13" t="n">
        <v>28.3</v>
      </c>
      <c r="AP2458" s="13" t="n">
        <v>166.9</v>
      </c>
    </row>
    <row r="2459">
      <c r="A2459" s="5" t="inlineStr">
        <is>
          <t>퀄리타스반도체</t>
        </is>
      </c>
      <c r="B2459" s="6" t="inlineStr">
        <is>
          <t>432720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743</v>
      </c>
      <c r="J2459" s="10" t="n">
        <v>-5929</v>
      </c>
      <c r="K2459" s="10" t="n">
        <v>-5432</v>
      </c>
      <c r="L2459" s="7" t="n">
        <v>438</v>
      </c>
      <c r="M2459" s="8" t="n">
        <v>-5626</v>
      </c>
      <c r="N2459" s="8" t="n">
        <v>-4457</v>
      </c>
      <c r="O2459" s="9" t="n">
        <v>1177</v>
      </c>
      <c r="P2459" s="10" t="n">
        <v>-5903</v>
      </c>
      <c r="Q2459" s="10" t="n">
        <v>-5548</v>
      </c>
      <c r="R2459" s="7" t="n">
        <v>3717</v>
      </c>
      <c r="S2459" s="8" t="n">
        <v>-5236</v>
      </c>
      <c r="T2459" s="8" t="n">
        <v>-3620</v>
      </c>
      <c r="U2459" s="9" t="n">
        <v>1880</v>
      </c>
      <c r="V2459" s="10" t="n">
        <v>-5043</v>
      </c>
      <c r="W2459" s="10" t="n">
        <v>-4733</v>
      </c>
      <c r="X2459" s="7" t="n">
        <v>915</v>
      </c>
      <c r="Y2459" s="8" t="n">
        <v>-6371</v>
      </c>
      <c r="Z2459" s="8" t="n">
        <v>-5571</v>
      </c>
      <c r="AA2459" s="9" t="n">
        <v>842</v>
      </c>
      <c r="AB2459" s="10" t="n">
        <v>-6570</v>
      </c>
      <c r="AC2459" s="10" t="n">
        <v>-4967</v>
      </c>
      <c r="AD2459" s="7" t="n">
        <v>1713</v>
      </c>
      <c r="AE2459" s="8" t="n">
        <v>-6488</v>
      </c>
      <c r="AF2459" s="8" t="n">
        <v>-7819</v>
      </c>
      <c r="AG2459" s="9" t="n">
        <v>5154</v>
      </c>
      <c r="AH2459" s="10" t="n">
        <v>-4740</v>
      </c>
      <c r="AI2459" s="10" t="n">
        <v>-4161</v>
      </c>
      <c r="AJ2459" s="11" t="n">
        <v>6343</v>
      </c>
      <c r="AK2459" s="12" t="n">
        <v>-865</v>
      </c>
      <c r="AL2459" s="12" t="n">
        <v>-1800</v>
      </c>
      <c r="AM2459" s="13" t="n">
        <v>23.1</v>
      </c>
      <c r="AN2459" s="13" t="n">
        <v>593.2</v>
      </c>
      <c r="AO2459" s="13" t="n">
        <v>81.8</v>
      </c>
      <c r="AP2459" s="13" t="n">
        <v>86.40000000000001</v>
      </c>
    </row>
    <row r="2460">
      <c r="A2460" s="5" t="inlineStr">
        <is>
          <t>엠에프씨</t>
        </is>
      </c>
      <c r="B2460" s="6" t="inlineStr">
        <is>
          <t>432980</t>
        </is>
      </c>
      <c r="C2460" s="6" t="inlineStr">
        <is>
          <t>별도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5867</v>
      </c>
      <c r="V2460" s="10" t="n">
        <v>107</v>
      </c>
      <c r="W2460" s="10" t="n">
        <v>32</v>
      </c>
      <c r="X2460" s="7" t="n">
        <v>5408</v>
      </c>
      <c r="Y2460" s="8" t="n">
        <v>643</v>
      </c>
      <c r="Z2460" s="8" t="n">
        <v>1133</v>
      </c>
      <c r="AA2460" s="9" t="n">
        <v>4516</v>
      </c>
      <c r="AB2460" s="10" t="n">
        <v>1</v>
      </c>
      <c r="AC2460" s="10" t="n">
        <v>-188</v>
      </c>
      <c r="AD2460" s="7" t="n">
        <v>5009</v>
      </c>
      <c r="AE2460" s="8" t="n">
        <v>-454</v>
      </c>
      <c r="AF2460" s="8" t="n">
        <v>-155</v>
      </c>
      <c r="AG2460" s="9" t="n">
        <v>3181</v>
      </c>
      <c r="AH2460" s="10" t="n">
        <v>-347</v>
      </c>
      <c r="AI2460" s="10" t="n">
        <v>-565</v>
      </c>
      <c r="AJ2460" s="11" t="n">
        <v>5998</v>
      </c>
      <c r="AK2460" s="12" t="n">
        <v>239</v>
      </c>
      <c r="AL2460" s="12" t="n">
        <v>300</v>
      </c>
      <c r="AM2460" s="13" t="n">
        <v>88.59999999999999</v>
      </c>
      <c r="AN2460" s="13" t="n">
        <v>10.9</v>
      </c>
      <c r="AO2460" s="13" t="n">
        <v>168.9</v>
      </c>
      <c r="AP2460" s="13" t="n">
        <v>-62.8</v>
      </c>
    </row>
    <row r="2461">
      <c r="A2461" s="5" t="inlineStr">
        <is>
          <t>모니터랩</t>
        </is>
      </c>
      <c r="B2461" s="6" t="inlineStr">
        <is>
          <t>434480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3038</v>
      </c>
      <c r="J2461" s="10" t="n">
        <v>-493</v>
      </c>
      <c r="K2461" s="10" t="n">
        <v>-35</v>
      </c>
      <c r="L2461" s="7" t="n">
        <v>3522</v>
      </c>
      <c r="M2461" s="8" t="n">
        <v>-375</v>
      </c>
      <c r="N2461" s="8" t="n">
        <v>756</v>
      </c>
      <c r="O2461" s="9" t="n">
        <v>3411</v>
      </c>
      <c r="P2461" s="10" t="n">
        <v>-230</v>
      </c>
      <c r="Q2461" s="10" t="n">
        <v>-68</v>
      </c>
      <c r="R2461" s="7" t="n">
        <v>4938</v>
      </c>
      <c r="S2461" s="8" t="n">
        <v>454</v>
      </c>
      <c r="T2461" s="8" t="n">
        <v>1427</v>
      </c>
      <c r="U2461" s="9" t="n">
        <v>3430</v>
      </c>
      <c r="V2461" s="10" t="n">
        <v>-464</v>
      </c>
      <c r="W2461" s="10" t="n">
        <v>-299</v>
      </c>
      <c r="X2461" s="7" t="n">
        <v>3805</v>
      </c>
      <c r="Y2461" s="8" t="n">
        <v>-121</v>
      </c>
      <c r="Z2461" s="8" t="n">
        <v>-535</v>
      </c>
      <c r="AA2461" s="9" t="n">
        <v>5109</v>
      </c>
      <c r="AB2461" s="10" t="n">
        <v>442</v>
      </c>
      <c r="AC2461" s="10" t="n">
        <v>608</v>
      </c>
      <c r="AD2461" s="7" t="n">
        <v>6825</v>
      </c>
      <c r="AE2461" s="8" t="n">
        <v>1086</v>
      </c>
      <c r="AF2461" s="8" t="n">
        <v>895</v>
      </c>
      <c r="AG2461" s="9" t="n">
        <v>3639</v>
      </c>
      <c r="AH2461" s="10" t="n">
        <v>-710</v>
      </c>
      <c r="AI2461" s="10" t="n">
        <v>-522</v>
      </c>
      <c r="AJ2461" s="11" t="n">
        <v>5629</v>
      </c>
      <c r="AK2461" s="12" t="n">
        <v>427</v>
      </c>
      <c r="AL2461" s="12" t="n">
        <v>988</v>
      </c>
      <c r="AM2461" s="13" t="n">
        <v>54.7</v>
      </c>
      <c r="AN2461" s="13" t="n">
        <v>47.9</v>
      </c>
      <c r="AO2461" s="13" t="n">
        <v>160.1</v>
      </c>
      <c r="AP2461" s="13" t="n">
        <v>452.9</v>
      </c>
    </row>
    <row r="2462">
      <c r="A2462" s="5" t="inlineStr">
        <is>
          <t>에르코스</t>
        </is>
      </c>
      <c r="B2462" s="6" t="inlineStr">
        <is>
          <t>435570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inlineStr"/>
      <c r="J2462" s="10" t="inlineStr"/>
      <c r="K2462" s="10" t="inlineStr"/>
      <c r="L2462" s="7" t="inlineStr"/>
      <c r="M2462" s="8" t="inlineStr"/>
      <c r="N2462" s="8" t="inlineStr"/>
      <c r="O2462" s="9" t="inlineStr"/>
      <c r="P2462" s="10" t="inlineStr"/>
      <c r="Q2462" s="10" t="inlineStr"/>
      <c r="R2462" s="7" t="inlineStr"/>
      <c r="S2462" s="8" t="inlineStr"/>
      <c r="T2462" s="8" t="inlineStr"/>
      <c r="U2462" s="9" t="n">
        <v>8163</v>
      </c>
      <c r="V2462" s="10" t="n">
        <v>398</v>
      </c>
      <c r="W2462" s="10" t="n">
        <v>-2728</v>
      </c>
      <c r="X2462" s="7" t="n">
        <v>8761</v>
      </c>
      <c r="Y2462" s="8" t="n">
        <v>89</v>
      </c>
      <c r="Z2462" s="8" t="n">
        <v>-5314</v>
      </c>
      <c r="AA2462" s="9" t="n">
        <v>8989</v>
      </c>
      <c r="AB2462" s="10" t="n">
        <v>-77</v>
      </c>
      <c r="AC2462" s="10" t="n">
        <v>-306</v>
      </c>
      <c r="AD2462" s="7" t="n">
        <v>9715</v>
      </c>
      <c r="AE2462" s="8" t="n">
        <v>-140</v>
      </c>
      <c r="AF2462" s="8" t="n">
        <v>2155</v>
      </c>
      <c r="AG2462" s="9" t="n">
        <v>8768</v>
      </c>
      <c r="AH2462" s="10" t="n">
        <v>-583</v>
      </c>
      <c r="AI2462" s="10" t="n">
        <v>-916</v>
      </c>
      <c r="AJ2462" s="11" t="n">
        <v>10269</v>
      </c>
      <c r="AK2462" s="12" t="n">
        <v>-478</v>
      </c>
      <c r="AL2462" s="12" t="n">
        <v>-2579</v>
      </c>
      <c r="AM2462" s="13" t="n">
        <v>17.1</v>
      </c>
      <c r="AN2462" s="13" t="n">
        <v>17.2</v>
      </c>
      <c r="AO2462" s="13" t="n">
        <v>18</v>
      </c>
      <c r="AP2462" s="13" t="n">
        <v>-637.1</v>
      </c>
    </row>
    <row r="2463">
      <c r="A2463" s="5" t="inlineStr">
        <is>
          <t>삼현</t>
        </is>
      </c>
      <c r="B2463" s="6" t="inlineStr">
        <is>
          <t>437730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23609</v>
      </c>
      <c r="J2463" s="10" t="n">
        <v>1941</v>
      </c>
      <c r="K2463" s="10" t="n">
        <v>2067</v>
      </c>
      <c r="L2463" s="7" t="n">
        <v>26144</v>
      </c>
      <c r="M2463" s="8" t="n">
        <v>1738</v>
      </c>
      <c r="N2463" s="8" t="n">
        <v>3003</v>
      </c>
      <c r="O2463" s="9" t="n">
        <v>24289</v>
      </c>
      <c r="P2463" s="10" t="n">
        <v>1860</v>
      </c>
      <c r="Q2463" s="10" t="n">
        <v>1960</v>
      </c>
      <c r="R2463" s="7" t="n">
        <v>26406</v>
      </c>
      <c r="S2463" s="8" t="n">
        <v>-22</v>
      </c>
      <c r="T2463" s="8" t="n">
        <v>1284</v>
      </c>
      <c r="U2463" s="9" t="n">
        <v>24327</v>
      </c>
      <c r="V2463" s="10" t="n">
        <v>1902</v>
      </c>
      <c r="W2463" s="10" t="n">
        <v>2537</v>
      </c>
      <c r="X2463" s="7" t="n">
        <v>26860</v>
      </c>
      <c r="Y2463" s="8" t="n">
        <v>1517</v>
      </c>
      <c r="Z2463" s="8" t="n">
        <v>3235</v>
      </c>
      <c r="AA2463" s="9" t="n">
        <v>22487</v>
      </c>
      <c r="AB2463" s="10" t="n">
        <v>-1323</v>
      </c>
      <c r="AC2463" s="10" t="n">
        <v>-446</v>
      </c>
      <c r="AD2463" s="7" t="n">
        <v>21368</v>
      </c>
      <c r="AE2463" s="8" t="n">
        <v>-1291</v>
      </c>
      <c r="AF2463" s="8" t="n">
        <v>4365</v>
      </c>
      <c r="AG2463" s="9" t="n">
        <v>18764</v>
      </c>
      <c r="AH2463" s="10" t="n">
        <v>-2495</v>
      </c>
      <c r="AI2463" s="10" t="n">
        <v>-2671</v>
      </c>
      <c r="AJ2463" s="11" t="n">
        <v>20996</v>
      </c>
      <c r="AK2463" s="12" t="n">
        <v>-5389</v>
      </c>
      <c r="AL2463" s="12" t="n">
        <v>-7018</v>
      </c>
      <c r="AM2463" s="13" t="n">
        <v>11.9</v>
      </c>
      <c r="AN2463" s="13" t="n">
        <v>-21.8</v>
      </c>
      <c r="AO2463" s="13" t="n">
        <v>-116</v>
      </c>
      <c r="AP2463" s="13" t="n">
        <v>-455.2</v>
      </c>
    </row>
    <row r="2464">
      <c r="A2464" s="5" t="inlineStr">
        <is>
          <t>버넥트</t>
        </is>
      </c>
      <c r="B2464" s="6" t="inlineStr">
        <is>
          <t>438700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956</v>
      </c>
      <c r="J2464" s="10" t="n">
        <v>-3713</v>
      </c>
      <c r="K2464" s="10" t="n">
        <v>-3555</v>
      </c>
      <c r="L2464" s="7" t="n">
        <v>693</v>
      </c>
      <c r="M2464" s="8" t="n">
        <v>-3274</v>
      </c>
      <c r="N2464" s="8" t="n">
        <v>-3117</v>
      </c>
      <c r="O2464" s="9" t="n">
        <v>919</v>
      </c>
      <c r="P2464" s="10" t="n">
        <v>-3012</v>
      </c>
      <c r="Q2464" s="10" t="n">
        <v>-3200</v>
      </c>
      <c r="R2464" s="7" t="n">
        <v>2031</v>
      </c>
      <c r="S2464" s="8" t="n">
        <v>-2698</v>
      </c>
      <c r="T2464" s="8" t="n">
        <v>-2769</v>
      </c>
      <c r="U2464" s="9" t="n">
        <v>926</v>
      </c>
      <c r="V2464" s="10" t="n">
        <v>-2936</v>
      </c>
      <c r="W2464" s="10" t="n">
        <v>-2669</v>
      </c>
      <c r="X2464" s="7" t="n">
        <v>583</v>
      </c>
      <c r="Y2464" s="8" t="n">
        <v>-2434</v>
      </c>
      <c r="Z2464" s="8" t="n">
        <v>-1997</v>
      </c>
      <c r="AA2464" s="9" t="n">
        <v>684</v>
      </c>
      <c r="AB2464" s="10" t="n">
        <v>-2392</v>
      </c>
      <c r="AC2464" s="10" t="n">
        <v>-2235</v>
      </c>
      <c r="AD2464" s="7" t="n">
        <v>904</v>
      </c>
      <c r="AE2464" s="8" t="n">
        <v>-729</v>
      </c>
      <c r="AF2464" s="8" t="n">
        <v>1867</v>
      </c>
      <c r="AG2464" s="9" t="n">
        <v>3797</v>
      </c>
      <c r="AH2464" s="10" t="n">
        <v>-1474</v>
      </c>
      <c r="AI2464" s="10" t="n">
        <v>-1707</v>
      </c>
      <c r="AJ2464" s="11" t="n">
        <v>3459</v>
      </c>
      <c r="AK2464" s="12" t="n">
        <v>-1839</v>
      </c>
      <c r="AL2464" s="12" t="n">
        <v>-2091</v>
      </c>
      <c r="AM2464" s="13" t="n">
        <v>-8.9</v>
      </c>
      <c r="AN2464" s="13" t="n">
        <v>493.3</v>
      </c>
      <c r="AO2464" s="13" t="n">
        <v>-24.8</v>
      </c>
      <c r="AP2464" s="13" t="n">
        <v>24.4</v>
      </c>
    </row>
    <row r="2465">
      <c r="A2465" s="5" t="inlineStr">
        <is>
          <t>마녀공장</t>
        </is>
      </c>
      <c r="B2465" s="6" t="inlineStr">
        <is>
          <t>439090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31010</v>
      </c>
      <c r="J2465" s="10" t="n">
        <v>4063</v>
      </c>
      <c r="K2465" s="10" t="n">
        <v>2953</v>
      </c>
      <c r="L2465" s="7" t="n">
        <v>36628</v>
      </c>
      <c r="M2465" s="8" t="n">
        <v>8314</v>
      </c>
      <c r="N2465" s="8" t="n">
        <v>6592</v>
      </c>
      <c r="O2465" s="9" t="n">
        <v>28820</v>
      </c>
      <c r="P2465" s="10" t="n">
        <v>2563</v>
      </c>
      <c r="Q2465" s="10" t="n">
        <v>3210</v>
      </c>
      <c r="R2465" s="7" t="n">
        <v>31461</v>
      </c>
      <c r="S2465" s="8" t="n">
        <v>3617</v>
      </c>
      <c r="T2465" s="8" t="n">
        <v>3613</v>
      </c>
      <c r="U2465" s="9" t="n">
        <v>26869</v>
      </c>
      <c r="V2465" s="10" t="n">
        <v>1419</v>
      </c>
      <c r="W2465" s="10" t="n">
        <v>2780</v>
      </c>
      <c r="X2465" s="7" t="n">
        <v>31693</v>
      </c>
      <c r="Y2465" s="8" t="n">
        <v>2983</v>
      </c>
      <c r="Z2465" s="8" t="n">
        <v>1902</v>
      </c>
      <c r="AA2465" s="9" t="n">
        <v>28702</v>
      </c>
      <c r="AB2465" s="10" t="n">
        <v>4020</v>
      </c>
      <c r="AC2465" s="10" t="n">
        <v>2691</v>
      </c>
      <c r="AD2465" s="7" t="n">
        <v>25752</v>
      </c>
      <c r="AE2465" s="8" t="n">
        <v>2033</v>
      </c>
      <c r="AF2465" s="8" t="n">
        <v>1753</v>
      </c>
      <c r="AG2465" s="9" t="n">
        <v>26915</v>
      </c>
      <c r="AH2465" s="10" t="n">
        <v>6053</v>
      </c>
      <c r="AI2465" s="10" t="n">
        <v>6103</v>
      </c>
      <c r="AJ2465" s="11" t="n">
        <v>25810</v>
      </c>
      <c r="AK2465" s="12" t="n">
        <v>2524</v>
      </c>
      <c r="AL2465" s="12" t="n">
        <v>2807</v>
      </c>
      <c r="AM2465" s="13" t="n">
        <v>-4.1</v>
      </c>
      <c r="AN2465" s="13" t="n">
        <v>-18.6</v>
      </c>
      <c r="AO2465" s="13" t="n">
        <v>-58.3</v>
      </c>
      <c r="AP2465" s="13" t="n">
        <v>-15.4</v>
      </c>
    </row>
    <row r="2466">
      <c r="A2466" s="5" t="inlineStr">
        <is>
          <t>대한조선</t>
        </is>
      </c>
      <c r="B2466" s="6" t="inlineStr">
        <is>
          <t>439260</t>
        </is>
      </c>
      <c r="C2466" s="6" t="inlineStr">
        <is>
          <t>연결</t>
        </is>
      </c>
      <c r="D2466" s="6" t="inlineStr">
        <is>
          <t>2026Q2</t>
        </is>
      </c>
      <c r="E2466" s="6" t="inlineStr">
        <is>
          <t>2025Q4</t>
        </is>
      </c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n">
        <v>296048</v>
      </c>
      <c r="Y2466" s="8" t="n">
        <v>62467</v>
      </c>
      <c r="Z2466" s="8" t="n">
        <v>43683</v>
      </c>
      <c r="AA2466" s="9" t="n">
        <v>273973</v>
      </c>
      <c r="AB2466" s="10" t="n">
        <v>66489</v>
      </c>
      <c r="AC2466" s="10" t="n">
        <v>65817</v>
      </c>
      <c r="AD2466" s="14" t="n">
        <v>350400</v>
      </c>
      <c r="AE2466" s="15" t="n">
        <v>95300</v>
      </c>
      <c r="AF2466" s="15" t="n">
        <v>75100</v>
      </c>
      <c r="AG2466" s="9" t="n">
        <v>308271</v>
      </c>
      <c r="AH2466" s="10" t="n">
        <v>82639</v>
      </c>
      <c r="AI2466" s="10" t="n">
        <v>77395</v>
      </c>
      <c r="AJ2466" s="11" t="n">
        <v>354435</v>
      </c>
      <c r="AK2466" s="12" t="n">
        <v>95248</v>
      </c>
      <c r="AL2466" s="12" t="n">
        <v>78724</v>
      </c>
      <c r="AM2466" s="13" t="n">
        <v>15</v>
      </c>
      <c r="AN2466" s="13" t="n">
        <v>19.7</v>
      </c>
      <c r="AO2466" s="13" t="n">
        <v>15.3</v>
      </c>
      <c r="AP2466" s="13" t="n">
        <v>52.5</v>
      </c>
    </row>
    <row r="2467">
      <c r="A2467" s="5" t="inlineStr">
        <is>
          <t>블루엠텍</t>
        </is>
      </c>
      <c r="B2467" s="6" t="inlineStr">
        <is>
          <t>439580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27630</v>
      </c>
      <c r="J2467" s="10" t="n">
        <v>-1767</v>
      </c>
      <c r="K2467" s="10" t="n">
        <v>-1843</v>
      </c>
      <c r="L2467" s="7" t="n">
        <v>25624</v>
      </c>
      <c r="M2467" s="8" t="n">
        <v>-1638</v>
      </c>
      <c r="N2467" s="8" t="n">
        <v>2421</v>
      </c>
      <c r="O2467" s="9" t="n">
        <v>47131</v>
      </c>
      <c r="P2467" s="10" t="n">
        <v>-234</v>
      </c>
      <c r="Q2467" s="10" t="n">
        <v>-3438</v>
      </c>
      <c r="R2467" s="7" t="n">
        <v>32901</v>
      </c>
      <c r="S2467" s="8" t="n">
        <v>-3257</v>
      </c>
      <c r="T2467" s="8" t="n">
        <v>-1942</v>
      </c>
      <c r="U2467" s="9" t="n">
        <v>34175</v>
      </c>
      <c r="V2467" s="10" t="n">
        <v>-1030</v>
      </c>
      <c r="W2467" s="10" t="n">
        <v>-1609</v>
      </c>
      <c r="X2467" s="7" t="n">
        <v>45650</v>
      </c>
      <c r="Y2467" s="8" t="n">
        <v>-800</v>
      </c>
      <c r="Z2467" s="8" t="n">
        <v>-2496</v>
      </c>
      <c r="AA2467" s="9" t="n">
        <v>52137</v>
      </c>
      <c r="AB2467" s="10" t="n">
        <v>347</v>
      </c>
      <c r="AC2467" s="10" t="n">
        <v>-487</v>
      </c>
      <c r="AD2467" s="7" t="n">
        <v>53943</v>
      </c>
      <c r="AE2467" s="8" t="n">
        <v>-488</v>
      </c>
      <c r="AF2467" s="8" t="n">
        <v>79</v>
      </c>
      <c r="AG2467" s="9" t="n">
        <v>44036</v>
      </c>
      <c r="AH2467" s="10" t="n">
        <v>-743</v>
      </c>
      <c r="AI2467" s="10" t="n">
        <v>2642</v>
      </c>
      <c r="AJ2467" s="11" t="n">
        <v>54967</v>
      </c>
      <c r="AK2467" s="12" t="n">
        <v>182</v>
      </c>
      <c r="AL2467" s="12" t="n">
        <v>1976</v>
      </c>
      <c r="AM2467" s="13" t="n">
        <v>24.8</v>
      </c>
      <c r="AN2467" s="13" t="n">
        <v>20.4</v>
      </c>
      <c r="AO2467" s="13" t="n">
        <v>124.5</v>
      </c>
      <c r="AP2467" s="13" t="n">
        <v>122.8</v>
      </c>
    </row>
    <row r="2468">
      <c r="A2468" s="5" t="inlineStr">
        <is>
          <t>코스모로보틱스</t>
        </is>
      </c>
      <c r="B2468" s="6" t="inlineStr">
        <is>
          <t>439960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inlineStr"/>
      <c r="K2468" s="10" t="inlineStr"/>
      <c r="L2468" s="7" t="inlineStr"/>
      <c r="M2468" s="8" t="inlineStr"/>
      <c r="N2468" s="8" t="inlineStr"/>
      <c r="O2468" s="9" t="inlineStr"/>
      <c r="P2468" s="10" t="inlineStr"/>
      <c r="Q2468" s="10" t="inlineStr"/>
      <c r="R2468" s="7" t="inlineStr"/>
      <c r="S2468" s="8" t="inlineStr"/>
      <c r="T2468" s="8" t="inlineStr"/>
      <c r="U2468" s="9" t="inlineStr"/>
      <c r="V2468" s="10" t="inlineStr"/>
      <c r="W2468" s="10" t="inlineStr"/>
      <c r="X2468" s="7" t="inlineStr"/>
      <c r="Y2468" s="8" t="inlineStr"/>
      <c r="Z2468" s="8" t="inlineStr"/>
      <c r="AA2468" s="9" t="inlineStr"/>
      <c r="AB2468" s="10" t="inlineStr"/>
      <c r="AC2468" s="10" t="inlineStr"/>
      <c r="AD2468" s="7" t="inlineStr"/>
      <c r="AE2468" s="8" t="inlineStr"/>
      <c r="AF2468" s="8" t="inlineStr"/>
      <c r="AG2468" s="9" t="n">
        <v>1267</v>
      </c>
      <c r="AH2468" s="10" t="n">
        <v>-2677</v>
      </c>
      <c r="AI2468" s="10" t="n">
        <v>-2998</v>
      </c>
      <c r="AJ2468" s="11" t="n">
        <v>1243</v>
      </c>
      <c r="AK2468" s="12" t="n">
        <v>-3317</v>
      </c>
      <c r="AL2468" s="12" t="n">
        <v>-7221</v>
      </c>
      <c r="AM2468" s="13" t="n">
        <v>-1.9</v>
      </c>
      <c r="AN2468" s="13" t="inlineStr"/>
      <c r="AO2468" s="13" t="n">
        <v>-23.9</v>
      </c>
      <c r="AP2468" s="13" t="inlineStr"/>
    </row>
    <row r="2469">
      <c r="A2469" s="5" t="inlineStr">
        <is>
          <t>파두</t>
        </is>
      </c>
      <c r="B2469" s="6" t="inlineStr">
        <is>
          <t>440110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2332</v>
      </c>
      <c r="J2469" s="10" t="n">
        <v>-16229</v>
      </c>
      <c r="K2469" s="10" t="n">
        <v>-15448</v>
      </c>
      <c r="L2469" s="7" t="n">
        <v>7093</v>
      </c>
      <c r="M2469" s="8" t="n">
        <v>-22185</v>
      </c>
      <c r="N2469" s="8" t="n">
        <v>-21481</v>
      </c>
      <c r="O2469" s="9" t="n">
        <v>10095</v>
      </c>
      <c r="P2469" s="10" t="n">
        <v>-30544</v>
      </c>
      <c r="Q2469" s="10" t="n">
        <v>-30667</v>
      </c>
      <c r="R2469" s="7" t="n">
        <v>23983</v>
      </c>
      <c r="S2469" s="8" t="n">
        <v>-26090</v>
      </c>
      <c r="T2469" s="8" t="n">
        <v>-23913</v>
      </c>
      <c r="U2469" s="9" t="n">
        <v>19219</v>
      </c>
      <c r="V2469" s="10" t="n">
        <v>-11986</v>
      </c>
      <c r="W2469" s="10" t="n">
        <v>-12136</v>
      </c>
      <c r="X2469" s="7" t="n">
        <v>23679</v>
      </c>
      <c r="Y2469" s="8" t="n">
        <v>-12564</v>
      </c>
      <c r="Z2469" s="8" t="n">
        <v>-14751</v>
      </c>
      <c r="AA2469" s="9" t="n">
        <v>25644</v>
      </c>
      <c r="AB2469" s="10" t="n">
        <v>-11426</v>
      </c>
      <c r="AC2469" s="10" t="n">
        <v>-10883</v>
      </c>
      <c r="AD2469" s="7" t="n">
        <v>23877</v>
      </c>
      <c r="AE2469" s="8" t="n">
        <v>-29494</v>
      </c>
      <c r="AF2469" s="8" t="n">
        <v>-38448</v>
      </c>
      <c r="AG2469" s="9" t="n">
        <v>59538</v>
      </c>
      <c r="AH2469" s="10" t="n">
        <v>7686</v>
      </c>
      <c r="AI2469" s="10" t="n">
        <v>10215</v>
      </c>
      <c r="AJ2469" s="11" t="n">
        <v>73174</v>
      </c>
      <c r="AK2469" s="12" t="n">
        <v>16224</v>
      </c>
      <c r="AL2469" s="12" t="n">
        <v>-60129</v>
      </c>
      <c r="AM2469" s="13" t="n">
        <v>22.9</v>
      </c>
      <c r="AN2469" s="13" t="n">
        <v>209</v>
      </c>
      <c r="AO2469" s="13" t="n">
        <v>111.1</v>
      </c>
      <c r="AP2469" s="13" t="n">
        <v>229.1</v>
      </c>
    </row>
    <row r="2470">
      <c r="A2470" s="5" t="inlineStr">
        <is>
          <t>HB인베스트먼트</t>
        </is>
      </c>
      <c r="B2470" s="6" t="inlineStr">
        <is>
          <t>440290</t>
        </is>
      </c>
      <c r="C2470" s="6" t="inlineStr">
        <is>
          <t>별도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4922</v>
      </c>
      <c r="J2470" s="10" t="n">
        <v>2202</v>
      </c>
      <c r="K2470" s="10" t="n">
        <v>1868</v>
      </c>
      <c r="L2470" s="7" t="n">
        <v>1997</v>
      </c>
      <c r="M2470" s="8" t="n">
        <v>-301</v>
      </c>
      <c r="N2470" s="8" t="n">
        <v>-25</v>
      </c>
      <c r="O2470" s="9" t="n">
        <v>3539</v>
      </c>
      <c r="P2470" s="10" t="n">
        <v>3113</v>
      </c>
      <c r="Q2470" s="10" t="n">
        <v>2670</v>
      </c>
      <c r="R2470" s="7" t="n">
        <v>4696</v>
      </c>
      <c r="S2470" s="8" t="n">
        <v>1481</v>
      </c>
      <c r="T2470" s="8" t="n">
        <v>1524</v>
      </c>
      <c r="U2470" s="9" t="n">
        <v>2370</v>
      </c>
      <c r="V2470" s="10" t="n">
        <v>362</v>
      </c>
      <c r="W2470" s="10" t="n">
        <v>444</v>
      </c>
      <c r="X2470" s="7" t="n">
        <v>6577</v>
      </c>
      <c r="Y2470" s="8" t="n">
        <v>3931</v>
      </c>
      <c r="Z2470" s="8" t="n">
        <v>3244</v>
      </c>
      <c r="AA2470" s="9" t="n">
        <v>3659</v>
      </c>
      <c r="AB2470" s="10" t="n">
        <v>1644</v>
      </c>
      <c r="AC2470" s="10" t="n">
        <v>1433</v>
      </c>
      <c r="AD2470" s="7" t="n">
        <v>4795</v>
      </c>
      <c r="AE2470" s="8" t="n">
        <v>1321</v>
      </c>
      <c r="AF2470" s="8" t="n">
        <v>1019</v>
      </c>
      <c r="AG2470" s="9" t="n">
        <v>3184</v>
      </c>
      <c r="AH2470" s="10" t="n">
        <v>883</v>
      </c>
      <c r="AI2470" s="10" t="n">
        <v>829</v>
      </c>
      <c r="AJ2470" s="11" t="n">
        <v>4458</v>
      </c>
      <c r="AK2470" s="12" t="n">
        <v>2842</v>
      </c>
      <c r="AL2470" s="12" t="n">
        <v>2339</v>
      </c>
      <c r="AM2470" s="13" t="n">
        <v>40</v>
      </c>
      <c r="AN2470" s="13" t="n">
        <v>-32.2</v>
      </c>
      <c r="AO2470" s="13" t="n">
        <v>221.9</v>
      </c>
      <c r="AP2470" s="13" t="n">
        <v>-27.7</v>
      </c>
    </row>
    <row r="2471">
      <c r="A2471" s="5" t="inlineStr">
        <is>
          <t>오픈놀</t>
        </is>
      </c>
      <c r="B2471" s="6" t="inlineStr">
        <is>
          <t>440320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inlineStr"/>
      <c r="J2471" s="10" t="n">
        <v>121</v>
      </c>
      <c r="K2471" s="10" t="n">
        <v>200</v>
      </c>
      <c r="L2471" s="7" t="inlineStr"/>
      <c r="M2471" s="8" t="n">
        <v>80</v>
      </c>
      <c r="N2471" s="8" t="n">
        <v>473</v>
      </c>
      <c r="O2471" s="9" t="inlineStr"/>
      <c r="P2471" s="10" t="n">
        <v>-66</v>
      </c>
      <c r="Q2471" s="10" t="n">
        <v>56</v>
      </c>
      <c r="R2471" s="7" t="inlineStr"/>
      <c r="S2471" s="8" t="n">
        <v>-34</v>
      </c>
      <c r="T2471" s="8" t="n">
        <v>884</v>
      </c>
      <c r="U2471" s="9" t="n">
        <v>25378</v>
      </c>
      <c r="V2471" s="10" t="n">
        <v>524</v>
      </c>
      <c r="W2471" s="10" t="n">
        <v>575</v>
      </c>
      <c r="X2471" s="7" t="n">
        <v>14553</v>
      </c>
      <c r="Y2471" s="8" t="n">
        <v>-1505</v>
      </c>
      <c r="Z2471" s="8" t="n">
        <v>-1784</v>
      </c>
      <c r="AA2471" s="9" t="n">
        <v>25738</v>
      </c>
      <c r="AB2471" s="10" t="n">
        <v>1293</v>
      </c>
      <c r="AC2471" s="10" t="n">
        <v>881</v>
      </c>
      <c r="AD2471" s="7" t="n">
        <v>22600</v>
      </c>
      <c r="AE2471" s="8" t="n">
        <v>-3076</v>
      </c>
      <c r="AF2471" s="8" t="n">
        <v>-6100</v>
      </c>
      <c r="AG2471" s="9" t="n">
        <v>22090</v>
      </c>
      <c r="AH2471" s="10" t="n">
        <v>997</v>
      </c>
      <c r="AI2471" s="10" t="n">
        <v>785</v>
      </c>
      <c r="AJ2471" s="11" t="n">
        <v>17718</v>
      </c>
      <c r="AK2471" s="12" t="n">
        <v>738</v>
      </c>
      <c r="AL2471" s="12" t="n">
        <v>-1400</v>
      </c>
      <c r="AM2471" s="13" t="n">
        <v>-19.8</v>
      </c>
      <c r="AN2471" s="13" t="n">
        <v>21.7</v>
      </c>
      <c r="AO2471" s="13" t="n">
        <v>-26</v>
      </c>
      <c r="AP2471" s="13" t="n">
        <v>149</v>
      </c>
    </row>
    <row r="2472">
      <c r="A2472" s="5" t="inlineStr">
        <is>
          <t>파인엠텍</t>
        </is>
      </c>
      <c r="B2472" s="6" t="inlineStr">
        <is>
          <t>441270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69548</v>
      </c>
      <c r="J2472" s="10" t="n">
        <v>1118</v>
      </c>
      <c r="K2472" s="10" t="n">
        <v>2780</v>
      </c>
      <c r="L2472" s="7" t="n">
        <v>154769</v>
      </c>
      <c r="M2472" s="8" t="n">
        <v>4526</v>
      </c>
      <c r="N2472" s="8" t="n">
        <v>3362</v>
      </c>
      <c r="O2472" s="9" t="n">
        <v>98838</v>
      </c>
      <c r="P2472" s="10" t="n">
        <v>1008</v>
      </c>
      <c r="Q2472" s="10" t="n">
        <v>-14202</v>
      </c>
      <c r="R2472" s="7" t="n">
        <v>59014</v>
      </c>
      <c r="S2472" s="8" t="n">
        <v>-14562</v>
      </c>
      <c r="T2472" s="8" t="n">
        <v>-7701</v>
      </c>
      <c r="U2472" s="9" t="n">
        <v>43576</v>
      </c>
      <c r="V2472" s="10" t="n">
        <v>-2945</v>
      </c>
      <c r="W2472" s="10" t="n">
        <v>-3839</v>
      </c>
      <c r="X2472" s="7" t="n">
        <v>76510</v>
      </c>
      <c r="Y2472" s="8" t="n">
        <v>5288</v>
      </c>
      <c r="Z2472" s="8" t="n">
        <v>-3495</v>
      </c>
      <c r="AA2472" s="9" t="n">
        <v>57544</v>
      </c>
      <c r="AB2472" s="10" t="n">
        <v>1541</v>
      </c>
      <c r="AC2472" s="10" t="n">
        <v>1257</v>
      </c>
      <c r="AD2472" s="7" t="n">
        <v>61491</v>
      </c>
      <c r="AE2472" s="8" t="n">
        <v>-1949</v>
      </c>
      <c r="AF2472" s="8" t="n">
        <v>-9368</v>
      </c>
      <c r="AG2472" s="9" t="n">
        <v>46069</v>
      </c>
      <c r="AH2472" s="10" t="n">
        <v>-2203</v>
      </c>
      <c r="AI2472" s="10" t="n">
        <v>2549</v>
      </c>
      <c r="AJ2472" s="11" t="n">
        <v>95213</v>
      </c>
      <c r="AK2472" s="12" t="n">
        <v>7331</v>
      </c>
      <c r="AL2472" s="12" t="n">
        <v>-4850</v>
      </c>
      <c r="AM2472" s="13" t="n">
        <v>106.7</v>
      </c>
      <c r="AN2472" s="13" t="n">
        <v>24.4</v>
      </c>
      <c r="AO2472" s="13" t="n">
        <v>432.8</v>
      </c>
      <c r="AP2472" s="13" t="n">
        <v>38.6</v>
      </c>
    </row>
    <row r="2473">
      <c r="A2473" s="5" t="inlineStr">
        <is>
          <t>HD현대마린솔루션</t>
        </is>
      </c>
      <c r="B2473" s="6" t="inlineStr">
        <is>
          <t>443060</t>
        </is>
      </c>
      <c r="C2473" s="6" t="inlineStr">
        <is>
          <t>연결</t>
        </is>
      </c>
      <c r="D2473" s="6" t="inlineStr">
        <is>
          <t>2026Q2</t>
        </is>
      </c>
      <c r="E2473" s="6" t="inlineStr">
        <is>
          <t>2024Q4</t>
        </is>
      </c>
      <c r="F2473" s="7" t="inlineStr"/>
      <c r="G2473" s="8" t="inlineStr"/>
      <c r="H2473" s="8" t="inlineStr"/>
      <c r="I2473" s="9" t="inlineStr"/>
      <c r="J2473" s="10" t="inlineStr"/>
      <c r="K2473" s="10" t="inlineStr"/>
      <c r="L2473" s="7" t="n">
        <v>437855</v>
      </c>
      <c r="M2473" s="8" t="n">
        <v>70986</v>
      </c>
      <c r="N2473" s="8" t="n">
        <v>56679</v>
      </c>
      <c r="O2473" s="9" t="n">
        <v>461261</v>
      </c>
      <c r="P2473" s="10" t="n">
        <v>83383</v>
      </c>
      <c r="Q2473" s="10" t="n">
        <v>58529</v>
      </c>
      <c r="R2473" s="14" t="n">
        <v>463400</v>
      </c>
      <c r="S2473" s="15" t="n">
        <v>65900</v>
      </c>
      <c r="T2473" s="15" t="n">
        <v>68400</v>
      </c>
      <c r="U2473" s="9" t="n">
        <v>485598</v>
      </c>
      <c r="V2473" s="10" t="n">
        <v>83007</v>
      </c>
      <c r="W2473" s="10" t="n">
        <v>63318</v>
      </c>
      <c r="X2473" s="7" t="n">
        <v>467722</v>
      </c>
      <c r="Y2473" s="8" t="n">
        <v>83010</v>
      </c>
      <c r="Z2473" s="8" t="n">
        <v>52997</v>
      </c>
      <c r="AA2473" s="9" t="n">
        <v>513176</v>
      </c>
      <c r="AB2473" s="10" t="n">
        <v>93596</v>
      </c>
      <c r="AC2473" s="10" t="n">
        <v>79752</v>
      </c>
      <c r="AD2473" s="7" t="n">
        <v>516205</v>
      </c>
      <c r="AE2473" s="8" t="n">
        <v>90528</v>
      </c>
      <c r="AF2473" s="8" t="n">
        <v>73504</v>
      </c>
      <c r="AG2473" s="9" t="n">
        <v>574609</v>
      </c>
      <c r="AH2473" s="10" t="n">
        <v>93394</v>
      </c>
      <c r="AI2473" s="10" t="n">
        <v>98139</v>
      </c>
      <c r="AJ2473" s="11" t="n">
        <v>580414</v>
      </c>
      <c r="AK2473" s="12" t="n">
        <v>97625</v>
      </c>
      <c r="AL2473" s="12" t="n">
        <v>83007</v>
      </c>
      <c r="AM2473" s="13" t="n">
        <v>1</v>
      </c>
      <c r="AN2473" s="13" t="n">
        <v>24.1</v>
      </c>
      <c r="AO2473" s="13" t="n">
        <v>4.5</v>
      </c>
      <c r="AP2473" s="13" t="n">
        <v>17.6</v>
      </c>
    </row>
    <row r="2474">
      <c r="A2474" s="5" t="inlineStr">
        <is>
          <t>레뷰코퍼레이션</t>
        </is>
      </c>
      <c r="B2474" s="6" t="inlineStr">
        <is>
          <t>443250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9604</v>
      </c>
      <c r="J2474" s="10" t="n">
        <v>607</v>
      </c>
      <c r="K2474" s="10" t="n">
        <v>-175</v>
      </c>
      <c r="L2474" s="7" t="n">
        <v>11129</v>
      </c>
      <c r="M2474" s="8" t="n">
        <v>1834</v>
      </c>
      <c r="N2474" s="8" t="n">
        <v>1647</v>
      </c>
      <c r="O2474" s="9" t="n">
        <v>12575</v>
      </c>
      <c r="P2474" s="10" t="n">
        <v>2248</v>
      </c>
      <c r="Q2474" s="10" t="n">
        <v>2419</v>
      </c>
      <c r="R2474" s="7" t="n">
        <v>15595</v>
      </c>
      <c r="S2474" s="8" t="n">
        <v>2786</v>
      </c>
      <c r="T2474" s="8" t="n">
        <v>2756</v>
      </c>
      <c r="U2474" s="9" t="n">
        <v>12056</v>
      </c>
      <c r="V2474" s="10" t="n">
        <v>1201</v>
      </c>
      <c r="W2474" s="10" t="n">
        <v>1311</v>
      </c>
      <c r="X2474" s="7" t="n">
        <v>13893</v>
      </c>
      <c r="Y2474" s="8" t="n">
        <v>2283</v>
      </c>
      <c r="Z2474" s="8" t="n">
        <v>1281</v>
      </c>
      <c r="AA2474" s="9" t="n">
        <v>14480</v>
      </c>
      <c r="AB2474" s="10" t="n">
        <v>2693</v>
      </c>
      <c r="AC2474" s="10" t="n">
        <v>2632</v>
      </c>
      <c r="AD2474" s="7" t="n">
        <v>16029</v>
      </c>
      <c r="AE2474" s="8" t="n">
        <v>2702</v>
      </c>
      <c r="AF2474" s="8" t="n">
        <v>1189</v>
      </c>
      <c r="AG2474" s="9" t="n">
        <v>13273</v>
      </c>
      <c r="AH2474" s="10" t="n">
        <v>1284</v>
      </c>
      <c r="AI2474" s="10" t="n">
        <v>1510</v>
      </c>
      <c r="AJ2474" s="11" t="n">
        <v>14793</v>
      </c>
      <c r="AK2474" s="12" t="n">
        <v>1993</v>
      </c>
      <c r="AL2474" s="12" t="n">
        <v>1176</v>
      </c>
      <c r="AM2474" s="13" t="n">
        <v>11.5</v>
      </c>
      <c r="AN2474" s="13" t="n">
        <v>6.5</v>
      </c>
      <c r="AO2474" s="13" t="n">
        <v>55.2</v>
      </c>
      <c r="AP2474" s="13" t="n">
        <v>-12.7</v>
      </c>
    </row>
    <row r="2475">
      <c r="A2475" s="5" t="inlineStr">
        <is>
          <t>에스피소프트</t>
        </is>
      </c>
      <c r="B2475" s="6" t="inlineStr">
        <is>
          <t>443670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8467</v>
      </c>
      <c r="J2475" s="10" t="n">
        <v>624</v>
      </c>
      <c r="K2475" s="10" t="n">
        <v>-2866</v>
      </c>
      <c r="L2475" s="7" t="n">
        <v>8720</v>
      </c>
      <c r="M2475" s="8" t="n">
        <v>781</v>
      </c>
      <c r="N2475" s="8" t="n">
        <v>290</v>
      </c>
      <c r="O2475" s="9" t="n">
        <v>11376</v>
      </c>
      <c r="P2475" s="10" t="n">
        <v>891</v>
      </c>
      <c r="Q2475" s="10" t="n">
        <v>799</v>
      </c>
      <c r="R2475" s="7" t="n">
        <v>16554</v>
      </c>
      <c r="S2475" s="8" t="n">
        <v>1461</v>
      </c>
      <c r="T2475" s="8" t="n">
        <v>2079</v>
      </c>
      <c r="U2475" s="9" t="n">
        <v>13506</v>
      </c>
      <c r="V2475" s="10" t="n">
        <v>643</v>
      </c>
      <c r="W2475" s="10" t="n">
        <v>479</v>
      </c>
      <c r="X2475" s="7" t="n">
        <v>13657</v>
      </c>
      <c r="Y2475" s="8" t="n">
        <v>917</v>
      </c>
      <c r="Z2475" s="8" t="n">
        <v>919</v>
      </c>
      <c r="AA2475" s="9" t="n">
        <v>13173</v>
      </c>
      <c r="AB2475" s="10" t="n">
        <v>1167</v>
      </c>
      <c r="AC2475" s="10" t="n">
        <v>1130</v>
      </c>
      <c r="AD2475" s="7" t="n">
        <v>14147</v>
      </c>
      <c r="AE2475" s="8" t="n">
        <v>890</v>
      </c>
      <c r="AF2475" s="8" t="n">
        <v>1286</v>
      </c>
      <c r="AG2475" s="9" t="n">
        <v>12917</v>
      </c>
      <c r="AH2475" s="10" t="n">
        <v>848</v>
      </c>
      <c r="AI2475" s="10" t="n">
        <v>910</v>
      </c>
      <c r="AJ2475" s="11" t="n">
        <v>13102</v>
      </c>
      <c r="AK2475" s="12" t="n">
        <v>852</v>
      </c>
      <c r="AL2475" s="12" t="n">
        <v>622</v>
      </c>
      <c r="AM2475" s="13" t="n">
        <v>1.4</v>
      </c>
      <c r="AN2475" s="13" t="n">
        <v>-4.1</v>
      </c>
      <c r="AO2475" s="13" t="n">
        <v>0.5</v>
      </c>
      <c r="AP2475" s="13" t="n">
        <v>-7.1</v>
      </c>
    </row>
    <row r="2476">
      <c r="A2476" s="5" t="inlineStr">
        <is>
          <t>심플랫폼</t>
        </is>
      </c>
      <c r="B2476" s="6" t="inlineStr">
        <is>
          <t>444530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inlineStr"/>
      <c r="J2476" s="10" t="inlineStr"/>
      <c r="K2476" s="10" t="inlineStr"/>
      <c r="L2476" s="7" t="inlineStr"/>
      <c r="M2476" s="8" t="inlineStr"/>
      <c r="N2476" s="8" t="inlineStr"/>
      <c r="O2476" s="9" t="inlineStr"/>
      <c r="P2476" s="10" t="inlineStr"/>
      <c r="Q2476" s="10" t="inlineStr"/>
      <c r="R2476" s="7" t="inlineStr"/>
      <c r="S2476" s="8" t="inlineStr"/>
      <c r="T2476" s="8" t="inlineStr"/>
      <c r="U2476" s="9" t="inlineStr"/>
      <c r="V2476" s="10" t="n">
        <v>-1094</v>
      </c>
      <c r="W2476" s="10" t="n">
        <v>-1116</v>
      </c>
      <c r="X2476" s="7" t="n">
        <v>908</v>
      </c>
      <c r="Y2476" s="8" t="n">
        <v>-1023</v>
      </c>
      <c r="Z2476" s="8" t="n">
        <v>-973</v>
      </c>
      <c r="AA2476" s="9" t="n">
        <v>1870</v>
      </c>
      <c r="AB2476" s="10" t="n">
        <v>-3056</v>
      </c>
      <c r="AC2476" s="10" t="n">
        <v>-3001</v>
      </c>
      <c r="AD2476" s="7" t="inlineStr"/>
      <c r="AE2476" s="8" t="n">
        <v>2508</v>
      </c>
      <c r="AF2476" s="8" t="n">
        <v>2560</v>
      </c>
      <c r="AG2476" s="9" t="n">
        <v>472</v>
      </c>
      <c r="AH2476" s="10" t="n">
        <v>-2373</v>
      </c>
      <c r="AI2476" s="10" t="n">
        <v>-2324</v>
      </c>
      <c r="AJ2476" s="11" t="n">
        <v>2245</v>
      </c>
      <c r="AK2476" s="12" t="n">
        <v>-1441</v>
      </c>
      <c r="AL2476" s="12" t="n">
        <v>-1395</v>
      </c>
      <c r="AM2476" s="13" t="n">
        <v>375.6</v>
      </c>
      <c r="AN2476" s="13" t="n">
        <v>147.2</v>
      </c>
      <c r="AO2476" s="13" t="n">
        <v>39.3</v>
      </c>
      <c r="AP2476" s="13" t="n">
        <v>-40.9</v>
      </c>
    </row>
    <row r="2477">
      <c r="A2477" s="5" t="inlineStr">
        <is>
          <t>에이직랜드</t>
        </is>
      </c>
      <c r="B2477" s="6" t="inlineStr">
        <is>
          <t>445090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21657</v>
      </c>
      <c r="J2477" s="10" t="n">
        <v>1835</v>
      </c>
      <c r="K2477" s="10" t="n">
        <v>1743</v>
      </c>
      <c r="L2477" s="7" t="n">
        <v>12094</v>
      </c>
      <c r="M2477" s="8" t="n">
        <v>-3954</v>
      </c>
      <c r="N2477" s="8" t="n">
        <v>-1734</v>
      </c>
      <c r="O2477" s="9" t="n">
        <v>14167</v>
      </c>
      <c r="P2477" s="10" t="n">
        <v>-5513</v>
      </c>
      <c r="Q2477" s="10" t="n">
        <v>-5608</v>
      </c>
      <c r="R2477" s="7" t="n">
        <v>46140</v>
      </c>
      <c r="S2477" s="8" t="n">
        <v>-9337</v>
      </c>
      <c r="T2477" s="8" t="n">
        <v>-8409</v>
      </c>
      <c r="U2477" s="9" t="n">
        <v>15767</v>
      </c>
      <c r="V2477" s="10" t="n">
        <v>-7936</v>
      </c>
      <c r="W2477" s="10" t="n">
        <v>-8269</v>
      </c>
      <c r="X2477" s="7" t="n">
        <v>14694</v>
      </c>
      <c r="Y2477" s="8" t="n">
        <v>-5227</v>
      </c>
      <c r="Z2477" s="8" t="n">
        <v>-5135</v>
      </c>
      <c r="AA2477" s="9" t="n">
        <v>16175</v>
      </c>
      <c r="AB2477" s="10" t="n">
        <v>-4478</v>
      </c>
      <c r="AC2477" s="10" t="n">
        <v>-6135</v>
      </c>
      <c r="AD2477" s="7" t="n">
        <v>26214</v>
      </c>
      <c r="AE2477" s="8" t="n">
        <v>-9937</v>
      </c>
      <c r="AF2477" s="8" t="n">
        <v>-7017</v>
      </c>
      <c r="AG2477" s="9" t="n">
        <v>53988</v>
      </c>
      <c r="AH2477" s="10" t="n">
        <v>-2991</v>
      </c>
      <c r="AI2477" s="10" t="n">
        <v>-2681</v>
      </c>
      <c r="AJ2477" s="11" t="n">
        <v>59740</v>
      </c>
      <c r="AK2477" s="12" t="n">
        <v>7980</v>
      </c>
      <c r="AL2477" s="12" t="n">
        <v>9028</v>
      </c>
      <c r="AM2477" s="13" t="n">
        <v>10.7</v>
      </c>
      <c r="AN2477" s="13" t="n">
        <v>306.6</v>
      </c>
      <c r="AO2477" s="13" t="n">
        <v>366.8</v>
      </c>
      <c r="AP2477" s="13" t="n">
        <v>252.7</v>
      </c>
    </row>
    <row r="2478">
      <c r="A2478" s="5" t="inlineStr">
        <is>
          <t>퓨릿</t>
        </is>
      </c>
      <c r="B2478" s="6" t="inlineStr">
        <is>
          <t>445180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28163</v>
      </c>
      <c r="J2478" s="10" t="n">
        <v>2808</v>
      </c>
      <c r="K2478" s="10" t="n">
        <v>2537</v>
      </c>
      <c r="L2478" s="7" t="n">
        <v>29658</v>
      </c>
      <c r="M2478" s="8" t="n">
        <v>3072</v>
      </c>
      <c r="N2478" s="8" t="n">
        <v>2874</v>
      </c>
      <c r="O2478" s="9" t="n">
        <v>31962</v>
      </c>
      <c r="P2478" s="10" t="n">
        <v>3561</v>
      </c>
      <c r="Q2478" s="10" t="n">
        <v>2611</v>
      </c>
      <c r="R2478" s="7" t="n">
        <v>32754</v>
      </c>
      <c r="S2478" s="8" t="n">
        <v>4518</v>
      </c>
      <c r="T2478" s="8" t="n">
        <v>3800</v>
      </c>
      <c r="U2478" s="9" t="n">
        <v>33831</v>
      </c>
      <c r="V2478" s="10" t="n">
        <v>3336</v>
      </c>
      <c r="W2478" s="10" t="n">
        <v>3236</v>
      </c>
      <c r="X2478" s="7" t="n">
        <v>35446</v>
      </c>
      <c r="Y2478" s="8" t="n">
        <v>4222</v>
      </c>
      <c r="Z2478" s="8" t="n">
        <v>3749</v>
      </c>
      <c r="AA2478" s="9" t="n">
        <v>36919</v>
      </c>
      <c r="AB2478" s="10" t="n">
        <v>5250</v>
      </c>
      <c r="AC2478" s="10" t="n">
        <v>4443</v>
      </c>
      <c r="AD2478" s="7" t="n">
        <v>36351</v>
      </c>
      <c r="AE2478" s="8" t="n">
        <v>4410</v>
      </c>
      <c r="AF2478" s="8" t="n">
        <v>3727</v>
      </c>
      <c r="AG2478" s="9" t="n">
        <v>37765</v>
      </c>
      <c r="AH2478" s="10" t="n">
        <v>5963</v>
      </c>
      <c r="AI2478" s="10" t="n">
        <v>4867</v>
      </c>
      <c r="AJ2478" s="11" t="n">
        <v>44880</v>
      </c>
      <c r="AK2478" s="12" t="n">
        <v>6489</v>
      </c>
      <c r="AL2478" s="12" t="n">
        <v>5258</v>
      </c>
      <c r="AM2478" s="13" t="n">
        <v>18.8</v>
      </c>
      <c r="AN2478" s="13" t="n">
        <v>26.6</v>
      </c>
      <c r="AO2478" s="13" t="n">
        <v>8.800000000000001</v>
      </c>
      <c r="AP2478" s="13" t="n">
        <v>53.7</v>
      </c>
    </row>
    <row r="2479">
      <c r="A2479" s="5" t="inlineStr">
        <is>
          <t>큐리옥스바이오시스템즈</t>
        </is>
      </c>
      <c r="B2479" s="6" t="inlineStr">
        <is>
          <t>445680</t>
        </is>
      </c>
      <c r="C2479" s="6" t="inlineStr">
        <is>
          <t>연결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1588</v>
      </c>
      <c r="J2479" s="10" t="n">
        <v>-3260</v>
      </c>
      <c r="K2479" s="10" t="n">
        <v>-2657</v>
      </c>
      <c r="L2479" s="7" t="n">
        <v>1093</v>
      </c>
      <c r="M2479" s="8" t="n">
        <v>-3229</v>
      </c>
      <c r="N2479" s="8" t="n">
        <v>-3075</v>
      </c>
      <c r="O2479" s="9" t="n">
        <v>951</v>
      </c>
      <c r="P2479" s="10" t="n">
        <v>-3259</v>
      </c>
      <c r="Q2479" s="10" t="n">
        <v>-4019</v>
      </c>
      <c r="R2479" s="7" t="n">
        <v>956</v>
      </c>
      <c r="S2479" s="8" t="n">
        <v>-3630</v>
      </c>
      <c r="T2479" s="8" t="n">
        <v>1662</v>
      </c>
      <c r="U2479" s="9" t="n">
        <v>922</v>
      </c>
      <c r="V2479" s="10" t="n">
        <v>-3024</v>
      </c>
      <c r="W2479" s="10" t="n">
        <v>-3618</v>
      </c>
      <c r="X2479" s="7" t="n">
        <v>996</v>
      </c>
      <c r="Y2479" s="8" t="n">
        <v>-3958</v>
      </c>
      <c r="Z2479" s="8" t="n">
        <v>-18262</v>
      </c>
      <c r="AA2479" s="9" t="n">
        <v>1385</v>
      </c>
      <c r="AB2479" s="10" t="n">
        <v>-2680</v>
      </c>
      <c r="AC2479" s="10" t="n">
        <v>-3030</v>
      </c>
      <c r="AD2479" s="7" t="n">
        <v>1849</v>
      </c>
      <c r="AE2479" s="8" t="n">
        <v>-2652</v>
      </c>
      <c r="AF2479" s="8" t="n">
        <v>-2268</v>
      </c>
      <c r="AG2479" s="9" t="n">
        <v>1325</v>
      </c>
      <c r="AH2479" s="10" t="n">
        <v>-3252</v>
      </c>
      <c r="AI2479" s="10" t="n">
        <v>-2641</v>
      </c>
      <c r="AJ2479" s="11" t="n">
        <v>1176</v>
      </c>
      <c r="AK2479" s="12" t="n">
        <v>-4457</v>
      </c>
      <c r="AL2479" s="12" t="n">
        <v>-4841</v>
      </c>
      <c r="AM2479" s="13" t="n">
        <v>-11.2</v>
      </c>
      <c r="AN2479" s="13" t="n">
        <v>18.1</v>
      </c>
      <c r="AO2479" s="13" t="n">
        <v>-37.1</v>
      </c>
      <c r="AP2479" s="13" t="n">
        <v>-12.6</v>
      </c>
    </row>
    <row r="2480">
      <c r="A2480" s="5" t="inlineStr">
        <is>
          <t>유니드비티플러스</t>
        </is>
      </c>
      <c r="B2480" s="6" t="inlineStr">
        <is>
          <t>446070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51090</v>
      </c>
      <c r="J2480" s="10" t="n">
        <v>-440</v>
      </c>
      <c r="K2480" s="10" t="n">
        <v>1089</v>
      </c>
      <c r="L2480" s="7" t="n">
        <v>51985</v>
      </c>
      <c r="M2480" s="8" t="n">
        <v>3502</v>
      </c>
      <c r="N2480" s="8" t="n">
        <v>3832</v>
      </c>
      <c r="O2480" s="9" t="n">
        <v>45800</v>
      </c>
      <c r="P2480" s="10" t="n">
        <v>47</v>
      </c>
      <c r="Q2480" s="10" t="n">
        <v>1535</v>
      </c>
      <c r="R2480" s="7" t="n">
        <v>46019</v>
      </c>
      <c r="S2480" s="8" t="n">
        <v>-55</v>
      </c>
      <c r="T2480" s="8" t="n">
        <v>-59</v>
      </c>
      <c r="U2480" s="9" t="n">
        <v>45093</v>
      </c>
      <c r="V2480" s="10" t="n">
        <v>-672</v>
      </c>
      <c r="W2480" s="10" t="n">
        <v>495</v>
      </c>
      <c r="X2480" s="7" t="n">
        <v>41222</v>
      </c>
      <c r="Y2480" s="8" t="n">
        <v>-572</v>
      </c>
      <c r="Z2480" s="8" t="n">
        <v>578</v>
      </c>
      <c r="AA2480" s="9" t="n">
        <v>37914</v>
      </c>
      <c r="AB2480" s="10" t="n">
        <v>-1438</v>
      </c>
      <c r="AC2480" s="10" t="n">
        <v>-338</v>
      </c>
      <c r="AD2480" s="7" t="n">
        <v>33302</v>
      </c>
      <c r="AE2480" s="8" t="n">
        <v>-6470</v>
      </c>
      <c r="AF2480" s="8" t="n">
        <v>-4696</v>
      </c>
      <c r="AG2480" s="9" t="n">
        <v>40294</v>
      </c>
      <c r="AH2480" s="10" t="n">
        <v>-1912</v>
      </c>
      <c r="AI2480" s="10" t="n">
        <v>-1462</v>
      </c>
      <c r="AJ2480" s="11" t="n">
        <v>42965</v>
      </c>
      <c r="AK2480" s="12" t="n">
        <v>2019</v>
      </c>
      <c r="AL2480" s="12" t="n">
        <v>3128</v>
      </c>
      <c r="AM2480" s="13" t="n">
        <v>6.6</v>
      </c>
      <c r="AN2480" s="13" t="n">
        <v>4.2</v>
      </c>
      <c r="AO2480" s="13" t="n">
        <v>205.6</v>
      </c>
      <c r="AP2480" s="13" t="n">
        <v>453</v>
      </c>
    </row>
    <row r="2481">
      <c r="A2481" s="5" t="inlineStr">
        <is>
          <t>메가터치</t>
        </is>
      </c>
      <c r="B2481" s="6" t="inlineStr">
        <is>
          <t>446540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10863</v>
      </c>
      <c r="J2481" s="10" t="n">
        <v>839</v>
      </c>
      <c r="K2481" s="10" t="n">
        <v>1373</v>
      </c>
      <c r="L2481" s="7" t="n">
        <v>13120</v>
      </c>
      <c r="M2481" s="8" t="n">
        <v>1429</v>
      </c>
      <c r="N2481" s="8" t="n">
        <v>1376</v>
      </c>
      <c r="O2481" s="9" t="n">
        <v>16919</v>
      </c>
      <c r="P2481" s="10" t="n">
        <v>1503</v>
      </c>
      <c r="Q2481" s="10" t="n">
        <v>959</v>
      </c>
      <c r="R2481" s="7" t="n">
        <v>12090</v>
      </c>
      <c r="S2481" s="8" t="n">
        <v>226</v>
      </c>
      <c r="T2481" s="8" t="n">
        <v>1335</v>
      </c>
      <c r="U2481" s="9" t="n">
        <v>9354</v>
      </c>
      <c r="V2481" s="10" t="n">
        <v>-4727</v>
      </c>
      <c r="W2481" s="10" t="n">
        <v>-3608</v>
      </c>
      <c r="X2481" s="7" t="n">
        <v>12138</v>
      </c>
      <c r="Y2481" s="8" t="n">
        <v>-95</v>
      </c>
      <c r="Z2481" s="8" t="n">
        <v>-679</v>
      </c>
      <c r="AA2481" s="9" t="n">
        <v>10003</v>
      </c>
      <c r="AB2481" s="10" t="n">
        <v>-616</v>
      </c>
      <c r="AC2481" s="10" t="n">
        <v>-357</v>
      </c>
      <c r="AD2481" s="7" t="n">
        <v>11745</v>
      </c>
      <c r="AE2481" s="8" t="n">
        <v>1263</v>
      </c>
      <c r="AF2481" s="8" t="n">
        <v>1785</v>
      </c>
      <c r="AG2481" s="9" t="n">
        <v>15877</v>
      </c>
      <c r="AH2481" s="10" t="n">
        <v>1937</v>
      </c>
      <c r="AI2481" s="10" t="n">
        <v>1999</v>
      </c>
      <c r="AJ2481" s="11" t="n">
        <v>25216</v>
      </c>
      <c r="AK2481" s="12" t="n">
        <v>4772</v>
      </c>
      <c r="AL2481" s="12" t="n">
        <v>4080</v>
      </c>
      <c r="AM2481" s="13" t="n">
        <v>58.8</v>
      </c>
      <c r="AN2481" s="13" t="n">
        <v>107.7</v>
      </c>
      <c r="AO2481" s="13" t="n">
        <v>146.4</v>
      </c>
      <c r="AP2481" s="13" t="n">
        <v>5123.2</v>
      </c>
    </row>
    <row r="2482">
      <c r="A2482" s="5" t="inlineStr">
        <is>
          <t>지슨</t>
        </is>
      </c>
      <c r="B2482" s="6" t="inlineStr">
        <is>
          <t>446840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0</v>
      </c>
      <c r="J2482" s="10" t="n">
        <v>-3</v>
      </c>
      <c r="K2482" s="10" t="n">
        <v>56</v>
      </c>
      <c r="L2482" s="7" t="n">
        <v>0</v>
      </c>
      <c r="M2482" s="8" t="n">
        <v>-5</v>
      </c>
      <c r="N2482" s="8" t="n">
        <v>58</v>
      </c>
      <c r="O2482" s="9" t="n">
        <v>0</v>
      </c>
      <c r="P2482" s="10" t="n">
        <v>-9</v>
      </c>
      <c r="Q2482" s="10" t="n">
        <v>58</v>
      </c>
      <c r="R2482" s="7" t="n">
        <v>0</v>
      </c>
      <c r="S2482" s="8" t="n">
        <v>-9</v>
      </c>
      <c r="T2482" s="8" t="n">
        <v>59</v>
      </c>
      <c r="U2482" s="9" t="n">
        <v>0</v>
      </c>
      <c r="V2482" s="10" t="n">
        <v>-27</v>
      </c>
      <c r="W2482" s="10" t="n">
        <v>37</v>
      </c>
      <c r="X2482" s="7" t="n">
        <v>0</v>
      </c>
      <c r="Y2482" s="8" t="n">
        <v>-39</v>
      </c>
      <c r="Z2482" s="8" t="n">
        <v>24</v>
      </c>
      <c r="AA2482" s="9" t="n">
        <v>3674</v>
      </c>
      <c r="AB2482" s="10" t="n">
        <v>-830</v>
      </c>
      <c r="AC2482" s="10" t="n">
        <v>-4628</v>
      </c>
      <c r="AD2482" s="7" t="n">
        <v>7622</v>
      </c>
      <c r="AE2482" s="8" t="n">
        <v>-5748</v>
      </c>
      <c r="AF2482" s="8" t="n">
        <v>-6162</v>
      </c>
      <c r="AG2482" s="9" t="n">
        <v>2461</v>
      </c>
      <c r="AH2482" s="10" t="n">
        <v>-1890</v>
      </c>
      <c r="AI2482" s="10" t="n">
        <v>-1871</v>
      </c>
      <c r="AJ2482" s="11" t="n">
        <v>4898</v>
      </c>
      <c r="AK2482" s="12" t="n">
        <v>462</v>
      </c>
      <c r="AL2482" s="12" t="n">
        <v>389</v>
      </c>
      <c r="AM2482" s="13" t="n">
        <v>99</v>
      </c>
      <c r="AN2482" s="13" t="inlineStr"/>
      <c r="AO2482" s="13" t="n">
        <v>124.4</v>
      </c>
      <c r="AP2482" s="13" t="n">
        <v>1284.6</v>
      </c>
    </row>
    <row r="2483">
      <c r="A2483" s="5" t="inlineStr">
        <is>
          <t>에코아이</t>
        </is>
      </c>
      <c r="B2483" s="6" t="inlineStr">
        <is>
          <t>448280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5143</v>
      </c>
      <c r="J2483" s="10" t="n">
        <v>304</v>
      </c>
      <c r="K2483" s="10" t="n">
        <v>1019</v>
      </c>
      <c r="L2483" s="7" t="n">
        <v>5745</v>
      </c>
      <c r="M2483" s="8" t="n">
        <v>2077</v>
      </c>
      <c r="N2483" s="8" t="n">
        <v>2193</v>
      </c>
      <c r="O2483" s="9" t="n">
        <v>2489</v>
      </c>
      <c r="P2483" s="10" t="n">
        <v>-1415</v>
      </c>
      <c r="Q2483" s="10" t="n">
        <v>-1072</v>
      </c>
      <c r="R2483" s="7" t="n">
        <v>12392</v>
      </c>
      <c r="S2483" s="8" t="n">
        <v>-767</v>
      </c>
      <c r="T2483" s="8" t="n">
        <v>114</v>
      </c>
      <c r="U2483" s="9" t="n">
        <v>3549</v>
      </c>
      <c r="V2483" s="10" t="n">
        <v>-2268</v>
      </c>
      <c r="W2483" s="10" t="n">
        <v>-1876</v>
      </c>
      <c r="X2483" s="7" t="n">
        <v>5925</v>
      </c>
      <c r="Y2483" s="8" t="n">
        <v>163</v>
      </c>
      <c r="Z2483" s="8" t="n">
        <v>613</v>
      </c>
      <c r="AA2483" s="9" t="n">
        <v>12698</v>
      </c>
      <c r="AB2483" s="10" t="n">
        <v>2128</v>
      </c>
      <c r="AC2483" s="10" t="n">
        <v>1844</v>
      </c>
      <c r="AD2483" s="7" t="n">
        <v>8744</v>
      </c>
      <c r="AE2483" s="8" t="n">
        <v>930</v>
      </c>
      <c r="AF2483" s="8" t="n">
        <v>1204</v>
      </c>
      <c r="AG2483" s="9" t="n">
        <v>5385</v>
      </c>
      <c r="AH2483" s="10" t="n">
        <v>-3713</v>
      </c>
      <c r="AI2483" s="10" t="n">
        <v>-3540</v>
      </c>
      <c r="AJ2483" s="11" t="n">
        <v>17756</v>
      </c>
      <c r="AK2483" s="12" t="n">
        <v>6163</v>
      </c>
      <c r="AL2483" s="12" t="n">
        <v>5809</v>
      </c>
      <c r="AM2483" s="13" t="n">
        <v>229.7</v>
      </c>
      <c r="AN2483" s="13" t="n">
        <v>199.7</v>
      </c>
      <c r="AO2483" s="13" t="n">
        <v>266</v>
      </c>
      <c r="AP2483" s="13" t="n">
        <v>3681</v>
      </c>
    </row>
    <row r="2484">
      <c r="A2484" s="5" t="inlineStr">
        <is>
          <t>코츠테크놀로지</t>
        </is>
      </c>
      <c r="B2484" s="6" t="inlineStr">
        <is>
          <t>448710</t>
        </is>
      </c>
      <c r="C2484" s="6" t="inlineStr">
        <is>
          <t>별도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9137</v>
      </c>
      <c r="J2484" s="10" t="n">
        <v>1061</v>
      </c>
      <c r="K2484" s="10" t="n">
        <v>941</v>
      </c>
      <c r="L2484" s="7" t="n">
        <v>12940</v>
      </c>
      <c r="M2484" s="8" t="n">
        <v>1230</v>
      </c>
      <c r="N2484" s="8" t="n">
        <v>1018</v>
      </c>
      <c r="O2484" s="9" t="n">
        <v>21006</v>
      </c>
      <c r="P2484" s="10" t="n">
        <v>3546</v>
      </c>
      <c r="Q2484" s="10" t="n">
        <v>2969</v>
      </c>
      <c r="R2484" s="7" t="n">
        <v>21898</v>
      </c>
      <c r="S2484" s="8" t="n">
        <v>3642</v>
      </c>
      <c r="T2484" s="8" t="n">
        <v>3246</v>
      </c>
      <c r="U2484" s="9" t="n">
        <v>13594</v>
      </c>
      <c r="V2484" s="10" t="n">
        <v>1946</v>
      </c>
      <c r="W2484" s="10" t="n">
        <v>1711</v>
      </c>
      <c r="X2484" s="7" t="n">
        <v>13839</v>
      </c>
      <c r="Y2484" s="8" t="n">
        <v>1436</v>
      </c>
      <c r="Z2484" s="8" t="n">
        <v>1280</v>
      </c>
      <c r="AA2484" s="9" t="n">
        <v>21320</v>
      </c>
      <c r="AB2484" s="10" t="n">
        <v>4435</v>
      </c>
      <c r="AC2484" s="10" t="n">
        <v>3675</v>
      </c>
      <c r="AD2484" s="7" t="n">
        <v>19361</v>
      </c>
      <c r="AE2484" s="8" t="n">
        <v>498</v>
      </c>
      <c r="AF2484" s="8" t="n">
        <v>708</v>
      </c>
      <c r="AG2484" s="9" t="n">
        <v>16925</v>
      </c>
      <c r="AH2484" s="10" t="n">
        <v>1366</v>
      </c>
      <c r="AI2484" s="10" t="n">
        <v>1527</v>
      </c>
      <c r="AJ2484" s="11" t="n">
        <v>20748</v>
      </c>
      <c r="AK2484" s="12" t="n">
        <v>2480</v>
      </c>
      <c r="AL2484" s="12" t="n">
        <v>1909</v>
      </c>
      <c r="AM2484" s="13" t="n">
        <v>22.6</v>
      </c>
      <c r="AN2484" s="13" t="n">
        <v>49.9</v>
      </c>
      <c r="AO2484" s="13" t="n">
        <v>81.59999999999999</v>
      </c>
      <c r="AP2484" s="13" t="n">
        <v>72.7</v>
      </c>
    </row>
    <row r="2485">
      <c r="A2485" s="5" t="inlineStr">
        <is>
          <t>한국피아이엠</t>
        </is>
      </c>
      <c r="B2485" s="6" t="inlineStr">
        <is>
          <t>448900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inlineStr"/>
      <c r="M2485" s="8" t="inlineStr"/>
      <c r="N2485" s="8" t="inlineStr"/>
      <c r="O2485" s="9" t="inlineStr"/>
      <c r="P2485" s="10" t="inlineStr"/>
      <c r="Q2485" s="10" t="inlineStr"/>
      <c r="R2485" s="7" t="inlineStr"/>
      <c r="S2485" s="8" t="inlineStr"/>
      <c r="T2485" s="8" t="inlineStr"/>
      <c r="U2485" s="9" t="n">
        <v>8635</v>
      </c>
      <c r="V2485" s="10" t="n">
        <v>530</v>
      </c>
      <c r="W2485" s="10" t="n">
        <v>305</v>
      </c>
      <c r="X2485" s="7" t="n">
        <v>8917</v>
      </c>
      <c r="Y2485" s="8" t="n">
        <v>116</v>
      </c>
      <c r="Z2485" s="8" t="n">
        <v>-1824</v>
      </c>
      <c r="AA2485" s="9" t="n">
        <v>11199</v>
      </c>
      <c r="AB2485" s="10" t="n">
        <v>261</v>
      </c>
      <c r="AC2485" s="10" t="n">
        <v>472</v>
      </c>
      <c r="AD2485" s="7" t="n">
        <v>8180</v>
      </c>
      <c r="AE2485" s="8" t="n">
        <v>549</v>
      </c>
      <c r="AF2485" s="8" t="n">
        <v>993</v>
      </c>
      <c r="AG2485" s="9" t="n">
        <v>8313</v>
      </c>
      <c r="AH2485" s="10" t="n">
        <v>-747</v>
      </c>
      <c r="AI2485" s="10" t="n">
        <v>-43</v>
      </c>
      <c r="AJ2485" s="11" t="n">
        <v>10503</v>
      </c>
      <c r="AK2485" s="12" t="n">
        <v>180</v>
      </c>
      <c r="AL2485" s="12" t="n">
        <v>761</v>
      </c>
      <c r="AM2485" s="13" t="n">
        <v>26.3</v>
      </c>
      <c r="AN2485" s="13" t="n">
        <v>17.8</v>
      </c>
      <c r="AO2485" s="13" t="n">
        <v>124.1</v>
      </c>
      <c r="AP2485" s="13" t="n">
        <v>55.2</v>
      </c>
    </row>
    <row r="2486">
      <c r="A2486" s="5" t="inlineStr">
        <is>
          <t>에코프로머티</t>
        </is>
      </c>
      <c r="B2486" s="6" t="inlineStr">
        <is>
          <t>450080</t>
        </is>
      </c>
      <c r="C2486" s="6" t="inlineStr">
        <is>
          <t>연결</t>
        </is>
      </c>
      <c r="D2486" s="6" t="inlineStr">
        <is>
          <t>2026Q2</t>
        </is>
      </c>
      <c r="E2486" s="6" t="inlineStr">
        <is>
          <t>2023Q4</t>
        </is>
      </c>
      <c r="F2486" s="14" t="n">
        <v>188400</v>
      </c>
      <c r="G2486" s="15" t="n">
        <v>136</v>
      </c>
      <c r="H2486" s="15" t="n">
        <v>12913</v>
      </c>
      <c r="I2486" s="9" t="n">
        <v>79185</v>
      </c>
      <c r="J2486" s="10" t="n">
        <v>-12972</v>
      </c>
      <c r="K2486" s="10" t="n">
        <v>-8464</v>
      </c>
      <c r="L2486" s="7" t="n">
        <v>66692</v>
      </c>
      <c r="M2486" s="8" t="n">
        <v>-3667</v>
      </c>
      <c r="N2486" s="8" t="n">
        <v>-847</v>
      </c>
      <c r="O2486" s="9" t="n">
        <v>65875</v>
      </c>
      <c r="P2486" s="10" t="n">
        <v>-38537</v>
      </c>
      <c r="Q2486" s="10" t="n">
        <v>-27739</v>
      </c>
      <c r="R2486" s="7" t="n">
        <v>88094</v>
      </c>
      <c r="S2486" s="8" t="n">
        <v>-9544</v>
      </c>
      <c r="T2486" s="8" t="n">
        <v>-5636</v>
      </c>
      <c r="U2486" s="9" t="n">
        <v>136081</v>
      </c>
      <c r="V2486" s="10" t="n">
        <v>-14784</v>
      </c>
      <c r="W2486" s="10" t="n">
        <v>-7326</v>
      </c>
      <c r="X2486" s="7" t="n">
        <v>78069</v>
      </c>
      <c r="Y2486" s="8" t="n">
        <v>-28790</v>
      </c>
      <c r="Z2486" s="8" t="n">
        <v>-33502</v>
      </c>
      <c r="AA2486" s="9" t="n">
        <v>63154</v>
      </c>
      <c r="AB2486" s="10" t="n">
        <v>-25141</v>
      </c>
      <c r="AC2486" s="10" t="n">
        <v>161588</v>
      </c>
      <c r="AD2486" s="7" t="n">
        <v>115202</v>
      </c>
      <c r="AE2486" s="8" t="n">
        <v>3346</v>
      </c>
      <c r="AF2486" s="8" t="n">
        <v>-96656</v>
      </c>
      <c r="AG2486" s="9" t="n">
        <v>166529</v>
      </c>
      <c r="AH2486" s="10" t="n">
        <v>15678</v>
      </c>
      <c r="AI2486" s="10" t="n">
        <v>24618</v>
      </c>
      <c r="AJ2486" s="11" t="n">
        <v>178788</v>
      </c>
      <c r="AK2486" s="12" t="n">
        <v>-10584</v>
      </c>
      <c r="AL2486" s="12" t="n">
        <v>-12449</v>
      </c>
      <c r="AM2486" s="13" t="n">
        <v>7.4</v>
      </c>
      <c r="AN2486" s="13" t="n">
        <v>129</v>
      </c>
      <c r="AO2486" s="13" t="n">
        <v>-167.5</v>
      </c>
      <c r="AP2486" s="13" t="n">
        <v>63.2</v>
      </c>
    </row>
    <row r="2487">
      <c r="A2487" s="5" t="inlineStr">
        <is>
          <t>하스</t>
        </is>
      </c>
      <c r="B2487" s="6" t="inlineStr">
        <is>
          <t>450330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n">
        <v>4076</v>
      </c>
      <c r="M2487" s="8" t="n">
        <v>108</v>
      </c>
      <c r="N2487" s="8" t="n">
        <v>195</v>
      </c>
      <c r="O2487" s="9" t="n">
        <v>3350</v>
      </c>
      <c r="P2487" s="10" t="n">
        <v>-181</v>
      </c>
      <c r="Q2487" s="10" t="n">
        <v>-75</v>
      </c>
      <c r="R2487" s="7" t="inlineStr"/>
      <c r="S2487" s="8" t="inlineStr"/>
      <c r="T2487" s="8" t="inlineStr"/>
      <c r="U2487" s="9" t="n">
        <v>3334</v>
      </c>
      <c r="V2487" s="10" t="n">
        <v>-695</v>
      </c>
      <c r="W2487" s="10" t="n">
        <v>-761</v>
      </c>
      <c r="X2487" s="7" t="n">
        <v>4608</v>
      </c>
      <c r="Y2487" s="8" t="n">
        <v>963</v>
      </c>
      <c r="Z2487" s="8" t="n">
        <v>984</v>
      </c>
      <c r="AA2487" s="9" t="n">
        <v>4831</v>
      </c>
      <c r="AB2487" s="10" t="n">
        <v>305</v>
      </c>
      <c r="AC2487" s="10" t="n">
        <v>308</v>
      </c>
      <c r="AD2487" s="7" t="n">
        <v>3818</v>
      </c>
      <c r="AE2487" s="8" t="n">
        <v>330</v>
      </c>
      <c r="AF2487" s="8" t="n">
        <v>1017</v>
      </c>
      <c r="AG2487" s="9" t="n">
        <v>3318</v>
      </c>
      <c r="AH2487" s="10" t="n">
        <v>-818</v>
      </c>
      <c r="AI2487" s="10" t="n">
        <v>-901</v>
      </c>
      <c r="AJ2487" s="11" t="n">
        <v>4118</v>
      </c>
      <c r="AK2487" s="12" t="n">
        <v>-615</v>
      </c>
      <c r="AL2487" s="12" t="n">
        <v>-580</v>
      </c>
      <c r="AM2487" s="13" t="n">
        <v>24.1</v>
      </c>
      <c r="AN2487" s="13" t="n">
        <v>-10.6</v>
      </c>
      <c r="AO2487" s="13" t="n">
        <v>24.8</v>
      </c>
      <c r="AP2487" s="13" t="n">
        <v>-163.9</v>
      </c>
    </row>
    <row r="2488">
      <c r="A2488" s="5" t="inlineStr">
        <is>
          <t>인스웨이브</t>
        </is>
      </c>
      <c r="B2488" s="6" t="inlineStr">
        <is>
          <t>450520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6985</v>
      </c>
      <c r="J2488" s="10" t="n">
        <v>-1879</v>
      </c>
      <c r="K2488" s="10" t="n">
        <v>-1486</v>
      </c>
      <c r="L2488" s="7" t="n">
        <v>4929</v>
      </c>
      <c r="M2488" s="8" t="n">
        <v>-1848</v>
      </c>
      <c r="N2488" s="8" t="n">
        <v>-1057</v>
      </c>
      <c r="O2488" s="9" t="n">
        <v>9073</v>
      </c>
      <c r="P2488" s="10" t="n">
        <v>148</v>
      </c>
      <c r="Q2488" s="10" t="n">
        <v>525</v>
      </c>
      <c r="R2488" s="7" t="n">
        <v>9426</v>
      </c>
      <c r="S2488" s="8" t="n">
        <v>-14</v>
      </c>
      <c r="T2488" s="8" t="n">
        <v>58</v>
      </c>
      <c r="U2488" s="9" t="n">
        <v>7112</v>
      </c>
      <c r="V2488" s="10" t="n">
        <v>-3390</v>
      </c>
      <c r="W2488" s="10" t="n">
        <v>-2846</v>
      </c>
      <c r="X2488" s="7" t="n">
        <v>10375</v>
      </c>
      <c r="Y2488" s="8" t="n">
        <v>-1072</v>
      </c>
      <c r="Z2488" s="8" t="n">
        <v>-585</v>
      </c>
      <c r="AA2488" s="9" t="n">
        <v>11455</v>
      </c>
      <c r="AB2488" s="10" t="n">
        <v>-884</v>
      </c>
      <c r="AC2488" s="10" t="n">
        <v>-1015</v>
      </c>
      <c r="AD2488" s="7" t="n">
        <v>10016</v>
      </c>
      <c r="AE2488" s="8" t="n">
        <v>491</v>
      </c>
      <c r="AF2488" s="8" t="n">
        <v>969</v>
      </c>
      <c r="AG2488" s="9" t="n">
        <v>11261</v>
      </c>
      <c r="AH2488" s="10" t="n">
        <v>-2808</v>
      </c>
      <c r="AI2488" s="10" t="n">
        <v>-2243</v>
      </c>
      <c r="AJ2488" s="11" t="n">
        <v>15326</v>
      </c>
      <c r="AK2488" s="12" t="n">
        <v>-128</v>
      </c>
      <c r="AL2488" s="12" t="n">
        <v>135</v>
      </c>
      <c r="AM2488" s="13" t="n">
        <v>36.1</v>
      </c>
      <c r="AN2488" s="13" t="n">
        <v>47.7</v>
      </c>
      <c r="AO2488" s="13" t="n">
        <v>95.40000000000001</v>
      </c>
      <c r="AP2488" s="13" t="n">
        <v>88.09999999999999</v>
      </c>
    </row>
    <row r="2489">
      <c r="A2489" s="5" t="inlineStr">
        <is>
          <t>아스테라시스</t>
        </is>
      </c>
      <c r="B2489" s="6" t="inlineStr">
        <is>
          <t>450950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inlineStr"/>
      <c r="J2489" s="10" t="inlineStr"/>
      <c r="K2489" s="10" t="inlineStr"/>
      <c r="L2489" s="7" t="inlineStr"/>
      <c r="M2489" s="8" t="inlineStr"/>
      <c r="N2489" s="8" t="inlineStr"/>
      <c r="O2489" s="9" t="inlineStr"/>
      <c r="P2489" s="10" t="inlineStr"/>
      <c r="Q2489" s="10" t="inlineStr"/>
      <c r="R2489" s="7" t="inlineStr"/>
      <c r="S2489" s="8" t="inlineStr"/>
      <c r="T2489" s="8" t="inlineStr"/>
      <c r="U2489" s="9" t="n">
        <v>6690</v>
      </c>
      <c r="V2489" s="10" t="n">
        <v>591</v>
      </c>
      <c r="W2489" s="10" t="n">
        <v>524</v>
      </c>
      <c r="X2489" s="7" t="n">
        <v>10337</v>
      </c>
      <c r="Y2489" s="8" t="n">
        <v>3837</v>
      </c>
      <c r="Z2489" s="8" t="n">
        <v>2939</v>
      </c>
      <c r="AA2489" s="9" t="n">
        <v>8752</v>
      </c>
      <c r="AB2489" s="10" t="n">
        <v>2303</v>
      </c>
      <c r="AC2489" s="10" t="n">
        <v>1906</v>
      </c>
      <c r="AD2489" s="7" t="n">
        <v>12165</v>
      </c>
      <c r="AE2489" s="8" t="n">
        <v>3661</v>
      </c>
      <c r="AF2489" s="8" t="n">
        <v>3841</v>
      </c>
      <c r="AG2489" s="9" t="n">
        <v>7471</v>
      </c>
      <c r="AH2489" s="10" t="n">
        <v>-1783</v>
      </c>
      <c r="AI2489" s="10" t="n">
        <v>-960</v>
      </c>
      <c r="AJ2489" s="11" t="n">
        <v>11222</v>
      </c>
      <c r="AK2489" s="12" t="n">
        <v>79</v>
      </c>
      <c r="AL2489" s="12" t="n">
        <v>1298</v>
      </c>
      <c r="AM2489" s="13" t="n">
        <v>50.2</v>
      </c>
      <c r="AN2489" s="13" t="n">
        <v>8.6</v>
      </c>
      <c r="AO2489" s="13" t="n">
        <v>104.4</v>
      </c>
      <c r="AP2489" s="13" t="n">
        <v>-97.90000000000001</v>
      </c>
    </row>
    <row r="2490">
      <c r="A2490" s="5" t="inlineStr">
        <is>
          <t>아이엠티</t>
        </is>
      </c>
      <c r="B2490" s="6" t="inlineStr">
        <is>
          <t>451220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1727</v>
      </c>
      <c r="J2490" s="10" t="n">
        <v>-665</v>
      </c>
      <c r="K2490" s="10" t="n">
        <v>-399</v>
      </c>
      <c r="L2490" s="7" t="n">
        <v>1647</v>
      </c>
      <c r="M2490" s="8" t="n">
        <v>-674</v>
      </c>
      <c r="N2490" s="8" t="n">
        <v>-875</v>
      </c>
      <c r="O2490" s="9" t="n">
        <v>4731</v>
      </c>
      <c r="P2490" s="10" t="n">
        <v>-410</v>
      </c>
      <c r="Q2490" s="10" t="n">
        <v>-479</v>
      </c>
      <c r="R2490" s="7" t="n">
        <v>5460</v>
      </c>
      <c r="S2490" s="8" t="n">
        <v>-412</v>
      </c>
      <c r="T2490" s="8" t="n">
        <v>-1871</v>
      </c>
      <c r="U2490" s="9" t="n">
        <v>5653</v>
      </c>
      <c r="V2490" s="10" t="n">
        <v>-1032</v>
      </c>
      <c r="W2490" s="10" t="n">
        <v>-1195</v>
      </c>
      <c r="X2490" s="7" t="n">
        <v>7362</v>
      </c>
      <c r="Y2490" s="8" t="n">
        <v>-397</v>
      </c>
      <c r="Z2490" s="8" t="n">
        <v>-772</v>
      </c>
      <c r="AA2490" s="9" t="n">
        <v>9818</v>
      </c>
      <c r="AB2490" s="10" t="n">
        <v>131</v>
      </c>
      <c r="AC2490" s="10" t="n">
        <v>2166</v>
      </c>
      <c r="AD2490" s="7" t="n">
        <v>10111</v>
      </c>
      <c r="AE2490" s="8" t="n">
        <v>1457</v>
      </c>
      <c r="AF2490" s="8" t="n">
        <v>774</v>
      </c>
      <c r="AG2490" s="9" t="n">
        <v>12238</v>
      </c>
      <c r="AH2490" s="10" t="n">
        <v>1052</v>
      </c>
      <c r="AI2490" s="10" t="n">
        <v>844</v>
      </c>
      <c r="AJ2490" s="11" t="n">
        <v>9347</v>
      </c>
      <c r="AK2490" s="12" t="n">
        <v>-163</v>
      </c>
      <c r="AL2490" s="12" t="n">
        <v>-407</v>
      </c>
      <c r="AM2490" s="13" t="n">
        <v>-23.6</v>
      </c>
      <c r="AN2490" s="13" t="n">
        <v>27</v>
      </c>
      <c r="AO2490" s="13" t="n">
        <v>-115.5</v>
      </c>
      <c r="AP2490" s="13" t="n">
        <v>58.9</v>
      </c>
    </row>
    <row r="2491">
      <c r="A2491" s="5" t="inlineStr">
        <is>
          <t>삐아</t>
        </is>
      </c>
      <c r="B2491" s="6" t="inlineStr">
        <is>
          <t>451250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12376</v>
      </c>
      <c r="J2491" s="10" t="n">
        <v>1743</v>
      </c>
      <c r="K2491" s="10" t="n">
        <v>1419</v>
      </c>
      <c r="L2491" s="7" t="n">
        <v>13651</v>
      </c>
      <c r="M2491" s="8" t="n">
        <v>592</v>
      </c>
      <c r="N2491" s="8" t="n">
        <v>-3249</v>
      </c>
      <c r="O2491" s="9" t="n">
        <v>14138</v>
      </c>
      <c r="P2491" s="10" t="n">
        <v>1021</v>
      </c>
      <c r="Q2491" s="10" t="n">
        <v>1688</v>
      </c>
      <c r="R2491" s="7" t="n">
        <v>17480</v>
      </c>
      <c r="S2491" s="8" t="n">
        <v>2184</v>
      </c>
      <c r="T2491" s="8" t="n">
        <v>750</v>
      </c>
      <c r="U2491" s="9" t="n">
        <v>15459</v>
      </c>
      <c r="V2491" s="10" t="n">
        <v>1260</v>
      </c>
      <c r="W2491" s="10" t="n">
        <v>1808</v>
      </c>
      <c r="X2491" s="7" t="n">
        <v>17402</v>
      </c>
      <c r="Y2491" s="8" t="n">
        <v>187</v>
      </c>
      <c r="Z2491" s="8" t="n">
        <v>-180</v>
      </c>
      <c r="AA2491" s="9" t="n">
        <v>18738</v>
      </c>
      <c r="AB2491" s="10" t="n">
        <v>1809</v>
      </c>
      <c r="AC2491" s="10" t="n">
        <v>1441</v>
      </c>
      <c r="AD2491" s="7" t="n">
        <v>16373</v>
      </c>
      <c r="AE2491" s="8" t="n">
        <v>1213</v>
      </c>
      <c r="AF2491" s="8" t="n">
        <v>1687</v>
      </c>
      <c r="AG2491" s="9" t="n">
        <v>20256</v>
      </c>
      <c r="AH2491" s="10" t="n">
        <v>2943</v>
      </c>
      <c r="AI2491" s="10" t="n">
        <v>2334</v>
      </c>
      <c r="AJ2491" s="11" t="n">
        <v>21796</v>
      </c>
      <c r="AK2491" s="12" t="n">
        <v>1770</v>
      </c>
      <c r="AL2491" s="12" t="n">
        <v>1543</v>
      </c>
      <c r="AM2491" s="13" t="n">
        <v>7.6</v>
      </c>
      <c r="AN2491" s="13" t="n">
        <v>25.2</v>
      </c>
      <c r="AO2491" s="13" t="n">
        <v>-39.9</v>
      </c>
      <c r="AP2491" s="13" t="n">
        <v>846.5</v>
      </c>
    </row>
    <row r="2492">
      <c r="A2492" s="5" t="inlineStr">
        <is>
          <t>컨텍</t>
        </is>
      </c>
      <c r="B2492" s="6" t="inlineStr">
        <is>
          <t>451760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9149</v>
      </c>
      <c r="J2492" s="10" t="n">
        <v>-3180</v>
      </c>
      <c r="K2492" s="10" t="n">
        <v>-2320</v>
      </c>
      <c r="L2492" s="7" t="n">
        <v>5059</v>
      </c>
      <c r="M2492" s="8" t="n">
        <v>-4016</v>
      </c>
      <c r="N2492" s="8" t="n">
        <v>-3458</v>
      </c>
      <c r="O2492" s="9" t="n">
        <v>16687</v>
      </c>
      <c r="P2492" s="10" t="n">
        <v>-117</v>
      </c>
      <c r="Q2492" s="10" t="n">
        <v>-1205</v>
      </c>
      <c r="R2492" s="7" t="n">
        <v>38088</v>
      </c>
      <c r="S2492" s="8" t="n">
        <v>-4873</v>
      </c>
      <c r="T2492" s="8" t="n">
        <v>-12145</v>
      </c>
      <c r="U2492" s="9" t="n">
        <v>18783</v>
      </c>
      <c r="V2492" s="10" t="n">
        <v>-5170</v>
      </c>
      <c r="W2492" s="10" t="n">
        <v>-4819</v>
      </c>
      <c r="X2492" s="7" t="n">
        <v>26576</v>
      </c>
      <c r="Y2492" s="8" t="n">
        <v>-5313</v>
      </c>
      <c r="Z2492" s="8" t="n">
        <v>-6312</v>
      </c>
      <c r="AA2492" s="9" t="n">
        <v>15196</v>
      </c>
      <c r="AB2492" s="10" t="n">
        <v>-5023</v>
      </c>
      <c r="AC2492" s="10" t="n">
        <v>-4714</v>
      </c>
      <c r="AD2492" s="7" t="n">
        <v>26343</v>
      </c>
      <c r="AE2492" s="8" t="n">
        <v>-664</v>
      </c>
      <c r="AF2492" s="8" t="n">
        <v>5503</v>
      </c>
      <c r="AG2492" s="9" t="n">
        <v>18223</v>
      </c>
      <c r="AH2492" s="10" t="n">
        <v>-2438</v>
      </c>
      <c r="AI2492" s="10" t="n">
        <v>-731</v>
      </c>
      <c r="AJ2492" s="11" t="n">
        <v>17981</v>
      </c>
      <c r="AK2492" s="12" t="n">
        <v>-7913</v>
      </c>
      <c r="AL2492" s="12" t="n">
        <v>4906</v>
      </c>
      <c r="AM2492" s="13" t="n">
        <v>-1.3</v>
      </c>
      <c r="AN2492" s="13" t="n">
        <v>-32.3</v>
      </c>
      <c r="AO2492" s="13" t="n">
        <v>-224.6</v>
      </c>
      <c r="AP2492" s="13" t="n">
        <v>-48.9</v>
      </c>
    </row>
    <row r="2493">
      <c r="A2493" s="5" t="inlineStr">
        <is>
          <t>한화리츠</t>
        </is>
      </c>
      <c r="B2493" s="6" t="inlineStr">
        <is>
          <t>451800</t>
        </is>
      </c>
      <c r="C2493" s="6" t="inlineStr">
        <is>
          <t>별도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12092</v>
      </c>
      <c r="M2493" s="8" t="n">
        <v>6503</v>
      </c>
      <c r="N2493" s="8" t="n">
        <v>1457</v>
      </c>
      <c r="O2493" s="9" t="inlineStr"/>
      <c r="P2493" s="10" t="inlineStr"/>
      <c r="Q2493" s="10" t="inlineStr"/>
      <c r="R2493" s="7" t="inlineStr"/>
      <c r="S2493" s="8" t="inlineStr"/>
      <c r="T2493" s="8" t="inlineStr"/>
      <c r="U2493" s="9" t="inlineStr"/>
      <c r="V2493" s="10" t="inlineStr"/>
      <c r="W2493" s="10" t="inlineStr"/>
      <c r="X2493" s="7" t="n">
        <v>26176</v>
      </c>
      <c r="Y2493" s="8" t="n">
        <v>15458</v>
      </c>
      <c r="Z2493" s="8" t="n">
        <v>6033</v>
      </c>
      <c r="AA2493" s="9" t="inlineStr"/>
      <c r="AB2493" s="10" t="inlineStr"/>
      <c r="AC2493" s="10" t="inlineStr"/>
      <c r="AD2493" s="7" t="inlineStr"/>
      <c r="AE2493" s="8" t="inlineStr"/>
      <c r="AF2493" s="8" t="inlineStr"/>
      <c r="AG2493" s="9" t="inlineStr"/>
      <c r="AH2493" s="10" t="inlineStr"/>
      <c r="AI2493" s="10" t="inlineStr"/>
      <c r="AJ2493" s="11" t="n">
        <v>31440</v>
      </c>
      <c r="AK2493" s="12" t="n">
        <v>19458</v>
      </c>
      <c r="AL2493" s="12" t="n">
        <v>8531</v>
      </c>
      <c r="AM2493" s="13" t="inlineStr"/>
      <c r="AN2493" s="13" t="n">
        <v>20.1</v>
      </c>
      <c r="AO2493" s="13" t="inlineStr"/>
      <c r="AP2493" s="13" t="n">
        <v>25.9</v>
      </c>
    </row>
    <row r="2494">
      <c r="A2494" s="5" t="inlineStr">
        <is>
          <t>제이엔비</t>
        </is>
      </c>
      <c r="B2494" s="6" t="inlineStr">
        <is>
          <t>452160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4018</v>
      </c>
      <c r="J2494" s="10" t="n">
        <v>694</v>
      </c>
      <c r="K2494" s="10" t="n">
        <v>485</v>
      </c>
      <c r="L2494" s="7" t="n">
        <v>3771</v>
      </c>
      <c r="M2494" s="8" t="n">
        <v>625</v>
      </c>
      <c r="N2494" s="8" t="n">
        <v>136</v>
      </c>
      <c r="O2494" s="9" t="n">
        <v>4229</v>
      </c>
      <c r="P2494" s="10" t="n">
        <v>1051</v>
      </c>
      <c r="Q2494" s="10" t="n">
        <v>946</v>
      </c>
      <c r="R2494" s="7" t="n">
        <v>4015</v>
      </c>
      <c r="S2494" s="8" t="n">
        <v>995</v>
      </c>
      <c r="T2494" s="8" t="n">
        <v>420</v>
      </c>
      <c r="U2494" s="9" t="n">
        <v>4398</v>
      </c>
      <c r="V2494" s="10" t="n">
        <v>1138</v>
      </c>
      <c r="W2494" s="10" t="n">
        <v>996</v>
      </c>
      <c r="X2494" s="7" t="n">
        <v>3540</v>
      </c>
      <c r="Y2494" s="8" t="n">
        <v>164</v>
      </c>
      <c r="Z2494" s="8" t="n">
        <v>396</v>
      </c>
      <c r="AA2494" s="9" t="n">
        <v>3767</v>
      </c>
      <c r="AB2494" s="10" t="n">
        <v>-653</v>
      </c>
      <c r="AC2494" s="10" t="n">
        <v>-889</v>
      </c>
      <c r="AD2494" s="7" t="n">
        <v>3197</v>
      </c>
      <c r="AE2494" s="8" t="n">
        <v>-474</v>
      </c>
      <c r="AF2494" s="8" t="n">
        <v>-951</v>
      </c>
      <c r="AG2494" s="9" t="n">
        <v>3542</v>
      </c>
      <c r="AH2494" s="10" t="n">
        <v>-369</v>
      </c>
      <c r="AI2494" s="10" t="n">
        <v>-631</v>
      </c>
      <c r="AJ2494" s="11" t="n">
        <v>4929</v>
      </c>
      <c r="AK2494" s="12" t="n">
        <v>265</v>
      </c>
      <c r="AL2494" s="12" t="n">
        <v>-166</v>
      </c>
      <c r="AM2494" s="13" t="n">
        <v>39.2</v>
      </c>
      <c r="AN2494" s="13" t="n">
        <v>39.2</v>
      </c>
      <c r="AO2494" s="13" t="n">
        <v>171.8</v>
      </c>
      <c r="AP2494" s="13" t="n">
        <v>61.6</v>
      </c>
    </row>
    <row r="2495">
      <c r="A2495" s="5" t="inlineStr">
        <is>
          <t>한빛레이저</t>
        </is>
      </c>
      <c r="B2495" s="6" t="inlineStr">
        <is>
          <t>452190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3193</v>
      </c>
      <c r="J2495" s="10" t="n">
        <v>-363</v>
      </c>
      <c r="K2495" s="10" t="n">
        <v>79</v>
      </c>
      <c r="L2495" s="7" t="n">
        <v>3186</v>
      </c>
      <c r="M2495" s="8" t="n">
        <v>-579</v>
      </c>
      <c r="N2495" s="8" t="n">
        <v>-365</v>
      </c>
      <c r="O2495" s="9" t="n">
        <v>4526</v>
      </c>
      <c r="P2495" s="10" t="n">
        <v>-623</v>
      </c>
      <c r="Q2495" s="10" t="n">
        <v>-455</v>
      </c>
      <c r="R2495" s="7" t="n">
        <v>7637</v>
      </c>
      <c r="S2495" s="8" t="n">
        <v>-999</v>
      </c>
      <c r="T2495" s="8" t="n">
        <v>-1365</v>
      </c>
      <c r="U2495" s="9" t="n">
        <v>800</v>
      </c>
      <c r="V2495" s="10" t="n">
        <v>-1229</v>
      </c>
      <c r="W2495" s="10" t="n">
        <v>-1248</v>
      </c>
      <c r="X2495" s="7" t="n">
        <v>8066</v>
      </c>
      <c r="Y2495" s="8" t="n">
        <v>929</v>
      </c>
      <c r="Z2495" s="8" t="n">
        <v>944</v>
      </c>
      <c r="AA2495" s="9" t="n">
        <v>5176</v>
      </c>
      <c r="AB2495" s="10" t="n">
        <v>-337</v>
      </c>
      <c r="AC2495" s="10" t="n">
        <v>-164</v>
      </c>
      <c r="AD2495" s="7" t="n">
        <v>10204</v>
      </c>
      <c r="AE2495" s="8" t="n">
        <v>2599</v>
      </c>
      <c r="AF2495" s="8" t="n">
        <v>2904</v>
      </c>
      <c r="AG2495" s="9" t="n">
        <v>6328</v>
      </c>
      <c r="AH2495" s="10" t="n">
        <v>171</v>
      </c>
      <c r="AI2495" s="10" t="n">
        <v>307</v>
      </c>
      <c r="AJ2495" s="11" t="n">
        <v>4451</v>
      </c>
      <c r="AK2495" s="12" t="n">
        <v>509</v>
      </c>
      <c r="AL2495" s="12" t="n">
        <v>472</v>
      </c>
      <c r="AM2495" s="13" t="n">
        <v>-29.7</v>
      </c>
      <c r="AN2495" s="13" t="n">
        <v>-44.8</v>
      </c>
      <c r="AO2495" s="13" t="n">
        <v>197.7</v>
      </c>
      <c r="AP2495" s="13" t="n">
        <v>-45.2</v>
      </c>
    </row>
    <row r="2496">
      <c r="A2496" s="5" t="inlineStr">
        <is>
          <t>민테크</t>
        </is>
      </c>
      <c r="B2496" s="6" t="inlineStr">
        <is>
          <t>452200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inlineStr"/>
      <c r="J2496" s="10" t="inlineStr"/>
      <c r="K2496" s="10" t="inlineStr"/>
      <c r="L2496" s="7" t="n">
        <v>3285</v>
      </c>
      <c r="M2496" s="8" t="n">
        <v>-3222</v>
      </c>
      <c r="N2496" s="8" t="n">
        <v>-11838</v>
      </c>
      <c r="O2496" s="9" t="n">
        <v>3976</v>
      </c>
      <c r="P2496" s="10" t="n">
        <v>-2911</v>
      </c>
      <c r="Q2496" s="10" t="n">
        <v>-3281</v>
      </c>
      <c r="R2496" s="7" t="inlineStr"/>
      <c r="S2496" s="8" t="inlineStr"/>
      <c r="T2496" s="8" t="inlineStr"/>
      <c r="U2496" s="9" t="n">
        <v>990</v>
      </c>
      <c r="V2496" s="10" t="n">
        <v>-4176</v>
      </c>
      <c r="W2496" s="10" t="n">
        <v>-4400</v>
      </c>
      <c r="X2496" s="7" t="n">
        <v>795</v>
      </c>
      <c r="Y2496" s="8" t="n">
        <v>-3458</v>
      </c>
      <c r="Z2496" s="8" t="n">
        <v>-557</v>
      </c>
      <c r="AA2496" s="9" t="n">
        <v>10361</v>
      </c>
      <c r="AB2496" s="10" t="n">
        <v>161</v>
      </c>
      <c r="AC2496" s="10" t="n">
        <v>4258</v>
      </c>
      <c r="AD2496" s="7" t="n">
        <v>8870</v>
      </c>
      <c r="AE2496" s="8" t="n">
        <v>-1327</v>
      </c>
      <c r="AF2496" s="8" t="n">
        <v>-1815</v>
      </c>
      <c r="AG2496" s="9" t="n">
        <v>1615</v>
      </c>
      <c r="AH2496" s="10" t="n">
        <v>-2678</v>
      </c>
      <c r="AI2496" s="10" t="n">
        <v>-2906</v>
      </c>
      <c r="AJ2496" s="11" t="n">
        <v>1540</v>
      </c>
      <c r="AK2496" s="12" t="n">
        <v>-2352</v>
      </c>
      <c r="AL2496" s="12" t="n">
        <v>-2554</v>
      </c>
      <c r="AM2496" s="13" t="n">
        <v>-4.6</v>
      </c>
      <c r="AN2496" s="13" t="n">
        <v>93.7</v>
      </c>
      <c r="AO2496" s="13" t="n">
        <v>12.2</v>
      </c>
      <c r="AP2496" s="13" t="n">
        <v>32</v>
      </c>
    </row>
    <row r="2497">
      <c r="A2497" s="5" t="inlineStr">
        <is>
          <t>한화갤러리아</t>
        </is>
      </c>
      <c r="B2497" s="6" t="inlineStr">
        <is>
          <t>452260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122126</v>
      </c>
      <c r="J2497" s="10" t="n">
        <v>7392</v>
      </c>
      <c r="K2497" s="10" t="n">
        <v>2655</v>
      </c>
      <c r="L2497" s="7" t="n">
        <v>126319</v>
      </c>
      <c r="M2497" s="8" t="n">
        <v>-4481</v>
      </c>
      <c r="N2497" s="8" t="n">
        <v>-845</v>
      </c>
      <c r="O2497" s="9" t="n">
        <v>114704</v>
      </c>
      <c r="P2497" s="10" t="n">
        <v>-1944</v>
      </c>
      <c r="Q2497" s="10" t="n">
        <v>-6852</v>
      </c>
      <c r="R2497" s="7" t="n">
        <v>175165</v>
      </c>
      <c r="S2497" s="8" t="n">
        <v>2162</v>
      </c>
      <c r="T2497" s="8" t="n">
        <v>-13800</v>
      </c>
      <c r="U2497" s="9" t="n">
        <v>129253</v>
      </c>
      <c r="V2497" s="10" t="n">
        <v>1832</v>
      </c>
      <c r="W2497" s="10" t="n">
        <v>-4453</v>
      </c>
      <c r="X2497" s="7" t="n">
        <v>126944</v>
      </c>
      <c r="Y2497" s="8" t="n">
        <v>-4906</v>
      </c>
      <c r="Z2497" s="8" t="n">
        <v>-14260</v>
      </c>
      <c r="AA2497" s="9" t="n">
        <v>125552</v>
      </c>
      <c r="AB2497" s="10" t="n">
        <v>3393</v>
      </c>
      <c r="AC2497" s="10" t="n">
        <v>-2983</v>
      </c>
      <c r="AD2497" s="7" t="n">
        <v>193417</v>
      </c>
      <c r="AE2497" s="8" t="n">
        <v>9095</v>
      </c>
      <c r="AF2497" s="8" t="n">
        <v>25009</v>
      </c>
      <c r="AG2497" s="9" t="n">
        <v>126144</v>
      </c>
      <c r="AH2497" s="10" t="n">
        <v>12346</v>
      </c>
      <c r="AI2497" s="10" t="n">
        <v>-827</v>
      </c>
      <c r="AJ2497" s="11" t="n">
        <v>150904</v>
      </c>
      <c r="AK2497" s="12" t="n">
        <v>15135</v>
      </c>
      <c r="AL2497" s="12" t="n">
        <v>5085</v>
      </c>
      <c r="AM2497" s="13" t="n">
        <v>19.6</v>
      </c>
      <c r="AN2497" s="13" t="n">
        <v>18.9</v>
      </c>
      <c r="AO2497" s="13" t="n">
        <v>22.6</v>
      </c>
      <c r="AP2497" s="13" t="n">
        <v>408.5</v>
      </c>
    </row>
    <row r="2498">
      <c r="A2498" s="5" t="inlineStr">
        <is>
          <t>한선엔지니어링</t>
        </is>
      </c>
      <c r="B2498" s="6" t="inlineStr">
        <is>
          <t>452280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11874</v>
      </c>
      <c r="J2498" s="10" t="n">
        <v>1375</v>
      </c>
      <c r="K2498" s="10" t="n">
        <v>1545</v>
      </c>
      <c r="L2498" s="7" t="n">
        <v>13130</v>
      </c>
      <c r="M2498" s="8" t="n">
        <v>1748</v>
      </c>
      <c r="N2498" s="8" t="n">
        <v>1001</v>
      </c>
      <c r="O2498" s="9" t="n">
        <v>11200</v>
      </c>
      <c r="P2498" s="10" t="n">
        <v>789</v>
      </c>
      <c r="Q2498" s="10" t="n">
        <v>265</v>
      </c>
      <c r="R2498" s="7" t="n">
        <v>12337</v>
      </c>
      <c r="S2498" s="8" t="n">
        <v>1011</v>
      </c>
      <c r="T2498" s="8" t="n">
        <v>1347</v>
      </c>
      <c r="U2498" s="9" t="n">
        <v>13111</v>
      </c>
      <c r="V2498" s="10" t="n">
        <v>1682</v>
      </c>
      <c r="W2498" s="10" t="n">
        <v>1790</v>
      </c>
      <c r="X2498" s="7" t="n">
        <v>15499</v>
      </c>
      <c r="Y2498" s="8" t="n">
        <v>2653</v>
      </c>
      <c r="Z2498" s="8" t="n">
        <v>4321</v>
      </c>
      <c r="AA2498" s="9" t="n">
        <v>16196</v>
      </c>
      <c r="AB2498" s="10" t="n">
        <v>2593</v>
      </c>
      <c r="AC2498" s="10" t="n">
        <v>2699</v>
      </c>
      <c r="AD2498" s="7" t="n">
        <v>18410</v>
      </c>
      <c r="AE2498" s="8" t="n">
        <v>2822</v>
      </c>
      <c r="AF2498" s="8" t="n">
        <v>125</v>
      </c>
      <c r="AG2498" s="9" t="n">
        <v>22381</v>
      </c>
      <c r="AH2498" s="10" t="n">
        <v>6205</v>
      </c>
      <c r="AI2498" s="10" t="n">
        <v>-5126</v>
      </c>
      <c r="AJ2498" s="11" t="n">
        <v>23645</v>
      </c>
      <c r="AK2498" s="12" t="n">
        <v>5603</v>
      </c>
      <c r="AL2498" s="12" t="n">
        <v>2031</v>
      </c>
      <c r="AM2498" s="13" t="n">
        <v>5.6</v>
      </c>
      <c r="AN2498" s="13" t="n">
        <v>52.6</v>
      </c>
      <c r="AO2498" s="13" t="n">
        <v>-9.699999999999999</v>
      </c>
      <c r="AP2498" s="13" t="n">
        <v>111.2</v>
      </c>
    </row>
    <row r="2499">
      <c r="A2499" s="5" t="inlineStr">
        <is>
          <t>캡스톤파트너스</t>
        </is>
      </c>
      <c r="B2499" s="6" t="inlineStr">
        <is>
          <t>452300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1903</v>
      </c>
      <c r="J2499" s="10" t="n">
        <v>657</v>
      </c>
      <c r="K2499" s="10" t="n">
        <v>516</v>
      </c>
      <c r="L2499" s="7" t="n">
        <v>1596</v>
      </c>
      <c r="M2499" s="8" t="n">
        <v>235</v>
      </c>
      <c r="N2499" s="8" t="n">
        <v>179</v>
      </c>
      <c r="O2499" s="9" t="n">
        <v>1581</v>
      </c>
      <c r="P2499" s="10" t="n">
        <v>356</v>
      </c>
      <c r="Q2499" s="10" t="n">
        <v>273</v>
      </c>
      <c r="R2499" s="7" t="n">
        <v>4613</v>
      </c>
      <c r="S2499" s="8" t="n">
        <v>948</v>
      </c>
      <c r="T2499" s="8" t="n">
        <v>865</v>
      </c>
      <c r="U2499" s="9" t="n">
        <v>1495</v>
      </c>
      <c r="V2499" s="10" t="n">
        <v>306</v>
      </c>
      <c r="W2499" s="10" t="n">
        <v>246</v>
      </c>
      <c r="X2499" s="7" t="n">
        <v>1833</v>
      </c>
      <c r="Y2499" s="8" t="n">
        <v>451</v>
      </c>
      <c r="Z2499" s="8" t="n">
        <v>365</v>
      </c>
      <c r="AA2499" s="9" t="n">
        <v>2900</v>
      </c>
      <c r="AB2499" s="10" t="n">
        <v>1716</v>
      </c>
      <c r="AC2499" s="10" t="n">
        <v>1394</v>
      </c>
      <c r="AD2499" s="7" t="n">
        <v>1245</v>
      </c>
      <c r="AE2499" s="8" t="n">
        <v>-134</v>
      </c>
      <c r="AF2499" s="8" t="n">
        <v>299</v>
      </c>
      <c r="AG2499" s="9" t="n">
        <v>1545</v>
      </c>
      <c r="AH2499" s="10" t="n">
        <v>387</v>
      </c>
      <c r="AI2499" s="10" t="n">
        <v>326</v>
      </c>
      <c r="AJ2499" s="11" t="n">
        <v>2202</v>
      </c>
      <c r="AK2499" s="12" t="n">
        <v>1083</v>
      </c>
      <c r="AL2499" s="12" t="n">
        <v>828</v>
      </c>
      <c r="AM2499" s="13" t="n">
        <v>42.5</v>
      </c>
      <c r="AN2499" s="13" t="n">
        <v>20.1</v>
      </c>
      <c r="AO2499" s="13" t="n">
        <v>179.8</v>
      </c>
      <c r="AP2499" s="13" t="n">
        <v>140.1</v>
      </c>
    </row>
    <row r="2500">
      <c r="A2500" s="5" t="inlineStr">
        <is>
          <t>이닉스</t>
        </is>
      </c>
      <c r="B2500" s="6" t="inlineStr">
        <is>
          <t>452400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24699</v>
      </c>
      <c r="J2500" s="10" t="n">
        <v>-1277</v>
      </c>
      <c r="K2500" s="10" t="n">
        <v>-231</v>
      </c>
      <c r="L2500" s="7" t="n">
        <v>24859</v>
      </c>
      <c r="M2500" s="8" t="n">
        <v>392</v>
      </c>
      <c r="N2500" s="8" t="n">
        <v>739</v>
      </c>
      <c r="O2500" s="9" t="n">
        <v>27599</v>
      </c>
      <c r="P2500" s="10" t="n">
        <v>565</v>
      </c>
      <c r="Q2500" s="10" t="n">
        <v>485</v>
      </c>
      <c r="R2500" s="7" t="n">
        <v>27361</v>
      </c>
      <c r="S2500" s="8" t="n">
        <v>-1215</v>
      </c>
      <c r="T2500" s="8" t="n">
        <v>6</v>
      </c>
      <c r="U2500" s="9" t="n">
        <v>28999</v>
      </c>
      <c r="V2500" s="10" t="n">
        <v>140</v>
      </c>
      <c r="W2500" s="10" t="n">
        <v>336</v>
      </c>
      <c r="X2500" s="7" t="n">
        <v>33087</v>
      </c>
      <c r="Y2500" s="8" t="n">
        <v>69</v>
      </c>
      <c r="Z2500" s="8" t="n">
        <v>-10</v>
      </c>
      <c r="AA2500" s="9" t="n">
        <v>34106</v>
      </c>
      <c r="AB2500" s="10" t="n">
        <v>30</v>
      </c>
      <c r="AC2500" s="10" t="n">
        <v>479</v>
      </c>
      <c r="AD2500" s="7" t="n">
        <v>26396</v>
      </c>
      <c r="AE2500" s="8" t="n">
        <v>-1240</v>
      </c>
      <c r="AF2500" s="8" t="n">
        <v>-573</v>
      </c>
      <c r="AG2500" s="9" t="n">
        <v>26607</v>
      </c>
      <c r="AH2500" s="10" t="n">
        <v>-563</v>
      </c>
      <c r="AI2500" s="10" t="n">
        <v>340</v>
      </c>
      <c r="AJ2500" s="11" t="n">
        <v>29361</v>
      </c>
      <c r="AK2500" s="12" t="n">
        <v>98</v>
      </c>
      <c r="AL2500" s="12" t="n">
        <v>477</v>
      </c>
      <c r="AM2500" s="13" t="n">
        <v>10.4</v>
      </c>
      <c r="AN2500" s="13" t="n">
        <v>-11.3</v>
      </c>
      <c r="AO2500" s="13" t="n">
        <v>117.4</v>
      </c>
      <c r="AP2500" s="13" t="n">
        <v>42</v>
      </c>
    </row>
    <row r="2501">
      <c r="A2501" s="5" t="inlineStr">
        <is>
          <t>사피엔반도체</t>
        </is>
      </c>
      <c r="B2501" s="6" t="inlineStr">
        <is>
          <t>452430</t>
        </is>
      </c>
      <c r="C2501" s="6" t="inlineStr">
        <is>
          <t>별도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82</v>
      </c>
      <c r="J2501" s="10" t="n">
        <v>-3256</v>
      </c>
      <c r="K2501" s="10" t="n">
        <v>-16371</v>
      </c>
      <c r="L2501" s="7" t="n">
        <v>172</v>
      </c>
      <c r="M2501" s="8" t="n">
        <v>-1469</v>
      </c>
      <c r="N2501" s="8" t="n">
        <v>-1599</v>
      </c>
      <c r="O2501" s="9" t="n">
        <v>1051</v>
      </c>
      <c r="P2501" s="10" t="n">
        <v>-710</v>
      </c>
      <c r="Q2501" s="10" t="n">
        <v>-828</v>
      </c>
      <c r="R2501" s="7" t="n">
        <v>6687</v>
      </c>
      <c r="S2501" s="8" t="n">
        <v>1989</v>
      </c>
      <c r="T2501" s="8" t="n">
        <v>1716</v>
      </c>
      <c r="U2501" s="9" t="n">
        <v>1648</v>
      </c>
      <c r="V2501" s="10" t="n">
        <v>-1603</v>
      </c>
      <c r="W2501" s="10" t="n">
        <v>-1699</v>
      </c>
      <c r="X2501" s="7" t="n">
        <v>2017</v>
      </c>
      <c r="Y2501" s="8" t="n">
        <v>-1686</v>
      </c>
      <c r="Z2501" s="8" t="n">
        <v>-2250</v>
      </c>
      <c r="AA2501" s="9" t="n">
        <v>4639</v>
      </c>
      <c r="AB2501" s="10" t="n">
        <v>-1292</v>
      </c>
      <c r="AC2501" s="10" t="n">
        <v>-871</v>
      </c>
      <c r="AD2501" s="7" t="n">
        <v>9008</v>
      </c>
      <c r="AE2501" s="8" t="n">
        <v>16</v>
      </c>
      <c r="AF2501" s="8" t="n">
        <v>32</v>
      </c>
      <c r="AG2501" s="9" t="n">
        <v>7134</v>
      </c>
      <c r="AH2501" s="10" t="n">
        <v>102</v>
      </c>
      <c r="AI2501" s="10" t="n">
        <v>364</v>
      </c>
      <c r="AJ2501" s="11" t="n">
        <v>7215</v>
      </c>
      <c r="AK2501" s="12" t="n">
        <v>312</v>
      </c>
      <c r="AL2501" s="12" t="n">
        <v>104</v>
      </c>
      <c r="AM2501" s="13" t="n">
        <v>1.1</v>
      </c>
      <c r="AN2501" s="13" t="n">
        <v>257.7</v>
      </c>
      <c r="AO2501" s="13" t="n">
        <v>205.9</v>
      </c>
      <c r="AP2501" s="13" t="n">
        <v>118.5</v>
      </c>
    </row>
    <row r="2502">
      <c r="A2502" s="5" t="inlineStr">
        <is>
          <t>피아이이</t>
        </is>
      </c>
      <c r="B2502" s="6" t="inlineStr">
        <is>
          <t>452450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inlineStr"/>
      <c r="M2502" s="8" t="inlineStr"/>
      <c r="N2502" s="8" t="inlineStr"/>
      <c r="O2502" s="9" t="inlineStr"/>
      <c r="P2502" s="10" t="inlineStr"/>
      <c r="Q2502" s="10" t="inlineStr"/>
      <c r="R2502" s="7" t="inlineStr"/>
      <c r="S2502" s="8" t="inlineStr"/>
      <c r="T2502" s="8" t="inlineStr"/>
      <c r="U2502" s="9" t="n">
        <v>16635</v>
      </c>
      <c r="V2502" s="10" t="n">
        <v>-3581</v>
      </c>
      <c r="W2502" s="10" t="n">
        <v>-3558</v>
      </c>
      <c r="X2502" s="7" t="n">
        <v>17001</v>
      </c>
      <c r="Y2502" s="8" t="n">
        <v>-4305</v>
      </c>
      <c r="Z2502" s="8" t="n">
        <v>-5193</v>
      </c>
      <c r="AA2502" s="9" t="n">
        <v>14736</v>
      </c>
      <c r="AB2502" s="10" t="n">
        <v>-6880</v>
      </c>
      <c r="AC2502" s="10" t="n">
        <v>-6575</v>
      </c>
      <c r="AD2502" s="7" t="n">
        <v>16716</v>
      </c>
      <c r="AE2502" s="8" t="n">
        <v>-6451</v>
      </c>
      <c r="AF2502" s="8" t="n">
        <v>-9286</v>
      </c>
      <c r="AG2502" s="9" t="n">
        <v>9844</v>
      </c>
      <c r="AH2502" s="10" t="n">
        <v>-3105</v>
      </c>
      <c r="AI2502" s="10" t="n">
        <v>-3140</v>
      </c>
      <c r="AJ2502" s="11" t="n">
        <v>11008</v>
      </c>
      <c r="AK2502" s="12" t="n">
        <v>-2980</v>
      </c>
      <c r="AL2502" s="12" t="n">
        <v>-10565</v>
      </c>
      <c r="AM2502" s="13" t="n">
        <v>11.8</v>
      </c>
      <c r="AN2502" s="13" t="n">
        <v>-35.3</v>
      </c>
      <c r="AO2502" s="13" t="n">
        <v>4</v>
      </c>
      <c r="AP2502" s="13" t="n">
        <v>30.8</v>
      </c>
    </row>
    <row r="2503">
      <c r="A2503" s="5" t="inlineStr">
        <is>
          <t>현대그린푸드</t>
        </is>
      </c>
      <c r="B2503" s="6" t="inlineStr">
        <is>
          <t>453340</t>
        </is>
      </c>
      <c r="C2503" s="6" t="inlineStr">
        <is>
          <t>연결</t>
        </is>
      </c>
      <c r="D2503" s="6" t="inlineStr">
        <is>
          <t>2026Q2</t>
        </is>
      </c>
      <c r="E2503" s="6" t="inlineStr">
        <is>
          <t>2023Q4</t>
        </is>
      </c>
      <c r="F2503" s="14" t="n">
        <v>557400</v>
      </c>
      <c r="G2503" s="15" t="n">
        <v>-1900</v>
      </c>
      <c r="H2503" s="15" t="n">
        <v>-12900</v>
      </c>
      <c r="I2503" s="9" t="n">
        <v>559471</v>
      </c>
      <c r="J2503" s="10" t="n">
        <v>31184</v>
      </c>
      <c r="K2503" s="10" t="n">
        <v>24410</v>
      </c>
      <c r="L2503" s="7" t="n">
        <v>542384</v>
      </c>
      <c r="M2503" s="8" t="n">
        <v>32523</v>
      </c>
      <c r="N2503" s="8" t="n">
        <v>23560</v>
      </c>
      <c r="O2503" s="9" t="n">
        <v>601636</v>
      </c>
      <c r="P2503" s="10" t="n">
        <v>38319</v>
      </c>
      <c r="Q2503" s="10" t="n">
        <v>30541</v>
      </c>
      <c r="R2503" s="7" t="n">
        <v>566929</v>
      </c>
      <c r="S2503" s="8" t="n">
        <v>-5350</v>
      </c>
      <c r="T2503" s="8" t="n">
        <v>-4047</v>
      </c>
      <c r="U2503" s="9" t="n">
        <v>570573</v>
      </c>
      <c r="V2503" s="10" t="n">
        <v>32232</v>
      </c>
      <c r="W2503" s="10" t="n">
        <v>26447</v>
      </c>
      <c r="X2503" s="7" t="n">
        <v>552104</v>
      </c>
      <c r="Y2503" s="8" t="n">
        <v>30907</v>
      </c>
      <c r="Z2503" s="8" t="n">
        <v>23390</v>
      </c>
      <c r="AA2503" s="9" t="n">
        <v>617117</v>
      </c>
      <c r="AB2503" s="10" t="n">
        <v>44489</v>
      </c>
      <c r="AC2503" s="10" t="n">
        <v>37520</v>
      </c>
      <c r="AD2503" s="7" t="n">
        <v>589829</v>
      </c>
      <c r="AE2503" s="8" t="n">
        <v>-833</v>
      </c>
      <c r="AF2503" s="8" t="n">
        <v>381</v>
      </c>
      <c r="AG2503" s="9" t="n">
        <v>621491</v>
      </c>
      <c r="AH2503" s="10" t="n">
        <v>46390</v>
      </c>
      <c r="AI2503" s="10" t="n">
        <v>36183</v>
      </c>
      <c r="AJ2503" s="11" t="n">
        <v>594973</v>
      </c>
      <c r="AK2503" s="12" t="n">
        <v>38127</v>
      </c>
      <c r="AL2503" s="12" t="n">
        <v>30574</v>
      </c>
      <c r="AM2503" s="13" t="n">
        <v>-4.3</v>
      </c>
      <c r="AN2503" s="13" t="n">
        <v>7.8</v>
      </c>
      <c r="AO2503" s="13" t="n">
        <v>-17.8</v>
      </c>
      <c r="AP2503" s="13" t="n">
        <v>23.4</v>
      </c>
    </row>
    <row r="2504">
      <c r="A2504" s="5" t="inlineStr">
        <is>
          <t>그리드위즈</t>
        </is>
      </c>
      <c r="B2504" s="6" t="inlineStr">
        <is>
          <t>453450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n">
        <v>18892</v>
      </c>
      <c r="M2504" s="8" t="n">
        <v>-1495</v>
      </c>
      <c r="N2504" s="8" t="n">
        <v>-1204</v>
      </c>
      <c r="O2504" s="9" t="n">
        <v>48742</v>
      </c>
      <c r="P2504" s="10" t="n">
        <v>3558</v>
      </c>
      <c r="Q2504" s="10" t="n">
        <v>2633</v>
      </c>
      <c r="R2504" s="7" t="inlineStr"/>
      <c r="S2504" s="8" t="inlineStr"/>
      <c r="T2504" s="8" t="inlineStr"/>
      <c r="U2504" s="9" t="n">
        <v>22138</v>
      </c>
      <c r="V2504" s="10" t="n">
        <v>-3372</v>
      </c>
      <c r="W2504" s="10" t="n">
        <v>-2992</v>
      </c>
      <c r="X2504" s="7" t="n">
        <v>26112</v>
      </c>
      <c r="Y2504" s="8" t="n">
        <v>1443</v>
      </c>
      <c r="Z2504" s="8" t="n">
        <v>1635</v>
      </c>
      <c r="AA2504" s="9" t="n">
        <v>42693</v>
      </c>
      <c r="AB2504" s="10" t="n">
        <v>3345</v>
      </c>
      <c r="AC2504" s="10" t="n">
        <v>7784</v>
      </c>
      <c r="AD2504" s="7" t="n">
        <v>34666</v>
      </c>
      <c r="AE2504" s="8" t="n">
        <v>-600</v>
      </c>
      <c r="AF2504" s="8" t="n">
        <v>-4408</v>
      </c>
      <c r="AG2504" s="9" t="n">
        <v>20609</v>
      </c>
      <c r="AH2504" s="10" t="n">
        <v>-2198</v>
      </c>
      <c r="AI2504" s="10" t="n">
        <v>-1301</v>
      </c>
      <c r="AJ2504" s="11" t="n">
        <v>20857</v>
      </c>
      <c r="AK2504" s="12" t="n">
        <v>-1652</v>
      </c>
      <c r="AL2504" s="12" t="n">
        <v>-946</v>
      </c>
      <c r="AM2504" s="13" t="n">
        <v>1.2</v>
      </c>
      <c r="AN2504" s="13" t="n">
        <v>-20.1</v>
      </c>
      <c r="AO2504" s="13" t="n">
        <v>24.8</v>
      </c>
      <c r="AP2504" s="13" t="n">
        <v>-214.5</v>
      </c>
    </row>
    <row r="2505">
      <c r="A2505" s="5" t="inlineStr">
        <is>
          <t>에이에스텍</t>
        </is>
      </c>
      <c r="B2505" s="6" t="inlineStr">
        <is>
          <t>453860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15688</v>
      </c>
      <c r="J2505" s="10" t="n">
        <v>3428</v>
      </c>
      <c r="K2505" s="10" t="n">
        <v>3002</v>
      </c>
      <c r="L2505" s="7" t="n">
        <v>11040</v>
      </c>
      <c r="M2505" s="8" t="n">
        <v>3381</v>
      </c>
      <c r="N2505" s="8" t="n">
        <v>4071</v>
      </c>
      <c r="O2505" s="9" t="n">
        <v>9618</v>
      </c>
      <c r="P2505" s="10" t="n">
        <v>1808</v>
      </c>
      <c r="Q2505" s="10" t="n">
        <v>731</v>
      </c>
      <c r="R2505" s="7" t="n">
        <v>6226</v>
      </c>
      <c r="S2505" s="8" t="n">
        <v>84</v>
      </c>
      <c r="T2505" s="8" t="n">
        <v>1681</v>
      </c>
      <c r="U2505" s="9" t="n">
        <v>6204</v>
      </c>
      <c r="V2505" s="10" t="n">
        <v>1008</v>
      </c>
      <c r="W2505" s="10" t="n">
        <v>1180</v>
      </c>
      <c r="X2505" s="7" t="n">
        <v>7741</v>
      </c>
      <c r="Y2505" s="8" t="n">
        <v>593</v>
      </c>
      <c r="Z2505" s="8" t="inlineStr"/>
      <c r="AA2505" s="9" t="n">
        <v>4538</v>
      </c>
      <c r="AB2505" s="10" t="n">
        <v>14</v>
      </c>
      <c r="AC2505" s="10" t="n">
        <v>187</v>
      </c>
      <c r="AD2505" s="7" t="n">
        <v>6077</v>
      </c>
      <c r="AE2505" s="8" t="n">
        <v>-1725</v>
      </c>
      <c r="AF2505" s="8" t="inlineStr"/>
      <c r="AG2505" s="9" t="n">
        <v>4588</v>
      </c>
      <c r="AH2505" s="10" t="n">
        <v>-1734</v>
      </c>
      <c r="AI2505" s="10" t="n">
        <v>-1884</v>
      </c>
      <c r="AJ2505" s="11" t="n">
        <v>4256</v>
      </c>
      <c r="AK2505" s="12" t="n">
        <v>-4893</v>
      </c>
      <c r="AL2505" s="12" t="n">
        <v>-5155</v>
      </c>
      <c r="AM2505" s="13" t="n">
        <v>-7.2</v>
      </c>
      <c r="AN2505" s="13" t="n">
        <v>-45</v>
      </c>
      <c r="AO2505" s="13" t="n">
        <v>-182.2</v>
      </c>
      <c r="AP2505" s="13" t="n">
        <v>-925.1</v>
      </c>
    </row>
    <row r="2506">
      <c r="A2506" s="5" t="inlineStr">
        <is>
          <t>두산로보틱스</t>
        </is>
      </c>
      <c r="B2506" s="6" t="inlineStr">
        <is>
          <t>454910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10882</v>
      </c>
      <c r="J2506" s="10" t="n">
        <v>-6886</v>
      </c>
      <c r="K2506" s="10" t="n">
        <v>-2847</v>
      </c>
      <c r="L2506" s="7" t="n">
        <v>14424</v>
      </c>
      <c r="M2506" s="8" t="n">
        <v>-7871</v>
      </c>
      <c r="N2506" s="8" t="n">
        <v>-3706</v>
      </c>
      <c r="O2506" s="9" t="n">
        <v>10034</v>
      </c>
      <c r="P2506" s="10" t="n">
        <v>-9588</v>
      </c>
      <c r="Q2506" s="10" t="n">
        <v>-6882</v>
      </c>
      <c r="R2506" s="7" t="n">
        <v>11490</v>
      </c>
      <c r="S2506" s="8" t="n">
        <v>-16857</v>
      </c>
      <c r="T2506" s="8" t="n">
        <v>-23126</v>
      </c>
      <c r="U2506" s="9" t="n">
        <v>5280</v>
      </c>
      <c r="V2506" s="10" t="n">
        <v>-12106</v>
      </c>
      <c r="W2506" s="10" t="n">
        <v>-9418</v>
      </c>
      <c r="X2506" s="7" t="n">
        <v>4532</v>
      </c>
      <c r="Y2506" s="8" t="n">
        <v>-15650</v>
      </c>
      <c r="Z2506" s="8" t="n">
        <v>-16567</v>
      </c>
      <c r="AA2506" s="9" t="n">
        <v>10165</v>
      </c>
      <c r="AB2506" s="10" t="n">
        <v>-15265</v>
      </c>
      <c r="AC2506" s="10" t="n">
        <v>-12858</v>
      </c>
      <c r="AD2506" s="7" t="n">
        <v>13001</v>
      </c>
      <c r="AE2506" s="8" t="n">
        <v>-16451</v>
      </c>
      <c r="AF2506" s="8" t="n">
        <v>-16652</v>
      </c>
      <c r="AG2506" s="9" t="n">
        <v>15295</v>
      </c>
      <c r="AH2506" s="10" t="n">
        <v>-12069</v>
      </c>
      <c r="AI2506" s="10" t="n">
        <v>-9165</v>
      </c>
      <c r="AJ2506" s="11" t="n">
        <v>17674</v>
      </c>
      <c r="AK2506" s="12" t="n">
        <v>-14417</v>
      </c>
      <c r="AL2506" s="12" t="n">
        <v>-12792</v>
      </c>
      <c r="AM2506" s="13" t="n">
        <v>15.6</v>
      </c>
      <c r="AN2506" s="13" t="n">
        <v>290</v>
      </c>
      <c r="AO2506" s="13" t="n">
        <v>-19.5</v>
      </c>
      <c r="AP2506" s="13" t="n">
        <v>7.9</v>
      </c>
    </row>
    <row r="2507">
      <c r="A2507" s="5" t="inlineStr">
        <is>
          <t>케이지에이</t>
        </is>
      </c>
      <c r="B2507" s="6" t="inlineStr">
        <is>
          <t>455180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inlineStr"/>
      <c r="J2507" s="10" t="inlineStr"/>
      <c r="K2507" s="10" t="inlineStr"/>
      <c r="L2507" s="7" t="inlineStr"/>
      <c r="M2507" s="8" t="inlineStr"/>
      <c r="N2507" s="8" t="inlineStr"/>
      <c r="O2507" s="9" t="inlineStr"/>
      <c r="P2507" s="10" t="inlineStr"/>
      <c r="Q2507" s="10" t="inlineStr"/>
      <c r="R2507" s="7" t="inlineStr"/>
      <c r="S2507" s="8" t="inlineStr"/>
      <c r="T2507" s="8" t="inlineStr"/>
      <c r="U2507" s="9" t="inlineStr"/>
      <c r="V2507" s="10" t="inlineStr"/>
      <c r="W2507" s="10" t="inlineStr"/>
      <c r="X2507" s="7" t="n">
        <v>4586</v>
      </c>
      <c r="Y2507" s="8" t="n">
        <v>839</v>
      </c>
      <c r="Z2507" s="8" t="n">
        <v>-5341</v>
      </c>
      <c r="AA2507" s="9" t="n">
        <v>345</v>
      </c>
      <c r="AB2507" s="10" t="n">
        <v>-1678</v>
      </c>
      <c r="AC2507" s="10" t="n">
        <v>-1651</v>
      </c>
      <c r="AD2507" s="7" t="inlineStr"/>
      <c r="AE2507" s="8" t="inlineStr"/>
      <c r="AF2507" s="8" t="inlineStr"/>
      <c r="AG2507" s="9" t="n">
        <v>899</v>
      </c>
      <c r="AH2507" s="10" t="n">
        <v>-1223</v>
      </c>
      <c r="AI2507" s="10" t="n">
        <v>-1565</v>
      </c>
      <c r="AJ2507" s="11" t="n">
        <v>1659</v>
      </c>
      <c r="AK2507" s="12" t="n">
        <v>-1923</v>
      </c>
      <c r="AL2507" s="12" t="n">
        <v>-1984</v>
      </c>
      <c r="AM2507" s="13" t="n">
        <v>84.5</v>
      </c>
      <c r="AN2507" s="13" t="n">
        <v>-63.8</v>
      </c>
      <c r="AO2507" s="13" t="n">
        <v>-57.2</v>
      </c>
      <c r="AP2507" s="13" t="n">
        <v>-329.2</v>
      </c>
    </row>
    <row r="2508">
      <c r="A2508" s="5" t="inlineStr">
        <is>
          <t>엔젤로보틱스</t>
        </is>
      </c>
      <c r="B2508" s="6" t="inlineStr">
        <is>
          <t>455900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n">
        <v>1032</v>
      </c>
      <c r="J2508" s="10" t="n">
        <v>-2291</v>
      </c>
      <c r="K2508" s="10" t="n">
        <v>-2217</v>
      </c>
      <c r="L2508" s="7" t="n">
        <v>1385</v>
      </c>
      <c r="M2508" s="8" t="n">
        <v>-2625</v>
      </c>
      <c r="N2508" s="8" t="n">
        <v>-2271</v>
      </c>
      <c r="O2508" s="9" t="n">
        <v>945</v>
      </c>
      <c r="P2508" s="10" t="n">
        <v>-2388</v>
      </c>
      <c r="Q2508" s="10" t="n">
        <v>-2168</v>
      </c>
      <c r="R2508" s="7" t="n">
        <v>849</v>
      </c>
      <c r="S2508" s="8" t="n">
        <v>-3538</v>
      </c>
      <c r="T2508" s="8" t="n">
        <v>-3350</v>
      </c>
      <c r="U2508" s="9" t="n">
        <v>1072</v>
      </c>
      <c r="V2508" s="10" t="n">
        <v>-2489</v>
      </c>
      <c r="W2508" s="10" t="n">
        <v>-2431</v>
      </c>
      <c r="X2508" s="7" t="n">
        <v>1490</v>
      </c>
      <c r="Y2508" s="8" t="n">
        <v>-2177</v>
      </c>
      <c r="Z2508" s="8" t="n">
        <v>-1974</v>
      </c>
      <c r="AA2508" s="9" t="n">
        <v>806</v>
      </c>
      <c r="AB2508" s="10" t="n">
        <v>-2840</v>
      </c>
      <c r="AC2508" s="10" t="n">
        <v>-2683</v>
      </c>
      <c r="AD2508" s="7" t="n">
        <v>1273</v>
      </c>
      <c r="AE2508" s="8" t="n">
        <v>-2770</v>
      </c>
      <c r="AF2508" s="8" t="n">
        <v>-2627</v>
      </c>
      <c r="AG2508" s="9" t="n">
        <v>507</v>
      </c>
      <c r="AH2508" s="10" t="n">
        <v>-2677</v>
      </c>
      <c r="AI2508" s="10" t="n">
        <v>-2526</v>
      </c>
      <c r="AJ2508" s="11" t="n">
        <v>788</v>
      </c>
      <c r="AK2508" s="12" t="n">
        <v>-3486</v>
      </c>
      <c r="AL2508" s="12" t="n">
        <v>-1139</v>
      </c>
      <c r="AM2508" s="13" t="n">
        <v>55.4</v>
      </c>
      <c r="AN2508" s="13" t="n">
        <v>-47.1</v>
      </c>
      <c r="AO2508" s="13" t="n">
        <v>-30.2</v>
      </c>
      <c r="AP2508" s="13" t="n">
        <v>-60.1</v>
      </c>
    </row>
    <row r="2509">
      <c r="A2509" s="5" t="inlineStr">
        <is>
          <t>아이씨티케이</t>
        </is>
      </c>
      <c r="B2509" s="6" t="inlineStr">
        <is>
          <t>456010</t>
        </is>
      </c>
      <c r="C2509" s="6" t="inlineStr">
        <is>
          <t>연결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522</v>
      </c>
      <c r="J2509" s="10" t="n">
        <v>-1489</v>
      </c>
      <c r="K2509" s="10" t="n">
        <v>-1478</v>
      </c>
      <c r="L2509" s="7" t="n">
        <v>1639</v>
      </c>
      <c r="M2509" s="8" t="n">
        <v>-1985</v>
      </c>
      <c r="N2509" s="8" t="n">
        <v>-1530</v>
      </c>
      <c r="O2509" s="9" t="n">
        <v>2129</v>
      </c>
      <c r="P2509" s="10" t="n">
        <v>-2011</v>
      </c>
      <c r="Q2509" s="10" t="n">
        <v>-1816</v>
      </c>
      <c r="R2509" s="7" t="n">
        <v>2394</v>
      </c>
      <c r="S2509" s="8" t="n">
        <v>-1201</v>
      </c>
      <c r="T2509" s="8" t="n">
        <v>-994</v>
      </c>
      <c r="U2509" s="9" t="n">
        <v>414</v>
      </c>
      <c r="V2509" s="10" t="n">
        <v>-2608</v>
      </c>
      <c r="W2509" s="10" t="n">
        <v>-2158</v>
      </c>
      <c r="X2509" s="7" t="n">
        <v>830</v>
      </c>
      <c r="Y2509" s="8" t="n">
        <v>-2604</v>
      </c>
      <c r="Z2509" s="8" t="n">
        <v>-4195</v>
      </c>
      <c r="AA2509" s="9" t="n">
        <v>399</v>
      </c>
      <c r="AB2509" s="10" t="n">
        <v>-2886</v>
      </c>
      <c r="AC2509" s="10" t="n">
        <v>-2510</v>
      </c>
      <c r="AD2509" s="7" t="n">
        <v>2377</v>
      </c>
      <c r="AE2509" s="8" t="n">
        <v>-766</v>
      </c>
      <c r="AF2509" s="8" t="n">
        <v>2183</v>
      </c>
      <c r="AG2509" s="9" t="n">
        <v>605</v>
      </c>
      <c r="AH2509" s="10" t="n">
        <v>-3042</v>
      </c>
      <c r="AI2509" s="10" t="n">
        <v>-1145</v>
      </c>
      <c r="AJ2509" s="11" t="n">
        <v>1724</v>
      </c>
      <c r="AK2509" s="12" t="n">
        <v>-1940</v>
      </c>
      <c r="AL2509" s="12" t="n">
        <v>-12813</v>
      </c>
      <c r="AM2509" s="13" t="n">
        <v>185</v>
      </c>
      <c r="AN2509" s="13" t="n">
        <v>107.7</v>
      </c>
      <c r="AO2509" s="13" t="n">
        <v>36.2</v>
      </c>
      <c r="AP2509" s="13" t="n">
        <v>25.5</v>
      </c>
    </row>
    <row r="2510">
      <c r="A2510" s="5" t="inlineStr">
        <is>
          <t>OCI</t>
        </is>
      </c>
      <c r="B2510" s="6" t="inlineStr">
        <is>
          <t>456040</t>
        </is>
      </c>
      <c r="C2510" s="6" t="inlineStr">
        <is>
          <t>연결</t>
        </is>
      </c>
      <c r="D2510" s="6" t="inlineStr">
        <is>
          <t>2026Q2</t>
        </is>
      </c>
      <c r="E2510" s="6" t="inlineStr">
        <is>
          <t>2023Q4</t>
        </is>
      </c>
      <c r="F2510" s="14" t="n">
        <v>496399</v>
      </c>
      <c r="G2510" s="15" t="n">
        <v>20364</v>
      </c>
      <c r="H2510" s="15" t="n">
        <v>16474</v>
      </c>
      <c r="I2510" s="9" t="n">
        <v>540314</v>
      </c>
      <c r="J2510" s="10" t="n">
        <v>38833</v>
      </c>
      <c r="K2510" s="10" t="n">
        <v>38468</v>
      </c>
      <c r="L2510" s="7" t="n">
        <v>566488</v>
      </c>
      <c r="M2510" s="8" t="n">
        <v>33555</v>
      </c>
      <c r="N2510" s="8" t="n">
        <v>24818</v>
      </c>
      <c r="O2510" s="9" t="n">
        <v>588714</v>
      </c>
      <c r="P2510" s="10" t="n">
        <v>17719</v>
      </c>
      <c r="Q2510" s="10" t="n">
        <v>13930</v>
      </c>
      <c r="R2510" s="7" t="n">
        <v>519770</v>
      </c>
      <c r="S2510" s="8" t="n">
        <v>20386</v>
      </c>
      <c r="T2510" s="8" t="n">
        <v>12453</v>
      </c>
      <c r="U2510" s="9" t="n">
        <v>538788</v>
      </c>
      <c r="V2510" s="10" t="n">
        <v>10245</v>
      </c>
      <c r="W2510" s="10" t="n">
        <v>-17350</v>
      </c>
      <c r="X2510" s="7" t="n">
        <v>526975</v>
      </c>
      <c r="Y2510" s="8" t="n">
        <v>-2272</v>
      </c>
      <c r="Z2510" s="8" t="n">
        <v>-2384</v>
      </c>
      <c r="AA2510" s="9" t="n">
        <v>476378</v>
      </c>
      <c r="AB2510" s="10" t="n">
        <v>-10346</v>
      </c>
      <c r="AC2510" s="10" t="n">
        <v>-52228</v>
      </c>
      <c r="AD2510" s="7" t="n">
        <v>467288</v>
      </c>
      <c r="AE2510" s="8" t="n">
        <v>2813</v>
      </c>
      <c r="AF2510" s="8" t="n">
        <v>3478</v>
      </c>
      <c r="AG2510" s="9" t="n">
        <v>506608</v>
      </c>
      <c r="AH2510" s="10" t="n">
        <v>27825</v>
      </c>
      <c r="AI2510" s="10" t="n">
        <v>24768</v>
      </c>
      <c r="AJ2510" s="11" t="n">
        <v>535010</v>
      </c>
      <c r="AK2510" s="12" t="n">
        <v>43261</v>
      </c>
      <c r="AL2510" s="12" t="n">
        <v>29787</v>
      </c>
      <c r="AM2510" s="13" t="n">
        <v>5.6</v>
      </c>
      <c r="AN2510" s="13" t="n">
        <v>1.5</v>
      </c>
      <c r="AO2510" s="13" t="n">
        <v>55.5</v>
      </c>
      <c r="AP2510" s="13" t="n">
        <v>2004.1</v>
      </c>
    </row>
    <row r="2511">
      <c r="A2511" s="5" t="inlineStr">
        <is>
          <t>이엔셀</t>
        </is>
      </c>
      <c r="B2511" s="6" t="inlineStr">
        <is>
          <t>456070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1469</v>
      </c>
      <c r="P2511" s="10" t="n">
        <v>-4153</v>
      </c>
      <c r="Q2511" s="10" t="n">
        <v>-4067</v>
      </c>
      <c r="R2511" s="7" t="inlineStr"/>
      <c r="S2511" s="8" t="inlineStr"/>
      <c r="T2511" s="8" t="inlineStr"/>
      <c r="U2511" s="9" t="n">
        <v>1094</v>
      </c>
      <c r="V2511" s="10" t="n">
        <v>-4767</v>
      </c>
      <c r="W2511" s="10" t="n">
        <v>-4648</v>
      </c>
      <c r="X2511" s="7" t="n">
        <v>1178</v>
      </c>
      <c r="Y2511" s="8" t="n">
        <v>-4474</v>
      </c>
      <c r="Z2511" s="8" t="n">
        <v>-4331</v>
      </c>
      <c r="AA2511" s="9" t="n">
        <v>1546</v>
      </c>
      <c r="AB2511" s="10" t="n">
        <v>-3722</v>
      </c>
      <c r="AC2511" s="10" t="n">
        <v>-3603</v>
      </c>
      <c r="AD2511" s="7" t="n">
        <v>1441</v>
      </c>
      <c r="AE2511" s="8" t="n">
        <v>-4940</v>
      </c>
      <c r="AF2511" s="8" t="n">
        <v>-3526</v>
      </c>
      <c r="AG2511" s="9" t="n">
        <v>309</v>
      </c>
      <c r="AH2511" s="10" t="n">
        <v>-4870</v>
      </c>
      <c r="AI2511" s="10" t="n">
        <v>-5260</v>
      </c>
      <c r="AJ2511" s="11" t="n">
        <v>868</v>
      </c>
      <c r="AK2511" s="12" t="n">
        <v>-4679</v>
      </c>
      <c r="AL2511" s="12" t="n">
        <v>-7231</v>
      </c>
      <c r="AM2511" s="13" t="n">
        <v>180.9</v>
      </c>
      <c r="AN2511" s="13" t="n">
        <v>-26.3</v>
      </c>
      <c r="AO2511" s="13" t="n">
        <v>3.9</v>
      </c>
      <c r="AP2511" s="13" t="n">
        <v>-4.6</v>
      </c>
    </row>
    <row r="2512">
      <c r="A2512" s="5" t="inlineStr">
        <is>
          <t>지투지바이오</t>
        </is>
      </c>
      <c r="B2512" s="6" t="inlineStr">
        <is>
          <t>456160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202</v>
      </c>
      <c r="P2512" s="10" t="n">
        <v>-2837</v>
      </c>
      <c r="Q2512" s="10" t="n">
        <v>-2944</v>
      </c>
      <c r="R2512" s="7" t="inlineStr"/>
      <c r="S2512" s="8" t="inlineStr"/>
      <c r="T2512" s="8" t="inlineStr"/>
      <c r="U2512" s="9" t="n">
        <v>8</v>
      </c>
      <c r="V2512" s="10" t="n">
        <v>-2873</v>
      </c>
      <c r="W2512" s="10" t="n">
        <v>-2897</v>
      </c>
      <c r="X2512" s="7" t="n">
        <v>153</v>
      </c>
      <c r="Y2512" s="8" t="n">
        <v>-2745</v>
      </c>
      <c r="Z2512" s="8" t="n">
        <v>-2852</v>
      </c>
      <c r="AA2512" s="9" t="n">
        <v>58</v>
      </c>
      <c r="AB2512" s="10" t="n">
        <v>-3565</v>
      </c>
      <c r="AC2512" s="10" t="n">
        <v>-3535</v>
      </c>
      <c r="AD2512" s="7" t="n">
        <v>204</v>
      </c>
      <c r="AE2512" s="8" t="n">
        <v>-3019</v>
      </c>
      <c r="AF2512" s="8" t="n">
        <v>-2803</v>
      </c>
      <c r="AG2512" s="9" t="n">
        <v>351</v>
      </c>
      <c r="AH2512" s="10" t="n">
        <v>-3314</v>
      </c>
      <c r="AI2512" s="10" t="n">
        <v>-5536</v>
      </c>
      <c r="AJ2512" s="11" t="n">
        <v>1603</v>
      </c>
      <c r="AK2512" s="12" t="n">
        <v>-2702</v>
      </c>
      <c r="AL2512" s="12" t="n">
        <v>-5710</v>
      </c>
      <c r="AM2512" s="13" t="n">
        <v>356.7</v>
      </c>
      <c r="AN2512" s="13" t="n">
        <v>947.7</v>
      </c>
      <c r="AO2512" s="13" t="n">
        <v>18.5</v>
      </c>
      <c r="AP2512" s="13" t="n">
        <v>1.6</v>
      </c>
    </row>
    <row r="2513">
      <c r="A2513" s="5" t="inlineStr">
        <is>
          <t>이수스페셜티케미컬</t>
        </is>
      </c>
      <c r="B2513" s="6" t="inlineStr">
        <is>
          <t>457190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52180</v>
      </c>
      <c r="J2513" s="10" t="n">
        <v>1391</v>
      </c>
      <c r="K2513" s="10" t="n">
        <v>-237</v>
      </c>
      <c r="L2513" s="7" t="n">
        <v>102399</v>
      </c>
      <c r="M2513" s="8" t="n">
        <v>7946</v>
      </c>
      <c r="N2513" s="8" t="n">
        <v>5070</v>
      </c>
      <c r="O2513" s="9" t="n">
        <v>86909</v>
      </c>
      <c r="P2513" s="10" t="n">
        <v>3949</v>
      </c>
      <c r="Q2513" s="10" t="n">
        <v>1388</v>
      </c>
      <c r="R2513" s="7" t="n">
        <v>90582</v>
      </c>
      <c r="S2513" s="8" t="n">
        <v>920</v>
      </c>
      <c r="T2513" s="8" t="n">
        <v>4291</v>
      </c>
      <c r="U2513" s="9" t="n">
        <v>98898</v>
      </c>
      <c r="V2513" s="10" t="n">
        <v>6097</v>
      </c>
      <c r="W2513" s="10" t="n">
        <v>3767</v>
      </c>
      <c r="X2513" s="7" t="n">
        <v>99708</v>
      </c>
      <c r="Y2513" s="8" t="n">
        <v>-4653</v>
      </c>
      <c r="Z2513" s="8" t="n">
        <v>-4098</v>
      </c>
      <c r="AA2513" s="9" t="n">
        <v>103986</v>
      </c>
      <c r="AB2513" s="10" t="n">
        <v>-1461</v>
      </c>
      <c r="AC2513" s="10" t="n">
        <v>-1815</v>
      </c>
      <c r="AD2513" s="7" t="n">
        <v>108878</v>
      </c>
      <c r="AE2513" s="8" t="n">
        <v>1632</v>
      </c>
      <c r="AF2513" s="8" t="n">
        <v>2916</v>
      </c>
      <c r="AG2513" s="9" t="n">
        <v>108572</v>
      </c>
      <c r="AH2513" s="10" t="n">
        <v>3481</v>
      </c>
      <c r="AI2513" s="10" t="n">
        <v>1884</v>
      </c>
      <c r="AJ2513" s="11" t="n">
        <v>108029</v>
      </c>
      <c r="AK2513" s="12" t="n">
        <v>7737</v>
      </c>
      <c r="AL2513" s="12" t="n">
        <v>3627</v>
      </c>
      <c r="AM2513" s="13" t="n">
        <v>-0.5</v>
      </c>
      <c r="AN2513" s="13" t="n">
        <v>8.300000000000001</v>
      </c>
      <c r="AO2513" s="13" t="n">
        <v>122.3</v>
      </c>
      <c r="AP2513" s="13" t="n">
        <v>266.3</v>
      </c>
    </row>
    <row r="2514">
      <c r="A2514" s="5" t="inlineStr">
        <is>
          <t>한켐</t>
        </is>
      </c>
      <c r="B2514" s="6" t="inlineStr">
        <is>
          <t>457370</t>
        </is>
      </c>
      <c r="C2514" s="6" t="inlineStr">
        <is>
          <t>별도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n">
        <v>9972</v>
      </c>
      <c r="P2514" s="10" t="n">
        <v>2627</v>
      </c>
      <c r="Q2514" s="10" t="n">
        <v>2377</v>
      </c>
      <c r="R2514" s="7" t="inlineStr"/>
      <c r="S2514" s="8" t="inlineStr"/>
      <c r="T2514" s="8" t="inlineStr"/>
      <c r="U2514" s="9" t="n">
        <v>7940</v>
      </c>
      <c r="V2514" s="10" t="n">
        <v>1304</v>
      </c>
      <c r="W2514" s="10" t="n">
        <v>1260</v>
      </c>
      <c r="X2514" s="7" t="n">
        <v>10960</v>
      </c>
      <c r="Y2514" s="8" t="n">
        <v>2021</v>
      </c>
      <c r="Z2514" s="8" t="n">
        <v>1732</v>
      </c>
      <c r="AA2514" s="9" t="n">
        <v>8164</v>
      </c>
      <c r="AB2514" s="10" t="n">
        <v>1294</v>
      </c>
      <c r="AC2514" s="10" t="n">
        <v>1373</v>
      </c>
      <c r="AD2514" s="7" t="n">
        <v>6832</v>
      </c>
      <c r="AE2514" s="8" t="n">
        <v>233</v>
      </c>
      <c r="AF2514" s="8" t="n">
        <v>1408</v>
      </c>
      <c r="AG2514" s="9" t="n">
        <v>6304</v>
      </c>
      <c r="AH2514" s="10" t="n">
        <v>461</v>
      </c>
      <c r="AI2514" s="10" t="n">
        <v>616</v>
      </c>
      <c r="AJ2514" s="11" t="n">
        <v>6658</v>
      </c>
      <c r="AK2514" s="12" t="n">
        <v>414</v>
      </c>
      <c r="AL2514" s="12" t="n">
        <v>417</v>
      </c>
      <c r="AM2514" s="13" t="n">
        <v>5.6</v>
      </c>
      <c r="AN2514" s="13" t="n">
        <v>-39.3</v>
      </c>
      <c r="AO2514" s="13" t="n">
        <v>-10.2</v>
      </c>
      <c r="AP2514" s="13" t="n">
        <v>-79.5</v>
      </c>
    </row>
    <row r="2515">
      <c r="A2515" s="5" t="inlineStr">
        <is>
          <t>우진엔텍</t>
        </is>
      </c>
      <c r="B2515" s="6" t="inlineStr">
        <is>
          <t>457550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n">
        <v>10331</v>
      </c>
      <c r="J2515" s="10" t="n">
        <v>1270</v>
      </c>
      <c r="K2515" s="10" t="n">
        <v>1170</v>
      </c>
      <c r="L2515" s="7" t="n">
        <v>12658</v>
      </c>
      <c r="M2515" s="8" t="n">
        <v>1928</v>
      </c>
      <c r="N2515" s="8" t="n">
        <v>1777</v>
      </c>
      <c r="O2515" s="9" t="n">
        <v>9787</v>
      </c>
      <c r="P2515" s="10" t="n">
        <v>969</v>
      </c>
      <c r="Q2515" s="10" t="n">
        <v>1179</v>
      </c>
      <c r="R2515" s="7" t="n">
        <v>11183</v>
      </c>
      <c r="S2515" s="8" t="n">
        <v>1152</v>
      </c>
      <c r="T2515" s="8" t="n">
        <v>1283</v>
      </c>
      <c r="U2515" s="9" t="n">
        <v>8742</v>
      </c>
      <c r="V2515" s="10" t="n">
        <v>192</v>
      </c>
      <c r="W2515" s="10" t="n">
        <v>432</v>
      </c>
      <c r="X2515" s="7" t="n">
        <v>11414</v>
      </c>
      <c r="Y2515" s="8" t="n">
        <v>1534</v>
      </c>
      <c r="Z2515" s="8" t="n">
        <v>1379</v>
      </c>
      <c r="AA2515" s="9" t="n">
        <v>11476</v>
      </c>
      <c r="AB2515" s="10" t="n">
        <v>1945</v>
      </c>
      <c r="AC2515" s="10" t="n">
        <v>2012</v>
      </c>
      <c r="AD2515" s="7" t="n">
        <v>13175</v>
      </c>
      <c r="AE2515" s="8" t="n">
        <v>1387</v>
      </c>
      <c r="AF2515" s="8" t="n">
        <v>1486</v>
      </c>
      <c r="AG2515" s="9" t="n">
        <v>11301</v>
      </c>
      <c r="AH2515" s="10" t="n">
        <v>1872</v>
      </c>
      <c r="AI2515" s="10" t="n">
        <v>1707</v>
      </c>
      <c r="AJ2515" s="11" t="n">
        <v>11378</v>
      </c>
      <c r="AK2515" s="12" t="n">
        <v>1044</v>
      </c>
      <c r="AL2515" s="12" t="n">
        <v>984</v>
      </c>
      <c r="AM2515" s="13" t="n">
        <v>0.7</v>
      </c>
      <c r="AN2515" s="13" t="n">
        <v>-0.3</v>
      </c>
      <c r="AO2515" s="13" t="n">
        <v>-44.2</v>
      </c>
      <c r="AP2515" s="13" t="n">
        <v>-31.9</v>
      </c>
    </row>
    <row r="2516">
      <c r="A2516" s="5" t="inlineStr">
        <is>
          <t>벡트</t>
        </is>
      </c>
      <c r="B2516" s="6" t="inlineStr">
        <is>
          <t>457600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20325</v>
      </c>
      <c r="V2516" s="10" t="n">
        <v>253</v>
      </c>
      <c r="W2516" s="10" t="n">
        <v>-39</v>
      </c>
      <c r="X2516" s="7" t="n">
        <v>7218</v>
      </c>
      <c r="Y2516" s="8" t="n">
        <v>-1726</v>
      </c>
      <c r="Z2516" s="8" t="n">
        <v>-1948</v>
      </c>
      <c r="AA2516" s="9" t="n">
        <v>8393</v>
      </c>
      <c r="AB2516" s="10" t="n">
        <v>-963</v>
      </c>
      <c r="AC2516" s="10" t="n">
        <v>-1081</v>
      </c>
      <c r="AD2516" s="7" t="n">
        <v>8608</v>
      </c>
      <c r="AE2516" s="8" t="n">
        <v>-993</v>
      </c>
      <c r="AF2516" s="8" t="n">
        <v>-2151</v>
      </c>
      <c r="AG2516" s="9" t="n">
        <v>15691</v>
      </c>
      <c r="AH2516" s="10" t="n">
        <v>-645</v>
      </c>
      <c r="AI2516" s="10" t="n">
        <v>-737</v>
      </c>
      <c r="AJ2516" s="11" t="n">
        <v>6059</v>
      </c>
      <c r="AK2516" s="12" t="n">
        <v>-1714</v>
      </c>
      <c r="AL2516" s="12" t="n">
        <v>-1735</v>
      </c>
      <c r="AM2516" s="13" t="n">
        <v>-61.4</v>
      </c>
      <c r="AN2516" s="13" t="n">
        <v>-16.1</v>
      </c>
      <c r="AO2516" s="13" t="n">
        <v>-165.7</v>
      </c>
      <c r="AP2516" s="13" t="n">
        <v>0.7</v>
      </c>
    </row>
    <row r="2517">
      <c r="A2517" s="5" t="inlineStr">
        <is>
          <t>에스팀</t>
        </is>
      </c>
      <c r="B2517" s="6" t="inlineStr">
        <is>
          <t>458350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inlineStr"/>
      <c r="V2517" s="10" t="inlineStr"/>
      <c r="W2517" s="10" t="inlineStr"/>
      <c r="X2517" s="7" t="inlineStr"/>
      <c r="Y2517" s="8" t="inlineStr"/>
      <c r="Z2517" s="8" t="inlineStr"/>
      <c r="AA2517" s="9" t="inlineStr"/>
      <c r="AB2517" s="10" t="inlineStr"/>
      <c r="AC2517" s="10" t="inlineStr"/>
      <c r="AD2517" s="7" t="inlineStr"/>
      <c r="AE2517" s="8" t="inlineStr"/>
      <c r="AF2517" s="8" t="inlineStr"/>
      <c r="AG2517" s="9" t="n">
        <v>5896</v>
      </c>
      <c r="AH2517" s="10" t="n">
        <v>-568</v>
      </c>
      <c r="AI2517" s="10" t="n">
        <v>-451</v>
      </c>
      <c r="AJ2517" s="11" t="n">
        <v>8640</v>
      </c>
      <c r="AK2517" s="12" t="n">
        <v>-100</v>
      </c>
      <c r="AL2517" s="12" t="n">
        <v>-370</v>
      </c>
      <c r="AM2517" s="13" t="n">
        <v>46.5</v>
      </c>
      <c r="AN2517" s="13" t="inlineStr"/>
      <c r="AO2517" s="13" t="n">
        <v>82.40000000000001</v>
      </c>
      <c r="AP2517" s="13" t="inlineStr"/>
    </row>
    <row r="2518">
      <c r="A2518" s="5" t="inlineStr">
        <is>
          <t>성우</t>
        </is>
      </c>
      <c r="B2518" s="6" t="inlineStr">
        <is>
          <t>458650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24002</v>
      </c>
      <c r="V2518" s="10" t="n">
        <v>809</v>
      </c>
      <c r="W2518" s="10" t="n">
        <v>1639</v>
      </c>
      <c r="X2518" s="7" t="n">
        <v>20843</v>
      </c>
      <c r="Y2518" s="8" t="n">
        <v>-1370</v>
      </c>
      <c r="Z2518" s="8" t="n">
        <v>-1832</v>
      </c>
      <c r="AA2518" s="9" t="n">
        <v>21312</v>
      </c>
      <c r="AB2518" s="10" t="n">
        <v>272</v>
      </c>
      <c r="AC2518" s="10" t="n">
        <v>1495</v>
      </c>
      <c r="AD2518" s="7" t="n">
        <v>19393</v>
      </c>
      <c r="AE2518" s="8" t="n">
        <v>1330</v>
      </c>
      <c r="AF2518" s="8" t="n">
        <v>3604</v>
      </c>
      <c r="AG2518" s="9" t="n">
        <v>23857</v>
      </c>
      <c r="AH2518" s="10" t="n">
        <v>218</v>
      </c>
      <c r="AI2518" s="10" t="n">
        <v>1577</v>
      </c>
      <c r="AJ2518" s="11" t="n">
        <v>24715</v>
      </c>
      <c r="AK2518" s="12" t="n">
        <v>764</v>
      </c>
      <c r="AL2518" s="12" t="n">
        <v>1939</v>
      </c>
      <c r="AM2518" s="13" t="n">
        <v>3.6</v>
      </c>
      <c r="AN2518" s="13" t="n">
        <v>18.6</v>
      </c>
      <c r="AO2518" s="13" t="n">
        <v>250.5</v>
      </c>
      <c r="AP2518" s="13" t="n">
        <v>155.8</v>
      </c>
    </row>
    <row r="2519">
      <c r="A2519" s="5" t="inlineStr">
        <is>
          <t>씨어스</t>
        </is>
      </c>
      <c r="B2519" s="6" t="inlineStr">
        <is>
          <t>458870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n">
        <v>884</v>
      </c>
      <c r="M2519" s="8" t="n">
        <v>-2891</v>
      </c>
      <c r="N2519" s="8" t="n">
        <v>-3015</v>
      </c>
      <c r="O2519" s="9" t="n">
        <v>984</v>
      </c>
      <c r="P2519" s="10" t="n">
        <v>-3534</v>
      </c>
      <c r="Q2519" s="10" t="n">
        <v>-3453</v>
      </c>
      <c r="R2519" s="7" t="inlineStr"/>
      <c r="S2519" s="8" t="inlineStr"/>
      <c r="T2519" s="8" t="inlineStr"/>
      <c r="U2519" s="9" t="n">
        <v>4068</v>
      </c>
      <c r="V2519" s="10" t="n">
        <v>-588</v>
      </c>
      <c r="W2519" s="10" t="n">
        <v>-593</v>
      </c>
      <c r="X2519" s="7" t="n">
        <v>7954</v>
      </c>
      <c r="Y2519" s="8" t="n">
        <v>1485</v>
      </c>
      <c r="Z2519" s="8" t="n">
        <v>1500</v>
      </c>
      <c r="AA2519" s="9" t="n">
        <v>15737</v>
      </c>
      <c r="AB2519" s="10" t="n">
        <v>6726</v>
      </c>
      <c r="AC2519" s="10" t="n">
        <v>6726</v>
      </c>
      <c r="AD2519" s="7" t="n">
        <v>20412</v>
      </c>
      <c r="AE2519" s="8" t="n">
        <v>8704</v>
      </c>
      <c r="AF2519" s="8" t="n">
        <v>8413</v>
      </c>
      <c r="AG2519" s="9" t="n">
        <v>32526</v>
      </c>
      <c r="AH2519" s="10" t="n">
        <v>13854</v>
      </c>
      <c r="AI2519" s="10" t="n">
        <v>13725</v>
      </c>
      <c r="AJ2519" s="11" t="n">
        <v>28376</v>
      </c>
      <c r="AK2519" s="12" t="n">
        <v>12950</v>
      </c>
      <c r="AL2519" s="12" t="n">
        <v>12940</v>
      </c>
      <c r="AM2519" s="13" t="n">
        <v>-12.8</v>
      </c>
      <c r="AN2519" s="13" t="n">
        <v>256.8</v>
      </c>
      <c r="AO2519" s="13" t="n">
        <v>-6.5</v>
      </c>
      <c r="AP2519" s="13" t="n">
        <v>772.1</v>
      </c>
    </row>
    <row r="2520">
      <c r="A2520" s="5" t="inlineStr">
        <is>
          <t>위츠</t>
        </is>
      </c>
      <c r="B2520" s="6" t="inlineStr">
        <is>
          <t>459100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n">
        <v>32169</v>
      </c>
      <c r="V2520" s="10" t="n">
        <v>770</v>
      </c>
      <c r="W2520" s="10" t="n">
        <v>122</v>
      </c>
      <c r="X2520" s="7" t="n">
        <v>36244</v>
      </c>
      <c r="Y2520" s="8" t="n">
        <v>2225</v>
      </c>
      <c r="Z2520" s="8" t="n">
        <v>161</v>
      </c>
      <c r="AA2520" s="9" t="n">
        <v>55709</v>
      </c>
      <c r="AB2520" s="10" t="n">
        <v>1579</v>
      </c>
      <c r="AC2520" s="10" t="n">
        <v>1332</v>
      </c>
      <c r="AD2520" s="7" t="n">
        <v>44600</v>
      </c>
      <c r="AE2520" s="8" t="n">
        <v>-1983</v>
      </c>
      <c r="AF2520" s="8" t="n">
        <v>1235</v>
      </c>
      <c r="AG2520" s="9" t="n">
        <v>54906</v>
      </c>
      <c r="AH2520" s="10" t="n">
        <v>1497</v>
      </c>
      <c r="AI2520" s="10" t="n">
        <v>2505</v>
      </c>
      <c r="AJ2520" s="11" t="n">
        <v>42713</v>
      </c>
      <c r="AK2520" s="12" t="n">
        <v>-1242</v>
      </c>
      <c r="AL2520" s="12" t="n">
        <v>-2107</v>
      </c>
      <c r="AM2520" s="13" t="n">
        <v>-22.2</v>
      </c>
      <c r="AN2520" s="13" t="n">
        <v>17.8</v>
      </c>
      <c r="AO2520" s="13" t="n">
        <v>-183</v>
      </c>
      <c r="AP2520" s="13" t="n">
        <v>-155.8</v>
      </c>
    </row>
    <row r="2521">
      <c r="A2521" s="5" t="inlineStr">
        <is>
          <t>나우로보틱스</t>
        </is>
      </c>
      <c r="B2521" s="6" t="inlineStr">
        <is>
          <t>459510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inlineStr"/>
      <c r="V2521" s="10" t="inlineStr"/>
      <c r="W2521" s="10" t="inlineStr"/>
      <c r="X2521" s="7" t="n">
        <v>2231</v>
      </c>
      <c r="Y2521" s="8" t="n">
        <v>-1761</v>
      </c>
      <c r="Z2521" s="8" t="n">
        <v>-1785</v>
      </c>
      <c r="AA2521" s="9" t="n">
        <v>4091</v>
      </c>
      <c r="AB2521" s="10" t="n">
        <v>-2797</v>
      </c>
      <c r="AC2521" s="10" t="n">
        <v>-2855</v>
      </c>
      <c r="AD2521" s="7" t="inlineStr"/>
      <c r="AE2521" s="8" t="inlineStr"/>
      <c r="AF2521" s="8" t="inlineStr"/>
      <c r="AG2521" s="9" t="n">
        <v>3018</v>
      </c>
      <c r="AH2521" s="10" t="n">
        <v>-2632</v>
      </c>
      <c r="AI2521" s="10" t="n">
        <v>-3201</v>
      </c>
      <c r="AJ2521" s="11" t="n">
        <v>6165</v>
      </c>
      <c r="AK2521" s="12" t="n">
        <v>-4155</v>
      </c>
      <c r="AL2521" s="12" t="n">
        <v>-8274</v>
      </c>
      <c r="AM2521" s="13" t="n">
        <v>104.3</v>
      </c>
      <c r="AN2521" s="13" t="n">
        <v>176.3</v>
      </c>
      <c r="AO2521" s="13" t="n">
        <v>-57.9</v>
      </c>
      <c r="AP2521" s="13" t="n">
        <v>-135.9</v>
      </c>
    </row>
    <row r="2522">
      <c r="A2522" s="5" t="inlineStr">
        <is>
          <t>알트</t>
        </is>
      </c>
      <c r="B2522" s="6" t="inlineStr">
        <is>
          <t>459550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inlineStr"/>
      <c r="Y2522" s="8" t="inlineStr"/>
      <c r="Z2522" s="8" t="inlineStr"/>
      <c r="AA2522" s="9" t="n">
        <v>18600</v>
      </c>
      <c r="AB2522" s="10" t="n">
        <v>596</v>
      </c>
      <c r="AC2522" s="10" t="n">
        <v>-825</v>
      </c>
      <c r="AD2522" s="7" t="inlineStr"/>
      <c r="AE2522" s="8" t="inlineStr"/>
      <c r="AF2522" s="8" t="inlineStr"/>
      <c r="AG2522" s="9" t="n">
        <v>18128</v>
      </c>
      <c r="AH2522" s="10" t="n">
        <v>-788</v>
      </c>
      <c r="AI2522" s="10" t="n">
        <v>-1685</v>
      </c>
      <c r="AJ2522" s="11" t="n">
        <v>8291</v>
      </c>
      <c r="AK2522" s="12" t="n">
        <v>-448</v>
      </c>
      <c r="AL2522" s="12" t="n">
        <v>818</v>
      </c>
      <c r="AM2522" s="13" t="n">
        <v>-54.3</v>
      </c>
      <c r="AN2522" s="13" t="inlineStr"/>
      <c r="AO2522" s="13" t="n">
        <v>43.1</v>
      </c>
      <c r="AP2522" s="13" t="inlineStr"/>
    </row>
    <row r="2523">
      <c r="A2523" s="5" t="inlineStr">
        <is>
          <t>아이빔테크놀로지</t>
        </is>
      </c>
      <c r="B2523" s="6" t="inlineStr">
        <is>
          <t>460470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n">
        <v>809</v>
      </c>
      <c r="M2523" s="8" t="n">
        <v>-1013</v>
      </c>
      <c r="N2523" s="8" t="n">
        <v>-1008</v>
      </c>
      <c r="O2523" s="9" t="n">
        <v>596</v>
      </c>
      <c r="P2523" s="10" t="n">
        <v>-1621</v>
      </c>
      <c r="Q2523" s="10" t="n">
        <v>-1615</v>
      </c>
      <c r="R2523" s="7" t="inlineStr"/>
      <c r="S2523" s="8" t="inlineStr"/>
      <c r="T2523" s="8" t="inlineStr"/>
      <c r="U2523" s="9" t="n">
        <v>150</v>
      </c>
      <c r="V2523" s="10" t="n">
        <v>-1520</v>
      </c>
      <c r="W2523" s="10" t="n">
        <v>-1408</v>
      </c>
      <c r="X2523" s="7" t="n">
        <v>722</v>
      </c>
      <c r="Y2523" s="8" t="n">
        <v>-1184</v>
      </c>
      <c r="Z2523" s="8" t="n">
        <v>-1187</v>
      </c>
      <c r="AA2523" s="9" t="n">
        <v>1654</v>
      </c>
      <c r="AB2523" s="10" t="n">
        <v>-704</v>
      </c>
      <c r="AC2523" s="10" t="n">
        <v>-588</v>
      </c>
      <c r="AD2523" s="7" t="n">
        <v>1850</v>
      </c>
      <c r="AE2523" s="8" t="n">
        <v>-745</v>
      </c>
      <c r="AF2523" s="8" t="n">
        <v>-620</v>
      </c>
      <c r="AG2523" s="9" t="n">
        <v>77</v>
      </c>
      <c r="AH2523" s="10" t="n">
        <v>-1457</v>
      </c>
      <c r="AI2523" s="10" t="n">
        <v>-1360</v>
      </c>
      <c r="AJ2523" s="11" t="n">
        <v>2977</v>
      </c>
      <c r="AK2523" s="12" t="n">
        <v>-195</v>
      </c>
      <c r="AL2523" s="12" t="n">
        <v>-114</v>
      </c>
      <c r="AM2523" s="13" t="n">
        <v>3766.2</v>
      </c>
      <c r="AN2523" s="13" t="n">
        <v>312.3</v>
      </c>
      <c r="AO2523" s="13" t="n">
        <v>86.59999999999999</v>
      </c>
      <c r="AP2523" s="13" t="n">
        <v>83.5</v>
      </c>
    </row>
    <row r="2524">
      <c r="A2524" s="5" t="inlineStr">
        <is>
          <t>동국씨엠</t>
        </is>
      </c>
      <c r="B2524" s="6" t="inlineStr">
        <is>
          <t>460850</t>
        </is>
      </c>
      <c r="C2524" s="6" t="inlineStr">
        <is>
          <t>연결</t>
        </is>
      </c>
      <c r="D2524" s="6" t="inlineStr">
        <is>
          <t>2026Q2</t>
        </is>
      </c>
      <c r="E2524" s="6" t="inlineStr">
        <is>
          <t>2023Q4</t>
        </is>
      </c>
      <c r="F2524" s="14" t="n">
        <v>524413</v>
      </c>
      <c r="G2524" s="15" t="n">
        <v>-10170</v>
      </c>
      <c r="H2524" s="15" t="n">
        <v>-17353</v>
      </c>
      <c r="I2524" s="9" t="n">
        <v>556456</v>
      </c>
      <c r="J2524" s="10" t="n">
        <v>23840</v>
      </c>
      <c r="K2524" s="10" t="n">
        <v>21326</v>
      </c>
      <c r="L2524" s="7" t="n">
        <v>562796</v>
      </c>
      <c r="M2524" s="8" t="n">
        <v>29089</v>
      </c>
      <c r="N2524" s="8" t="n">
        <v>22884</v>
      </c>
      <c r="O2524" s="9" t="n">
        <v>538349</v>
      </c>
      <c r="P2524" s="10" t="n">
        <v>21534</v>
      </c>
      <c r="Q2524" s="10" t="n">
        <v>12250</v>
      </c>
      <c r="R2524" s="7" t="n">
        <v>506160</v>
      </c>
      <c r="S2524" s="8" t="n">
        <v>2867</v>
      </c>
      <c r="T2524" s="8" t="n">
        <v>7322</v>
      </c>
      <c r="U2524" s="9" t="n">
        <v>746011</v>
      </c>
      <c r="V2524" s="10" t="n">
        <v>4867</v>
      </c>
      <c r="W2524" s="10" t="n">
        <v>-11021</v>
      </c>
      <c r="X2524" s="7" t="n">
        <v>690801</v>
      </c>
      <c r="Y2524" s="8" t="n">
        <v>-20069</v>
      </c>
      <c r="Z2524" s="8" t="n">
        <v>-32721</v>
      </c>
      <c r="AA2524" s="9" t="n">
        <v>667941</v>
      </c>
      <c r="AB2524" s="10" t="n">
        <v>1731</v>
      </c>
      <c r="AC2524" s="10" t="n">
        <v>844</v>
      </c>
      <c r="AD2524" s="7" t="n">
        <v>663950</v>
      </c>
      <c r="AE2524" s="8" t="n">
        <v>-25357</v>
      </c>
      <c r="AF2524" s="8" t="n">
        <v>-26967</v>
      </c>
      <c r="AG2524" s="9" t="n">
        <v>686958</v>
      </c>
      <c r="AH2524" s="10" t="n">
        <v>7985</v>
      </c>
      <c r="AI2524" s="10" t="n">
        <v>-2134</v>
      </c>
      <c r="AJ2524" s="11" t="n">
        <v>773358</v>
      </c>
      <c r="AK2524" s="12" t="n">
        <v>22032</v>
      </c>
      <c r="AL2524" s="12" t="n">
        <v>5623</v>
      </c>
      <c r="AM2524" s="13" t="n">
        <v>12.6</v>
      </c>
      <c r="AN2524" s="13" t="n">
        <v>12</v>
      </c>
      <c r="AO2524" s="13" t="n">
        <v>175.9</v>
      </c>
      <c r="AP2524" s="13" t="n">
        <v>209.8</v>
      </c>
    </row>
    <row r="2525">
      <c r="A2525" s="5" t="inlineStr">
        <is>
          <t>동국제강</t>
        </is>
      </c>
      <c r="B2525" s="6" t="inlineStr">
        <is>
          <t>460860</t>
        </is>
      </c>
      <c r="C2525" s="6" t="inlineStr">
        <is>
          <t>별도</t>
        </is>
      </c>
      <c r="D2525" s="6" t="inlineStr">
        <is>
          <t>2026Q2</t>
        </is>
      </c>
      <c r="E2525" s="6" t="inlineStr">
        <is>
          <t>2023Q4</t>
        </is>
      </c>
      <c r="F2525" s="14" t="n">
        <v>1122628</v>
      </c>
      <c r="G2525" s="15" t="n">
        <v>78562</v>
      </c>
      <c r="H2525" s="15" t="n">
        <v>43927</v>
      </c>
      <c r="I2525" s="9" t="n">
        <v>927257</v>
      </c>
      <c r="J2525" s="10" t="n">
        <v>52538</v>
      </c>
      <c r="K2525" s="10" t="n">
        <v>29136</v>
      </c>
      <c r="L2525" s="7" t="n">
        <v>940166</v>
      </c>
      <c r="M2525" s="8" t="n">
        <v>40473</v>
      </c>
      <c r="N2525" s="8" t="n">
        <v>23150</v>
      </c>
      <c r="O2525" s="9" t="n">
        <v>838556</v>
      </c>
      <c r="P2525" s="10" t="n">
        <v>21491</v>
      </c>
      <c r="Q2525" s="10" t="n">
        <v>9508</v>
      </c>
      <c r="R2525" s="7" t="n">
        <v>821547</v>
      </c>
      <c r="S2525" s="8" t="n">
        <v>-12028</v>
      </c>
      <c r="T2525" s="8" t="n">
        <v>-26959</v>
      </c>
      <c r="U2525" s="9" t="n">
        <v>725549</v>
      </c>
      <c r="V2525" s="10" t="n">
        <v>4255</v>
      </c>
      <c r="W2525" s="10" t="n">
        <v>2451</v>
      </c>
      <c r="X2525" s="7" t="n">
        <v>893658</v>
      </c>
      <c r="Y2525" s="8" t="n">
        <v>29915</v>
      </c>
      <c r="Z2525" s="8" t="n">
        <v>9183</v>
      </c>
      <c r="AA2525" s="9" t="n">
        <v>769215</v>
      </c>
      <c r="AB2525" s="10" t="n">
        <v>24492</v>
      </c>
      <c r="AC2525" s="10" t="n">
        <v>10060</v>
      </c>
      <c r="AD2525" s="7" t="n">
        <v>815009</v>
      </c>
      <c r="AE2525" s="8" t="n">
        <v>718</v>
      </c>
      <c r="AF2525" s="8" t="n">
        <v>-13462</v>
      </c>
      <c r="AG2525" s="9" t="n">
        <v>857157</v>
      </c>
      <c r="AH2525" s="10" t="n">
        <v>21441</v>
      </c>
      <c r="AI2525" s="10" t="n">
        <v>6209</v>
      </c>
      <c r="AJ2525" s="11" t="n">
        <v>995515</v>
      </c>
      <c r="AK2525" s="12" t="n">
        <v>45563</v>
      </c>
      <c r="AL2525" s="12" t="n">
        <v>11645</v>
      </c>
      <c r="AM2525" s="13" t="n">
        <v>16.1</v>
      </c>
      <c r="AN2525" s="13" t="n">
        <v>11.4</v>
      </c>
      <c r="AO2525" s="13" t="n">
        <v>112.5</v>
      </c>
      <c r="AP2525" s="13" t="n">
        <v>52.3</v>
      </c>
    </row>
    <row r="2526">
      <c r="A2526" s="5" t="inlineStr">
        <is>
          <t>에스엠씨지</t>
        </is>
      </c>
      <c r="B2526" s="6" t="inlineStr">
        <is>
          <t>460870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inlineStr"/>
      <c r="M2526" s="8" t="inlineStr"/>
      <c r="N2526" s="8" t="inlineStr"/>
      <c r="O2526" s="9" t="inlineStr"/>
      <c r="P2526" s="10" t="inlineStr"/>
      <c r="Q2526" s="10" t="inlineStr"/>
      <c r="R2526" s="7" t="inlineStr"/>
      <c r="S2526" s="8" t="inlineStr"/>
      <c r="T2526" s="8" t="inlineStr"/>
      <c r="U2526" s="9" t="n">
        <v>13166</v>
      </c>
      <c r="V2526" s="10" t="n">
        <v>1001</v>
      </c>
      <c r="W2526" s="10" t="n">
        <v>-1619</v>
      </c>
      <c r="X2526" s="7" t="n">
        <v>16123</v>
      </c>
      <c r="Y2526" s="8" t="n">
        <v>1728</v>
      </c>
      <c r="Z2526" s="8" t="n">
        <v>1373</v>
      </c>
      <c r="AA2526" s="9" t="n">
        <v>12721</v>
      </c>
      <c r="AB2526" s="10" t="n">
        <v>1096</v>
      </c>
      <c r="AC2526" s="10" t="n">
        <v>675</v>
      </c>
      <c r="AD2526" s="7" t="n">
        <v>13778</v>
      </c>
      <c r="AE2526" s="8" t="n">
        <v>1118</v>
      </c>
      <c r="AF2526" s="8" t="n">
        <v>904</v>
      </c>
      <c r="AG2526" s="9" t="n">
        <v>15041</v>
      </c>
      <c r="AH2526" s="10" t="n">
        <v>1357</v>
      </c>
      <c r="AI2526" s="10" t="n">
        <v>937</v>
      </c>
      <c r="AJ2526" s="11" t="n">
        <v>17323</v>
      </c>
      <c r="AK2526" s="12" t="n">
        <v>1660</v>
      </c>
      <c r="AL2526" s="12" t="n">
        <v>1418</v>
      </c>
      <c r="AM2526" s="13" t="n">
        <v>15.2</v>
      </c>
      <c r="AN2526" s="13" t="n">
        <v>7.4</v>
      </c>
      <c r="AO2526" s="13" t="n">
        <v>22.3</v>
      </c>
      <c r="AP2526" s="13" t="n">
        <v>-3.9</v>
      </c>
    </row>
    <row r="2527">
      <c r="A2527" s="5" t="inlineStr">
        <is>
          <t>현대힘스</t>
        </is>
      </c>
      <c r="B2527" s="6" t="inlineStr">
        <is>
          <t>460930</t>
        </is>
      </c>
      <c r="C2527" s="6" t="inlineStr">
        <is>
          <t>연결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55103</v>
      </c>
      <c r="J2527" s="10" t="n">
        <v>5920</v>
      </c>
      <c r="K2527" s="10" t="n">
        <v>4284</v>
      </c>
      <c r="L2527" s="7" t="n">
        <v>57616</v>
      </c>
      <c r="M2527" s="8" t="n">
        <v>6864</v>
      </c>
      <c r="N2527" s="8" t="n">
        <v>5071</v>
      </c>
      <c r="O2527" s="9" t="n">
        <v>54088</v>
      </c>
      <c r="P2527" s="10" t="n">
        <v>4144</v>
      </c>
      <c r="Q2527" s="10" t="n">
        <v>3856</v>
      </c>
      <c r="R2527" s="7" t="n">
        <v>56357</v>
      </c>
      <c r="S2527" s="8" t="n">
        <v>4621</v>
      </c>
      <c r="T2527" s="8" t="n">
        <v>3347</v>
      </c>
      <c r="U2527" s="9" t="n">
        <v>58358</v>
      </c>
      <c r="V2527" s="10" t="n">
        <v>7240</v>
      </c>
      <c r="W2527" s="10" t="n">
        <v>5498</v>
      </c>
      <c r="X2527" s="7" t="n">
        <v>62312</v>
      </c>
      <c r="Y2527" s="8" t="n">
        <v>8259</v>
      </c>
      <c r="Z2527" s="8" t="n">
        <v>6256</v>
      </c>
      <c r="AA2527" s="9" t="n">
        <v>60592</v>
      </c>
      <c r="AB2527" s="10" t="n">
        <v>6788</v>
      </c>
      <c r="AC2527" s="10" t="n">
        <v>5053</v>
      </c>
      <c r="AD2527" s="7" t="n">
        <v>66942</v>
      </c>
      <c r="AE2527" s="8" t="n">
        <v>6477</v>
      </c>
      <c r="AF2527" s="8" t="n">
        <v>4591</v>
      </c>
      <c r="AG2527" s="9" t="n">
        <v>64610</v>
      </c>
      <c r="AH2527" s="10" t="n">
        <v>8530</v>
      </c>
      <c r="AI2527" s="10" t="n">
        <v>6552</v>
      </c>
      <c r="AJ2527" s="11" t="n">
        <v>72768</v>
      </c>
      <c r="AK2527" s="12" t="n">
        <v>12183</v>
      </c>
      <c r="AL2527" s="12" t="n">
        <v>8714</v>
      </c>
      <c r="AM2527" s="13" t="n">
        <v>12.6</v>
      </c>
      <c r="AN2527" s="13" t="n">
        <v>16.8</v>
      </c>
      <c r="AO2527" s="13" t="n">
        <v>42.8</v>
      </c>
      <c r="AP2527" s="13" t="n">
        <v>47.5</v>
      </c>
    </row>
    <row r="2528">
      <c r="A2528" s="5" t="inlineStr">
        <is>
          <t>피앤에스로보틱스</t>
        </is>
      </c>
      <c r="B2528" s="6" t="inlineStr">
        <is>
          <t>460940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n">
        <v>1684</v>
      </c>
      <c r="M2528" s="8" t="n">
        <v>521</v>
      </c>
      <c r="N2528" s="8" t="n">
        <v>484</v>
      </c>
      <c r="O2528" s="9" t="n">
        <v>1427</v>
      </c>
      <c r="P2528" s="10" t="n">
        <v>17</v>
      </c>
      <c r="Q2528" s="10" t="n">
        <v>175</v>
      </c>
      <c r="R2528" s="7" t="inlineStr"/>
      <c r="S2528" s="8" t="inlineStr"/>
      <c r="T2528" s="8" t="inlineStr"/>
      <c r="U2528" s="9" t="n">
        <v>2089</v>
      </c>
      <c r="V2528" s="10" t="n">
        <v>281</v>
      </c>
      <c r="W2528" s="10" t="n">
        <v>468</v>
      </c>
      <c r="X2528" s="7" t="n">
        <v>2648</v>
      </c>
      <c r="Y2528" s="8" t="n">
        <v>1213</v>
      </c>
      <c r="Z2528" s="8" t="n">
        <v>1152</v>
      </c>
      <c r="AA2528" s="9" t="n">
        <v>784</v>
      </c>
      <c r="AB2528" s="10" t="n">
        <v>-818</v>
      </c>
      <c r="AC2528" s="10" t="n">
        <v>-156</v>
      </c>
      <c r="AD2528" s="7" t="n">
        <v>2118</v>
      </c>
      <c r="AE2528" s="8" t="n">
        <v>326</v>
      </c>
      <c r="AF2528" s="8" t="n">
        <v>1286</v>
      </c>
      <c r="AG2528" s="9" t="n">
        <v>932</v>
      </c>
      <c r="AH2528" s="10" t="n">
        <v>-357</v>
      </c>
      <c r="AI2528" s="10" t="n">
        <v>-58</v>
      </c>
      <c r="AJ2528" s="11" t="n">
        <v>1729</v>
      </c>
      <c r="AK2528" s="12" t="n">
        <v>-458</v>
      </c>
      <c r="AL2528" s="12" t="n">
        <v>218</v>
      </c>
      <c r="AM2528" s="13" t="n">
        <v>85.5</v>
      </c>
      <c r="AN2528" s="13" t="n">
        <v>-34.7</v>
      </c>
      <c r="AO2528" s="13" t="n">
        <v>-28.3</v>
      </c>
      <c r="AP2528" s="13" t="n">
        <v>-137.8</v>
      </c>
    </row>
    <row r="2529">
      <c r="A2529" s="5" t="inlineStr">
        <is>
          <t>아이엠비디엑스</t>
        </is>
      </c>
      <c r="B2529" s="6" t="inlineStr">
        <is>
          <t>461030</t>
        </is>
      </c>
      <c r="C2529" s="6" t="inlineStr">
        <is>
          <t>별도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n">
        <v>902</v>
      </c>
      <c r="J2529" s="10" t="n">
        <v>-2996</v>
      </c>
      <c r="K2529" s="10" t="n">
        <v>-2960</v>
      </c>
      <c r="L2529" s="7" t="n">
        <v>1185</v>
      </c>
      <c r="M2529" s="8" t="n">
        <v>-2628</v>
      </c>
      <c r="N2529" s="8" t="n">
        <v>-2299</v>
      </c>
      <c r="O2529" s="9" t="n">
        <v>687</v>
      </c>
      <c r="P2529" s="10" t="n">
        <v>-2483</v>
      </c>
      <c r="Q2529" s="10" t="n">
        <v>-2292</v>
      </c>
      <c r="R2529" s="7" t="n">
        <v>633</v>
      </c>
      <c r="S2529" s="8" t="n">
        <v>-2505</v>
      </c>
      <c r="T2529" s="8" t="n">
        <v>-2026</v>
      </c>
      <c r="U2529" s="9" t="n">
        <v>1003</v>
      </c>
      <c r="V2529" s="10" t="n">
        <v>-2007</v>
      </c>
      <c r="W2529" s="10" t="n">
        <v>-1771</v>
      </c>
      <c r="X2529" s="7" t="n">
        <v>1510</v>
      </c>
      <c r="Y2529" s="8" t="n">
        <v>-1913</v>
      </c>
      <c r="Z2529" s="8" t="n">
        <v>-1881</v>
      </c>
      <c r="AA2529" s="9" t="n">
        <v>1115</v>
      </c>
      <c r="AB2529" s="10" t="n">
        <v>-2568</v>
      </c>
      <c r="AC2529" s="10" t="n">
        <v>-2309</v>
      </c>
      <c r="AD2529" s="7" t="n">
        <v>1701</v>
      </c>
      <c r="AE2529" s="8" t="n">
        <v>-2176</v>
      </c>
      <c r="AF2529" s="8" t="n">
        <v>-1973</v>
      </c>
      <c r="AG2529" s="9" t="n">
        <v>1274</v>
      </c>
      <c r="AH2529" s="10" t="n">
        <v>-2458</v>
      </c>
      <c r="AI2529" s="10" t="n">
        <v>-2245</v>
      </c>
      <c r="AJ2529" s="11" t="n">
        <v>1509</v>
      </c>
      <c r="AK2529" s="12" t="n">
        <v>-1407</v>
      </c>
      <c r="AL2529" s="12" t="n">
        <v>-1062</v>
      </c>
      <c r="AM2529" s="13" t="n">
        <v>18.4</v>
      </c>
      <c r="AN2529" s="13" t="n">
        <v>-0.1</v>
      </c>
      <c r="AO2529" s="13" t="n">
        <v>42.8</v>
      </c>
      <c r="AP2529" s="13" t="n">
        <v>26.5</v>
      </c>
    </row>
    <row r="2530">
      <c r="A2530" s="5" t="inlineStr">
        <is>
          <t>아이스크림미디어</t>
        </is>
      </c>
      <c r="B2530" s="6" t="inlineStr">
        <is>
          <t>461300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inlineStr"/>
      <c r="M2530" s="8" t="inlineStr"/>
      <c r="N2530" s="8" t="inlineStr"/>
      <c r="O2530" s="9" t="n">
        <v>14899</v>
      </c>
      <c r="P2530" s="10" t="n">
        <v>-4854</v>
      </c>
      <c r="Q2530" s="10" t="n">
        <v>-3430</v>
      </c>
      <c r="R2530" s="7" t="inlineStr"/>
      <c r="S2530" s="8" t="inlineStr"/>
      <c r="T2530" s="8" t="inlineStr"/>
      <c r="U2530" s="9" t="n">
        <v>13348</v>
      </c>
      <c r="V2530" s="10" t="n">
        <v>-9524</v>
      </c>
      <c r="W2530" s="10" t="n">
        <v>-7415</v>
      </c>
      <c r="X2530" s="7" t="n">
        <v>64689</v>
      </c>
      <c r="Y2530" s="8" t="n">
        <v>24058</v>
      </c>
      <c r="Z2530" s="8" t="n">
        <v>19006</v>
      </c>
      <c r="AA2530" s="9" t="n">
        <v>15869</v>
      </c>
      <c r="AB2530" s="10" t="n">
        <v>-8066</v>
      </c>
      <c r="AC2530" s="10" t="n">
        <v>-4052</v>
      </c>
      <c r="AD2530" s="7" t="n">
        <v>102005</v>
      </c>
      <c r="AE2530" s="8" t="n">
        <v>55295</v>
      </c>
      <c r="AF2530" s="8" t="n">
        <v>41630</v>
      </c>
      <c r="AG2530" s="9" t="n">
        <v>15297</v>
      </c>
      <c r="AH2530" s="10" t="n">
        <v>-8427</v>
      </c>
      <c r="AI2530" s="10" t="n">
        <v>-7339</v>
      </c>
      <c r="AJ2530" s="11" t="n">
        <v>77184</v>
      </c>
      <c r="AK2530" s="12" t="n">
        <v>32329</v>
      </c>
      <c r="AL2530" s="12" t="n">
        <v>41806</v>
      </c>
      <c r="AM2530" s="13" t="n">
        <v>404.6</v>
      </c>
      <c r="AN2530" s="13" t="n">
        <v>19.3</v>
      </c>
      <c r="AO2530" s="13" t="n">
        <v>483.6</v>
      </c>
      <c r="AP2530" s="13" t="n">
        <v>34.4</v>
      </c>
    </row>
    <row r="2531">
      <c r="A2531" s="5" t="inlineStr">
        <is>
          <t>뉴키즈온</t>
        </is>
      </c>
      <c r="B2531" s="6" t="inlineStr">
        <is>
          <t>462310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inlineStr"/>
      <c r="P2531" s="10" t="inlineStr"/>
      <c r="Q2531" s="10" t="inlineStr"/>
      <c r="R2531" s="7" t="inlineStr"/>
      <c r="S2531" s="8" t="inlineStr"/>
      <c r="T2531" s="8" t="inlineStr"/>
      <c r="U2531" s="9" t="inlineStr"/>
      <c r="V2531" s="10" t="inlineStr"/>
      <c r="W2531" s="10" t="inlineStr"/>
      <c r="X2531" s="7" t="n">
        <v>12421</v>
      </c>
      <c r="Y2531" s="8" t="n">
        <v>184</v>
      </c>
      <c r="Z2531" s="8" t="n">
        <v>-3607</v>
      </c>
      <c r="AA2531" s="9" t="n">
        <v>6975</v>
      </c>
      <c r="AB2531" s="10" t="n">
        <v>-1406</v>
      </c>
      <c r="AC2531" s="10" t="n">
        <v>-1154</v>
      </c>
      <c r="AD2531" s="7" t="inlineStr"/>
      <c r="AE2531" s="8" t="inlineStr"/>
      <c r="AF2531" s="8" t="inlineStr"/>
      <c r="AG2531" s="9" t="n">
        <v>10305</v>
      </c>
      <c r="AH2531" s="10" t="n">
        <v>-509</v>
      </c>
      <c r="AI2531" s="10" t="n">
        <v>-468</v>
      </c>
      <c r="AJ2531" s="11" t="n">
        <v>16776</v>
      </c>
      <c r="AK2531" s="12" t="n">
        <v>1560</v>
      </c>
      <c r="AL2531" s="12" t="n">
        <v>1254</v>
      </c>
      <c r="AM2531" s="13" t="n">
        <v>62.8</v>
      </c>
      <c r="AN2531" s="13" t="n">
        <v>35.1</v>
      </c>
      <c r="AO2531" s="13" t="n">
        <v>406.5</v>
      </c>
      <c r="AP2531" s="13" t="n">
        <v>747.8</v>
      </c>
    </row>
    <row r="2532">
      <c r="A2532" s="5" t="inlineStr">
        <is>
          <t>이노스페이스</t>
        </is>
      </c>
      <c r="B2532" s="6" t="inlineStr">
        <is>
          <t>462350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n">
        <v>-4588</v>
      </c>
      <c r="K2532" s="10" t="n">
        <v>-4595</v>
      </c>
      <c r="L2532" s="7" t="inlineStr"/>
      <c r="M2532" s="8" t="n">
        <v>-5708</v>
      </c>
      <c r="N2532" s="8" t="n">
        <v>-6171</v>
      </c>
      <c r="O2532" s="9" t="inlineStr"/>
      <c r="P2532" s="10" t="n">
        <v>-7335</v>
      </c>
      <c r="Q2532" s="10" t="n">
        <v>-7174</v>
      </c>
      <c r="R2532" s="7" t="inlineStr"/>
      <c r="S2532" s="8" t="n">
        <v>-15273</v>
      </c>
      <c r="T2532" s="8" t="n">
        <v>-15406</v>
      </c>
      <c r="U2532" s="9" t="n">
        <v>240</v>
      </c>
      <c r="V2532" s="10" t="n">
        <v>-13872</v>
      </c>
      <c r="W2532" s="10" t="n">
        <v>-13946</v>
      </c>
      <c r="X2532" s="7" t="n">
        <v>452</v>
      </c>
      <c r="Y2532" s="8" t="n">
        <v>-16740</v>
      </c>
      <c r="Z2532" s="8" t="n">
        <v>-16756</v>
      </c>
      <c r="AA2532" s="9" t="n">
        <v>1095</v>
      </c>
      <c r="AB2532" s="10" t="n">
        <v>-18641</v>
      </c>
      <c r="AC2532" s="10" t="n">
        <v>-18756</v>
      </c>
      <c r="AD2532" s="7" t="n">
        <v>959</v>
      </c>
      <c r="AE2532" s="8" t="n">
        <v>-22993</v>
      </c>
      <c r="AF2532" s="8" t="n">
        <v>-25639</v>
      </c>
      <c r="AG2532" s="9" t="n">
        <v>1397</v>
      </c>
      <c r="AH2532" s="10" t="n">
        <v>-12374</v>
      </c>
      <c r="AI2532" s="10" t="n">
        <v>-12506</v>
      </c>
      <c r="AJ2532" s="11" t="n">
        <v>2472</v>
      </c>
      <c r="AK2532" s="12" t="n">
        <v>-15819</v>
      </c>
      <c r="AL2532" s="12" t="n">
        <v>-15967</v>
      </c>
      <c r="AM2532" s="13" t="n">
        <v>77</v>
      </c>
      <c r="AN2532" s="13" t="n">
        <v>446.9</v>
      </c>
      <c r="AO2532" s="13" t="n">
        <v>-27.8</v>
      </c>
      <c r="AP2532" s="13" t="n">
        <v>5.5</v>
      </c>
    </row>
    <row r="2533">
      <c r="A2533" s="5" t="inlineStr">
        <is>
          <t>라메디텍</t>
        </is>
      </c>
      <c r="B2533" s="6" t="inlineStr">
        <is>
          <t>462510</t>
        </is>
      </c>
      <c r="C2533" s="6" t="inlineStr">
        <is>
          <t>별도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n">
        <v>1858</v>
      </c>
      <c r="M2533" s="8" t="n">
        <v>-2771</v>
      </c>
      <c r="N2533" s="8" t="n">
        <v>-2752</v>
      </c>
      <c r="O2533" s="9" t="n">
        <v>1693</v>
      </c>
      <c r="P2533" s="10" t="n">
        <v>-2495</v>
      </c>
      <c r="Q2533" s="10" t="n">
        <v>-2324</v>
      </c>
      <c r="R2533" s="7" t="inlineStr"/>
      <c r="S2533" s="8" t="inlineStr"/>
      <c r="T2533" s="8" t="inlineStr"/>
      <c r="U2533" s="9" t="n">
        <v>1925</v>
      </c>
      <c r="V2533" s="10" t="n">
        <v>-2869</v>
      </c>
      <c r="W2533" s="10" t="n">
        <v>-2756</v>
      </c>
      <c r="X2533" s="7" t="n">
        <v>1650</v>
      </c>
      <c r="Y2533" s="8" t="n">
        <v>-2619</v>
      </c>
      <c r="Z2533" s="8" t="n">
        <v>-2582</v>
      </c>
      <c r="AA2533" s="9" t="n">
        <v>1758</v>
      </c>
      <c r="AB2533" s="10" t="n">
        <v>-2953</v>
      </c>
      <c r="AC2533" s="10" t="n">
        <v>-3014</v>
      </c>
      <c r="AD2533" s="7" t="n">
        <v>1854</v>
      </c>
      <c r="AE2533" s="8" t="n">
        <v>-3403</v>
      </c>
      <c r="AF2533" s="8" t="n">
        <v>-3015</v>
      </c>
      <c r="AG2533" s="9" t="n">
        <v>815</v>
      </c>
      <c r="AH2533" s="10" t="n">
        <v>-2760</v>
      </c>
      <c r="AI2533" s="10" t="n">
        <v>-2896</v>
      </c>
      <c r="AJ2533" s="11" t="n">
        <v>1134</v>
      </c>
      <c r="AK2533" s="12" t="n">
        <v>-1694</v>
      </c>
      <c r="AL2533" s="12" t="n">
        <v>-829</v>
      </c>
      <c r="AM2533" s="13" t="n">
        <v>39.1</v>
      </c>
      <c r="AN2533" s="13" t="n">
        <v>-31.3</v>
      </c>
      <c r="AO2533" s="13" t="n">
        <v>38.6</v>
      </c>
      <c r="AP2533" s="13" t="n">
        <v>35.3</v>
      </c>
    </row>
    <row r="2534">
      <c r="A2534" s="5" t="inlineStr">
        <is>
          <t>조선내화</t>
        </is>
      </c>
      <c r="B2534" s="6" t="inlineStr">
        <is>
          <t>462520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n">
        <v>126000</v>
      </c>
      <c r="J2534" s="10" t="n">
        <v>7833</v>
      </c>
      <c r="K2534" s="10" t="n">
        <v>5310</v>
      </c>
      <c r="L2534" s="7" t="n">
        <v>127396</v>
      </c>
      <c r="M2534" s="8" t="n">
        <v>5170</v>
      </c>
      <c r="N2534" s="8" t="n">
        <v>2369</v>
      </c>
      <c r="O2534" s="9" t="n">
        <v>126960</v>
      </c>
      <c r="P2534" s="10" t="n">
        <v>11058</v>
      </c>
      <c r="Q2534" s="10" t="n">
        <v>8199</v>
      </c>
      <c r="R2534" s="7" t="n">
        <v>120284</v>
      </c>
      <c r="S2534" s="8" t="n">
        <v>-4042</v>
      </c>
      <c r="T2534" s="8" t="n">
        <v>-9236</v>
      </c>
      <c r="U2534" s="9" t="n">
        <v>130787</v>
      </c>
      <c r="V2534" s="10" t="n">
        <v>5808</v>
      </c>
      <c r="W2534" s="10" t="n">
        <v>-1883</v>
      </c>
      <c r="X2534" s="7" t="n">
        <v>136342</v>
      </c>
      <c r="Y2534" s="8" t="n">
        <v>5589</v>
      </c>
      <c r="Z2534" s="8" t="n">
        <v>5061</v>
      </c>
      <c r="AA2534" s="9" t="n">
        <v>135525</v>
      </c>
      <c r="AB2534" s="10" t="n">
        <v>10186</v>
      </c>
      <c r="AC2534" s="10" t="n">
        <v>-1145</v>
      </c>
      <c r="AD2534" s="7" t="n">
        <v>129379</v>
      </c>
      <c r="AE2534" s="8" t="n">
        <v>2277</v>
      </c>
      <c r="AF2534" s="8" t="n">
        <v>1070</v>
      </c>
      <c r="AG2534" s="9" t="n">
        <v>131868</v>
      </c>
      <c r="AH2534" s="10" t="n">
        <v>8960</v>
      </c>
      <c r="AI2534" s="10" t="n">
        <v>7468</v>
      </c>
      <c r="AJ2534" s="11" t="n">
        <v>126216</v>
      </c>
      <c r="AK2534" s="12" t="n">
        <v>1005</v>
      </c>
      <c r="AL2534" s="12" t="n">
        <v>-4560</v>
      </c>
      <c r="AM2534" s="13" t="n">
        <v>-4.3</v>
      </c>
      <c r="AN2534" s="13" t="n">
        <v>-7.4</v>
      </c>
      <c r="AO2534" s="13" t="n">
        <v>-88.8</v>
      </c>
      <c r="AP2534" s="13" t="n">
        <v>-82</v>
      </c>
    </row>
    <row r="2535">
      <c r="A2535" s="5" t="inlineStr">
        <is>
          <t>더즌</t>
        </is>
      </c>
      <c r="B2535" s="6" t="inlineStr">
        <is>
          <t>462860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15394</v>
      </c>
      <c r="V2535" s="10" t="n">
        <v>2608</v>
      </c>
      <c r="W2535" s="10" t="n">
        <v>2395</v>
      </c>
      <c r="X2535" s="7" t="n">
        <v>14609</v>
      </c>
      <c r="Y2535" s="8" t="n">
        <v>3108</v>
      </c>
      <c r="Z2535" s="8" t="n">
        <v>2788</v>
      </c>
      <c r="AA2535" s="9" t="n">
        <v>15094</v>
      </c>
      <c r="AB2535" s="10" t="n">
        <v>3969</v>
      </c>
      <c r="AC2535" s="10" t="n">
        <v>3496</v>
      </c>
      <c r="AD2535" s="7" t="n">
        <v>14874</v>
      </c>
      <c r="AE2535" s="8" t="n">
        <v>3943</v>
      </c>
      <c r="AF2535" s="8" t="n">
        <v>2060</v>
      </c>
      <c r="AG2535" s="9" t="n">
        <v>15685</v>
      </c>
      <c r="AH2535" s="10" t="n">
        <v>3896</v>
      </c>
      <c r="AI2535" s="10" t="n">
        <v>3066</v>
      </c>
      <c r="AJ2535" s="11" t="n">
        <v>15007</v>
      </c>
      <c r="AK2535" s="12" t="n">
        <v>3640</v>
      </c>
      <c r="AL2535" s="12" t="n">
        <v>2731</v>
      </c>
      <c r="AM2535" s="13" t="n">
        <v>-4.3</v>
      </c>
      <c r="AN2535" s="13" t="n">
        <v>2.7</v>
      </c>
      <c r="AO2535" s="13" t="n">
        <v>-6.6</v>
      </c>
      <c r="AP2535" s="13" t="n">
        <v>17.1</v>
      </c>
    </row>
    <row r="2536">
      <c r="A2536" s="5" t="inlineStr">
        <is>
          <t>시프트업</t>
        </is>
      </c>
      <c r="B2536" s="6" t="inlineStr">
        <is>
          <t>462870</t>
        </is>
      </c>
      <c r="C2536" s="6" t="inlineStr">
        <is>
          <t>연결</t>
        </is>
      </c>
      <c r="D2536" s="6" t="inlineStr">
        <is>
          <t>2026Q2</t>
        </is>
      </c>
      <c r="E2536" s="6" t="inlineStr">
        <is>
          <t>2024Q2, 2024Q4</t>
        </is>
      </c>
      <c r="F2536" s="7" t="inlineStr"/>
      <c r="G2536" s="8" t="inlineStr"/>
      <c r="H2536" s="8" t="inlineStr"/>
      <c r="I2536" s="9" t="inlineStr"/>
      <c r="J2536" s="10" t="inlineStr"/>
      <c r="K2536" s="10" t="inlineStr"/>
      <c r="L2536" s="14" t="n">
        <v>65202</v>
      </c>
      <c r="M2536" s="15" t="n">
        <v>45108</v>
      </c>
      <c r="N2536" s="15" t="n">
        <v>40362</v>
      </c>
      <c r="O2536" s="9" t="n">
        <v>58018</v>
      </c>
      <c r="P2536" s="10" t="n">
        <v>35577</v>
      </c>
      <c r="Q2536" s="10" t="n">
        <v>23484</v>
      </c>
      <c r="R2536" s="14" t="n">
        <v>59258</v>
      </c>
      <c r="S2536" s="15" t="n">
        <v>42062</v>
      </c>
      <c r="T2536" s="15" t="n">
        <v>54168</v>
      </c>
      <c r="U2536" s="9" t="n">
        <v>42235</v>
      </c>
      <c r="V2536" s="10" t="n">
        <v>26251</v>
      </c>
      <c r="W2536" s="10" t="n">
        <v>26846</v>
      </c>
      <c r="X2536" s="7" t="n">
        <v>112383</v>
      </c>
      <c r="Y2536" s="8" t="n">
        <v>68215</v>
      </c>
      <c r="Z2536" s="8" t="n">
        <v>51306</v>
      </c>
      <c r="AA2536" s="9" t="n">
        <v>75499</v>
      </c>
      <c r="AB2536" s="10" t="n">
        <v>49548</v>
      </c>
      <c r="AC2536" s="10" t="n">
        <v>54628</v>
      </c>
      <c r="AD2536" s="7" t="n">
        <v>64429</v>
      </c>
      <c r="AE2536" s="8" t="n">
        <v>37404</v>
      </c>
      <c r="AF2536" s="8" t="n">
        <v>58650</v>
      </c>
      <c r="AG2536" s="9" t="n">
        <v>47309</v>
      </c>
      <c r="AH2536" s="10" t="n">
        <v>21506</v>
      </c>
      <c r="AI2536" s="10" t="n">
        <v>37796</v>
      </c>
      <c r="AJ2536" s="11" t="n">
        <v>55724</v>
      </c>
      <c r="AK2536" s="12" t="n">
        <v>28118</v>
      </c>
      <c r="AL2536" s="12" t="n">
        <v>41736</v>
      </c>
      <c r="AM2536" s="13" t="n">
        <v>17.8</v>
      </c>
      <c r="AN2536" s="13" t="n">
        <v>-50.4</v>
      </c>
      <c r="AO2536" s="13" t="n">
        <v>30.7</v>
      </c>
      <c r="AP2536" s="13" t="n">
        <v>-58.8</v>
      </c>
    </row>
    <row r="2537">
      <c r="A2537" s="5" t="inlineStr">
        <is>
          <t>아이지넷</t>
        </is>
      </c>
      <c r="B2537" s="6" t="inlineStr">
        <is>
          <t>462980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7554</v>
      </c>
      <c r="V2537" s="10" t="n">
        <v>25</v>
      </c>
      <c r="W2537" s="10" t="n">
        <v>54</v>
      </c>
      <c r="X2537" s="7" t="n">
        <v>7765</v>
      </c>
      <c r="Y2537" s="8" t="n">
        <v>-124</v>
      </c>
      <c r="Z2537" s="8" t="n">
        <v>12</v>
      </c>
      <c r="AA2537" s="9" t="n">
        <v>8947</v>
      </c>
      <c r="AB2537" s="10" t="n">
        <v>607</v>
      </c>
      <c r="AC2537" s="10" t="n">
        <v>679</v>
      </c>
      <c r="AD2537" s="7" t="n">
        <v>14753</v>
      </c>
      <c r="AE2537" s="8" t="n">
        <v>2822</v>
      </c>
      <c r="AF2537" s="8" t="n">
        <v>1812</v>
      </c>
      <c r="AG2537" s="9" t="n">
        <v>8728</v>
      </c>
      <c r="AH2537" s="10" t="n">
        <v>636</v>
      </c>
      <c r="AI2537" s="10" t="n">
        <v>484</v>
      </c>
      <c r="AJ2537" s="11" t="n">
        <v>9207</v>
      </c>
      <c r="AK2537" s="12" t="n">
        <v>1105</v>
      </c>
      <c r="AL2537" s="12" t="n">
        <v>859</v>
      </c>
      <c r="AM2537" s="13" t="n">
        <v>5.5</v>
      </c>
      <c r="AN2537" s="13" t="n">
        <v>18.6</v>
      </c>
      <c r="AO2537" s="13" t="n">
        <v>73.7</v>
      </c>
      <c r="AP2537" s="13" t="n">
        <v>991.1</v>
      </c>
    </row>
    <row r="2538">
      <c r="A2538" s="5" t="inlineStr">
        <is>
          <t>뉴엔AI</t>
        </is>
      </c>
      <c r="B2538" s="6" t="inlineStr">
        <is>
          <t>463020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inlineStr"/>
      <c r="V2538" s="10" t="inlineStr"/>
      <c r="W2538" s="10" t="inlineStr"/>
      <c r="X2538" s="7" t="n">
        <v>4409</v>
      </c>
      <c r="Y2538" s="8" t="n">
        <v>-711</v>
      </c>
      <c r="Z2538" s="8" t="n">
        <v>-699</v>
      </c>
      <c r="AA2538" s="9" t="n">
        <v>4821</v>
      </c>
      <c r="AB2538" s="10" t="n">
        <v>-149</v>
      </c>
      <c r="AC2538" s="10" t="n">
        <v>-172</v>
      </c>
      <c r="AD2538" s="7" t="inlineStr"/>
      <c r="AE2538" s="8" t="inlineStr"/>
      <c r="AF2538" s="8" t="inlineStr"/>
      <c r="AG2538" s="9" t="n">
        <v>4342</v>
      </c>
      <c r="AH2538" s="10" t="n">
        <v>-745</v>
      </c>
      <c r="AI2538" s="10" t="n">
        <v>-293</v>
      </c>
      <c r="AJ2538" s="11" t="n">
        <v>5311</v>
      </c>
      <c r="AK2538" s="12" t="n">
        <v>227</v>
      </c>
      <c r="AL2538" s="12" t="n">
        <v>412</v>
      </c>
      <c r="AM2538" s="13" t="n">
        <v>22.3</v>
      </c>
      <c r="AN2538" s="13" t="n">
        <v>20.5</v>
      </c>
      <c r="AO2538" s="13" t="n">
        <v>130.5</v>
      </c>
      <c r="AP2538" s="13" t="n">
        <v>131.9</v>
      </c>
    </row>
    <row r="2539">
      <c r="A2539" s="5" t="inlineStr">
        <is>
          <t>모티브링크</t>
        </is>
      </c>
      <c r="B2539" s="6" t="inlineStr">
        <is>
          <t>463480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n">
        <v>16976</v>
      </c>
      <c r="V2539" s="10" t="n">
        <v>19</v>
      </c>
      <c r="W2539" s="10" t="n">
        <v>45</v>
      </c>
      <c r="X2539" s="7" t="n">
        <v>20480</v>
      </c>
      <c r="Y2539" s="8" t="n">
        <v>110</v>
      </c>
      <c r="Z2539" s="8" t="n">
        <v>630</v>
      </c>
      <c r="AA2539" s="9" t="n">
        <v>16929</v>
      </c>
      <c r="AB2539" s="10" t="n">
        <v>-538</v>
      </c>
      <c r="AC2539" s="10" t="n">
        <v>-143</v>
      </c>
      <c r="AD2539" s="7" t="n">
        <v>13026</v>
      </c>
      <c r="AE2539" s="8" t="n">
        <v>-1314</v>
      </c>
      <c r="AF2539" s="8" t="n">
        <v>-645</v>
      </c>
      <c r="AG2539" s="9" t="n">
        <v>17688</v>
      </c>
      <c r="AH2539" s="10" t="n">
        <v>-1441</v>
      </c>
      <c r="AI2539" s="10" t="n">
        <v>-1006</v>
      </c>
      <c r="AJ2539" s="11" t="n">
        <v>20223</v>
      </c>
      <c r="AK2539" s="12" t="n">
        <v>-1119</v>
      </c>
      <c r="AL2539" s="12" t="n">
        <v>-1117</v>
      </c>
      <c r="AM2539" s="13" t="n">
        <v>14.3</v>
      </c>
      <c r="AN2539" s="13" t="n">
        <v>-1.3</v>
      </c>
      <c r="AO2539" s="13" t="n">
        <v>22.3</v>
      </c>
      <c r="AP2539" s="13" t="n">
        <v>-1117.3</v>
      </c>
    </row>
    <row r="2540">
      <c r="A2540" s="5" t="inlineStr">
        <is>
          <t>에스오에스랩</t>
        </is>
      </c>
      <c r="B2540" s="6" t="inlineStr">
        <is>
          <t>464080</t>
        </is>
      </c>
      <c r="C2540" s="6" t="inlineStr">
        <is>
          <t>별도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n">
        <v>468</v>
      </c>
      <c r="M2540" s="8" t="n">
        <v>-3224</v>
      </c>
      <c r="N2540" s="8" t="n">
        <v>-3134</v>
      </c>
      <c r="O2540" s="9" t="n">
        <v>946</v>
      </c>
      <c r="P2540" s="10" t="n">
        <v>-3421</v>
      </c>
      <c r="Q2540" s="10" t="n">
        <v>-3005</v>
      </c>
      <c r="R2540" s="7" t="inlineStr"/>
      <c r="S2540" s="8" t="inlineStr"/>
      <c r="T2540" s="8" t="inlineStr"/>
      <c r="U2540" s="9" t="n">
        <v>821</v>
      </c>
      <c r="V2540" s="10" t="n">
        <v>-4376</v>
      </c>
      <c r="W2540" s="10" t="n">
        <v>-4272</v>
      </c>
      <c r="X2540" s="7" t="n">
        <v>1273</v>
      </c>
      <c r="Y2540" s="8" t="n">
        <v>-4248</v>
      </c>
      <c r="Z2540" s="8" t="n">
        <v>-4416</v>
      </c>
      <c r="AA2540" s="9" t="n">
        <v>1467</v>
      </c>
      <c r="AB2540" s="10" t="n">
        <v>-3988</v>
      </c>
      <c r="AC2540" s="10" t="n">
        <v>-4506</v>
      </c>
      <c r="AD2540" s="7" t="n">
        <v>2525</v>
      </c>
      <c r="AE2540" s="8" t="n">
        <v>-3519</v>
      </c>
      <c r="AF2540" s="8" t="n">
        <v>-4508</v>
      </c>
      <c r="AG2540" s="9" t="n">
        <v>581</v>
      </c>
      <c r="AH2540" s="10" t="n">
        <v>-5502</v>
      </c>
      <c r="AI2540" s="10" t="n">
        <v>-6469</v>
      </c>
      <c r="AJ2540" s="11" t="n">
        <v>456</v>
      </c>
      <c r="AK2540" s="12" t="n">
        <v>-5177</v>
      </c>
      <c r="AL2540" s="12" t="n">
        <v>-6243</v>
      </c>
      <c r="AM2540" s="13" t="n">
        <v>-21.5</v>
      </c>
      <c r="AN2540" s="13" t="n">
        <v>-64.2</v>
      </c>
      <c r="AO2540" s="13" t="n">
        <v>5.9</v>
      </c>
      <c r="AP2540" s="13" t="n">
        <v>-21.9</v>
      </c>
    </row>
    <row r="2541">
      <c r="A2541" s="5" t="inlineStr">
        <is>
          <t>티디에스팜</t>
        </is>
      </c>
      <c r="B2541" s="6" t="inlineStr">
        <is>
          <t>464280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6465</v>
      </c>
      <c r="P2541" s="10" t="n">
        <v>847</v>
      </c>
      <c r="Q2541" s="10" t="n">
        <v>847</v>
      </c>
      <c r="R2541" s="7" t="inlineStr"/>
      <c r="S2541" s="8" t="inlineStr"/>
      <c r="T2541" s="8" t="inlineStr"/>
      <c r="U2541" s="9" t="n">
        <v>5277</v>
      </c>
      <c r="V2541" s="10" t="n">
        <v>189</v>
      </c>
      <c r="W2541" s="10" t="n">
        <v>366</v>
      </c>
      <c r="X2541" s="7" t="n">
        <v>5583</v>
      </c>
      <c r="Y2541" s="8" t="n">
        <v>323</v>
      </c>
      <c r="Z2541" s="8" t="n">
        <v>859</v>
      </c>
      <c r="AA2541" s="9" t="n">
        <v>8082</v>
      </c>
      <c r="AB2541" s="10" t="n">
        <v>1640</v>
      </c>
      <c r="AC2541" s="10" t="n">
        <v>1460</v>
      </c>
      <c r="AD2541" s="7" t="n">
        <v>8679</v>
      </c>
      <c r="AE2541" s="8" t="n">
        <v>1613</v>
      </c>
      <c r="AF2541" s="8" t="n">
        <v>1590</v>
      </c>
      <c r="AG2541" s="9" t="n">
        <v>8068</v>
      </c>
      <c r="AH2541" s="10" t="n">
        <v>1344</v>
      </c>
      <c r="AI2541" s="10" t="n">
        <v>1146</v>
      </c>
      <c r="AJ2541" s="11" t="n">
        <v>8077</v>
      </c>
      <c r="AK2541" s="12" t="n">
        <v>1043</v>
      </c>
      <c r="AL2541" s="12" t="n">
        <v>959</v>
      </c>
      <c r="AM2541" s="13" t="n">
        <v>0.1</v>
      </c>
      <c r="AN2541" s="13" t="n">
        <v>44.7</v>
      </c>
      <c r="AO2541" s="13" t="n">
        <v>-22.4</v>
      </c>
      <c r="AP2541" s="13" t="n">
        <v>222.9</v>
      </c>
    </row>
    <row r="2542">
      <c r="A2542" s="5" t="inlineStr">
        <is>
          <t>쿼드메디슨</t>
        </is>
      </c>
      <c r="B2542" s="6" t="inlineStr">
        <is>
          <t>464490</t>
        </is>
      </c>
      <c r="C2542" s="6" t="inlineStr">
        <is>
          <t>연결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n">
        <v>-1374</v>
      </c>
      <c r="N2542" s="8" t="n">
        <v>-1424</v>
      </c>
      <c r="O2542" s="9" t="inlineStr"/>
      <c r="P2542" s="10" t="n">
        <v>-895</v>
      </c>
      <c r="Q2542" s="10" t="n">
        <v>-1288</v>
      </c>
      <c r="R2542" s="7" t="inlineStr"/>
      <c r="S2542" s="8" t="inlineStr"/>
      <c r="T2542" s="8" t="inlineStr"/>
      <c r="U2542" s="9" t="inlineStr"/>
      <c r="V2542" s="10" t="n">
        <v>-3350</v>
      </c>
      <c r="W2542" s="10" t="n">
        <v>-3410</v>
      </c>
      <c r="X2542" s="7" t="inlineStr"/>
      <c r="Y2542" s="8" t="n">
        <v>34</v>
      </c>
      <c r="Z2542" s="8" t="n">
        <v>-370</v>
      </c>
      <c r="AA2542" s="9" t="inlineStr"/>
      <c r="AB2542" s="10" t="inlineStr"/>
      <c r="AC2542" s="10" t="inlineStr"/>
      <c r="AD2542" s="7" t="inlineStr"/>
      <c r="AE2542" s="8" t="inlineStr"/>
      <c r="AF2542" s="8" t="inlineStr"/>
      <c r="AG2542" s="9" t="inlineStr"/>
      <c r="AH2542" s="10" t="n">
        <v>-4415</v>
      </c>
      <c r="AI2542" s="10" t="n">
        <v>-4608</v>
      </c>
      <c r="AJ2542" s="11" t="inlineStr"/>
      <c r="AK2542" s="12" t="n">
        <v>-2370</v>
      </c>
      <c r="AL2542" s="12" t="n">
        <v>-2349</v>
      </c>
      <c r="AM2542" s="13" t="inlineStr"/>
      <c r="AN2542" s="13" t="inlineStr"/>
      <c r="AO2542" s="13" t="n">
        <v>46.3</v>
      </c>
      <c r="AP2542" s="13" t="n">
        <v>-7070.6</v>
      </c>
    </row>
    <row r="2543">
      <c r="A2543" s="5" t="inlineStr">
        <is>
          <t>아이언디바이스</t>
        </is>
      </c>
      <c r="B2543" s="6" t="inlineStr">
        <is>
          <t>464500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n">
        <v>2361</v>
      </c>
      <c r="P2543" s="10" t="n">
        <v>-1274</v>
      </c>
      <c r="Q2543" s="10" t="n">
        <v>-1292</v>
      </c>
      <c r="R2543" s="7" t="inlineStr"/>
      <c r="S2543" s="8" t="inlineStr"/>
      <c r="T2543" s="8" t="inlineStr"/>
      <c r="U2543" s="9" t="n">
        <v>1063</v>
      </c>
      <c r="V2543" s="10" t="n">
        <v>-1143</v>
      </c>
      <c r="W2543" s="10" t="n">
        <v>-941</v>
      </c>
      <c r="X2543" s="7" t="n">
        <v>890</v>
      </c>
      <c r="Y2543" s="8" t="n">
        <v>-1482</v>
      </c>
      <c r="Z2543" s="8" t="n">
        <v>-1574</v>
      </c>
      <c r="AA2543" s="9" t="n">
        <v>3113</v>
      </c>
      <c r="AB2543" s="10" t="n">
        <v>-1400</v>
      </c>
      <c r="AC2543" s="10" t="n">
        <v>-950</v>
      </c>
      <c r="AD2543" s="7" t="n">
        <v>5061</v>
      </c>
      <c r="AE2543" s="8" t="n">
        <v>-1549</v>
      </c>
      <c r="AF2543" s="8" t="n">
        <v>-1075</v>
      </c>
      <c r="AG2543" s="9" t="n">
        <v>4702</v>
      </c>
      <c r="AH2543" s="10" t="n">
        <v>-1002</v>
      </c>
      <c r="AI2543" s="10" t="n">
        <v>-608</v>
      </c>
      <c r="AJ2543" s="11" t="n">
        <v>5680</v>
      </c>
      <c r="AK2543" s="12" t="n">
        <v>-1326</v>
      </c>
      <c r="AL2543" s="12" t="n">
        <v>-1076</v>
      </c>
      <c r="AM2543" s="13" t="n">
        <v>20.8</v>
      </c>
      <c r="AN2543" s="13" t="n">
        <v>538.2</v>
      </c>
      <c r="AO2543" s="13" t="n">
        <v>-32.3</v>
      </c>
      <c r="AP2543" s="13" t="n">
        <v>10.5</v>
      </c>
    </row>
    <row r="2544">
      <c r="A2544" s="5" t="inlineStr">
        <is>
          <t>닷밀</t>
        </is>
      </c>
      <c r="B2544" s="6" t="inlineStr">
        <is>
          <t>464580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5423</v>
      </c>
      <c r="V2544" s="10" t="n">
        <v>-1283</v>
      </c>
      <c r="W2544" s="10" t="n">
        <v>-1252</v>
      </c>
      <c r="X2544" s="7" t="n">
        <v>5731</v>
      </c>
      <c r="Y2544" s="8" t="n">
        <v>-502</v>
      </c>
      <c r="Z2544" s="8" t="n">
        <v>-570</v>
      </c>
      <c r="AA2544" s="9" t="n">
        <v>13790</v>
      </c>
      <c r="AB2544" s="10" t="n">
        <v>1798</v>
      </c>
      <c r="AC2544" s="10" t="n">
        <v>1874</v>
      </c>
      <c r="AD2544" s="7" t="n">
        <v>8897</v>
      </c>
      <c r="AE2544" s="8" t="n">
        <v>110</v>
      </c>
      <c r="AF2544" s="8" t="n">
        <v>744</v>
      </c>
      <c r="AG2544" s="9" t="n">
        <v>6039</v>
      </c>
      <c r="AH2544" s="10" t="n">
        <v>-1536</v>
      </c>
      <c r="AI2544" s="10" t="n">
        <v>-1457</v>
      </c>
      <c r="AJ2544" s="11" t="n">
        <v>5205</v>
      </c>
      <c r="AK2544" s="12" t="n">
        <v>-1684</v>
      </c>
      <c r="AL2544" s="12" t="n">
        <v>-1692</v>
      </c>
      <c r="AM2544" s="13" t="n">
        <v>-13.8</v>
      </c>
      <c r="AN2544" s="13" t="n">
        <v>-9.199999999999999</v>
      </c>
      <c r="AO2544" s="13" t="n">
        <v>-9.6</v>
      </c>
      <c r="AP2544" s="13" t="n">
        <v>-235.5</v>
      </c>
    </row>
    <row r="2545">
      <c r="A2545" s="5" t="inlineStr">
        <is>
          <t>교보15호스팩</t>
        </is>
      </c>
      <c r="B2545" s="6" t="inlineStr">
        <is>
          <t>465320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0</v>
      </c>
      <c r="J2545" s="10" t="n">
        <v>-27</v>
      </c>
      <c r="K2545" s="10" t="n">
        <v>22</v>
      </c>
      <c r="L2545" s="7" t="n">
        <v>0</v>
      </c>
      <c r="M2545" s="8" t="n">
        <v>-5</v>
      </c>
      <c r="N2545" s="8" t="n">
        <v>43</v>
      </c>
      <c r="O2545" s="9" t="n">
        <v>0</v>
      </c>
      <c r="P2545" s="10" t="n">
        <v>-9</v>
      </c>
      <c r="Q2545" s="10" t="n">
        <v>39</v>
      </c>
      <c r="R2545" s="7" t="n">
        <v>0</v>
      </c>
      <c r="S2545" s="8" t="n">
        <v>-4</v>
      </c>
      <c r="T2545" s="8" t="n">
        <v>41</v>
      </c>
      <c r="U2545" s="9" t="n">
        <v>0</v>
      </c>
      <c r="V2545" s="10" t="n">
        <v>-20</v>
      </c>
      <c r="W2545" s="10" t="n">
        <v>19</v>
      </c>
      <c r="X2545" s="7" t="n">
        <v>0</v>
      </c>
      <c r="Y2545" s="8" t="n">
        <v>-5</v>
      </c>
      <c r="Z2545" s="8" t="n">
        <v>33</v>
      </c>
      <c r="AA2545" s="9" t="n">
        <v>0</v>
      </c>
      <c r="AB2545" s="10" t="n">
        <v>-58</v>
      </c>
      <c r="AC2545" s="10" t="n">
        <v>-16</v>
      </c>
      <c r="AD2545" s="7" t="n">
        <v>0</v>
      </c>
      <c r="AE2545" s="8" t="n">
        <v>-4</v>
      </c>
      <c r="AF2545" s="8" t="n">
        <v>30</v>
      </c>
      <c r="AG2545" s="9" t="n">
        <v>0</v>
      </c>
      <c r="AH2545" s="10" t="n">
        <v>-19</v>
      </c>
      <c r="AI2545" s="10" t="n">
        <v>13</v>
      </c>
      <c r="AJ2545" s="11" t="n">
        <v>0</v>
      </c>
      <c r="AK2545" s="12" t="n">
        <v>-6</v>
      </c>
      <c r="AL2545" s="12" t="n">
        <v>25</v>
      </c>
      <c r="AM2545" s="13" t="inlineStr"/>
      <c r="AN2545" s="13" t="inlineStr"/>
      <c r="AO2545" s="13" t="n">
        <v>68.40000000000001</v>
      </c>
      <c r="AP2545" s="13" t="n">
        <v>-20</v>
      </c>
    </row>
    <row r="2546">
      <c r="A2546" s="5" t="inlineStr">
        <is>
          <t>인스피언</t>
        </is>
      </c>
      <c r="B2546" s="6" t="inlineStr">
        <is>
          <t>465480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3687</v>
      </c>
      <c r="V2546" s="10" t="n">
        <v>32</v>
      </c>
      <c r="W2546" s="10" t="n">
        <v>827</v>
      </c>
      <c r="X2546" s="7" t="n">
        <v>4028</v>
      </c>
      <c r="Y2546" s="8" t="n">
        <v>-417</v>
      </c>
      <c r="Z2546" s="8" t="n">
        <v>-1822</v>
      </c>
      <c r="AA2546" s="9" t="n">
        <v>4622</v>
      </c>
      <c r="AB2546" s="10" t="n">
        <v>-243</v>
      </c>
      <c r="AC2546" s="10" t="n">
        <v>1271</v>
      </c>
      <c r="AD2546" s="7" t="n">
        <v>7685</v>
      </c>
      <c r="AE2546" s="8" t="n">
        <v>3178</v>
      </c>
      <c r="AF2546" s="8" t="n">
        <v>2400</v>
      </c>
      <c r="AG2546" s="9" t="n">
        <v>3983</v>
      </c>
      <c r="AH2546" s="10" t="n">
        <v>192</v>
      </c>
      <c r="AI2546" s="10" t="n">
        <v>767</v>
      </c>
      <c r="AJ2546" s="11" t="n">
        <v>4760</v>
      </c>
      <c r="AK2546" s="12" t="n">
        <v>1050</v>
      </c>
      <c r="AL2546" s="12" t="n">
        <v>3879</v>
      </c>
      <c r="AM2546" s="13" t="n">
        <v>19.5</v>
      </c>
      <c r="AN2546" s="13" t="n">
        <v>18.2</v>
      </c>
      <c r="AO2546" s="13" t="n">
        <v>446.9</v>
      </c>
      <c r="AP2546" s="13" t="n">
        <v>351.8</v>
      </c>
    </row>
    <row r="2547">
      <c r="A2547" s="5" t="inlineStr">
        <is>
          <t>STX그린로지스</t>
        </is>
      </c>
      <c r="B2547" s="6" t="inlineStr">
        <is>
          <t>465770</t>
        </is>
      </c>
      <c r="C2547" s="6" t="inlineStr">
        <is>
          <t>연결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n">
        <v>13248</v>
      </c>
      <c r="J2547" s="10" t="n">
        <v>2381</v>
      </c>
      <c r="K2547" s="10" t="n">
        <v>2706</v>
      </c>
      <c r="L2547" s="7" t="n">
        <v>8583</v>
      </c>
      <c r="M2547" s="8" t="n">
        <v>1240</v>
      </c>
      <c r="N2547" s="8" t="n">
        <v>652</v>
      </c>
      <c r="O2547" s="9" t="n">
        <v>16319</v>
      </c>
      <c r="P2547" s="10" t="n">
        <v>3023</v>
      </c>
      <c r="Q2547" s="10" t="n">
        <v>23095</v>
      </c>
      <c r="R2547" s="7" t="n">
        <v>32394</v>
      </c>
      <c r="S2547" s="8" t="n">
        <v>514</v>
      </c>
      <c r="T2547" s="8" t="n">
        <v>-894</v>
      </c>
      <c r="U2547" s="9" t="n">
        <v>47873</v>
      </c>
      <c r="V2547" s="10" t="n">
        <v>-470</v>
      </c>
      <c r="W2547" s="10" t="n">
        <v>-910</v>
      </c>
      <c r="X2547" s="7" t="n">
        <v>43580</v>
      </c>
      <c r="Y2547" s="8" t="n">
        <v>-5041</v>
      </c>
      <c r="Z2547" s="8" t="n">
        <v>-8212</v>
      </c>
      <c r="AA2547" s="9" t="n">
        <v>49849</v>
      </c>
      <c r="AB2547" s="10" t="n">
        <v>-7010</v>
      </c>
      <c r="AC2547" s="10" t="n">
        <v>-7254</v>
      </c>
      <c r="AD2547" s="7" t="n">
        <v>50082</v>
      </c>
      <c r="AE2547" s="8" t="n">
        <v>48</v>
      </c>
      <c r="AF2547" s="8" t="n">
        <v>-21363</v>
      </c>
      <c r="AG2547" s="9" t="n">
        <v>15934</v>
      </c>
      <c r="AH2547" s="10" t="n">
        <v>-1375</v>
      </c>
      <c r="AI2547" s="10" t="n">
        <v>-2115</v>
      </c>
      <c r="AJ2547" s="11" t="n">
        <v>14827</v>
      </c>
      <c r="AK2547" s="12" t="n">
        <v>-104</v>
      </c>
      <c r="AL2547" s="12" t="n">
        <v>13148</v>
      </c>
      <c r="AM2547" s="13" t="n">
        <v>-6.9</v>
      </c>
      <c r="AN2547" s="13" t="n">
        <v>-66</v>
      </c>
      <c r="AO2547" s="13" t="n">
        <v>92.40000000000001</v>
      </c>
      <c r="AP2547" s="13" t="n">
        <v>97.90000000000001</v>
      </c>
    </row>
    <row r="2548">
      <c r="A2548" s="5" t="inlineStr">
        <is>
          <t>클로봇</t>
        </is>
      </c>
      <c r="B2548" s="6" t="inlineStr">
        <is>
          <t>466100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n">
        <v>4923</v>
      </c>
      <c r="V2548" s="10" t="n">
        <v>-3383</v>
      </c>
      <c r="W2548" s="10" t="n">
        <v>-2964</v>
      </c>
      <c r="X2548" s="7" t="n">
        <v>7849</v>
      </c>
      <c r="Y2548" s="8" t="n">
        <v>-1878</v>
      </c>
      <c r="Z2548" s="8" t="n">
        <v>-1351</v>
      </c>
      <c r="AA2548" s="9" t="n">
        <v>10734</v>
      </c>
      <c r="AB2548" s="10" t="n">
        <v>811</v>
      </c>
      <c r="AC2548" s="10" t="n">
        <v>1174</v>
      </c>
      <c r="AD2548" s="7" t="n">
        <v>17900</v>
      </c>
      <c r="AE2548" s="8" t="n">
        <v>1269</v>
      </c>
      <c r="AF2548" s="8" t="inlineStr"/>
      <c r="AG2548" s="9" t="n">
        <v>8120</v>
      </c>
      <c r="AH2548" s="10" t="n">
        <v>-2501</v>
      </c>
      <c r="AI2548" s="10" t="n">
        <v>-2206</v>
      </c>
      <c r="AJ2548" s="11" t="n">
        <v>8859</v>
      </c>
      <c r="AK2548" s="12" t="n">
        <v>-2840</v>
      </c>
      <c r="AL2548" s="12" t="n">
        <v>-2633</v>
      </c>
      <c r="AM2548" s="13" t="n">
        <v>9.1</v>
      </c>
      <c r="AN2548" s="13" t="n">
        <v>12.9</v>
      </c>
      <c r="AO2548" s="13" t="n">
        <v>-13.6</v>
      </c>
      <c r="AP2548" s="13" t="n">
        <v>-51.2</v>
      </c>
    </row>
    <row r="2549">
      <c r="A2549" s="5" t="inlineStr">
        <is>
          <t>사이냅소프트</t>
        </is>
      </c>
      <c r="B2549" s="6" t="inlineStr">
        <is>
          <t>466410</t>
        </is>
      </c>
      <c r="C2549" s="6" t="inlineStr">
        <is>
          <t>별도</t>
        </is>
      </c>
      <c r="D2549" s="6" t="inlineStr">
        <is>
          <t>2026Q2</t>
        </is>
      </c>
      <c r="E2549" s="6" t="inlineStr">
        <is>
          <t>2024Q4</t>
        </is>
      </c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14" t="n">
        <v>13253</v>
      </c>
      <c r="S2549" s="15" t="n">
        <v>5074</v>
      </c>
      <c r="T2549" s="15" t="n">
        <v>5993</v>
      </c>
      <c r="U2549" s="9" t="n">
        <v>2832</v>
      </c>
      <c r="V2549" s="10" t="n">
        <v>900</v>
      </c>
      <c r="W2549" s="10" t="n">
        <v>1190</v>
      </c>
      <c r="X2549" s="7" t="n">
        <v>3018</v>
      </c>
      <c r="Y2549" s="8" t="n">
        <v>831</v>
      </c>
      <c r="Z2549" s="8" t="n">
        <v>1202</v>
      </c>
      <c r="AA2549" s="9" t="n">
        <v>3137</v>
      </c>
      <c r="AB2549" s="10" t="n">
        <v>926</v>
      </c>
      <c r="AC2549" s="10" t="n">
        <v>1307</v>
      </c>
      <c r="AD2549" s="7" t="n">
        <v>4485</v>
      </c>
      <c r="AE2549" s="8" t="n">
        <v>2017</v>
      </c>
      <c r="AF2549" s="8" t="n">
        <v>2004</v>
      </c>
      <c r="AG2549" s="9" t="n">
        <v>3438</v>
      </c>
      <c r="AH2549" s="10" t="n">
        <v>1093</v>
      </c>
      <c r="AI2549" s="10" t="n">
        <v>1451</v>
      </c>
      <c r="AJ2549" s="11" t="n">
        <v>2862</v>
      </c>
      <c r="AK2549" s="12" t="n">
        <v>489</v>
      </c>
      <c r="AL2549" s="12" t="n">
        <v>893</v>
      </c>
      <c r="AM2549" s="13" t="n">
        <v>-16.8</v>
      </c>
      <c r="AN2549" s="13" t="n">
        <v>-5.2</v>
      </c>
      <c r="AO2549" s="13" t="n">
        <v>-55.3</v>
      </c>
      <c r="AP2549" s="13" t="n">
        <v>-41.2</v>
      </c>
    </row>
    <row r="2550">
      <c r="A2550" s="5" t="inlineStr">
        <is>
          <t>키움히어로제1호스팩</t>
        </is>
      </c>
      <c r="B2550" s="6" t="inlineStr">
        <is>
          <t>466690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inlineStr"/>
      <c r="Y2550" s="8" t="inlineStr"/>
      <c r="Z2550" s="8" t="inlineStr"/>
      <c r="AA2550" s="9" t="inlineStr"/>
      <c r="AB2550" s="10" t="inlineStr"/>
      <c r="AC2550" s="10" t="inlineStr"/>
      <c r="AD2550" s="7" t="inlineStr"/>
      <c r="AE2550" s="8" t="inlineStr"/>
      <c r="AF2550" s="8" t="inlineStr"/>
      <c r="AG2550" s="9" t="inlineStr"/>
      <c r="AH2550" s="10" t="n">
        <v>-16</v>
      </c>
      <c r="AI2550" s="10" t="n">
        <v>29</v>
      </c>
      <c r="AJ2550" s="11" t="n">
        <v>0</v>
      </c>
      <c r="AK2550" s="12" t="n">
        <v>-8</v>
      </c>
      <c r="AL2550" s="12" t="n">
        <v>43</v>
      </c>
      <c r="AM2550" s="13" t="inlineStr"/>
      <c r="AN2550" s="13" t="inlineStr"/>
      <c r="AO2550" s="13" t="n">
        <v>50</v>
      </c>
      <c r="AP2550" s="13" t="inlineStr"/>
    </row>
    <row r="2551">
      <c r="A2551" s="5" t="inlineStr">
        <is>
          <t>IBKS제23호스팩</t>
        </is>
      </c>
      <c r="B2551" s="6" t="inlineStr">
        <is>
          <t>467930</t>
        </is>
      </c>
      <c r="C2551" s="6" t="inlineStr">
        <is>
          <t>별도</t>
        </is>
      </c>
      <c r="D2551" s="6" t="inlineStr">
        <is>
          <t>2026Q1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-24</v>
      </c>
      <c r="K2551" s="10" t="n">
        <v>29</v>
      </c>
      <c r="L2551" s="7" t="n">
        <v>0</v>
      </c>
      <c r="M2551" s="8" t="n">
        <v>-8</v>
      </c>
      <c r="N2551" s="8" t="n">
        <v>45</v>
      </c>
      <c r="O2551" s="9" t="n">
        <v>0</v>
      </c>
      <c r="P2551" s="10" t="n">
        <v>-17</v>
      </c>
      <c r="Q2551" s="10" t="n">
        <v>36</v>
      </c>
      <c r="R2551" s="7" t="n">
        <v>0</v>
      </c>
      <c r="S2551" s="8" t="n">
        <v>-5</v>
      </c>
      <c r="T2551" s="8" t="n">
        <v>12</v>
      </c>
      <c r="U2551" s="9" t="n">
        <v>0</v>
      </c>
      <c r="V2551" s="10" t="n">
        <v>-17</v>
      </c>
      <c r="W2551" s="10" t="n">
        <v>23</v>
      </c>
      <c r="X2551" s="7" t="n">
        <v>0</v>
      </c>
      <c r="Y2551" s="8" t="n">
        <v>-17</v>
      </c>
      <c r="Z2551" s="8" t="n">
        <v>23</v>
      </c>
      <c r="AA2551" s="9" t="n">
        <v>0</v>
      </c>
      <c r="AB2551" s="10" t="n">
        <v>-8</v>
      </c>
      <c r="AC2551" s="10" t="n">
        <v>30</v>
      </c>
      <c r="AD2551" s="7" t="n">
        <v>0</v>
      </c>
      <c r="AE2551" s="8" t="n">
        <v>8</v>
      </c>
      <c r="AF2551" s="8" t="n">
        <v>62</v>
      </c>
      <c r="AG2551" s="9" t="n">
        <v>0</v>
      </c>
      <c r="AH2551" s="10" t="n">
        <v>-15</v>
      </c>
      <c r="AI2551" s="10" t="n">
        <v>20</v>
      </c>
      <c r="AJ2551" s="11" t="inlineStr"/>
      <c r="AK2551" s="12" t="inlineStr"/>
      <c r="AL2551" s="12" t="inlineStr"/>
      <c r="AM2551" s="13" t="inlineStr"/>
      <c r="AN2551" s="13" t="inlineStr"/>
      <c r="AO2551" s="13" t="inlineStr"/>
      <c r="AP2551" s="13" t="inlineStr"/>
    </row>
    <row r="2552">
      <c r="A2552" s="5" t="inlineStr">
        <is>
          <t>프로티나</t>
        </is>
      </c>
      <c r="B2552" s="6" t="inlineStr">
        <is>
          <t>468530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n">
        <v>964</v>
      </c>
      <c r="Y2552" s="8" t="n">
        <v>-2397</v>
      </c>
      <c r="Z2552" s="8" t="n">
        <v>-1957</v>
      </c>
      <c r="AA2552" s="9" t="n">
        <v>582</v>
      </c>
      <c r="AB2552" s="10" t="n">
        <v>-2948</v>
      </c>
      <c r="AC2552" s="10" t="n">
        <v>-2566</v>
      </c>
      <c r="AD2552" s="7" t="inlineStr"/>
      <c r="AE2552" s="8" t="inlineStr"/>
      <c r="AF2552" s="8" t="inlineStr"/>
      <c r="AG2552" s="9" t="n">
        <v>169</v>
      </c>
      <c r="AH2552" s="10" t="n">
        <v>-4712</v>
      </c>
      <c r="AI2552" s="10" t="n">
        <v>-3282</v>
      </c>
      <c r="AJ2552" s="11" t="n">
        <v>349</v>
      </c>
      <c r="AK2552" s="12" t="n">
        <v>-3956</v>
      </c>
      <c r="AL2552" s="12" t="n">
        <v>-3112</v>
      </c>
      <c r="AM2552" s="13" t="n">
        <v>106.5</v>
      </c>
      <c r="AN2552" s="13" t="n">
        <v>-63.8</v>
      </c>
      <c r="AO2552" s="13" t="n">
        <v>16</v>
      </c>
      <c r="AP2552" s="13" t="n">
        <v>-65</v>
      </c>
    </row>
    <row r="2553">
      <c r="A2553" s="5" t="inlineStr">
        <is>
          <t>유진스팩10호</t>
        </is>
      </c>
      <c r="B2553" s="6" t="inlineStr">
        <is>
          <t>468760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n">
        <v>0</v>
      </c>
      <c r="J2553" s="10" t="n">
        <v>-12</v>
      </c>
      <c r="K2553" s="10" t="n">
        <v>14</v>
      </c>
      <c r="L2553" s="7" t="n">
        <v>0</v>
      </c>
      <c r="M2553" s="8" t="n">
        <v>-14</v>
      </c>
      <c r="N2553" s="8" t="n">
        <v>32</v>
      </c>
      <c r="O2553" s="9" t="n">
        <v>0</v>
      </c>
      <c r="P2553" s="10" t="n">
        <v>-10</v>
      </c>
      <c r="Q2553" s="10" t="n">
        <v>41</v>
      </c>
      <c r="R2553" s="7" t="n">
        <v>0</v>
      </c>
      <c r="S2553" s="8" t="n">
        <v>-7</v>
      </c>
      <c r="T2553" s="8" t="n">
        <v>44</v>
      </c>
      <c r="U2553" s="9" t="n">
        <v>0</v>
      </c>
      <c r="V2553" s="10" t="n">
        <v>-15</v>
      </c>
      <c r="W2553" s="10" t="n">
        <v>51</v>
      </c>
      <c r="X2553" s="7" t="n">
        <v>0</v>
      </c>
      <c r="Y2553" s="8" t="n">
        <v>-9</v>
      </c>
      <c r="Z2553" s="8" t="n">
        <v>19</v>
      </c>
      <c r="AA2553" s="9" t="n">
        <v>0</v>
      </c>
      <c r="AB2553" s="10" t="n">
        <v>-12</v>
      </c>
      <c r="AC2553" s="10" t="n">
        <v>32</v>
      </c>
      <c r="AD2553" s="7" t="n">
        <v>0</v>
      </c>
      <c r="AE2553" s="8" t="n">
        <v>-7</v>
      </c>
      <c r="AF2553" s="8" t="n">
        <v>26</v>
      </c>
      <c r="AG2553" s="9" t="n">
        <v>0</v>
      </c>
      <c r="AH2553" s="10" t="n">
        <v>-19</v>
      </c>
      <c r="AI2553" s="10" t="n">
        <v>25</v>
      </c>
      <c r="AJ2553" s="11" t="n">
        <v>0</v>
      </c>
      <c r="AK2553" s="12" t="n">
        <v>-46</v>
      </c>
      <c r="AL2553" s="12" t="n">
        <v>4</v>
      </c>
      <c r="AM2553" s="13" t="inlineStr"/>
      <c r="AN2553" s="13" t="inlineStr"/>
      <c r="AO2553" s="13" t="n">
        <v>-142.1</v>
      </c>
      <c r="AP2553" s="13" t="n">
        <v>-411.1</v>
      </c>
    </row>
    <row r="2554">
      <c r="A2554" s="5" t="inlineStr">
        <is>
          <t>IBKS제24호스팩</t>
        </is>
      </c>
      <c r="B2554" s="6" t="inlineStr">
        <is>
          <t>469480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-21</v>
      </c>
      <c r="K2554" s="10" t="n">
        <v>8</v>
      </c>
      <c r="L2554" s="7" t="n">
        <v>0</v>
      </c>
      <c r="M2554" s="8" t="n">
        <v>-9</v>
      </c>
      <c r="N2554" s="8" t="n">
        <v>39</v>
      </c>
      <c r="O2554" s="9" t="n">
        <v>0</v>
      </c>
      <c r="P2554" s="10" t="n">
        <v>-8</v>
      </c>
      <c r="Q2554" s="10" t="n">
        <v>39</v>
      </c>
      <c r="R2554" s="7" t="inlineStr"/>
      <c r="S2554" s="8" t="n">
        <v>-5</v>
      </c>
      <c r="T2554" s="8" t="n">
        <v>43</v>
      </c>
      <c r="U2554" s="9" t="n">
        <v>0</v>
      </c>
      <c r="V2554" s="10" t="inlineStr"/>
      <c r="W2554" s="10" t="inlineStr"/>
      <c r="X2554" s="7" t="inlineStr"/>
      <c r="Y2554" s="8" t="n">
        <v>-9</v>
      </c>
      <c r="Z2554" s="8" t="n">
        <v>30</v>
      </c>
      <c r="AA2554" s="9" t="inlineStr"/>
      <c r="AB2554" s="10" t="n">
        <v>-8</v>
      </c>
      <c r="AC2554" s="10" t="n">
        <v>29</v>
      </c>
      <c r="AD2554" s="7" t="inlineStr"/>
      <c r="AE2554" s="8" t="inlineStr"/>
      <c r="AF2554" s="8" t="inlineStr"/>
      <c r="AG2554" s="9" t="n">
        <v>12</v>
      </c>
      <c r="AH2554" s="10" t="n">
        <v>-12</v>
      </c>
      <c r="AI2554" s="10" t="n">
        <v>23</v>
      </c>
      <c r="AJ2554" s="11" t="inlineStr"/>
      <c r="AK2554" s="12" t="n">
        <v>-71</v>
      </c>
      <c r="AL2554" s="12" t="n">
        <v>-29</v>
      </c>
      <c r="AM2554" s="13" t="inlineStr"/>
      <c r="AN2554" s="13" t="inlineStr"/>
      <c r="AO2554" s="13" t="n">
        <v>-491.7</v>
      </c>
      <c r="AP2554" s="13" t="n">
        <v>-688.9</v>
      </c>
    </row>
    <row r="2555">
      <c r="A2555" s="5" t="inlineStr">
        <is>
          <t>이노테크</t>
        </is>
      </c>
      <c r="B2555" s="6" t="inlineStr">
        <is>
          <t>469610</t>
        </is>
      </c>
      <c r="C2555" s="6" t="inlineStr">
        <is>
          <t>연결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inlineStr"/>
      <c r="J2555" s="10" t="inlineStr"/>
      <c r="K2555" s="10" t="inlineStr"/>
      <c r="L2555" s="7" t="inlineStr"/>
      <c r="M2555" s="8" t="inlineStr"/>
      <c r="N2555" s="8" t="inlineStr"/>
      <c r="O2555" s="9" t="inlineStr"/>
      <c r="P2555" s="10" t="inlineStr"/>
      <c r="Q2555" s="10" t="inlineStr"/>
      <c r="R2555" s="7" t="inlineStr"/>
      <c r="S2555" s="8" t="inlineStr"/>
      <c r="T2555" s="8" t="inlineStr"/>
      <c r="U2555" s="9" t="inlineStr"/>
      <c r="V2555" s="10" t="inlineStr"/>
      <c r="W2555" s="10" t="inlineStr"/>
      <c r="X2555" s="7" t="inlineStr"/>
      <c r="Y2555" s="8" t="inlineStr"/>
      <c r="Z2555" s="8" t="inlineStr"/>
      <c r="AA2555" s="9" t="n">
        <v>18736</v>
      </c>
      <c r="AB2555" s="10" t="n">
        <v>1467</v>
      </c>
      <c r="AC2555" s="10" t="n">
        <v>1694</v>
      </c>
      <c r="AD2555" s="7" t="inlineStr"/>
      <c r="AE2555" s="8" t="inlineStr"/>
      <c r="AF2555" s="8" t="inlineStr"/>
      <c r="AG2555" s="9" t="n">
        <v>19859</v>
      </c>
      <c r="AH2555" s="10" t="n">
        <v>3049</v>
      </c>
      <c r="AI2555" s="10" t="n">
        <v>4054</v>
      </c>
      <c r="AJ2555" s="11" t="n">
        <v>19559</v>
      </c>
      <c r="AK2555" s="12" t="n">
        <v>894</v>
      </c>
      <c r="AL2555" s="12" t="n">
        <v>3206</v>
      </c>
      <c r="AM2555" s="13" t="n">
        <v>-1.5</v>
      </c>
      <c r="AN2555" s="13" t="inlineStr"/>
      <c r="AO2555" s="13" t="n">
        <v>-70.7</v>
      </c>
      <c r="AP2555" s="13" t="inlineStr"/>
    </row>
    <row r="2556">
      <c r="A2556" s="5" t="inlineStr">
        <is>
          <t>아이비젼웍스</t>
        </is>
      </c>
      <c r="B2556" s="6" t="inlineStr">
        <is>
          <t>469750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n">
        <v>8497</v>
      </c>
      <c r="P2556" s="10" t="n">
        <v>287</v>
      </c>
      <c r="Q2556" s="10" t="n">
        <v>-7215</v>
      </c>
      <c r="R2556" s="7" t="inlineStr"/>
      <c r="S2556" s="8" t="inlineStr"/>
      <c r="T2556" s="8" t="inlineStr"/>
      <c r="U2556" s="9" t="n">
        <v>5328</v>
      </c>
      <c r="V2556" s="10" t="n">
        <v>-635</v>
      </c>
      <c r="W2556" s="10" t="n">
        <v>-520</v>
      </c>
      <c r="X2556" s="7" t="n">
        <v>3156</v>
      </c>
      <c r="Y2556" s="8" t="n">
        <v>-364</v>
      </c>
      <c r="Z2556" s="8" t="n">
        <v>-750</v>
      </c>
      <c r="AA2556" s="9" t="n">
        <v>10122</v>
      </c>
      <c r="AB2556" s="10" t="n">
        <v>1340</v>
      </c>
      <c r="AC2556" s="10" t="n">
        <v>1465</v>
      </c>
      <c r="AD2556" s="7" t="n">
        <v>4395</v>
      </c>
      <c r="AE2556" s="8" t="n">
        <v>-732</v>
      </c>
      <c r="AF2556" s="8" t="n">
        <v>-587</v>
      </c>
      <c r="AG2556" s="9" t="n">
        <v>4491</v>
      </c>
      <c r="AH2556" s="10" t="n">
        <v>-467</v>
      </c>
      <c r="AI2556" s="10" t="n">
        <v>-243</v>
      </c>
      <c r="AJ2556" s="11" t="n">
        <v>4760</v>
      </c>
      <c r="AK2556" s="12" t="n">
        <v>10</v>
      </c>
      <c r="AL2556" s="12" t="n">
        <v>275</v>
      </c>
      <c r="AM2556" s="13" t="n">
        <v>6</v>
      </c>
      <c r="AN2556" s="13" t="n">
        <v>50.8</v>
      </c>
      <c r="AO2556" s="13" t="n">
        <v>102.1</v>
      </c>
      <c r="AP2556" s="13" t="n">
        <v>102.7</v>
      </c>
    </row>
    <row r="2557">
      <c r="A2557" s="5" t="inlineStr">
        <is>
          <t>하나30호스팩</t>
        </is>
      </c>
      <c r="B2557" s="6" t="inlineStr">
        <is>
          <t>469880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n">
        <v>0</v>
      </c>
      <c r="J2557" s="10" t="n">
        <v>-17</v>
      </c>
      <c r="K2557" s="10" t="n">
        <v>88</v>
      </c>
      <c r="L2557" s="7" t="n">
        <v>0</v>
      </c>
      <c r="M2557" s="8" t="n">
        <v>-12</v>
      </c>
      <c r="N2557" s="8" t="n">
        <v>97</v>
      </c>
      <c r="O2557" s="9" t="n">
        <v>0</v>
      </c>
      <c r="P2557" s="10" t="n">
        <v>-6</v>
      </c>
      <c r="Q2557" s="10" t="n">
        <v>103</v>
      </c>
      <c r="R2557" s="7" t="n">
        <v>0</v>
      </c>
      <c r="S2557" s="8" t="n">
        <v>-6</v>
      </c>
      <c r="T2557" s="8" t="n">
        <v>79</v>
      </c>
      <c r="U2557" s="9" t="n">
        <v>0</v>
      </c>
      <c r="V2557" s="10" t="n">
        <v>-10</v>
      </c>
      <c r="W2557" s="10" t="n">
        <v>58</v>
      </c>
      <c r="X2557" s="7" t="n">
        <v>0</v>
      </c>
      <c r="Y2557" s="8" t="n">
        <v>-12</v>
      </c>
      <c r="Z2557" s="8" t="n">
        <v>53</v>
      </c>
      <c r="AA2557" s="9" t="n">
        <v>0</v>
      </c>
      <c r="AB2557" s="10" t="n">
        <v>-8</v>
      </c>
      <c r="AC2557" s="10" t="n">
        <v>57</v>
      </c>
      <c r="AD2557" s="7" t="n">
        <v>0</v>
      </c>
      <c r="AE2557" s="8" t="n">
        <v>-3</v>
      </c>
      <c r="AF2557" s="8" t="n">
        <v>82</v>
      </c>
      <c r="AG2557" s="9" t="n">
        <v>0</v>
      </c>
      <c r="AH2557" s="10" t="n">
        <v>-13</v>
      </c>
      <c r="AI2557" s="10" t="n">
        <v>36</v>
      </c>
      <c r="AJ2557" s="11" t="n">
        <v>0</v>
      </c>
      <c r="AK2557" s="12" t="n">
        <v>-11</v>
      </c>
      <c r="AL2557" s="12" t="n">
        <v>38</v>
      </c>
      <c r="AM2557" s="13" t="inlineStr"/>
      <c r="AN2557" s="13" t="inlineStr"/>
      <c r="AO2557" s="13" t="n">
        <v>15.4</v>
      </c>
      <c r="AP2557" s="13" t="n">
        <v>8.300000000000001</v>
      </c>
    </row>
    <row r="2558">
      <c r="A2558" s="5" t="inlineStr">
        <is>
          <t>하나31호스팩</t>
        </is>
      </c>
      <c r="B2558" s="6" t="inlineStr">
        <is>
          <t>469900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-27</v>
      </c>
      <c r="K2558" s="10" t="n">
        <v>-5</v>
      </c>
      <c r="L2558" s="7" t="n">
        <v>0</v>
      </c>
      <c r="M2558" s="8" t="n">
        <v>-6</v>
      </c>
      <c r="N2558" s="8" t="n">
        <v>65</v>
      </c>
      <c r="O2558" s="9" t="n">
        <v>0</v>
      </c>
      <c r="P2558" s="10" t="n">
        <v>-6</v>
      </c>
      <c r="Q2558" s="10" t="n">
        <v>66</v>
      </c>
      <c r="R2558" s="7" t="n">
        <v>0</v>
      </c>
      <c r="S2558" s="8" t="n">
        <v>-7</v>
      </c>
      <c r="T2558" s="8" t="n">
        <v>65</v>
      </c>
      <c r="U2558" s="9" t="n">
        <v>0</v>
      </c>
      <c r="V2558" s="10" t="n">
        <v>-8</v>
      </c>
      <c r="W2558" s="10" t="n">
        <v>35</v>
      </c>
      <c r="X2558" s="7" t="n">
        <v>0</v>
      </c>
      <c r="Y2558" s="8" t="n">
        <v>-11</v>
      </c>
      <c r="Z2558" s="8" t="n">
        <v>38</v>
      </c>
      <c r="AA2558" s="9" t="n">
        <v>0</v>
      </c>
      <c r="AB2558" s="10" t="n">
        <v>-8</v>
      </c>
      <c r="AC2558" s="10" t="n">
        <v>48</v>
      </c>
      <c r="AD2558" s="7" t="n">
        <v>0</v>
      </c>
      <c r="AE2558" s="8" t="n">
        <v>-4</v>
      </c>
      <c r="AF2558" s="8" t="n">
        <v>50</v>
      </c>
      <c r="AG2558" s="9" t="n">
        <v>0</v>
      </c>
      <c r="AH2558" s="10" t="n">
        <v>-13</v>
      </c>
      <c r="AI2558" s="10" t="n">
        <v>29</v>
      </c>
      <c r="AJ2558" s="11" t="inlineStr"/>
      <c r="AK2558" s="12" t="n">
        <v>-11</v>
      </c>
      <c r="AL2558" s="12" t="n">
        <v>54</v>
      </c>
      <c r="AM2558" s="13" t="inlineStr"/>
      <c r="AN2558" s="13" t="inlineStr"/>
      <c r="AO2558" s="13" t="n">
        <v>15.4</v>
      </c>
      <c r="AP2558" s="13" t="n">
        <v>0</v>
      </c>
    </row>
    <row r="2559">
      <c r="A2559" s="5" t="inlineStr">
        <is>
          <t>대신밸런스제17호스팩</t>
        </is>
      </c>
      <c r="B2559" s="6" t="inlineStr">
        <is>
          <t>471050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-42</v>
      </c>
      <c r="K2559" s="10" t="n">
        <v>1</v>
      </c>
      <c r="L2559" s="7" t="inlineStr"/>
      <c r="M2559" s="8" t="n">
        <v>-5</v>
      </c>
      <c r="N2559" s="8" t="n">
        <v>54</v>
      </c>
      <c r="O2559" s="9" t="inlineStr"/>
      <c r="P2559" s="10" t="n">
        <v>-9</v>
      </c>
      <c r="Q2559" s="10" t="n">
        <v>52</v>
      </c>
      <c r="R2559" s="7" t="inlineStr"/>
      <c r="S2559" s="8" t="n">
        <v>-8</v>
      </c>
      <c r="T2559" s="8" t="n">
        <v>51</v>
      </c>
      <c r="U2559" s="9" t="n">
        <v>0</v>
      </c>
      <c r="V2559" s="10" t="n">
        <v>-9</v>
      </c>
      <c r="W2559" s="10" t="n">
        <v>48</v>
      </c>
      <c r="X2559" s="7" t="inlineStr"/>
      <c r="Y2559" s="8" t="n">
        <v>-10</v>
      </c>
      <c r="Z2559" s="8" t="n">
        <v>108</v>
      </c>
      <c r="AA2559" s="9" t="inlineStr"/>
      <c r="AB2559" s="10" t="n">
        <v>-53</v>
      </c>
      <c r="AC2559" s="10" t="n">
        <v>-5</v>
      </c>
      <c r="AD2559" s="7" t="inlineStr"/>
      <c r="AE2559" s="8" t="n">
        <v>-8</v>
      </c>
      <c r="AF2559" s="8" t="n">
        <v>6</v>
      </c>
      <c r="AG2559" s="9" t="n">
        <v>0</v>
      </c>
      <c r="AH2559" s="10" t="n">
        <v>-9</v>
      </c>
      <c r="AI2559" s="10" t="n">
        <v>104</v>
      </c>
      <c r="AJ2559" s="11" t="n">
        <v>0</v>
      </c>
      <c r="AK2559" s="12" t="n">
        <v>-10</v>
      </c>
      <c r="AL2559" s="12" t="n">
        <v>-62</v>
      </c>
      <c r="AM2559" s="13" t="inlineStr"/>
      <c r="AN2559" s="13" t="inlineStr"/>
      <c r="AO2559" s="13" t="n">
        <v>-11.1</v>
      </c>
      <c r="AP2559" s="13" t="n">
        <v>0</v>
      </c>
    </row>
    <row r="2560">
      <c r="A2560" s="5" t="inlineStr">
        <is>
          <t>셀로맥스사이언스</t>
        </is>
      </c>
      <c r="B2560" s="6" t="inlineStr">
        <is>
          <t>471820</t>
        </is>
      </c>
      <c r="C2560" s="6" t="inlineStr">
        <is>
          <t>연결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inlineStr"/>
      <c r="K2560" s="10" t="inlineStr"/>
      <c r="L2560" s="7" t="inlineStr"/>
      <c r="M2560" s="8" t="inlineStr"/>
      <c r="N2560" s="8" t="inlineStr"/>
      <c r="O2560" s="9" t="inlineStr"/>
      <c r="P2560" s="10" t="inlineStr"/>
      <c r="Q2560" s="10" t="inlineStr"/>
      <c r="R2560" s="7" t="inlineStr"/>
      <c r="S2560" s="8" t="inlineStr"/>
      <c r="T2560" s="8" t="inlineStr"/>
      <c r="U2560" s="9" t="n">
        <v>5914</v>
      </c>
      <c r="V2560" s="10" t="n">
        <v>853</v>
      </c>
      <c r="W2560" s="10" t="n">
        <v>739</v>
      </c>
      <c r="X2560" s="7" t="n">
        <v>6460</v>
      </c>
      <c r="Y2560" s="8" t="n">
        <v>1159</v>
      </c>
      <c r="Z2560" s="8" t="n">
        <v>1155</v>
      </c>
      <c r="AA2560" s="9" t="n">
        <v>5335</v>
      </c>
      <c r="AB2560" s="10" t="n">
        <v>737</v>
      </c>
      <c r="AC2560" s="10" t="n">
        <v>757</v>
      </c>
      <c r="AD2560" s="7" t="n">
        <v>4475</v>
      </c>
      <c r="AE2560" s="8" t="n">
        <v>86</v>
      </c>
      <c r="AF2560" s="8" t="n">
        <v>439</v>
      </c>
      <c r="AG2560" s="9" t="n">
        <v>4706</v>
      </c>
      <c r="AH2560" s="10" t="n">
        <v>348</v>
      </c>
      <c r="AI2560" s="10" t="n">
        <v>1228</v>
      </c>
      <c r="AJ2560" s="11" t="n">
        <v>5087</v>
      </c>
      <c r="AK2560" s="12" t="n">
        <v>981</v>
      </c>
      <c r="AL2560" s="12" t="n">
        <v>592</v>
      </c>
      <c r="AM2560" s="13" t="n">
        <v>8.1</v>
      </c>
      <c r="AN2560" s="13" t="n">
        <v>-21.3</v>
      </c>
      <c r="AO2560" s="13" t="n">
        <v>181.9</v>
      </c>
      <c r="AP2560" s="13" t="n">
        <v>-15.4</v>
      </c>
    </row>
    <row r="2561">
      <c r="A2561" s="5" t="inlineStr">
        <is>
          <t>신영스팩10호</t>
        </is>
      </c>
      <c r="B2561" s="6" t="inlineStr">
        <is>
          <t>472220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n">
        <v>0</v>
      </c>
      <c r="J2561" s="10" t="n">
        <v>-31</v>
      </c>
      <c r="K2561" s="10" t="n">
        <v>5</v>
      </c>
      <c r="L2561" s="7" t="n">
        <v>0</v>
      </c>
      <c r="M2561" s="8" t="n">
        <v>-5</v>
      </c>
      <c r="N2561" s="8" t="n">
        <v>48</v>
      </c>
      <c r="O2561" s="9" t="n">
        <v>0</v>
      </c>
      <c r="P2561" s="10" t="n">
        <v>-5</v>
      </c>
      <c r="Q2561" s="10" t="n">
        <v>48</v>
      </c>
      <c r="R2561" s="7" t="n">
        <v>0</v>
      </c>
      <c r="S2561" s="8" t="n">
        <v>-4</v>
      </c>
      <c r="T2561" s="8" t="n">
        <v>49</v>
      </c>
      <c r="U2561" s="9" t="n">
        <v>0</v>
      </c>
      <c r="V2561" s="10" t="n">
        <v>-16</v>
      </c>
      <c r="W2561" s="10" t="n">
        <v>-2</v>
      </c>
      <c r="X2561" s="7" t="n">
        <v>0</v>
      </c>
      <c r="Y2561" s="8" t="n">
        <v>-12</v>
      </c>
      <c r="Z2561" s="8" t="n">
        <v>69</v>
      </c>
      <c r="AA2561" s="9" t="n">
        <v>0</v>
      </c>
      <c r="AB2561" s="10" t="n">
        <v>-6</v>
      </c>
      <c r="AC2561" s="10" t="n">
        <v>3</v>
      </c>
      <c r="AD2561" s="7" t="n">
        <v>0</v>
      </c>
      <c r="AE2561" s="8" t="n">
        <v>-7</v>
      </c>
      <c r="AF2561" s="8" t="n">
        <v>79</v>
      </c>
      <c r="AG2561" s="9" t="n">
        <v>0</v>
      </c>
      <c r="AH2561" s="10" t="n">
        <v>-15</v>
      </c>
      <c r="AI2561" s="10" t="n">
        <v>14</v>
      </c>
      <c r="AJ2561" s="11" t="n">
        <v>0</v>
      </c>
      <c r="AK2561" s="12" t="n">
        <v>-12</v>
      </c>
      <c r="AL2561" s="12" t="n">
        <v>27</v>
      </c>
      <c r="AM2561" s="13" t="inlineStr"/>
      <c r="AN2561" s="13" t="inlineStr"/>
      <c r="AO2561" s="13" t="n">
        <v>20</v>
      </c>
      <c r="AP2561" s="13" t="n">
        <v>0</v>
      </c>
    </row>
    <row r="2562">
      <c r="A2562" s="5" t="inlineStr">
        <is>
          <t>SK증권제11호스팩</t>
        </is>
      </c>
      <c r="B2562" s="6" t="inlineStr">
        <is>
          <t>472230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-21</v>
      </c>
      <c r="K2562" s="10" t="n">
        <v>-15</v>
      </c>
      <c r="L2562" s="7" t="inlineStr"/>
      <c r="M2562" s="8" t="n">
        <v>-7</v>
      </c>
      <c r="N2562" s="8" t="n">
        <v>32</v>
      </c>
      <c r="O2562" s="9" t="inlineStr"/>
      <c r="P2562" s="10" t="n">
        <v>-9</v>
      </c>
      <c r="Q2562" s="10" t="n">
        <v>31</v>
      </c>
      <c r="R2562" s="7" t="inlineStr"/>
      <c r="S2562" s="8" t="n">
        <v>3</v>
      </c>
      <c r="T2562" s="8" t="n">
        <v>43</v>
      </c>
      <c r="U2562" s="9" t="inlineStr"/>
      <c r="V2562" s="10" t="n">
        <v>-14</v>
      </c>
      <c r="W2562" s="10" t="n">
        <v>35</v>
      </c>
      <c r="X2562" s="7" t="inlineStr"/>
      <c r="Y2562" s="8" t="n">
        <v>-11</v>
      </c>
      <c r="Z2562" s="8" t="n">
        <v>9</v>
      </c>
      <c r="AA2562" s="9" t="inlineStr"/>
      <c r="AB2562" s="10" t="n">
        <v>-21</v>
      </c>
      <c r="AC2562" s="10" t="n">
        <v>63</v>
      </c>
      <c r="AD2562" s="7" t="inlineStr"/>
      <c r="AE2562" s="8" t="n">
        <v>10</v>
      </c>
      <c r="AF2562" s="8" t="n">
        <v>-7</v>
      </c>
      <c r="AG2562" s="9" t="inlineStr"/>
      <c r="AH2562" s="10" t="n">
        <v>-14</v>
      </c>
      <c r="AI2562" s="10" t="n">
        <v>14</v>
      </c>
      <c r="AJ2562" s="11" t="inlineStr"/>
      <c r="AK2562" s="12" t="n">
        <v>-8</v>
      </c>
      <c r="AL2562" s="12" t="n">
        <v>19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폰드그룹</t>
        </is>
      </c>
      <c r="B2563" s="6" t="inlineStr">
        <is>
          <t>472850</t>
        </is>
      </c>
      <c r="C2563" s="6" t="inlineStr">
        <is>
          <t>연결</t>
        </is>
      </c>
      <c r="D2563" s="6" t="inlineStr">
        <is>
          <t>2026Q2</t>
        </is>
      </c>
      <c r="E2563" s="6" t="inlineStr">
        <is>
          <t>2023Q4</t>
        </is>
      </c>
      <c r="F2563" s="14" t="n">
        <v>3622</v>
      </c>
      <c r="G2563" s="15" t="n">
        <v>605</v>
      </c>
      <c r="H2563" s="15" t="n">
        <v>-186</v>
      </c>
      <c r="I2563" s="9" t="n">
        <v>75592</v>
      </c>
      <c r="J2563" s="10" t="n">
        <v>10276</v>
      </c>
      <c r="K2563" s="10" t="n">
        <v>6350</v>
      </c>
      <c r="L2563" s="7" t="n">
        <v>82843</v>
      </c>
      <c r="M2563" s="8" t="n">
        <v>11011</v>
      </c>
      <c r="N2563" s="8" t="n">
        <v>5335</v>
      </c>
      <c r="O2563" s="9" t="n">
        <v>72556</v>
      </c>
      <c r="P2563" s="10" t="n">
        <v>5349</v>
      </c>
      <c r="Q2563" s="10" t="n">
        <v>1736</v>
      </c>
      <c r="R2563" s="7" t="n">
        <v>137662</v>
      </c>
      <c r="S2563" s="8" t="n">
        <v>14687</v>
      </c>
      <c r="T2563" s="8" t="n">
        <v>13735</v>
      </c>
      <c r="U2563" s="9" t="n">
        <v>106527</v>
      </c>
      <c r="V2563" s="10" t="n">
        <v>14429</v>
      </c>
      <c r="W2563" s="10" t="n">
        <v>9238</v>
      </c>
      <c r="X2563" s="7" t="n">
        <v>112050</v>
      </c>
      <c r="Y2563" s="8" t="n">
        <v>15755</v>
      </c>
      <c r="Z2563" s="8" t="n">
        <v>11328</v>
      </c>
      <c r="AA2563" s="9" t="n">
        <v>90777</v>
      </c>
      <c r="AB2563" s="10" t="n">
        <v>7050</v>
      </c>
      <c r="AC2563" s="10" t="n">
        <v>5441</v>
      </c>
      <c r="AD2563" s="7" t="n">
        <v>176215</v>
      </c>
      <c r="AE2563" s="8" t="n">
        <v>20143</v>
      </c>
      <c r="AF2563" s="8" t="n">
        <v>18231</v>
      </c>
      <c r="AG2563" s="9" t="n">
        <v>116903</v>
      </c>
      <c r="AH2563" s="10" t="n">
        <v>16973</v>
      </c>
      <c r="AI2563" s="10" t="n">
        <v>12332</v>
      </c>
      <c r="AJ2563" s="11" t="n">
        <v>149183</v>
      </c>
      <c r="AK2563" s="12" t="n">
        <v>21711</v>
      </c>
      <c r="AL2563" s="12" t="n">
        <v>16282</v>
      </c>
      <c r="AM2563" s="13" t="n">
        <v>27.6</v>
      </c>
      <c r="AN2563" s="13" t="n">
        <v>33.1</v>
      </c>
      <c r="AO2563" s="13" t="n">
        <v>27.9</v>
      </c>
      <c r="AP2563" s="13" t="n">
        <v>37.8</v>
      </c>
    </row>
    <row r="2564">
      <c r="A2564" s="5" t="inlineStr">
        <is>
          <t>SK증권제12호스팩</t>
        </is>
      </c>
      <c r="B2564" s="6" t="inlineStr">
        <is>
          <t>473000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n">
        <v>-9</v>
      </c>
      <c r="N2564" s="8" t="n">
        <v>41</v>
      </c>
      <c r="O2564" s="9" t="inlineStr"/>
      <c r="P2564" s="10" t="n">
        <v>-7</v>
      </c>
      <c r="Q2564" s="10" t="n">
        <v>21</v>
      </c>
      <c r="R2564" s="7" t="inlineStr"/>
      <c r="S2564" s="8" t="inlineStr"/>
      <c r="T2564" s="8" t="inlineStr"/>
      <c r="U2564" s="9" t="inlineStr"/>
      <c r="V2564" s="10" t="n">
        <v>-11</v>
      </c>
      <c r="W2564" s="10" t="n">
        <v>16</v>
      </c>
      <c r="X2564" s="7" t="inlineStr"/>
      <c r="Y2564" s="8" t="n">
        <v>-11</v>
      </c>
      <c r="Z2564" s="8" t="n">
        <v>-2</v>
      </c>
      <c r="AA2564" s="9" t="inlineStr"/>
      <c r="AB2564" s="10" t="n">
        <v>-7</v>
      </c>
      <c r="AC2564" s="10" t="n">
        <v>14</v>
      </c>
      <c r="AD2564" s="7" t="inlineStr"/>
      <c r="AE2564" s="8" t="n">
        <v>-5</v>
      </c>
      <c r="AF2564" s="8" t="n">
        <v>11</v>
      </c>
      <c r="AG2564" s="9" t="inlineStr"/>
      <c r="AH2564" s="10" t="n">
        <v>-14</v>
      </c>
      <c r="AI2564" s="10" t="n">
        <v>1</v>
      </c>
      <c r="AJ2564" s="11" t="inlineStr"/>
      <c r="AK2564" s="12" t="n">
        <v>-8</v>
      </c>
      <c r="AL2564" s="12" t="n">
        <v>-2</v>
      </c>
      <c r="AM2564" s="13" t="inlineStr"/>
      <c r="AN2564" s="13" t="inlineStr"/>
      <c r="AO2564" s="13" t="n">
        <v>42.9</v>
      </c>
      <c r="AP2564" s="13" t="n">
        <v>27.3</v>
      </c>
    </row>
    <row r="2565">
      <c r="A2565" s="5" t="inlineStr">
        <is>
          <t>유안타제15호스팩</t>
        </is>
      </c>
      <c r="B2565" s="6" t="inlineStr">
        <is>
          <t>473050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n">
        <v>-13</v>
      </c>
      <c r="K2565" s="10" t="n">
        <v>11</v>
      </c>
      <c r="L2565" s="7" t="inlineStr"/>
      <c r="M2565" s="8" t="n">
        <v>-9</v>
      </c>
      <c r="N2565" s="8" t="n">
        <v>72</v>
      </c>
      <c r="O2565" s="9" t="inlineStr"/>
      <c r="P2565" s="10" t="n">
        <v>-7</v>
      </c>
      <c r="Q2565" s="10" t="n">
        <v>74</v>
      </c>
      <c r="R2565" s="7" t="inlineStr"/>
      <c r="S2565" s="8" t="n">
        <v>-4</v>
      </c>
      <c r="T2565" s="8" t="n">
        <v>77</v>
      </c>
      <c r="U2565" s="9" t="inlineStr"/>
      <c r="V2565" s="10" t="n">
        <v>-10</v>
      </c>
      <c r="W2565" s="10" t="n">
        <v>63</v>
      </c>
      <c r="X2565" s="7" t="inlineStr"/>
      <c r="Y2565" s="8" t="n">
        <v>-10</v>
      </c>
      <c r="Z2565" s="8" t="n">
        <v>84</v>
      </c>
      <c r="AA2565" s="9" t="inlineStr"/>
      <c r="AB2565" s="10" t="n">
        <v>-14</v>
      </c>
      <c r="AC2565" s="10" t="n">
        <v>77</v>
      </c>
      <c r="AD2565" s="7" t="inlineStr"/>
      <c r="AE2565" s="8" t="n">
        <v>-4</v>
      </c>
      <c r="AF2565" s="8" t="n">
        <v>17</v>
      </c>
      <c r="AG2565" s="9" t="n">
        <v>0</v>
      </c>
      <c r="AH2565" s="10" t="n">
        <v>-16</v>
      </c>
      <c r="AI2565" s="10" t="n">
        <v>47</v>
      </c>
      <c r="AJ2565" s="11" t="n">
        <v>0</v>
      </c>
      <c r="AK2565" s="12" t="n">
        <v>-10</v>
      </c>
      <c r="AL2565" s="12" t="n">
        <v>77</v>
      </c>
      <c r="AM2565" s="13" t="inlineStr"/>
      <c r="AN2565" s="13" t="inlineStr"/>
      <c r="AO2565" s="13" t="n">
        <v>37.5</v>
      </c>
      <c r="AP2565" s="13" t="n">
        <v>0</v>
      </c>
    </row>
    <row r="2566">
      <c r="A2566" s="5" t="inlineStr">
        <is>
          <t>SK증권제13호스팩</t>
        </is>
      </c>
      <c r="B2566" s="6" t="inlineStr">
        <is>
          <t>473950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n">
        <v>-9</v>
      </c>
      <c r="Q2566" s="10" t="n">
        <v>51</v>
      </c>
      <c r="R2566" s="7" t="inlineStr"/>
      <c r="S2566" s="8" t="inlineStr"/>
      <c r="T2566" s="8" t="inlineStr"/>
      <c r="U2566" s="9" t="inlineStr"/>
      <c r="V2566" s="10" t="n">
        <v>-13</v>
      </c>
      <c r="W2566" s="10" t="n">
        <v>30</v>
      </c>
      <c r="X2566" s="7" t="inlineStr"/>
      <c r="Y2566" s="8" t="n">
        <v>-13</v>
      </c>
      <c r="Z2566" s="8" t="n">
        <v>31</v>
      </c>
      <c r="AA2566" s="9" t="inlineStr"/>
      <c r="AB2566" s="10" t="n">
        <v>-9</v>
      </c>
      <c r="AC2566" s="10" t="n">
        <v>9</v>
      </c>
      <c r="AD2566" s="7" t="inlineStr"/>
      <c r="AE2566" s="8" t="n">
        <v>-5</v>
      </c>
      <c r="AF2566" s="8" t="n">
        <v>25</v>
      </c>
      <c r="AG2566" s="9" t="inlineStr"/>
      <c r="AH2566" s="10" t="n">
        <v>-16</v>
      </c>
      <c r="AI2566" s="10" t="n">
        <v>10</v>
      </c>
      <c r="AJ2566" s="11" t="inlineStr"/>
      <c r="AK2566" s="12" t="n">
        <v>-10</v>
      </c>
      <c r="AL2566" s="12" t="n">
        <v>9</v>
      </c>
      <c r="AM2566" s="13" t="inlineStr"/>
      <c r="AN2566" s="13" t="inlineStr"/>
      <c r="AO2566" s="13" t="n">
        <v>37.5</v>
      </c>
      <c r="AP2566" s="13" t="n">
        <v>23.1</v>
      </c>
    </row>
    <row r="2567">
      <c r="A2567" s="5" t="inlineStr">
        <is>
          <t>노머스</t>
        </is>
      </c>
      <c r="B2567" s="6" t="inlineStr">
        <is>
          <t>473980</t>
        </is>
      </c>
      <c r="C2567" s="6" t="inlineStr">
        <is>
          <t>연결</t>
        </is>
      </c>
      <c r="D2567" s="6" t="inlineStr">
        <is>
          <t>2026Q2</t>
        </is>
      </c>
      <c r="E2567" s="6" t="inlineStr">
        <is>
          <t>2024Q3</t>
        </is>
      </c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14" t="n">
        <v>26397</v>
      </c>
      <c r="P2567" s="15" t="n">
        <v>3738</v>
      </c>
      <c r="Q2567" s="15" t="n">
        <v>4005</v>
      </c>
      <c r="R2567" s="7" t="inlineStr"/>
      <c r="S2567" s="8" t="inlineStr"/>
      <c r="T2567" s="8" t="inlineStr"/>
      <c r="U2567" s="9" t="n">
        <v>19144</v>
      </c>
      <c r="V2567" s="10" t="n">
        <v>4596</v>
      </c>
      <c r="W2567" s="10" t="n">
        <v>4754</v>
      </c>
      <c r="X2567" s="7" t="n">
        <v>16034</v>
      </c>
      <c r="Y2567" s="8" t="n">
        <v>4219</v>
      </c>
      <c r="Z2567" s="8" t="n">
        <v>3000</v>
      </c>
      <c r="AA2567" s="9" t="n">
        <v>27645</v>
      </c>
      <c r="AB2567" s="10" t="n">
        <v>5431</v>
      </c>
      <c r="AC2567" s="10" t="n">
        <v>5897</v>
      </c>
      <c r="AD2567" s="7" t="n">
        <v>12903</v>
      </c>
      <c r="AE2567" s="8" t="n">
        <v>-1906</v>
      </c>
      <c r="AF2567" s="8" t="n">
        <v>1196</v>
      </c>
      <c r="AG2567" s="9" t="n">
        <v>18580</v>
      </c>
      <c r="AH2567" s="10" t="n">
        <v>3999</v>
      </c>
      <c r="AI2567" s="10" t="n">
        <v>4058</v>
      </c>
      <c r="AJ2567" s="11" t="n">
        <v>16147</v>
      </c>
      <c r="AK2567" s="12" t="n">
        <v>3548</v>
      </c>
      <c r="AL2567" s="12" t="n">
        <v>4594</v>
      </c>
      <c r="AM2567" s="13" t="n">
        <v>-13.1</v>
      </c>
      <c r="AN2567" s="13" t="n">
        <v>0.7</v>
      </c>
      <c r="AO2567" s="13" t="n">
        <v>-11.3</v>
      </c>
      <c r="AP2567" s="13" t="n">
        <v>-15.9</v>
      </c>
    </row>
    <row r="2568">
      <c r="A2568" s="5" t="inlineStr">
        <is>
          <t>루미르</t>
        </is>
      </c>
      <c r="B2568" s="6" t="inlineStr">
        <is>
          <t>474170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1413</v>
      </c>
      <c r="V2568" s="10" t="n">
        <v>-811</v>
      </c>
      <c r="W2568" s="10" t="n">
        <v>-562</v>
      </c>
      <c r="X2568" s="7" t="n">
        <v>2011</v>
      </c>
      <c r="Y2568" s="8" t="n">
        <v>309</v>
      </c>
      <c r="Z2568" s="8" t="n">
        <v>494</v>
      </c>
      <c r="AA2568" s="9" t="n">
        <v>3427</v>
      </c>
      <c r="AB2568" s="10" t="n">
        <v>-328</v>
      </c>
      <c r="AC2568" s="10" t="n">
        <v>-217</v>
      </c>
      <c r="AD2568" s="7" t="n">
        <v>3718</v>
      </c>
      <c r="AE2568" s="8" t="n">
        <v>236</v>
      </c>
      <c r="AF2568" s="8" t="n">
        <v>331</v>
      </c>
      <c r="AG2568" s="9" t="n">
        <v>1898</v>
      </c>
      <c r="AH2568" s="10" t="n">
        <v>-250</v>
      </c>
      <c r="AI2568" s="10" t="n">
        <v>-198</v>
      </c>
      <c r="AJ2568" s="11" t="n">
        <v>4235</v>
      </c>
      <c r="AK2568" s="12" t="n">
        <v>-1056</v>
      </c>
      <c r="AL2568" s="12" t="n">
        <v>-880</v>
      </c>
      <c r="AM2568" s="13" t="n">
        <v>123.1</v>
      </c>
      <c r="AN2568" s="13" t="n">
        <v>110.6</v>
      </c>
      <c r="AO2568" s="13" t="n">
        <v>-322.4</v>
      </c>
      <c r="AP2568" s="13" t="n">
        <v>-441.7</v>
      </c>
    </row>
    <row r="2569">
      <c r="A2569" s="5" t="inlineStr">
        <is>
          <t>유안타제16호스팩</t>
        </is>
      </c>
      <c r="B2569" s="6" t="inlineStr">
        <is>
          <t>474490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-7</v>
      </c>
      <c r="N2569" s="8" t="n">
        <v>46</v>
      </c>
      <c r="O2569" s="9" t="n">
        <v>0</v>
      </c>
      <c r="P2569" s="10" t="n">
        <v>-7</v>
      </c>
      <c r="Q2569" s="10" t="n">
        <v>66</v>
      </c>
      <c r="R2569" s="7" t="inlineStr"/>
      <c r="S2569" s="8" t="inlineStr"/>
      <c r="T2569" s="8" t="inlineStr"/>
      <c r="U2569" s="9" t="n">
        <v>0</v>
      </c>
      <c r="V2569" s="10" t="n">
        <v>-17</v>
      </c>
      <c r="W2569" s="10" t="n">
        <v>55</v>
      </c>
      <c r="X2569" s="7" t="n">
        <v>0</v>
      </c>
      <c r="Y2569" s="8" t="n">
        <v>-8</v>
      </c>
      <c r="Z2569" s="8" t="n">
        <v>53</v>
      </c>
      <c r="AA2569" s="9" t="n">
        <v>0</v>
      </c>
      <c r="AB2569" s="10" t="n">
        <v>-4</v>
      </c>
      <c r="AC2569" s="10" t="n">
        <v>56</v>
      </c>
      <c r="AD2569" s="7" t="n">
        <v>0</v>
      </c>
      <c r="AE2569" s="8" t="n">
        <v>-8</v>
      </c>
      <c r="AF2569" s="8" t="n">
        <v>47</v>
      </c>
      <c r="AG2569" s="9" t="n">
        <v>0</v>
      </c>
      <c r="AH2569" s="10" t="n">
        <v>-15</v>
      </c>
      <c r="AI2569" s="10" t="n">
        <v>39</v>
      </c>
      <c r="AJ2569" s="11" t="n">
        <v>0</v>
      </c>
      <c r="AK2569" s="12" t="n">
        <v>-13</v>
      </c>
      <c r="AL2569" s="12" t="n">
        <v>49</v>
      </c>
      <c r="AM2569" s="13" t="inlineStr"/>
      <c r="AN2569" s="13" t="inlineStr"/>
      <c r="AO2569" s="13" t="n">
        <v>13.3</v>
      </c>
      <c r="AP2569" s="13" t="n">
        <v>-62.5</v>
      </c>
    </row>
    <row r="2570">
      <c r="A2570" s="5" t="inlineStr">
        <is>
          <t>RF시스템즈</t>
        </is>
      </c>
      <c r="B2570" s="6" t="inlineStr">
        <is>
          <t>474610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inlineStr"/>
      <c r="N2570" s="8" t="inlineStr"/>
      <c r="O2570" s="9" t="inlineStr"/>
      <c r="P2570" s="10" t="inlineStr"/>
      <c r="Q2570" s="10" t="inlineStr"/>
      <c r="R2570" s="7" t="inlineStr"/>
      <c r="S2570" s="8" t="inlineStr"/>
      <c r="T2570" s="8" t="inlineStr"/>
      <c r="U2570" s="9" t="n">
        <v>6654</v>
      </c>
      <c r="V2570" s="10" t="n">
        <v>291</v>
      </c>
      <c r="W2570" s="10" t="n">
        <v>411</v>
      </c>
      <c r="X2570" s="7" t="n">
        <v>10399</v>
      </c>
      <c r="Y2570" s="8" t="n">
        <v>1582</v>
      </c>
      <c r="Z2570" s="8" t="n">
        <v>1937</v>
      </c>
      <c r="AA2570" s="9" t="n">
        <v>7601</v>
      </c>
      <c r="AB2570" s="10" t="n">
        <v>613</v>
      </c>
      <c r="AC2570" s="10" t="n">
        <v>904</v>
      </c>
      <c r="AD2570" s="7" t="n">
        <v>13520</v>
      </c>
      <c r="AE2570" s="8" t="n">
        <v>1570</v>
      </c>
      <c r="AF2570" s="8" t="n">
        <v>1905</v>
      </c>
      <c r="AG2570" s="9" t="n">
        <v>10004</v>
      </c>
      <c r="AH2570" s="10" t="n">
        <v>1122</v>
      </c>
      <c r="AI2570" s="10" t="n">
        <v>1392</v>
      </c>
      <c r="AJ2570" s="11" t="n">
        <v>11584</v>
      </c>
      <c r="AK2570" s="12" t="n">
        <v>1666</v>
      </c>
      <c r="AL2570" s="12" t="n">
        <v>2101</v>
      </c>
      <c r="AM2570" s="13" t="n">
        <v>15.8</v>
      </c>
      <c r="AN2570" s="13" t="n">
        <v>11.4</v>
      </c>
      <c r="AO2570" s="13" t="n">
        <v>48.5</v>
      </c>
      <c r="AP2570" s="13" t="n">
        <v>5.3</v>
      </c>
    </row>
    <row r="2571">
      <c r="A2571" s="5" t="inlineStr">
        <is>
          <t>링크솔루션</t>
        </is>
      </c>
      <c r="B2571" s="6" t="inlineStr">
        <is>
          <t>474650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n">
        <v>577</v>
      </c>
      <c r="P2571" s="10" t="n">
        <v>-2193</v>
      </c>
      <c r="Q2571" s="10" t="n">
        <v>-1650</v>
      </c>
      <c r="R2571" s="7" t="inlineStr"/>
      <c r="S2571" s="8" t="inlineStr"/>
      <c r="T2571" s="8" t="inlineStr"/>
      <c r="U2571" s="9" t="n">
        <v>1429</v>
      </c>
      <c r="V2571" s="10" t="n">
        <v>-1697</v>
      </c>
      <c r="W2571" s="10" t="n">
        <v>-1349</v>
      </c>
      <c r="X2571" s="7" t="n">
        <v>1932</v>
      </c>
      <c r="Y2571" s="8" t="n">
        <v>-2260</v>
      </c>
      <c r="Z2571" s="8" t="n">
        <v>-2048</v>
      </c>
      <c r="AA2571" s="9" t="n">
        <v>1931</v>
      </c>
      <c r="AB2571" s="10" t="n">
        <v>-1394</v>
      </c>
      <c r="AC2571" s="10" t="n">
        <v>-1189</v>
      </c>
      <c r="AD2571" s="7" t="n">
        <v>7833</v>
      </c>
      <c r="AE2571" s="8" t="n">
        <v>-2027</v>
      </c>
      <c r="AF2571" s="8" t="n">
        <v>-2399</v>
      </c>
      <c r="AG2571" s="9" t="n">
        <v>1569</v>
      </c>
      <c r="AH2571" s="10" t="n">
        <v>-3692</v>
      </c>
      <c r="AI2571" s="10" t="n">
        <v>-3814</v>
      </c>
      <c r="AJ2571" s="11" t="n">
        <v>4269</v>
      </c>
      <c r="AK2571" s="12" t="n">
        <v>-4636</v>
      </c>
      <c r="AL2571" s="12" t="n">
        <v>57</v>
      </c>
      <c r="AM2571" s="13" t="n">
        <v>172.1</v>
      </c>
      <c r="AN2571" s="13" t="n">
        <v>121</v>
      </c>
      <c r="AO2571" s="13" t="n">
        <v>-25.6</v>
      </c>
      <c r="AP2571" s="13" t="n">
        <v>-105.1</v>
      </c>
    </row>
    <row r="2572">
      <c r="A2572" s="5" t="inlineStr">
        <is>
          <t>신한제12호스팩</t>
        </is>
      </c>
      <c r="B2572" s="6" t="inlineStr">
        <is>
          <t>474660</t>
        </is>
      </c>
      <c r="C2572" s="6" t="inlineStr">
        <is>
          <t>별도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n">
        <v>0</v>
      </c>
      <c r="M2572" s="8" t="n">
        <v>-198</v>
      </c>
      <c r="N2572" s="8" t="n">
        <v>-100</v>
      </c>
      <c r="O2572" s="9" t="inlineStr"/>
      <c r="P2572" s="10" t="n">
        <v>-12</v>
      </c>
      <c r="Q2572" s="10" t="n">
        <v>55</v>
      </c>
      <c r="R2572" s="7" t="inlineStr"/>
      <c r="S2572" s="8" t="inlineStr"/>
      <c r="T2572" s="8" t="inlineStr"/>
      <c r="U2572" s="9" t="inlineStr"/>
      <c r="V2572" s="10" t="n">
        <v>-22</v>
      </c>
      <c r="W2572" s="10" t="n">
        <v>36</v>
      </c>
      <c r="X2572" s="7" t="inlineStr"/>
      <c r="Y2572" s="8" t="n">
        <v>-7</v>
      </c>
      <c r="Z2572" s="8" t="n">
        <v>84</v>
      </c>
      <c r="AA2572" s="9" t="inlineStr"/>
      <c r="AB2572" s="10" t="n">
        <v>-10</v>
      </c>
      <c r="AC2572" s="10" t="n">
        <v>29</v>
      </c>
      <c r="AD2572" s="7" t="inlineStr"/>
      <c r="AE2572" s="8" t="n">
        <v>-8</v>
      </c>
      <c r="AF2572" s="8" t="n">
        <v>50</v>
      </c>
      <c r="AG2572" s="9" t="inlineStr"/>
      <c r="AH2572" s="10" t="inlineStr"/>
      <c r="AI2572" s="10" t="inlineStr"/>
      <c r="AJ2572" s="11" t="inlineStr"/>
      <c r="AK2572" s="12" t="n">
        <v>-9</v>
      </c>
      <c r="AL2572" s="12" t="n">
        <v>35</v>
      </c>
      <c r="AM2572" s="13" t="inlineStr"/>
      <c r="AN2572" s="13" t="inlineStr"/>
      <c r="AO2572" s="13" t="inlineStr"/>
      <c r="AP2572" s="13" t="n">
        <v>-28.6</v>
      </c>
    </row>
    <row r="2573">
      <c r="A2573" s="5" t="inlineStr">
        <is>
          <t>신한제13호스팩</t>
        </is>
      </c>
      <c r="B2573" s="6" t="inlineStr">
        <is>
          <t>474930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n">
        <v>-7</v>
      </c>
      <c r="N2573" s="8" t="n">
        <v>24</v>
      </c>
      <c r="O2573" s="9" t="inlineStr"/>
      <c r="P2573" s="10" t="n">
        <v>-8</v>
      </c>
      <c r="Q2573" s="10" t="n">
        <v>31</v>
      </c>
      <c r="R2573" s="7" t="inlineStr"/>
      <c r="S2573" s="8" t="inlineStr"/>
      <c r="T2573" s="8" t="inlineStr"/>
      <c r="U2573" s="9" t="inlineStr"/>
      <c r="V2573" s="10" t="n">
        <v>-16</v>
      </c>
      <c r="W2573" s="10" t="n">
        <v>27</v>
      </c>
      <c r="X2573" s="7" t="inlineStr"/>
      <c r="Y2573" s="8" t="n">
        <v>-8</v>
      </c>
      <c r="Z2573" s="8" t="n">
        <v>40</v>
      </c>
      <c r="AA2573" s="9" t="inlineStr"/>
      <c r="AB2573" s="10" t="n">
        <v>-8</v>
      </c>
      <c r="AC2573" s="10" t="n">
        <v>23</v>
      </c>
      <c r="AD2573" s="7" t="inlineStr"/>
      <c r="AE2573" s="8" t="n">
        <v>-5</v>
      </c>
      <c r="AF2573" s="8" t="n">
        <v>31</v>
      </c>
      <c r="AG2573" s="9" t="n">
        <v>0</v>
      </c>
      <c r="AH2573" s="10" t="n">
        <v>-10</v>
      </c>
      <c r="AI2573" s="10" t="n">
        <v>23</v>
      </c>
      <c r="AJ2573" s="11" t="n">
        <v>0</v>
      </c>
      <c r="AK2573" s="12" t="n">
        <v>-16</v>
      </c>
      <c r="AL2573" s="12" t="n">
        <v>36</v>
      </c>
      <c r="AM2573" s="13" t="inlineStr"/>
      <c r="AN2573" s="13" t="inlineStr"/>
      <c r="AO2573" s="13" t="n">
        <v>-60</v>
      </c>
      <c r="AP2573" s="13" t="n">
        <v>-100</v>
      </c>
    </row>
    <row r="2574">
      <c r="A2574" s="5" t="inlineStr">
        <is>
          <t>스트라드비젼</t>
        </is>
      </c>
      <c r="B2574" s="6" t="inlineStr">
        <is>
          <t>475040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n">
        <v>3483</v>
      </c>
      <c r="V2574" s="10" t="n">
        <v>-15161</v>
      </c>
      <c r="W2574" s="10" t="n">
        <v>-21924</v>
      </c>
      <c r="X2574" s="7" t="n">
        <v>3092</v>
      </c>
      <c r="Y2574" s="8" t="n">
        <v>-14839</v>
      </c>
      <c r="Z2574" s="8" t="n">
        <v>-12070</v>
      </c>
      <c r="AA2574" s="9" t="n">
        <v>1153</v>
      </c>
      <c r="AB2574" s="10" t="n">
        <v>-19909</v>
      </c>
      <c r="AC2574" s="10" t="n">
        <v>-19477</v>
      </c>
      <c r="AD2574" s="7" t="n">
        <v>10381</v>
      </c>
      <c r="AE2574" s="8" t="n">
        <v>-8686</v>
      </c>
      <c r="AF2574" s="8" t="n">
        <v>-8761</v>
      </c>
      <c r="AG2574" s="9" t="n">
        <v>3568</v>
      </c>
      <c r="AH2574" s="10" t="n">
        <v>-13170</v>
      </c>
      <c r="AI2574" s="10" t="n">
        <v>-13057</v>
      </c>
      <c r="AJ2574" s="11" t="n">
        <v>6420</v>
      </c>
      <c r="AK2574" s="12" t="n">
        <v>-11149</v>
      </c>
      <c r="AL2574" s="12" t="n">
        <v>-11308</v>
      </c>
      <c r="AM2574" s="13" t="n">
        <v>79.90000000000001</v>
      </c>
      <c r="AN2574" s="13" t="n">
        <v>107.6</v>
      </c>
      <c r="AO2574" s="13" t="n">
        <v>15.3</v>
      </c>
      <c r="AP2574" s="13" t="n">
        <v>24.9</v>
      </c>
    </row>
    <row r="2575">
      <c r="A2575" s="5" t="inlineStr">
        <is>
          <t>SK이터닉스</t>
        </is>
      </c>
      <c r="B2575" s="6" t="inlineStr">
        <is>
          <t>475150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4816</v>
      </c>
      <c r="J2575" s="10" t="n">
        <v>417</v>
      </c>
      <c r="K2575" s="10" t="n">
        <v>-1451</v>
      </c>
      <c r="L2575" s="7" t="n">
        <v>13995</v>
      </c>
      <c r="M2575" s="8" t="n">
        <v>-2357</v>
      </c>
      <c r="N2575" s="8" t="n">
        <v>-2696</v>
      </c>
      <c r="O2575" s="9" t="n">
        <v>160292</v>
      </c>
      <c r="P2575" s="10" t="n">
        <v>14429</v>
      </c>
      <c r="Q2575" s="10" t="n">
        <v>6755</v>
      </c>
      <c r="R2575" s="7" t="n">
        <v>153049</v>
      </c>
      <c r="S2575" s="8" t="n">
        <v>25148</v>
      </c>
      <c r="T2575" s="8" t="n">
        <v>19773</v>
      </c>
      <c r="U2575" s="9" t="n">
        <v>25933</v>
      </c>
      <c r="V2575" s="10" t="n">
        <v>1062</v>
      </c>
      <c r="W2575" s="10" t="n">
        <v>979</v>
      </c>
      <c r="X2575" s="7" t="n">
        <v>65324</v>
      </c>
      <c r="Y2575" s="8" t="n">
        <v>9594</v>
      </c>
      <c r="Z2575" s="8" t="n">
        <v>14299</v>
      </c>
      <c r="AA2575" s="9" t="n">
        <v>46428</v>
      </c>
      <c r="AB2575" s="10" t="n">
        <v>1170</v>
      </c>
      <c r="AC2575" s="10" t="n">
        <v>-5052</v>
      </c>
      <c r="AD2575" s="7" t="n">
        <v>247956</v>
      </c>
      <c r="AE2575" s="8" t="n">
        <v>41172</v>
      </c>
      <c r="AF2575" s="8" t="n">
        <v>20496</v>
      </c>
      <c r="AG2575" s="9" t="n">
        <v>27523</v>
      </c>
      <c r="AH2575" s="10" t="n">
        <v>4909</v>
      </c>
      <c r="AI2575" s="10" t="n">
        <v>-5112</v>
      </c>
      <c r="AJ2575" s="11" t="n">
        <v>240892</v>
      </c>
      <c r="AK2575" s="12" t="n">
        <v>4683</v>
      </c>
      <c r="AL2575" s="12" t="n">
        <v>-2893</v>
      </c>
      <c r="AM2575" s="13" t="n">
        <v>775.2</v>
      </c>
      <c r="AN2575" s="13" t="n">
        <v>268.8</v>
      </c>
      <c r="AO2575" s="13" t="n">
        <v>-4.6</v>
      </c>
      <c r="AP2575" s="13" t="n">
        <v>-51.2</v>
      </c>
    </row>
    <row r="2576">
      <c r="A2576" s="5" t="inlineStr">
        <is>
          <t>엔알비</t>
        </is>
      </c>
      <c r="B2576" s="6" t="inlineStr">
        <is>
          <t>475230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inlineStr"/>
      <c r="V2576" s="10" t="inlineStr"/>
      <c r="W2576" s="10" t="inlineStr"/>
      <c r="X2576" s="7" t="n">
        <v>12106</v>
      </c>
      <c r="Y2576" s="8" t="n">
        <v>1099</v>
      </c>
      <c r="Z2576" s="8" t="n">
        <v>-2308</v>
      </c>
      <c r="AA2576" s="9" t="n">
        <v>10898</v>
      </c>
      <c r="AB2576" s="10" t="n">
        <v>2178</v>
      </c>
      <c r="AC2576" s="10" t="n">
        <v>2319</v>
      </c>
      <c r="AD2576" s="7" t="inlineStr"/>
      <c r="AE2576" s="8" t="inlineStr"/>
      <c r="AF2576" s="8" t="inlineStr"/>
      <c r="AG2576" s="9" t="n">
        <v>17161</v>
      </c>
      <c r="AH2576" s="10" t="n">
        <v>1465</v>
      </c>
      <c r="AI2576" s="10" t="n">
        <v>-3218</v>
      </c>
      <c r="AJ2576" s="11" t="n">
        <v>19853</v>
      </c>
      <c r="AK2576" s="12" t="n">
        <v>1875</v>
      </c>
      <c r="AL2576" s="12" t="n">
        <v>5975</v>
      </c>
      <c r="AM2576" s="13" t="n">
        <v>15.7</v>
      </c>
      <c r="AN2576" s="13" t="n">
        <v>64</v>
      </c>
      <c r="AO2576" s="13" t="n">
        <v>28</v>
      </c>
      <c r="AP2576" s="13" t="n">
        <v>70.59999999999999</v>
      </c>
    </row>
    <row r="2577">
      <c r="A2577" s="5" t="inlineStr">
        <is>
          <t>하나32호스팩</t>
        </is>
      </c>
      <c r="B2577" s="6" t="inlineStr">
        <is>
          <t>475240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n">
        <v>0</v>
      </c>
      <c r="J2577" s="10" t="n">
        <v>-24</v>
      </c>
      <c r="K2577" s="10" t="n">
        <v>-18</v>
      </c>
      <c r="L2577" s="7" t="n">
        <v>0</v>
      </c>
      <c r="M2577" s="8" t="n">
        <v>-3</v>
      </c>
      <c r="N2577" s="8" t="n">
        <v>32</v>
      </c>
      <c r="O2577" s="9" t="inlineStr"/>
      <c r="P2577" s="10" t="n">
        <v>-8</v>
      </c>
      <c r="Q2577" s="10" t="n">
        <v>35</v>
      </c>
      <c r="R2577" s="7" t="inlineStr"/>
      <c r="S2577" s="8" t="n">
        <v>-3</v>
      </c>
      <c r="T2577" s="8" t="n">
        <v>40</v>
      </c>
      <c r="U2577" s="9" t="n">
        <v>0</v>
      </c>
      <c r="V2577" s="10" t="n">
        <v>-11</v>
      </c>
      <c r="W2577" s="10" t="n">
        <v>31</v>
      </c>
      <c r="X2577" s="7" t="n">
        <v>0</v>
      </c>
      <c r="Y2577" s="8" t="n">
        <v>-13</v>
      </c>
      <c r="Z2577" s="8" t="n">
        <v>19</v>
      </c>
      <c r="AA2577" s="9" t="inlineStr"/>
      <c r="AB2577" s="10" t="n">
        <v>-8</v>
      </c>
      <c r="AC2577" s="10" t="n">
        <v>24</v>
      </c>
      <c r="AD2577" s="7" t="inlineStr"/>
      <c r="AE2577" s="8" t="n">
        <v>-3</v>
      </c>
      <c r="AF2577" s="8" t="n">
        <v>27</v>
      </c>
      <c r="AG2577" s="9" t="n">
        <v>0</v>
      </c>
      <c r="AH2577" s="10" t="n">
        <v>-10</v>
      </c>
      <c r="AI2577" s="10" t="n">
        <v>21</v>
      </c>
      <c r="AJ2577" s="11" t="n">
        <v>0</v>
      </c>
      <c r="AK2577" s="12" t="n">
        <v>-12</v>
      </c>
      <c r="AL2577" s="12" t="n">
        <v>20</v>
      </c>
      <c r="AM2577" s="13" t="inlineStr"/>
      <c r="AN2577" s="13" t="inlineStr"/>
      <c r="AO2577" s="13" t="n">
        <v>-20</v>
      </c>
      <c r="AP2577" s="13" t="n">
        <v>7.7</v>
      </c>
    </row>
    <row r="2578">
      <c r="A2578" s="5" t="inlineStr">
        <is>
          <t>하나33호스팩</t>
        </is>
      </c>
      <c r="B2578" s="6" t="inlineStr">
        <is>
          <t>475250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n">
        <v>0</v>
      </c>
      <c r="M2578" s="8" t="n">
        <v>-12</v>
      </c>
      <c r="N2578" s="8" t="n">
        <v>22</v>
      </c>
      <c r="O2578" s="9" t="n">
        <v>0</v>
      </c>
      <c r="P2578" s="10" t="n">
        <v>-5</v>
      </c>
      <c r="Q2578" s="10" t="n">
        <v>40</v>
      </c>
      <c r="R2578" s="7" t="inlineStr"/>
      <c r="S2578" s="8" t="inlineStr"/>
      <c r="T2578" s="8" t="inlineStr"/>
      <c r="U2578" s="9" t="inlineStr"/>
      <c r="V2578" s="10" t="n">
        <v>-18</v>
      </c>
      <c r="W2578" s="10" t="n">
        <v>29</v>
      </c>
      <c r="X2578" s="7" t="inlineStr"/>
      <c r="Y2578" s="8" t="n">
        <v>-11</v>
      </c>
      <c r="Z2578" s="8" t="n">
        <v>37</v>
      </c>
      <c r="AA2578" s="9" t="inlineStr"/>
      <c r="AB2578" s="10" t="n">
        <v>-4</v>
      </c>
      <c r="AC2578" s="10" t="n">
        <v>28</v>
      </c>
      <c r="AD2578" s="7" t="inlineStr"/>
      <c r="AE2578" s="8" t="n">
        <v>0</v>
      </c>
      <c r="AF2578" s="8" t="n">
        <v>44</v>
      </c>
      <c r="AG2578" s="9" t="inlineStr"/>
      <c r="AH2578" s="10" t="n">
        <v>-7</v>
      </c>
      <c r="AI2578" s="10" t="n">
        <v>23</v>
      </c>
      <c r="AJ2578" s="11" t="inlineStr"/>
      <c r="AK2578" s="12" t="n">
        <v>-10</v>
      </c>
      <c r="AL2578" s="12" t="n">
        <v>44</v>
      </c>
      <c r="AM2578" s="13" t="inlineStr"/>
      <c r="AN2578" s="13" t="inlineStr"/>
      <c r="AO2578" s="13" t="n">
        <v>-42.9</v>
      </c>
      <c r="AP2578" s="13" t="n">
        <v>9.1</v>
      </c>
    </row>
    <row r="2579">
      <c r="A2579" s="5" t="inlineStr">
        <is>
          <t>씨메스로보틱스</t>
        </is>
      </c>
      <c r="B2579" s="6" t="inlineStr">
        <is>
          <t>475400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872</v>
      </c>
      <c r="V2579" s="10" t="n">
        <v>-5311</v>
      </c>
      <c r="W2579" s="10" t="n">
        <v>-5224</v>
      </c>
      <c r="X2579" s="7" t="n">
        <v>3859</v>
      </c>
      <c r="Y2579" s="8" t="n">
        <v>-3786</v>
      </c>
      <c r="Z2579" s="8" t="n">
        <v>-3014</v>
      </c>
      <c r="AA2579" s="9" t="n">
        <v>3888</v>
      </c>
      <c r="AB2579" s="10" t="n">
        <v>-3800</v>
      </c>
      <c r="AC2579" s="10" t="n">
        <v>-3427</v>
      </c>
      <c r="AD2579" s="7" t="n">
        <v>4437</v>
      </c>
      <c r="AE2579" s="8" t="n">
        <v>-5514</v>
      </c>
      <c r="AF2579" s="8" t="n">
        <v>-5111</v>
      </c>
      <c r="AG2579" s="9" t="n">
        <v>5772</v>
      </c>
      <c r="AH2579" s="10" t="n">
        <v>-5135</v>
      </c>
      <c r="AI2579" s="10" t="n">
        <v>-4774</v>
      </c>
      <c r="AJ2579" s="11" t="n">
        <v>3744</v>
      </c>
      <c r="AK2579" s="12" t="n">
        <v>-4771</v>
      </c>
      <c r="AL2579" s="12" t="n">
        <v>-4301</v>
      </c>
      <c r="AM2579" s="13" t="n">
        <v>-35.1</v>
      </c>
      <c r="AN2579" s="13" t="n">
        <v>-3</v>
      </c>
      <c r="AO2579" s="13" t="n">
        <v>7.1</v>
      </c>
      <c r="AP2579" s="13" t="n">
        <v>-26</v>
      </c>
    </row>
    <row r="2580">
      <c r="A2580" s="5" t="inlineStr">
        <is>
          <t>키스트론</t>
        </is>
      </c>
      <c r="B2580" s="6" t="inlineStr">
        <is>
          <t>475430</t>
        </is>
      </c>
      <c r="C2580" s="6" t="inlineStr">
        <is>
          <t>별도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inlineStr"/>
      <c r="V2580" s="10" t="inlineStr"/>
      <c r="W2580" s="10" t="inlineStr"/>
      <c r="X2580" s="7" t="n">
        <v>19103</v>
      </c>
      <c r="Y2580" s="8" t="n">
        <v>2177</v>
      </c>
      <c r="Z2580" s="8" t="n">
        <v>2181</v>
      </c>
      <c r="AA2580" s="9" t="n">
        <v>16635</v>
      </c>
      <c r="AB2580" s="10" t="n">
        <v>1976</v>
      </c>
      <c r="AC2580" s="10" t="n">
        <v>2085</v>
      </c>
      <c r="AD2580" s="7" t="inlineStr"/>
      <c r="AE2580" s="8" t="inlineStr"/>
      <c r="AF2580" s="8" t="inlineStr"/>
      <c r="AG2580" s="9" t="n">
        <v>19792</v>
      </c>
      <c r="AH2580" s="10" t="n">
        <v>2073</v>
      </c>
      <c r="AI2580" s="10" t="n">
        <v>2961</v>
      </c>
      <c r="AJ2580" s="11" t="n">
        <v>24848</v>
      </c>
      <c r="AK2580" s="12" t="n">
        <v>3277</v>
      </c>
      <c r="AL2580" s="12" t="n">
        <v>5814</v>
      </c>
      <c r="AM2580" s="13" t="n">
        <v>25.5</v>
      </c>
      <c r="AN2580" s="13" t="n">
        <v>30.1</v>
      </c>
      <c r="AO2580" s="13" t="n">
        <v>58.1</v>
      </c>
      <c r="AP2580" s="13" t="n">
        <v>50.5</v>
      </c>
    </row>
    <row r="2581">
      <c r="A2581" s="5" t="inlineStr">
        <is>
          <t>미트박스</t>
        </is>
      </c>
      <c r="B2581" s="6" t="inlineStr">
        <is>
          <t>475460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n">
        <v>219</v>
      </c>
      <c r="W2581" s="10" t="n">
        <v>287</v>
      </c>
      <c r="X2581" s="7" t="inlineStr"/>
      <c r="Y2581" s="8" t="n">
        <v>-289</v>
      </c>
      <c r="Z2581" s="8" t="n">
        <v>-376</v>
      </c>
      <c r="AA2581" s="9" t="inlineStr"/>
      <c r="AB2581" s="10" t="n">
        <v>942</v>
      </c>
      <c r="AC2581" s="10" t="n">
        <v>692</v>
      </c>
      <c r="AD2581" s="7" t="inlineStr"/>
      <c r="AE2581" s="8" t="n">
        <v>2034</v>
      </c>
      <c r="AF2581" s="8" t="n">
        <v>1133</v>
      </c>
      <c r="AG2581" s="9" t="inlineStr"/>
      <c r="AH2581" s="10" t="n">
        <v>1589</v>
      </c>
      <c r="AI2581" s="10" t="n">
        <v>804</v>
      </c>
      <c r="AJ2581" s="11" t="inlineStr"/>
      <c r="AK2581" s="12" t="n">
        <v>871</v>
      </c>
      <c r="AL2581" s="12" t="n">
        <v>324</v>
      </c>
      <c r="AM2581" s="13" t="inlineStr"/>
      <c r="AN2581" s="13" t="inlineStr"/>
      <c r="AO2581" s="13" t="n">
        <v>-45.2</v>
      </c>
      <c r="AP2581" s="13" t="n">
        <v>401.4</v>
      </c>
    </row>
    <row r="2582">
      <c r="A2582" s="5" t="inlineStr">
        <is>
          <t>더본코리아</t>
        </is>
      </c>
      <c r="B2582" s="6" t="inlineStr">
        <is>
          <t>475560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110715</v>
      </c>
      <c r="V2582" s="10" t="n">
        <v>6196</v>
      </c>
      <c r="W2582" s="10" t="n">
        <v>6328</v>
      </c>
      <c r="X2582" s="7" t="n">
        <v>74188</v>
      </c>
      <c r="Y2582" s="8" t="n">
        <v>-22475</v>
      </c>
      <c r="Z2582" s="8" t="n">
        <v>-23805</v>
      </c>
      <c r="AA2582" s="9" t="n">
        <v>87379</v>
      </c>
      <c r="AB2582" s="10" t="n">
        <v>-4364</v>
      </c>
      <c r="AC2582" s="10" t="n">
        <v>-2659</v>
      </c>
      <c r="AD2582" s="7" t="n">
        <v>88957</v>
      </c>
      <c r="AE2582" s="8" t="n">
        <v>-3036</v>
      </c>
      <c r="AF2582" s="8" t="n">
        <v>2742</v>
      </c>
      <c r="AG2582" s="9" t="n">
        <v>79606</v>
      </c>
      <c r="AH2582" s="10" t="n">
        <v>-4194</v>
      </c>
      <c r="AI2582" s="10" t="n">
        <v>-2257</v>
      </c>
      <c r="AJ2582" s="11" t="n">
        <v>83217</v>
      </c>
      <c r="AK2582" s="12" t="n">
        <v>-5562</v>
      </c>
      <c r="AL2582" s="12" t="n">
        <v>-4406</v>
      </c>
      <c r="AM2582" s="13" t="n">
        <v>4.5</v>
      </c>
      <c r="AN2582" s="13" t="n">
        <v>12.2</v>
      </c>
      <c r="AO2582" s="13" t="n">
        <v>-32.6</v>
      </c>
      <c r="AP2582" s="13" t="n">
        <v>75.3</v>
      </c>
    </row>
    <row r="2583">
      <c r="A2583" s="5" t="inlineStr">
        <is>
          <t>에이럭스</t>
        </is>
      </c>
      <c r="B2583" s="6" t="inlineStr">
        <is>
          <t>475580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11182</v>
      </c>
      <c r="V2583" s="10" t="n">
        <v>-1681</v>
      </c>
      <c r="W2583" s="10" t="n">
        <v>-1602</v>
      </c>
      <c r="X2583" s="7" t="n">
        <v>12726</v>
      </c>
      <c r="Y2583" s="8" t="n">
        <v>-3861</v>
      </c>
      <c r="Z2583" s="8" t="n">
        <v>-3606</v>
      </c>
      <c r="AA2583" s="9" t="n">
        <v>18712</v>
      </c>
      <c r="AB2583" s="10" t="n">
        <v>-671</v>
      </c>
      <c r="AC2583" s="10" t="n">
        <v>589</v>
      </c>
      <c r="AD2583" s="7" t="n">
        <v>20396</v>
      </c>
      <c r="AE2583" s="8" t="n">
        <v>-4261</v>
      </c>
      <c r="AF2583" s="8" t="n">
        <v>-4805</v>
      </c>
      <c r="AG2583" s="9" t="n">
        <v>15236</v>
      </c>
      <c r="AH2583" s="10" t="n">
        <v>-2514</v>
      </c>
      <c r="AI2583" s="10" t="n">
        <v>-3274</v>
      </c>
      <c r="AJ2583" s="11" t="n">
        <v>21913</v>
      </c>
      <c r="AK2583" s="12" t="n">
        <v>-1260</v>
      </c>
      <c r="AL2583" s="12" t="n">
        <v>-33</v>
      </c>
      <c r="AM2583" s="13" t="n">
        <v>43.8</v>
      </c>
      <c r="AN2583" s="13" t="n">
        <v>72.2</v>
      </c>
      <c r="AO2583" s="13" t="n">
        <v>49.9</v>
      </c>
      <c r="AP2583" s="13" t="n">
        <v>67.40000000000001</v>
      </c>
    </row>
    <row r="2584">
      <c r="A2584" s="5" t="inlineStr">
        <is>
          <t>에스켐</t>
        </is>
      </c>
      <c r="B2584" s="6" t="inlineStr">
        <is>
          <t>475660</t>
        </is>
      </c>
      <c r="C2584" s="6" t="inlineStr">
        <is>
          <t>별도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5133</v>
      </c>
      <c r="V2584" s="10" t="n">
        <v>438</v>
      </c>
      <c r="W2584" s="10" t="n">
        <v>465</v>
      </c>
      <c r="X2584" s="7" t="n">
        <v>3870</v>
      </c>
      <c r="Y2584" s="8" t="n">
        <v>-1004</v>
      </c>
      <c r="Z2584" s="8" t="n">
        <v>-939</v>
      </c>
      <c r="AA2584" s="9" t="n">
        <v>6546</v>
      </c>
      <c r="AB2584" s="10" t="n">
        <v>-980</v>
      </c>
      <c r="AC2584" s="10" t="n">
        <v>-1182</v>
      </c>
      <c r="AD2584" s="7" t="n">
        <v>6550</v>
      </c>
      <c r="AE2584" s="8" t="n">
        <v>-484</v>
      </c>
      <c r="AF2584" s="8" t="n">
        <v>-513</v>
      </c>
      <c r="AG2584" s="9" t="n">
        <v>6665</v>
      </c>
      <c r="AH2584" s="10" t="n">
        <v>302</v>
      </c>
      <c r="AI2584" s="10" t="n">
        <v>488</v>
      </c>
      <c r="AJ2584" s="11" t="n">
        <v>6527</v>
      </c>
      <c r="AK2584" s="12" t="n">
        <v>-1010</v>
      </c>
      <c r="AL2584" s="12" t="n">
        <v>-1088</v>
      </c>
      <c r="AM2584" s="13" t="n">
        <v>-2.1</v>
      </c>
      <c r="AN2584" s="13" t="n">
        <v>68.7</v>
      </c>
      <c r="AO2584" s="13" t="n">
        <v>-434.4</v>
      </c>
      <c r="AP2584" s="13" t="n">
        <v>-0.6</v>
      </c>
    </row>
    <row r="2585">
      <c r="A2585" s="5" t="inlineStr">
        <is>
          <t>오름테라퓨틱</t>
        </is>
      </c>
      <c r="B2585" s="6" t="inlineStr">
        <is>
          <t>475830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3</v>
      </c>
      <c r="V2585" s="10" t="n">
        <v>-9570</v>
      </c>
      <c r="W2585" s="10" t="n">
        <v>-8602</v>
      </c>
      <c r="X2585" s="7" t="n">
        <v>4</v>
      </c>
      <c r="Y2585" s="8" t="n">
        <v>-9996</v>
      </c>
      <c r="Z2585" s="8" t="n">
        <v>-3772</v>
      </c>
      <c r="AA2585" s="9" t="n">
        <v>16</v>
      </c>
      <c r="AB2585" s="10" t="n">
        <v>-13939</v>
      </c>
      <c r="AC2585" s="10" t="n">
        <v>-13620</v>
      </c>
      <c r="AD2585" s="7" t="n">
        <v>1</v>
      </c>
      <c r="AE2585" s="8" t="n">
        <v>-18254</v>
      </c>
      <c r="AF2585" s="8" t="n">
        <v>-15975</v>
      </c>
      <c r="AG2585" s="9" t="n">
        <v>0</v>
      </c>
      <c r="AH2585" s="10" t="n">
        <v>-18076</v>
      </c>
      <c r="AI2585" s="10" t="n">
        <v>-15278</v>
      </c>
      <c r="AJ2585" s="11" t="n">
        <v>24</v>
      </c>
      <c r="AK2585" s="12" t="n">
        <v>-15353</v>
      </c>
      <c r="AL2585" s="12" t="n">
        <v>63384</v>
      </c>
      <c r="AM2585" s="13" t="inlineStr"/>
      <c r="AN2585" s="13" t="n">
        <v>500</v>
      </c>
      <c r="AO2585" s="13" t="n">
        <v>15.1</v>
      </c>
      <c r="AP2585" s="13" t="n">
        <v>-53.6</v>
      </c>
    </row>
    <row r="2586">
      <c r="A2586" s="5" t="inlineStr">
        <is>
          <t>토모큐브</t>
        </is>
      </c>
      <c r="B2586" s="6" t="inlineStr">
        <is>
          <t>475960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653</v>
      </c>
      <c r="V2586" s="10" t="n">
        <v>-3012</v>
      </c>
      <c r="W2586" s="10" t="n">
        <v>-2786</v>
      </c>
      <c r="X2586" s="7" t="n">
        <v>3143</v>
      </c>
      <c r="Y2586" s="8" t="n">
        <v>-1126</v>
      </c>
      <c r="Z2586" s="8" t="n">
        <v>-1130</v>
      </c>
      <c r="AA2586" s="9" t="n">
        <v>2522</v>
      </c>
      <c r="AB2586" s="10" t="n">
        <v>-1829</v>
      </c>
      <c r="AC2586" s="10" t="n">
        <v>-1537</v>
      </c>
      <c r="AD2586" s="7" t="n">
        <v>4989</v>
      </c>
      <c r="AE2586" s="8" t="n">
        <v>398</v>
      </c>
      <c r="AF2586" s="8" t="n">
        <v>643</v>
      </c>
      <c r="AG2586" s="9" t="n">
        <v>2746</v>
      </c>
      <c r="AH2586" s="10" t="n">
        <v>-1865</v>
      </c>
      <c r="AI2586" s="10" t="n">
        <v>-1355</v>
      </c>
      <c r="AJ2586" s="11" t="n">
        <v>4964</v>
      </c>
      <c r="AK2586" s="12" t="n">
        <v>-587</v>
      </c>
      <c r="AL2586" s="12" t="n">
        <v>-203</v>
      </c>
      <c r="AM2586" s="13" t="n">
        <v>80.8</v>
      </c>
      <c r="AN2586" s="13" t="n">
        <v>57.9</v>
      </c>
      <c r="AO2586" s="13" t="n">
        <v>68.5</v>
      </c>
      <c r="AP2586" s="13" t="n">
        <v>47.9</v>
      </c>
    </row>
    <row r="2587">
      <c r="A2587" s="5" t="inlineStr">
        <is>
          <t>오가노이드사이언스</t>
        </is>
      </c>
      <c r="B2587" s="6" t="inlineStr">
        <is>
          <t>476040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inlineStr"/>
      <c r="V2587" s="10" t="inlineStr"/>
      <c r="W2587" s="10" t="inlineStr"/>
      <c r="X2587" s="7" t="n">
        <v>605</v>
      </c>
      <c r="Y2587" s="8" t="n">
        <v>-4697</v>
      </c>
      <c r="Z2587" s="8" t="n">
        <v>-4524</v>
      </c>
      <c r="AA2587" s="9" t="n">
        <v>320</v>
      </c>
      <c r="AB2587" s="10" t="n">
        <v>-3907</v>
      </c>
      <c r="AC2587" s="10" t="n">
        <v>-3882</v>
      </c>
      <c r="AD2587" s="7" t="inlineStr"/>
      <c r="AE2587" s="8" t="inlineStr"/>
      <c r="AF2587" s="8" t="inlineStr"/>
      <c r="AG2587" s="9" t="n">
        <v>144</v>
      </c>
      <c r="AH2587" s="10" t="n">
        <v>-4243</v>
      </c>
      <c r="AI2587" s="10" t="n">
        <v>-4387</v>
      </c>
      <c r="AJ2587" s="11" t="n">
        <v>598</v>
      </c>
      <c r="AK2587" s="12" t="n">
        <v>-4354</v>
      </c>
      <c r="AL2587" s="12" t="n">
        <v>-6953</v>
      </c>
      <c r="AM2587" s="13" t="n">
        <v>315.3</v>
      </c>
      <c r="AN2587" s="13" t="n">
        <v>-1.2</v>
      </c>
      <c r="AO2587" s="13" t="n">
        <v>-2.6</v>
      </c>
      <c r="AP2587" s="13" t="n">
        <v>7.3</v>
      </c>
    </row>
    <row r="2588">
      <c r="A2588" s="5" t="inlineStr">
        <is>
          <t>온코닉테라퓨틱스</t>
        </is>
      </c>
      <c r="B2588" s="6" t="inlineStr">
        <is>
          <t>476060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n">
        <v>1578</v>
      </c>
      <c r="W2588" s="10" t="n">
        <v>1878</v>
      </c>
      <c r="X2588" s="7" t="inlineStr"/>
      <c r="Y2588" s="8" t="n">
        <v>1113</v>
      </c>
      <c r="Z2588" s="8" t="n">
        <v>-156</v>
      </c>
      <c r="AA2588" s="14" t="n">
        <v>19213</v>
      </c>
      <c r="AB2588" s="10" t="n">
        <v>8317</v>
      </c>
      <c r="AC2588" s="10" t="n">
        <v>9402</v>
      </c>
      <c r="AD2588" s="7" t="inlineStr"/>
      <c r="AE2588" s="8" t="n">
        <v>1611</v>
      </c>
      <c r="AF2588" s="8" t="n">
        <v>4660</v>
      </c>
      <c r="AG2588" s="9" t="inlineStr"/>
      <c r="AH2588" s="10" t="n">
        <v>4586</v>
      </c>
      <c r="AI2588" s="10" t="n">
        <v>6422</v>
      </c>
      <c r="AJ2588" s="11" t="inlineStr"/>
      <c r="AK2588" s="12" t="n">
        <v>2789</v>
      </c>
      <c r="AL2588" s="12" t="n">
        <v>3768</v>
      </c>
      <c r="AM2588" s="13" t="inlineStr"/>
      <c r="AN2588" s="13" t="inlineStr"/>
      <c r="AO2588" s="13" t="n">
        <v>-39.2</v>
      </c>
      <c r="AP2588" s="13" t="n">
        <v>150.6</v>
      </c>
    </row>
    <row r="2589">
      <c r="A2589" s="5" t="inlineStr">
        <is>
          <t>M83</t>
        </is>
      </c>
      <c r="B2589" s="6" t="inlineStr">
        <is>
          <t>476080</t>
        </is>
      </c>
      <c r="C2589" s="6" t="inlineStr">
        <is>
          <t>연결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n">
        <v>10661</v>
      </c>
      <c r="P2589" s="10" t="n">
        <v>1010</v>
      </c>
      <c r="Q2589" s="10" t="n">
        <v>916</v>
      </c>
      <c r="R2589" s="7" t="inlineStr"/>
      <c r="S2589" s="8" t="inlineStr"/>
      <c r="T2589" s="8" t="inlineStr"/>
      <c r="U2589" s="9" t="n">
        <v>10826</v>
      </c>
      <c r="V2589" s="10" t="n">
        <v>-2988</v>
      </c>
      <c r="W2589" s="10" t="n">
        <v>-2602</v>
      </c>
      <c r="X2589" s="7" t="n">
        <v>31731</v>
      </c>
      <c r="Y2589" s="8" t="n">
        <v>-1761</v>
      </c>
      <c r="Z2589" s="8" t="n">
        <v>-1858</v>
      </c>
      <c r="AA2589" s="9" t="n">
        <v>32961</v>
      </c>
      <c r="AB2589" s="10" t="n">
        <v>-2177</v>
      </c>
      <c r="AC2589" s="10" t="n">
        <v>-1610</v>
      </c>
      <c r="AD2589" s="7" t="n">
        <v>56878</v>
      </c>
      <c r="AE2589" s="8" t="n">
        <v>-2041</v>
      </c>
      <c r="AF2589" s="8" t="n">
        <v>-2786</v>
      </c>
      <c r="AG2589" s="9" t="n">
        <v>66879</v>
      </c>
      <c r="AH2589" s="10" t="n">
        <v>-2580</v>
      </c>
      <c r="AI2589" s="10" t="n">
        <v>-2889</v>
      </c>
      <c r="AJ2589" s="11" t="n">
        <v>48963</v>
      </c>
      <c r="AK2589" s="12" t="n">
        <v>1593</v>
      </c>
      <c r="AL2589" s="12" t="n">
        <v>1196</v>
      </c>
      <c r="AM2589" s="13" t="n">
        <v>-26.8</v>
      </c>
      <c r="AN2589" s="13" t="n">
        <v>54.3</v>
      </c>
      <c r="AO2589" s="13" t="n">
        <v>161.7</v>
      </c>
      <c r="AP2589" s="13" t="n">
        <v>190.5</v>
      </c>
    </row>
    <row r="2590">
      <c r="A2590" s="5" t="inlineStr">
        <is>
          <t>알지노믹스</t>
        </is>
      </c>
      <c r="B2590" s="6" t="inlineStr">
        <is>
          <t>476830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n">
        <v>0</v>
      </c>
      <c r="J2590" s="10" t="n">
        <v>-3372</v>
      </c>
      <c r="K2590" s="10" t="n">
        <v>-4334</v>
      </c>
      <c r="L2590" s="7" t="inlineStr"/>
      <c r="M2590" s="8" t="n">
        <v>-3420</v>
      </c>
      <c r="N2590" s="8" t="n">
        <v>-4492</v>
      </c>
      <c r="O2590" s="9" t="n">
        <v>0</v>
      </c>
      <c r="P2590" s="10" t="n">
        <v>-3445</v>
      </c>
      <c r="Q2590" s="10" t="n">
        <v>-4447</v>
      </c>
      <c r="R2590" s="7" t="inlineStr"/>
      <c r="S2590" s="8" t="n">
        <v>-2625</v>
      </c>
      <c r="T2590" s="8" t="n">
        <v>-5577</v>
      </c>
      <c r="U2590" s="9" t="inlineStr"/>
      <c r="V2590" s="10" t="n">
        <v>-4131</v>
      </c>
      <c r="W2590" s="10" t="n">
        <v>-5263</v>
      </c>
      <c r="X2590" s="7" t="inlineStr"/>
      <c r="Y2590" s="8" t="n">
        <v>3056</v>
      </c>
      <c r="Z2590" s="8" t="n">
        <v>-85067</v>
      </c>
      <c r="AA2590" s="9" t="inlineStr"/>
      <c r="AB2590" s="10" t="n">
        <v>-8082</v>
      </c>
      <c r="AC2590" s="10" t="n">
        <v>-8150</v>
      </c>
      <c r="AD2590" s="7" t="inlineStr"/>
      <c r="AE2590" s="8" t="n">
        <v>-5440</v>
      </c>
      <c r="AF2590" s="8" t="n">
        <v>-5330</v>
      </c>
      <c r="AG2590" s="9" t="inlineStr"/>
      <c r="AH2590" s="10" t="n">
        <v>-8058</v>
      </c>
      <c r="AI2590" s="10" t="n">
        <v>-7761</v>
      </c>
      <c r="AJ2590" s="11" t="n">
        <v>808</v>
      </c>
      <c r="AK2590" s="12" t="n">
        <v>-6852</v>
      </c>
      <c r="AL2590" s="12" t="n">
        <v>-6367</v>
      </c>
      <c r="AM2590" s="13" t="inlineStr"/>
      <c r="AN2590" s="13" t="inlineStr"/>
      <c r="AO2590" s="13" t="n">
        <v>15</v>
      </c>
      <c r="AP2590" s="13" t="n">
        <v>-324.2</v>
      </c>
    </row>
    <row r="2591">
      <c r="A2591" s="5" t="inlineStr">
        <is>
          <t>에이치엠씨제7호스팩</t>
        </is>
      </c>
      <c r="B2591" s="6" t="inlineStr">
        <is>
          <t>477340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-14</v>
      </c>
      <c r="N2591" s="8" t="n">
        <v>-7</v>
      </c>
      <c r="O2591" s="9" t="n">
        <v>0</v>
      </c>
      <c r="P2591" s="10" t="n">
        <v>-7</v>
      </c>
      <c r="Q2591" s="10" t="n">
        <v>89</v>
      </c>
      <c r="R2591" s="7" t="inlineStr"/>
      <c r="S2591" s="8" t="inlineStr"/>
      <c r="T2591" s="8" t="inlineStr"/>
      <c r="U2591" s="9" t="n">
        <v>0</v>
      </c>
      <c r="V2591" s="10" t="n">
        <v>-11</v>
      </c>
      <c r="W2591" s="10" t="n">
        <v>73</v>
      </c>
      <c r="X2591" s="7" t="n">
        <v>0</v>
      </c>
      <c r="Y2591" s="8" t="n">
        <v>-7</v>
      </c>
      <c r="Z2591" s="8" t="n">
        <v>160</v>
      </c>
      <c r="AA2591" s="9" t="n">
        <v>0</v>
      </c>
      <c r="AB2591" s="10" t="n">
        <v>-6</v>
      </c>
      <c r="AC2591" s="10" t="n">
        <v>52</v>
      </c>
      <c r="AD2591" s="7" t="n">
        <v>0</v>
      </c>
      <c r="AE2591" s="8" t="n">
        <v>-7</v>
      </c>
      <c r="AF2591" s="8" t="n">
        <v>-14</v>
      </c>
      <c r="AG2591" s="9" t="n">
        <v>0</v>
      </c>
      <c r="AH2591" s="10" t="n">
        <v>-9</v>
      </c>
      <c r="AI2591" s="10" t="n">
        <v>46</v>
      </c>
      <c r="AJ2591" s="11" t="n">
        <v>0</v>
      </c>
      <c r="AK2591" s="12" t="n">
        <v>-6</v>
      </c>
      <c r="AL2591" s="12" t="n">
        <v>68</v>
      </c>
      <c r="AM2591" s="13" t="inlineStr"/>
      <c r="AN2591" s="13" t="inlineStr"/>
      <c r="AO2591" s="13" t="n">
        <v>33.3</v>
      </c>
      <c r="AP2591" s="13" t="n">
        <v>14.3</v>
      </c>
    </row>
    <row r="2592">
      <c r="A2592" s="5" t="inlineStr">
        <is>
          <t>미래에셋비전스팩4호</t>
        </is>
      </c>
      <c r="B2592" s="6" t="inlineStr">
        <is>
          <t>477380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n">
        <v>-15</v>
      </c>
      <c r="N2592" s="8" t="n">
        <v>29</v>
      </c>
      <c r="O2592" s="9" t="inlineStr"/>
      <c r="P2592" s="10" t="n">
        <v>-4</v>
      </c>
      <c r="Q2592" s="10" t="n">
        <v>89</v>
      </c>
      <c r="R2592" s="7" t="inlineStr"/>
      <c r="S2592" s="8" t="inlineStr"/>
      <c r="T2592" s="8" t="inlineStr"/>
      <c r="U2592" s="9" t="inlineStr"/>
      <c r="V2592" s="10" t="n">
        <v>-20</v>
      </c>
      <c r="W2592" s="10" t="n">
        <v>78</v>
      </c>
      <c r="X2592" s="7" t="inlineStr"/>
      <c r="Y2592" s="8" t="n">
        <v>-8</v>
      </c>
      <c r="Z2592" s="8" t="n">
        <v>96</v>
      </c>
      <c r="AA2592" s="9" t="inlineStr"/>
      <c r="AB2592" s="10" t="n">
        <v>-8</v>
      </c>
      <c r="AC2592" s="10" t="n">
        <v>57</v>
      </c>
      <c r="AD2592" s="7" t="inlineStr"/>
      <c r="AE2592" s="8" t="n">
        <v>-4</v>
      </c>
      <c r="AF2592" s="8" t="n">
        <v>63</v>
      </c>
      <c r="AG2592" s="9" t="inlineStr"/>
      <c r="AH2592" s="10" t="n">
        <v>-20</v>
      </c>
      <c r="AI2592" s="10" t="n">
        <v>47</v>
      </c>
      <c r="AJ2592" s="11" t="inlineStr"/>
      <c r="AK2592" s="12" t="n">
        <v>-6</v>
      </c>
      <c r="AL2592" s="12" t="n">
        <v>84</v>
      </c>
      <c r="AM2592" s="13" t="inlineStr"/>
      <c r="AN2592" s="13" t="inlineStr"/>
      <c r="AO2592" s="13" t="n">
        <v>70</v>
      </c>
      <c r="AP2592" s="13" t="n">
        <v>25</v>
      </c>
    </row>
    <row r="2593">
      <c r="A2593" s="5" t="inlineStr">
        <is>
          <t>미래에셋비전스팩5호</t>
        </is>
      </c>
      <c r="B2593" s="6" t="inlineStr">
        <is>
          <t>477470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-13</v>
      </c>
      <c r="N2593" s="8" t="n">
        <v>-10</v>
      </c>
      <c r="O2593" s="9" t="inlineStr"/>
      <c r="P2593" s="10" t="n">
        <v>-7</v>
      </c>
      <c r="Q2593" s="10" t="n">
        <v>71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46</v>
      </c>
      <c r="X2593" s="7" t="inlineStr"/>
      <c r="Y2593" s="8" t="n">
        <v>-8</v>
      </c>
      <c r="Z2593" s="8" t="n">
        <v>57</v>
      </c>
      <c r="AA2593" s="9" t="n">
        <v>0</v>
      </c>
      <c r="AB2593" s="10" t="n">
        <v>-10</v>
      </c>
      <c r="AC2593" s="10" t="n">
        <v>52</v>
      </c>
      <c r="AD2593" s="7" t="inlineStr"/>
      <c r="AE2593" s="8" t="n">
        <v>-7</v>
      </c>
      <c r="AF2593" s="8" t="n">
        <v>36</v>
      </c>
      <c r="AG2593" s="9" t="inlineStr"/>
      <c r="AH2593" s="10" t="n">
        <v>-22</v>
      </c>
      <c r="AI2593" s="10" t="n">
        <v>30</v>
      </c>
      <c r="AJ2593" s="11" t="inlineStr"/>
      <c r="AK2593" s="12" t="n">
        <v>-11</v>
      </c>
      <c r="AL2593" s="12" t="n">
        <v>45</v>
      </c>
      <c r="AM2593" s="13" t="inlineStr"/>
      <c r="AN2593" s="13" t="inlineStr"/>
      <c r="AO2593" s="13" t="n">
        <v>50</v>
      </c>
      <c r="AP2593" s="13" t="n">
        <v>-37.5</v>
      </c>
    </row>
    <row r="2594">
      <c r="A2594" s="5" t="inlineStr">
        <is>
          <t>디비금융스팩12호</t>
        </is>
      </c>
      <c r="B2594" s="6" t="inlineStr">
        <is>
          <t>477760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n">
        <v>0</v>
      </c>
      <c r="M2594" s="8" t="n">
        <v>-25</v>
      </c>
      <c r="N2594" s="8" t="n">
        <v>-17</v>
      </c>
      <c r="O2594" s="9" t="n">
        <v>0</v>
      </c>
      <c r="P2594" s="10" t="n">
        <v>-10</v>
      </c>
      <c r="Q2594" s="10" t="n">
        <v>67</v>
      </c>
      <c r="R2594" s="7" t="inlineStr"/>
      <c r="S2594" s="8" t="inlineStr"/>
      <c r="T2594" s="8" t="inlineStr"/>
      <c r="U2594" s="9" t="n">
        <v>0</v>
      </c>
      <c r="V2594" s="10" t="n">
        <v>-15</v>
      </c>
      <c r="W2594" s="10" t="n">
        <v>59</v>
      </c>
      <c r="X2594" s="7" t="n">
        <v>0</v>
      </c>
      <c r="Y2594" s="8" t="n">
        <v>-7</v>
      </c>
      <c r="Z2594" s="8" t="n">
        <v>50</v>
      </c>
      <c r="AA2594" s="9" t="n">
        <v>0</v>
      </c>
      <c r="AB2594" s="10" t="n">
        <v>-6</v>
      </c>
      <c r="AC2594" s="10" t="n">
        <v>47</v>
      </c>
      <c r="AD2594" s="7" t="n">
        <v>0</v>
      </c>
      <c r="AE2594" s="8" t="n">
        <v>-4</v>
      </c>
      <c r="AF2594" s="8" t="n">
        <v>84</v>
      </c>
      <c r="AG2594" s="9" t="n">
        <v>0</v>
      </c>
      <c r="AH2594" s="10" t="n">
        <v>-14</v>
      </c>
      <c r="AI2594" s="10" t="n">
        <v>-2</v>
      </c>
      <c r="AJ2594" s="11" t="n">
        <v>0</v>
      </c>
      <c r="AK2594" s="12" t="n">
        <v>-7</v>
      </c>
      <c r="AL2594" s="12" t="n">
        <v>53</v>
      </c>
      <c r="AM2594" s="13" t="inlineStr"/>
      <c r="AN2594" s="13" t="inlineStr"/>
      <c r="AO2594" s="13" t="n">
        <v>50</v>
      </c>
      <c r="AP2594" s="13" t="n">
        <v>0</v>
      </c>
    </row>
    <row r="2595">
      <c r="A2595" s="5" t="inlineStr">
        <is>
          <t>마키나락스</t>
        </is>
      </c>
      <c r="B2595" s="6" t="inlineStr">
        <is>
          <t>477850</t>
        </is>
      </c>
      <c r="C2595" s="6" t="inlineStr">
        <is>
          <t>연결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inlineStr"/>
      <c r="AB2595" s="10" t="inlineStr"/>
      <c r="AC2595" s="10" t="inlineStr"/>
      <c r="AD2595" s="7" t="inlineStr"/>
      <c r="AE2595" s="8" t="inlineStr"/>
      <c r="AF2595" s="8" t="inlineStr"/>
      <c r="AG2595" s="9" t="n">
        <v>3035</v>
      </c>
      <c r="AH2595" s="10" t="n">
        <v>-2433</v>
      </c>
      <c r="AI2595" s="10" t="n">
        <v>-2373</v>
      </c>
      <c r="AJ2595" s="11" t="n">
        <v>3992</v>
      </c>
      <c r="AK2595" s="12" t="n">
        <v>-1802</v>
      </c>
      <c r="AL2595" s="12" t="n">
        <v>-1547</v>
      </c>
      <c r="AM2595" s="13" t="n">
        <v>31.5</v>
      </c>
      <c r="AN2595" s="13" t="inlineStr"/>
      <c r="AO2595" s="13" t="n">
        <v>25.9</v>
      </c>
      <c r="AP2595" s="13" t="inlineStr"/>
    </row>
    <row r="2596">
      <c r="A2596" s="5" t="inlineStr">
        <is>
          <t>이베스트스팩6호</t>
        </is>
      </c>
      <c r="B2596" s="6" t="inlineStr">
        <is>
          <t>478110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n">
        <v>0</v>
      </c>
      <c r="P2596" s="10" t="n">
        <v>-13</v>
      </c>
      <c r="Q2596" s="10" t="n">
        <v>29</v>
      </c>
      <c r="R2596" s="7" t="inlineStr"/>
      <c r="S2596" s="8" t="inlineStr"/>
      <c r="T2596" s="8" t="inlineStr"/>
      <c r="U2596" s="9" t="n">
        <v>0</v>
      </c>
      <c r="V2596" s="10" t="n">
        <v>-14</v>
      </c>
      <c r="W2596" s="10" t="n">
        <v>32</v>
      </c>
      <c r="X2596" s="7" t="n">
        <v>0</v>
      </c>
      <c r="Y2596" s="8" t="n">
        <v>-12</v>
      </c>
      <c r="Z2596" s="8" t="n">
        <v>34</v>
      </c>
      <c r="AA2596" s="9" t="n">
        <v>0</v>
      </c>
      <c r="AB2596" s="10" t="n">
        <v>-8</v>
      </c>
      <c r="AC2596" s="10" t="n">
        <v>41</v>
      </c>
      <c r="AD2596" s="7" t="n">
        <v>0</v>
      </c>
      <c r="AE2596" s="8" t="n">
        <v>1</v>
      </c>
      <c r="AF2596" s="8" t="n">
        <v>37</v>
      </c>
      <c r="AG2596" s="9" t="n">
        <v>0</v>
      </c>
      <c r="AH2596" s="10" t="n">
        <v>-9</v>
      </c>
      <c r="AI2596" s="10" t="n">
        <v>23</v>
      </c>
      <c r="AJ2596" s="11" t="n">
        <v>0</v>
      </c>
      <c r="AK2596" s="12" t="n">
        <v>-13</v>
      </c>
      <c r="AL2596" s="12" t="n">
        <v>20</v>
      </c>
      <c r="AM2596" s="13" t="inlineStr"/>
      <c r="AN2596" s="13" t="inlineStr"/>
      <c r="AO2596" s="13" t="n">
        <v>-44.4</v>
      </c>
      <c r="AP2596" s="13" t="n">
        <v>-8.300000000000001</v>
      </c>
    </row>
    <row r="2597">
      <c r="A2597" s="5" t="inlineStr">
        <is>
          <t>나라스페이스테크놀로지</t>
        </is>
      </c>
      <c r="B2597" s="6" t="inlineStr">
        <is>
          <t>478340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7" t="inlineStr"/>
      <c r="S2597" s="8" t="inlineStr"/>
      <c r="T2597" s="8" t="inlineStr"/>
      <c r="U2597" s="9" t="inlineStr"/>
      <c r="V2597" s="10" t="inlineStr"/>
      <c r="W2597" s="10" t="inlineStr"/>
      <c r="X2597" s="7" t="inlineStr"/>
      <c r="Y2597" s="8" t="inlineStr"/>
      <c r="Z2597" s="8" t="inlineStr"/>
      <c r="AA2597" s="9" t="n">
        <v>3841</v>
      </c>
      <c r="AB2597" s="10" t="n">
        <v>-975</v>
      </c>
      <c r="AC2597" s="10" t="n">
        <v>-896</v>
      </c>
      <c r="AD2597" s="7" t="inlineStr"/>
      <c r="AE2597" s="8" t="inlineStr"/>
      <c r="AF2597" s="8" t="inlineStr"/>
      <c r="AG2597" s="9" t="n">
        <v>413</v>
      </c>
      <c r="AH2597" s="10" t="n">
        <v>-3031</v>
      </c>
      <c r="AI2597" s="10" t="n">
        <v>-2918</v>
      </c>
      <c r="AJ2597" s="11" t="n">
        <v>1947</v>
      </c>
      <c r="AK2597" s="12" t="n">
        <v>-3667</v>
      </c>
      <c r="AL2597" s="12" t="n">
        <v>-3509</v>
      </c>
      <c r="AM2597" s="13" t="n">
        <v>371.4</v>
      </c>
      <c r="AN2597" s="13" t="inlineStr"/>
      <c r="AO2597" s="13" t="n">
        <v>-21</v>
      </c>
      <c r="AP2597" s="13" t="inlineStr"/>
    </row>
    <row r="2598">
      <c r="A2598" s="5" t="inlineStr">
        <is>
          <t>KB제29호스팩</t>
        </is>
      </c>
      <c r="B2598" s="6" t="inlineStr">
        <is>
          <t>478390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n">
        <v>0</v>
      </c>
      <c r="M2598" s="8" t="n">
        <v>-15</v>
      </c>
      <c r="N2598" s="8" t="n">
        <v>-5</v>
      </c>
      <c r="O2598" s="9" t="n">
        <v>0</v>
      </c>
      <c r="P2598" s="10" t="n">
        <v>-9</v>
      </c>
      <c r="Q2598" s="10" t="n">
        <v>68</v>
      </c>
      <c r="R2598" s="7" t="inlineStr"/>
      <c r="S2598" s="8" t="inlineStr"/>
      <c r="T2598" s="8" t="inlineStr"/>
      <c r="U2598" s="9" t="n">
        <v>0</v>
      </c>
      <c r="V2598" s="10" t="n">
        <v>-13</v>
      </c>
      <c r="W2598" s="10" t="n">
        <v>63</v>
      </c>
      <c r="X2598" s="7" t="n">
        <v>0</v>
      </c>
      <c r="Y2598" s="8" t="n">
        <v>-14</v>
      </c>
      <c r="Z2598" s="8" t="n">
        <v>69</v>
      </c>
      <c r="AA2598" s="9" t="n">
        <v>0</v>
      </c>
      <c r="AB2598" s="10" t="n">
        <v>-7</v>
      </c>
      <c r="AC2598" s="10" t="n">
        <v>53</v>
      </c>
      <c r="AD2598" s="7" t="n">
        <v>0</v>
      </c>
      <c r="AE2598" s="8" t="n">
        <v>-5</v>
      </c>
      <c r="AF2598" s="8" t="n">
        <v>54</v>
      </c>
      <c r="AG2598" s="9" t="n">
        <v>0</v>
      </c>
      <c r="AH2598" s="10" t="n">
        <v>-6</v>
      </c>
      <c r="AI2598" s="10" t="n">
        <v>46</v>
      </c>
      <c r="AJ2598" s="11" t="n">
        <v>0</v>
      </c>
      <c r="AK2598" s="12" t="n">
        <v>-18</v>
      </c>
      <c r="AL2598" s="12" t="n">
        <v>47</v>
      </c>
      <c r="AM2598" s="13" t="inlineStr"/>
      <c r="AN2598" s="13" t="inlineStr"/>
      <c r="AO2598" s="13" t="n">
        <v>-200</v>
      </c>
      <c r="AP2598" s="13" t="n">
        <v>-28.6</v>
      </c>
    </row>
    <row r="2599">
      <c r="A2599" s="5" t="inlineStr">
        <is>
          <t>미래에셋비전스팩6호</t>
        </is>
      </c>
      <c r="B2599" s="6" t="inlineStr">
        <is>
          <t>478440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-12</v>
      </c>
      <c r="N2599" s="8" t="n">
        <v>-15</v>
      </c>
      <c r="O2599" s="9" t="n">
        <v>0</v>
      </c>
      <c r="P2599" s="10" t="n">
        <v>-4</v>
      </c>
      <c r="Q2599" s="10" t="n">
        <v>75</v>
      </c>
      <c r="R2599" s="7" t="inlineStr"/>
      <c r="S2599" s="8" t="inlineStr"/>
      <c r="T2599" s="8" t="inlineStr"/>
      <c r="U2599" s="9" t="n">
        <v>0</v>
      </c>
      <c r="V2599" s="10" t="n">
        <v>-19</v>
      </c>
      <c r="W2599" s="10" t="n">
        <v>61</v>
      </c>
      <c r="X2599" s="7" t="n">
        <v>0</v>
      </c>
      <c r="Y2599" s="8" t="n">
        <v>-10</v>
      </c>
      <c r="Z2599" s="8" t="n">
        <v>78</v>
      </c>
      <c r="AA2599" s="9" t="n">
        <v>0</v>
      </c>
      <c r="AB2599" s="10" t="n">
        <v>-4</v>
      </c>
      <c r="AC2599" s="10" t="n">
        <v>54</v>
      </c>
      <c r="AD2599" s="7" t="n">
        <v>0</v>
      </c>
      <c r="AE2599" s="8" t="n">
        <v>-6</v>
      </c>
      <c r="AF2599" s="8" t="n">
        <v>53</v>
      </c>
      <c r="AG2599" s="9" t="n">
        <v>0</v>
      </c>
      <c r="AH2599" s="10" t="n">
        <v>-17</v>
      </c>
      <c r="AI2599" s="10" t="n">
        <v>36</v>
      </c>
      <c r="AJ2599" s="11" t="n">
        <v>0</v>
      </c>
      <c r="AK2599" s="12" t="n">
        <v>-10</v>
      </c>
      <c r="AL2599" s="12" t="n">
        <v>55</v>
      </c>
      <c r="AM2599" s="13" t="inlineStr"/>
      <c r="AN2599" s="13" t="inlineStr"/>
      <c r="AO2599" s="13" t="n">
        <v>41.2</v>
      </c>
      <c r="AP2599" s="13" t="n">
        <v>0</v>
      </c>
    </row>
    <row r="2600">
      <c r="A2600" s="5" t="inlineStr">
        <is>
          <t>블랙야크아이앤씨</t>
        </is>
      </c>
      <c r="B2600" s="6" t="inlineStr">
        <is>
          <t>478560</t>
        </is>
      </c>
      <c r="C2600" s="6" t="inlineStr">
        <is>
          <t>연결</t>
        </is>
      </c>
      <c r="D2600" s="6" t="inlineStr">
        <is>
          <t>2026Q2</t>
        </is>
      </c>
      <c r="E2600" s="6" t="inlineStr">
        <is>
          <t>2024Q4</t>
        </is>
      </c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14" t="n">
        <v>37686</v>
      </c>
      <c r="S2600" s="15" t="n">
        <v>8299</v>
      </c>
      <c r="T2600" s="15" t="n">
        <v>6822</v>
      </c>
      <c r="U2600" s="9" t="n">
        <v>6936</v>
      </c>
      <c r="V2600" s="10" t="n">
        <v>1105</v>
      </c>
      <c r="W2600" s="10" t="n">
        <v>-2273</v>
      </c>
      <c r="X2600" s="7" t="n">
        <v>14218</v>
      </c>
      <c r="Y2600" s="8" t="n">
        <v>2908</v>
      </c>
      <c r="Z2600" s="8" t="n">
        <v>-2561</v>
      </c>
      <c r="AA2600" s="9" t="n">
        <v>15889</v>
      </c>
      <c r="AB2600" s="10" t="n">
        <v>2470</v>
      </c>
      <c r="AC2600" s="10" t="n">
        <v>1225</v>
      </c>
      <c r="AD2600" s="7" t="n">
        <v>20215</v>
      </c>
      <c r="AE2600" s="8" t="n">
        <v>2797</v>
      </c>
      <c r="AF2600" s="8" t="n">
        <v>-2033</v>
      </c>
      <c r="AG2600" s="9" t="n">
        <v>16692</v>
      </c>
      <c r="AH2600" s="10" t="n">
        <v>2589</v>
      </c>
      <c r="AI2600" s="10" t="n">
        <v>994</v>
      </c>
      <c r="AJ2600" s="11" t="n">
        <v>24876</v>
      </c>
      <c r="AK2600" s="12" t="n">
        <v>5868</v>
      </c>
      <c r="AL2600" s="12" t="n">
        <v>4958</v>
      </c>
      <c r="AM2600" s="13" t="n">
        <v>49</v>
      </c>
      <c r="AN2600" s="13" t="n">
        <v>75</v>
      </c>
      <c r="AO2600" s="13" t="n">
        <v>126.7</v>
      </c>
      <c r="AP2600" s="13" t="n">
        <v>101.8</v>
      </c>
    </row>
    <row r="2601">
      <c r="A2601" s="5" t="inlineStr">
        <is>
          <t>한국제15호스팩</t>
        </is>
      </c>
      <c r="B2601" s="6" t="inlineStr">
        <is>
          <t>479880</t>
        </is>
      </c>
      <c r="C2601" s="6" t="inlineStr">
        <is>
          <t>별도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n">
        <v>-15</v>
      </c>
      <c r="N2601" s="8" t="n">
        <v>14</v>
      </c>
      <c r="O2601" s="9" t="inlineStr"/>
      <c r="P2601" s="10" t="n">
        <v>-6</v>
      </c>
      <c r="Q2601" s="10" t="n">
        <v>87</v>
      </c>
      <c r="R2601" s="7" t="inlineStr"/>
      <c r="S2601" s="8" t="inlineStr"/>
      <c r="T2601" s="8" t="inlineStr"/>
      <c r="U2601" s="9" t="inlineStr"/>
      <c r="V2601" s="10" t="n">
        <v>-13</v>
      </c>
      <c r="W2601" s="10" t="n">
        <v>78</v>
      </c>
      <c r="X2601" s="7" t="inlineStr"/>
      <c r="Y2601" s="8" t="n">
        <v>-20</v>
      </c>
      <c r="Z2601" s="8" t="n">
        <v>30</v>
      </c>
      <c r="AA2601" s="9" t="inlineStr"/>
      <c r="AB2601" s="10" t="n">
        <v>-12</v>
      </c>
      <c r="AC2601" s="10" t="n">
        <v>63</v>
      </c>
      <c r="AD2601" s="7" t="inlineStr"/>
      <c r="AE2601" s="8" t="n">
        <v>-7</v>
      </c>
      <c r="AF2601" s="8" t="n">
        <v>70</v>
      </c>
      <c r="AG2601" s="9" t="inlineStr"/>
      <c r="AH2601" s="10" t="n">
        <v>-14</v>
      </c>
      <c r="AI2601" s="10" t="n">
        <v>219</v>
      </c>
      <c r="AJ2601" s="11" t="inlineStr"/>
      <c r="AK2601" s="12" t="n">
        <v>-29</v>
      </c>
      <c r="AL2601" s="12" t="n">
        <v>-146</v>
      </c>
      <c r="AM2601" s="13" t="inlineStr"/>
      <c r="AN2601" s="13" t="inlineStr"/>
      <c r="AO2601" s="13" t="n">
        <v>-107.1</v>
      </c>
      <c r="AP2601" s="13" t="n">
        <v>-45</v>
      </c>
    </row>
    <row r="2602">
      <c r="A2602" s="5" t="inlineStr">
        <is>
          <t>위너스일렉</t>
        </is>
      </c>
      <c r="B2602" s="6" t="inlineStr">
        <is>
          <t>479960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6422</v>
      </c>
      <c r="V2602" s="10" t="n">
        <v>593</v>
      </c>
      <c r="W2602" s="10" t="n">
        <v>617</v>
      </c>
      <c r="X2602" s="7" t="n">
        <v>8127</v>
      </c>
      <c r="Y2602" s="8" t="n">
        <v>1601</v>
      </c>
      <c r="Z2602" s="8" t="n">
        <v>1414</v>
      </c>
      <c r="AA2602" s="9" t="n">
        <v>8691</v>
      </c>
      <c r="AB2602" s="10" t="n">
        <v>744</v>
      </c>
      <c r="AC2602" s="10" t="n">
        <v>712</v>
      </c>
      <c r="AD2602" s="7" t="n">
        <v>8007</v>
      </c>
      <c r="AE2602" s="8" t="n">
        <v>2333</v>
      </c>
      <c r="AF2602" s="8" t="n">
        <v>1908</v>
      </c>
      <c r="AG2602" s="9" t="n">
        <v>7325</v>
      </c>
      <c r="AH2602" s="10" t="n">
        <v>619</v>
      </c>
      <c r="AI2602" s="10" t="n">
        <v>560</v>
      </c>
      <c r="AJ2602" s="11" t="n">
        <v>8157</v>
      </c>
      <c r="AK2602" s="12" t="n">
        <v>1146</v>
      </c>
      <c r="AL2602" s="12" t="n">
        <v>917</v>
      </c>
      <c r="AM2602" s="13" t="n">
        <v>11.4</v>
      </c>
      <c r="AN2602" s="13" t="n">
        <v>0.4</v>
      </c>
      <c r="AO2602" s="13" t="n">
        <v>85.09999999999999</v>
      </c>
      <c r="AP2602" s="13" t="n">
        <v>-28.4</v>
      </c>
    </row>
    <row r="2603">
      <c r="A2603" s="5" t="inlineStr">
        <is>
          <t>씨케이솔루션</t>
        </is>
      </c>
      <c r="B2603" s="6" t="inlineStr">
        <is>
          <t>480370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78952</v>
      </c>
      <c r="V2603" s="10" t="n">
        <v>-7990</v>
      </c>
      <c r="W2603" s="10" t="n">
        <v>-6902</v>
      </c>
      <c r="X2603" s="7" t="n">
        <v>58519</v>
      </c>
      <c r="Y2603" s="8" t="n">
        <v>-9410</v>
      </c>
      <c r="Z2603" s="8" t="n">
        <v>-11118</v>
      </c>
      <c r="AA2603" s="9" t="n">
        <v>66982</v>
      </c>
      <c r="AB2603" s="10" t="n">
        <v>-9018</v>
      </c>
      <c r="AC2603" s="10" t="n">
        <v>-6911</v>
      </c>
      <c r="AD2603" s="7" t="n">
        <v>86557</v>
      </c>
      <c r="AE2603" s="8" t="n">
        <v>-10187</v>
      </c>
      <c r="AF2603" s="8" t="n">
        <v>-15213</v>
      </c>
      <c r="AG2603" s="9" t="n">
        <v>54316</v>
      </c>
      <c r="AH2603" s="10" t="n">
        <v>-16189</v>
      </c>
      <c r="AI2603" s="10" t="n">
        <v>-11078</v>
      </c>
      <c r="AJ2603" s="11" t="n">
        <v>84960</v>
      </c>
      <c r="AK2603" s="12" t="n">
        <v>608</v>
      </c>
      <c r="AL2603" s="12" t="n">
        <v>-1171</v>
      </c>
      <c r="AM2603" s="13" t="n">
        <v>56.4</v>
      </c>
      <c r="AN2603" s="13" t="n">
        <v>45.2</v>
      </c>
      <c r="AO2603" s="13" t="n">
        <v>103.8</v>
      </c>
      <c r="AP2603" s="13" t="n">
        <v>106.5</v>
      </c>
    </row>
    <row r="2604">
      <c r="A2604" s="5" t="inlineStr">
        <is>
          <t>에이유브랜즈</t>
        </is>
      </c>
      <c r="B2604" s="6" t="inlineStr">
        <is>
          <t>481070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7830</v>
      </c>
      <c r="V2604" s="10" t="n">
        <v>796</v>
      </c>
      <c r="W2604" s="10" t="n">
        <v>739</v>
      </c>
      <c r="X2604" s="7" t="n">
        <v>13837</v>
      </c>
      <c r="Y2604" s="8" t="n">
        <v>2577</v>
      </c>
      <c r="Z2604" s="8" t="n">
        <v>2724</v>
      </c>
      <c r="AA2604" s="9" t="n">
        <v>11917</v>
      </c>
      <c r="AB2604" s="10" t="n">
        <v>813</v>
      </c>
      <c r="AC2604" s="10" t="n">
        <v>788</v>
      </c>
      <c r="AD2604" s="7" t="n">
        <v>26425</v>
      </c>
      <c r="AE2604" s="8" t="n">
        <v>5895</v>
      </c>
      <c r="AF2604" s="8" t="n">
        <v>4511</v>
      </c>
      <c r="AG2604" s="9" t="n">
        <v>18485</v>
      </c>
      <c r="AH2604" s="10" t="n">
        <v>2023</v>
      </c>
      <c r="AI2604" s="10" t="n">
        <v>3424</v>
      </c>
      <c r="AJ2604" s="11" t="n">
        <v>30273</v>
      </c>
      <c r="AK2604" s="12" t="n">
        <v>6274</v>
      </c>
      <c r="AL2604" s="12" t="n">
        <v>4733</v>
      </c>
      <c r="AM2604" s="13" t="n">
        <v>63.8</v>
      </c>
      <c r="AN2604" s="13" t="n">
        <v>118.8</v>
      </c>
      <c r="AO2604" s="13" t="n">
        <v>210.1</v>
      </c>
      <c r="AP2604" s="13" t="n">
        <v>143.5</v>
      </c>
    </row>
    <row r="2605">
      <c r="A2605" s="5" t="inlineStr">
        <is>
          <t>신한글로벌액티브리츠</t>
        </is>
      </c>
      <c r="B2605" s="6" t="inlineStr">
        <is>
          <t>481850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n">
        <v>1681</v>
      </c>
      <c r="M2605" s="8" t="n">
        <v>886</v>
      </c>
      <c r="N2605" s="8" t="n">
        <v>-2073</v>
      </c>
      <c r="O2605" s="9" t="inlineStr"/>
      <c r="P2605" s="10" t="inlineStr"/>
      <c r="Q2605" s="10" t="inlineStr"/>
      <c r="R2605" s="7" t="inlineStr"/>
      <c r="S2605" s="8" t="inlineStr"/>
      <c r="T2605" s="8" t="inlineStr"/>
      <c r="U2605" s="9" t="inlineStr"/>
      <c r="V2605" s="10" t="inlineStr"/>
      <c r="W2605" s="10" t="inlineStr"/>
      <c r="X2605" s="7" t="n">
        <v>1050</v>
      </c>
      <c r="Y2605" s="8" t="n">
        <v>563</v>
      </c>
      <c r="Z2605" s="8" t="n">
        <v>-462</v>
      </c>
      <c r="AA2605" s="9" t="inlineStr"/>
      <c r="AB2605" s="10" t="inlineStr"/>
      <c r="AC2605" s="10" t="inlineStr"/>
      <c r="AD2605" s="7" t="inlineStr"/>
      <c r="AE2605" s="8" t="inlineStr"/>
      <c r="AF2605" s="8" t="inlineStr"/>
      <c r="AG2605" s="9" t="inlineStr"/>
      <c r="AH2605" s="10" t="inlineStr"/>
      <c r="AI2605" s="10" t="inlineStr"/>
      <c r="AJ2605" s="11" t="n">
        <v>1300</v>
      </c>
      <c r="AK2605" s="12" t="n">
        <v>1154</v>
      </c>
      <c r="AL2605" s="12" t="n">
        <v>1150</v>
      </c>
      <c r="AM2605" s="13" t="inlineStr"/>
      <c r="AN2605" s="13" t="n">
        <v>23.8</v>
      </c>
      <c r="AO2605" s="13" t="inlineStr"/>
      <c r="AP2605" s="13" t="n">
        <v>105</v>
      </c>
    </row>
    <row r="2606">
      <c r="A2606" s="5" t="inlineStr">
        <is>
          <t>엔에이치스팩31호</t>
        </is>
      </c>
      <c r="B2606" s="6" t="inlineStr">
        <is>
          <t>481890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n">
        <v>-21</v>
      </c>
      <c r="Q2606" s="10" t="n">
        <v>50</v>
      </c>
      <c r="R2606" s="7" t="inlineStr"/>
      <c r="S2606" s="8" t="inlineStr"/>
      <c r="T2606" s="8" t="inlineStr"/>
      <c r="U2606" s="9" t="n">
        <v>0</v>
      </c>
      <c r="V2606" s="10" t="n">
        <v>-11</v>
      </c>
      <c r="W2606" s="10" t="n">
        <v>70</v>
      </c>
      <c r="X2606" s="7" t="n">
        <v>0</v>
      </c>
      <c r="Y2606" s="8" t="n">
        <v>-17</v>
      </c>
      <c r="Z2606" s="8" t="n">
        <v>64</v>
      </c>
      <c r="AA2606" s="9" t="n">
        <v>0</v>
      </c>
      <c r="AB2606" s="10" t="n">
        <v>-6</v>
      </c>
      <c r="AC2606" s="10" t="n">
        <v>62</v>
      </c>
      <c r="AD2606" s="7" t="n">
        <v>0</v>
      </c>
      <c r="AE2606" s="8" t="n">
        <v>-16</v>
      </c>
      <c r="AF2606" s="8" t="n">
        <v>34</v>
      </c>
      <c r="AG2606" s="9" t="n">
        <v>0</v>
      </c>
      <c r="AH2606" s="10" t="n">
        <v>-12</v>
      </c>
      <c r="AI2606" s="10" t="n">
        <v>40</v>
      </c>
      <c r="AJ2606" s="11" t="n">
        <v>0</v>
      </c>
      <c r="AK2606" s="12" t="n">
        <v>-17</v>
      </c>
      <c r="AL2606" s="12" t="n">
        <v>40</v>
      </c>
      <c r="AM2606" s="13" t="inlineStr"/>
      <c r="AN2606" s="13" t="inlineStr"/>
      <c r="AO2606" s="13" t="n">
        <v>-41.7</v>
      </c>
      <c r="AP2606" s="13" t="n">
        <v>0</v>
      </c>
    </row>
    <row r="2607">
      <c r="A2607" s="5" t="inlineStr">
        <is>
          <t>교보16호스팩</t>
        </is>
      </c>
      <c r="B2607" s="6" t="inlineStr">
        <is>
          <t>482520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-23</v>
      </c>
      <c r="Q2607" s="10" t="n">
        <v>4</v>
      </c>
      <c r="R2607" s="7" t="inlineStr"/>
      <c r="S2607" s="8" t="inlineStr"/>
      <c r="T2607" s="8" t="inlineStr"/>
      <c r="U2607" s="9" t="n">
        <v>0</v>
      </c>
      <c r="V2607" s="10" t="n">
        <v>-20</v>
      </c>
      <c r="W2607" s="10" t="n">
        <v>35</v>
      </c>
      <c r="X2607" s="7" t="n">
        <v>0</v>
      </c>
      <c r="Y2607" s="8" t="n">
        <v>-13</v>
      </c>
      <c r="Z2607" s="8" t="n">
        <v>53</v>
      </c>
      <c r="AA2607" s="9" t="n">
        <v>0</v>
      </c>
      <c r="AB2607" s="10" t="n">
        <v>-7</v>
      </c>
      <c r="AC2607" s="10" t="n">
        <v>40</v>
      </c>
      <c r="AD2607" s="7" t="n">
        <v>0</v>
      </c>
      <c r="AE2607" s="8" t="n">
        <v>-57</v>
      </c>
      <c r="AF2607" s="8" t="n">
        <v>-12</v>
      </c>
      <c r="AG2607" s="9" t="n">
        <v>0</v>
      </c>
      <c r="AH2607" s="10" t="n">
        <v>-22</v>
      </c>
      <c r="AI2607" s="10" t="n">
        <v>14</v>
      </c>
      <c r="AJ2607" s="11" t="n">
        <v>0</v>
      </c>
      <c r="AK2607" s="12" t="n">
        <v>-38</v>
      </c>
      <c r="AL2607" s="12" t="n">
        <v>3</v>
      </c>
      <c r="AM2607" s="13" t="inlineStr"/>
      <c r="AN2607" s="13" t="inlineStr"/>
      <c r="AO2607" s="13" t="n">
        <v>-72.7</v>
      </c>
      <c r="AP2607" s="13" t="n">
        <v>-192.3</v>
      </c>
    </row>
    <row r="2608">
      <c r="A2608" s="5" t="inlineStr">
        <is>
          <t>삼양엔씨켐</t>
        </is>
      </c>
      <c r="B2608" s="6" t="inlineStr">
        <is>
          <t>482630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n">
        <v>30613</v>
      </c>
      <c r="V2608" s="10" t="n">
        <v>4479</v>
      </c>
      <c r="W2608" s="10" t="n">
        <v>3775</v>
      </c>
      <c r="X2608" s="7" t="n">
        <v>30664</v>
      </c>
      <c r="Y2608" s="8" t="n">
        <v>4291</v>
      </c>
      <c r="Z2608" s="8" t="n">
        <v>3496</v>
      </c>
      <c r="AA2608" s="9" t="n">
        <v>28516</v>
      </c>
      <c r="AB2608" s="10" t="n">
        <v>4058</v>
      </c>
      <c r="AC2608" s="10" t="n">
        <v>3586</v>
      </c>
      <c r="AD2608" s="7" t="n">
        <v>35593</v>
      </c>
      <c r="AE2608" s="8" t="n">
        <v>4804</v>
      </c>
      <c r="AF2608" s="8" t="n">
        <v>4043</v>
      </c>
      <c r="AG2608" s="9" t="n">
        <v>40683</v>
      </c>
      <c r="AH2608" s="10" t="n">
        <v>6512</v>
      </c>
      <c r="AI2608" s="10" t="n">
        <v>5666</v>
      </c>
      <c r="AJ2608" s="11" t="n">
        <v>38008</v>
      </c>
      <c r="AK2608" s="12" t="n">
        <v>5587</v>
      </c>
      <c r="AL2608" s="12" t="n">
        <v>7128</v>
      </c>
      <c r="AM2608" s="13" t="n">
        <v>-6.6</v>
      </c>
      <c r="AN2608" s="13" t="n">
        <v>23.9</v>
      </c>
      <c r="AO2608" s="13" t="n">
        <v>-14.2</v>
      </c>
      <c r="AP2608" s="13" t="n">
        <v>30.2</v>
      </c>
    </row>
    <row r="2609">
      <c r="A2609" s="5" t="inlineStr">
        <is>
          <t>미래에셋비전스팩7호</t>
        </is>
      </c>
      <c r="B2609" s="6" t="inlineStr">
        <is>
          <t>482680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0</v>
      </c>
      <c r="P2609" s="10" t="n">
        <v>-7</v>
      </c>
      <c r="Q2609" s="10" t="n">
        <v>-4</v>
      </c>
      <c r="R2609" s="7" t="inlineStr"/>
      <c r="S2609" s="8" t="inlineStr"/>
      <c r="T2609" s="8" t="inlineStr"/>
      <c r="U2609" s="9" t="n">
        <v>0</v>
      </c>
      <c r="V2609" s="10" t="n">
        <v>-10</v>
      </c>
      <c r="W2609" s="10" t="n">
        <v>66</v>
      </c>
      <c r="X2609" s="7" t="n">
        <v>0</v>
      </c>
      <c r="Y2609" s="8" t="n">
        <v>-19</v>
      </c>
      <c r="Z2609" s="8" t="n">
        <v>61</v>
      </c>
      <c r="AA2609" s="9" t="n">
        <v>0</v>
      </c>
      <c r="AB2609" s="10" t="n">
        <v>-4</v>
      </c>
      <c r="AC2609" s="10" t="n">
        <v>82</v>
      </c>
      <c r="AD2609" s="7" t="inlineStr"/>
      <c r="AE2609" s="8" t="n">
        <v>-5</v>
      </c>
      <c r="AF2609" s="8" t="n">
        <v>52</v>
      </c>
      <c r="AG2609" s="9" t="n">
        <v>0</v>
      </c>
      <c r="AH2609" s="10" t="n">
        <v>-48</v>
      </c>
      <c r="AI2609" s="10" t="n">
        <v>8</v>
      </c>
      <c r="AJ2609" s="11" t="n">
        <v>0</v>
      </c>
      <c r="AK2609" s="12" t="n">
        <v>-5</v>
      </c>
      <c r="AL2609" s="12" t="n">
        <v>43</v>
      </c>
      <c r="AM2609" s="13" t="inlineStr"/>
      <c r="AN2609" s="13" t="inlineStr"/>
      <c r="AO2609" s="13" t="n">
        <v>89.59999999999999</v>
      </c>
      <c r="AP2609" s="13" t="n">
        <v>73.7</v>
      </c>
    </row>
    <row r="2610">
      <c r="A2610" s="5" t="inlineStr">
        <is>
          <t>대신밸런스제19호스팩</t>
        </is>
      </c>
      <c r="B2610" s="6" t="inlineStr">
        <is>
          <t>482690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inlineStr"/>
      <c r="Y2610" s="8" t="n">
        <v>-11</v>
      </c>
      <c r="Z2610" s="8" t="n">
        <v>32</v>
      </c>
      <c r="AA2610" s="9" t="inlineStr"/>
      <c r="AB2610" s="10" t="n">
        <v>-2</v>
      </c>
      <c r="AC2610" s="10" t="n">
        <v>42</v>
      </c>
      <c r="AD2610" s="7" t="inlineStr"/>
      <c r="AE2610" s="8" t="inlineStr"/>
      <c r="AF2610" s="8" t="inlineStr"/>
      <c r="AG2610" s="9" t="inlineStr"/>
      <c r="AH2610" s="10" t="inlineStr"/>
      <c r="AI2610" s="10" t="inlineStr"/>
      <c r="AJ2610" s="11" t="n">
        <v>0</v>
      </c>
      <c r="AK2610" s="12" t="n">
        <v>-8</v>
      </c>
      <c r="AL2610" s="12" t="n">
        <v>27</v>
      </c>
      <c r="AM2610" s="13" t="inlineStr"/>
      <c r="AN2610" s="13" t="inlineStr"/>
      <c r="AO2610" s="13" t="inlineStr"/>
      <c r="AP2610" s="13" t="n">
        <v>27.3</v>
      </c>
    </row>
    <row r="2611">
      <c r="A2611" s="5" t="inlineStr">
        <is>
          <t>딜리셔스</t>
        </is>
      </c>
      <c r="B2611" s="6" t="inlineStr">
        <is>
          <t>483350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inlineStr"/>
      <c r="Z2611" s="8" t="inlineStr"/>
      <c r="AA2611" s="9" t="inlineStr"/>
      <c r="AB2611" s="10" t="inlineStr"/>
      <c r="AC2611" s="10" t="inlineStr"/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9751</v>
      </c>
      <c r="AK2611" s="12" t="n">
        <v>2558</v>
      </c>
      <c r="AL2611" s="12" t="n">
        <v>2651</v>
      </c>
      <c r="AM2611" s="13" t="inlineStr"/>
      <c r="AN2611" s="13" t="inlineStr"/>
      <c r="AO2611" s="13" t="inlineStr"/>
      <c r="AP2611" s="13" t="inlineStr"/>
    </row>
    <row r="2612">
      <c r="A2612" s="5" t="inlineStr">
        <is>
          <t>달바글로벌</t>
        </is>
      </c>
      <c r="B2612" s="6" t="inlineStr">
        <is>
          <t>483650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n">
        <v>73672</v>
      </c>
      <c r="P2612" s="10" t="n">
        <v>14044</v>
      </c>
      <c r="Q2612" s="10" t="n">
        <v>9617</v>
      </c>
      <c r="R2612" s="7" t="inlineStr"/>
      <c r="S2612" s="8" t="inlineStr"/>
      <c r="T2612" s="8" t="inlineStr"/>
      <c r="U2612" s="9" t="n">
        <v>113760</v>
      </c>
      <c r="V2612" s="10" t="n">
        <v>30051</v>
      </c>
      <c r="W2612" s="10" t="n">
        <v>24749</v>
      </c>
      <c r="X2612" s="7" t="n">
        <v>128373</v>
      </c>
      <c r="Y2612" s="8" t="n">
        <v>29230</v>
      </c>
      <c r="Z2612" s="8" t="n">
        <v>19803</v>
      </c>
      <c r="AA2612" s="9" t="n">
        <v>114166</v>
      </c>
      <c r="AB2612" s="10" t="n">
        <v>16652</v>
      </c>
      <c r="AC2612" s="10" t="n">
        <v>14014</v>
      </c>
      <c r="AD2612" s="7" t="n">
        <v>163436</v>
      </c>
      <c r="AE2612" s="8" t="n">
        <v>25536</v>
      </c>
      <c r="AF2612" s="8" t="n">
        <v>20488</v>
      </c>
      <c r="AG2612" s="9" t="n">
        <v>171242</v>
      </c>
      <c r="AH2612" s="10" t="n">
        <v>45090</v>
      </c>
      <c r="AI2612" s="10" t="n">
        <v>36337</v>
      </c>
      <c r="AJ2612" s="11" t="n">
        <v>186861</v>
      </c>
      <c r="AK2612" s="12" t="n">
        <v>47241</v>
      </c>
      <c r="AL2612" s="12" t="n">
        <v>38060</v>
      </c>
      <c r="AM2612" s="13" t="n">
        <v>9.1</v>
      </c>
      <c r="AN2612" s="13" t="n">
        <v>45.6</v>
      </c>
      <c r="AO2612" s="13" t="n">
        <v>4.8</v>
      </c>
      <c r="AP2612" s="13" t="n">
        <v>61.6</v>
      </c>
    </row>
    <row r="2613">
      <c r="A2613" s="5" t="inlineStr">
        <is>
          <t>도우인시스</t>
        </is>
      </c>
      <c r="B2613" s="6" t="inlineStr">
        <is>
          <t>484120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53180</v>
      </c>
      <c r="Y2613" s="8" t="n">
        <v>3642</v>
      </c>
      <c r="Z2613" s="8" t="n">
        <v>-5851</v>
      </c>
      <c r="AA2613" s="9" t="n">
        <v>29781</v>
      </c>
      <c r="AB2613" s="10" t="n">
        <v>-2085</v>
      </c>
      <c r="AC2613" s="10" t="n">
        <v>1539</v>
      </c>
      <c r="AD2613" s="7" t="inlineStr"/>
      <c r="AE2613" s="8" t="inlineStr"/>
      <c r="AF2613" s="8" t="inlineStr"/>
      <c r="AG2613" s="9" t="n">
        <v>26829</v>
      </c>
      <c r="AH2613" s="10" t="n">
        <v>1820</v>
      </c>
      <c r="AI2613" s="10" t="n">
        <v>5742</v>
      </c>
      <c r="AJ2613" s="11" t="n">
        <v>58892</v>
      </c>
      <c r="AK2613" s="12" t="n">
        <v>8200</v>
      </c>
      <c r="AL2613" s="12" t="n">
        <v>9822</v>
      </c>
      <c r="AM2613" s="13" t="n">
        <v>119.5</v>
      </c>
      <c r="AN2613" s="13" t="n">
        <v>10.7</v>
      </c>
      <c r="AO2613" s="13" t="n">
        <v>350.5</v>
      </c>
      <c r="AP2613" s="13" t="n">
        <v>125.2</v>
      </c>
    </row>
    <row r="2614">
      <c r="A2614" s="5" t="inlineStr">
        <is>
          <t>하나34호스팩</t>
        </is>
      </c>
      <c r="B2614" s="6" t="inlineStr">
        <is>
          <t>484130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0</v>
      </c>
      <c r="V2614" s="10" t="n">
        <v>-11042190</v>
      </c>
      <c r="W2614" s="10" t="n">
        <v>27693145</v>
      </c>
      <c r="X2614" s="7" t="n">
        <v>0</v>
      </c>
      <c r="Y2614" s="8" t="n">
        <v>-15</v>
      </c>
      <c r="Z2614" s="8" t="n">
        <v>31</v>
      </c>
      <c r="AA2614" s="9" t="n">
        <v>0</v>
      </c>
      <c r="AB2614" s="10" t="n">
        <v>-9</v>
      </c>
      <c r="AC2614" s="10" t="n">
        <v>38</v>
      </c>
      <c r="AD2614" s="7" t="n">
        <v>0</v>
      </c>
      <c r="AE2614" s="8" t="n">
        <v>11042174</v>
      </c>
      <c r="AF2614" s="8" t="n">
        <v>-27693054</v>
      </c>
      <c r="AG2614" s="9" t="n">
        <v>0</v>
      </c>
      <c r="AH2614" s="10" t="n">
        <v>-12</v>
      </c>
      <c r="AI2614" s="10" t="n">
        <v>21</v>
      </c>
      <c r="AJ2614" s="11" t="inlineStr"/>
      <c r="AK2614" s="12" t="n">
        <v>-14</v>
      </c>
      <c r="AL2614" s="12" t="n">
        <v>13</v>
      </c>
      <c r="AM2614" s="13" t="inlineStr"/>
      <c r="AN2614" s="13" t="inlineStr"/>
      <c r="AO2614" s="13" t="n">
        <v>-16.7</v>
      </c>
      <c r="AP2614" s="13" t="n">
        <v>6.7</v>
      </c>
    </row>
    <row r="2615">
      <c r="A2615" s="5" t="inlineStr">
        <is>
          <t>삼양컴텍</t>
        </is>
      </c>
      <c r="B2615" s="6" t="inlineStr">
        <is>
          <t>484590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inlineStr"/>
      <c r="V2615" s="10" t="inlineStr"/>
      <c r="W2615" s="10" t="inlineStr"/>
      <c r="X2615" s="7" t="n">
        <v>35471</v>
      </c>
      <c r="Y2615" s="8" t="n">
        <v>7847</v>
      </c>
      <c r="Z2615" s="8" t="n">
        <v>5861</v>
      </c>
      <c r="AA2615" s="9" t="n">
        <v>36676</v>
      </c>
      <c r="AB2615" s="10" t="n">
        <v>4997</v>
      </c>
      <c r="AC2615" s="10" t="n">
        <v>3532</v>
      </c>
      <c r="AD2615" s="7" t="inlineStr"/>
      <c r="AE2615" s="8" t="inlineStr"/>
      <c r="AF2615" s="8" t="inlineStr"/>
      <c r="AG2615" s="9" t="n">
        <v>16526</v>
      </c>
      <c r="AH2615" s="10" t="n">
        <v>1996</v>
      </c>
      <c r="AI2615" s="10" t="n">
        <v>2382</v>
      </c>
      <c r="AJ2615" s="11" t="n">
        <v>46790</v>
      </c>
      <c r="AK2615" s="12" t="n">
        <v>11483</v>
      </c>
      <c r="AL2615" s="12" t="n">
        <v>9292</v>
      </c>
      <c r="AM2615" s="13" t="n">
        <v>183.1</v>
      </c>
      <c r="AN2615" s="13" t="n">
        <v>31.9</v>
      </c>
      <c r="AO2615" s="13" t="n">
        <v>475.3</v>
      </c>
      <c r="AP2615" s="13" t="n">
        <v>46.3</v>
      </c>
    </row>
    <row r="2616">
      <c r="A2616" s="5" t="inlineStr">
        <is>
          <t>티엑스알로보틱스</t>
        </is>
      </c>
      <c r="B2616" s="6" t="inlineStr">
        <is>
          <t>484810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n">
        <v>7175</v>
      </c>
      <c r="V2616" s="10" t="n">
        <v>-1408</v>
      </c>
      <c r="W2616" s="10" t="n">
        <v>-1194</v>
      </c>
      <c r="X2616" s="7" t="n">
        <v>9317</v>
      </c>
      <c r="Y2616" s="8" t="n">
        <v>-226</v>
      </c>
      <c r="Z2616" s="8" t="n">
        <v>-307</v>
      </c>
      <c r="AA2616" s="9" t="n">
        <v>7890</v>
      </c>
      <c r="AB2616" s="10" t="n">
        <v>-975</v>
      </c>
      <c r="AC2616" s="10" t="n">
        <v>-874</v>
      </c>
      <c r="AD2616" s="7" t="n">
        <v>32251</v>
      </c>
      <c r="AE2616" s="8" t="n">
        <v>1837</v>
      </c>
      <c r="AF2616" s="8" t="n">
        <v>-12933</v>
      </c>
      <c r="AG2616" s="9" t="n">
        <v>11005</v>
      </c>
      <c r="AH2616" s="10" t="n">
        <v>-1239</v>
      </c>
      <c r="AI2616" s="10" t="n">
        <v>-1302</v>
      </c>
      <c r="AJ2616" s="11" t="n">
        <v>10143</v>
      </c>
      <c r="AK2616" s="12" t="n">
        <v>-1561</v>
      </c>
      <c r="AL2616" s="12" t="n">
        <v>-1443</v>
      </c>
      <c r="AM2616" s="13" t="n">
        <v>-7.8</v>
      </c>
      <c r="AN2616" s="13" t="n">
        <v>8.9</v>
      </c>
      <c r="AO2616" s="13" t="n">
        <v>-26</v>
      </c>
      <c r="AP2616" s="13" t="n">
        <v>-590.7</v>
      </c>
    </row>
    <row r="2617">
      <c r="A2617" s="5" t="inlineStr">
        <is>
          <t>엠앤씨솔루션</t>
        </is>
      </c>
      <c r="B2617" s="6" t="inlineStr">
        <is>
          <t>484870</t>
        </is>
      </c>
      <c r="C2617" s="6" t="inlineStr">
        <is>
          <t>별도</t>
        </is>
      </c>
      <c r="D2617" s="6" t="inlineStr">
        <is>
          <t>2026Q2</t>
        </is>
      </c>
      <c r="E2617" s="6" t="inlineStr">
        <is>
          <t>2024Q4</t>
        </is>
      </c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14" t="n">
        <v>94315</v>
      </c>
      <c r="S2617" s="15" t="n">
        <v>17620</v>
      </c>
      <c r="T2617" s="15" t="n">
        <v>13592</v>
      </c>
      <c r="U2617" s="9" t="n">
        <v>75106</v>
      </c>
      <c r="V2617" s="10" t="n">
        <v>9508</v>
      </c>
      <c r="W2617" s="10" t="n">
        <v>7896</v>
      </c>
      <c r="X2617" s="7" t="n">
        <v>97427</v>
      </c>
      <c r="Y2617" s="8" t="n">
        <v>13449</v>
      </c>
      <c r="Z2617" s="8" t="n">
        <v>10836</v>
      </c>
      <c r="AA2617" s="9" t="n">
        <v>87591</v>
      </c>
      <c r="AB2617" s="10" t="n">
        <v>11485</v>
      </c>
      <c r="AC2617" s="10" t="n">
        <v>9577</v>
      </c>
      <c r="AD2617" s="7" t="n">
        <v>143225</v>
      </c>
      <c r="AE2617" s="8" t="n">
        <v>21623</v>
      </c>
      <c r="AF2617" s="8" t="n">
        <v>17279</v>
      </c>
      <c r="AG2617" s="9" t="n">
        <v>66076</v>
      </c>
      <c r="AH2617" s="10" t="n">
        <v>7967</v>
      </c>
      <c r="AI2617" s="10" t="n">
        <v>6119</v>
      </c>
      <c r="AJ2617" s="11" t="n">
        <v>93509</v>
      </c>
      <c r="AK2617" s="12" t="n">
        <v>12509</v>
      </c>
      <c r="AL2617" s="12" t="n">
        <v>9897</v>
      </c>
      <c r="AM2617" s="13" t="n">
        <v>41.5</v>
      </c>
      <c r="AN2617" s="13" t="n">
        <v>-4</v>
      </c>
      <c r="AO2617" s="13" t="n">
        <v>57</v>
      </c>
      <c r="AP2617" s="13" t="n">
        <v>-7</v>
      </c>
    </row>
    <row r="2618">
      <c r="A2618" s="5" t="inlineStr">
        <is>
          <t>KB제30호스팩</t>
        </is>
      </c>
      <c r="B2618" s="6" t="inlineStr">
        <is>
          <t>486630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n">
        <v>0</v>
      </c>
      <c r="P2618" s="10" t="n">
        <v>-10</v>
      </c>
      <c r="Q2618" s="10" t="n">
        <v>-3</v>
      </c>
      <c r="R2618" s="7" t="inlineStr"/>
      <c r="S2618" s="8" t="inlineStr"/>
      <c r="T2618" s="8" t="inlineStr"/>
      <c r="U2618" s="9" t="n">
        <v>0</v>
      </c>
      <c r="V2618" s="10" t="n">
        <v>0</v>
      </c>
      <c r="W2618" s="10" t="n">
        <v>0</v>
      </c>
      <c r="X2618" s="7" t="n">
        <v>0</v>
      </c>
      <c r="Y2618" s="8" t="n">
        <v>-15</v>
      </c>
      <c r="Z2618" s="8" t="n">
        <v>49</v>
      </c>
      <c r="AA2618" s="9" t="n">
        <v>0</v>
      </c>
      <c r="AB2618" s="10" t="n">
        <v>-6</v>
      </c>
      <c r="AC2618" s="10" t="n">
        <v>55</v>
      </c>
      <c r="AD2618" s="7" t="n">
        <v>0</v>
      </c>
      <c r="AE2618" s="8" t="n">
        <v>-10</v>
      </c>
      <c r="AF2618" s="8" t="n">
        <v>114</v>
      </c>
      <c r="AG2618" s="9" t="n">
        <v>0</v>
      </c>
      <c r="AH2618" s="10" t="n">
        <v>-8</v>
      </c>
      <c r="AI2618" s="10" t="n">
        <v>34</v>
      </c>
      <c r="AJ2618" s="11" t="n">
        <v>0</v>
      </c>
      <c r="AK2618" s="12" t="n">
        <v>-12</v>
      </c>
      <c r="AL2618" s="12" t="n">
        <v>31</v>
      </c>
      <c r="AM2618" s="13" t="inlineStr"/>
      <c r="AN2618" s="13" t="inlineStr"/>
      <c r="AO2618" s="13" t="n">
        <v>-50</v>
      </c>
      <c r="AP2618" s="13" t="n">
        <v>20</v>
      </c>
    </row>
    <row r="2619">
      <c r="A2619" s="5" t="inlineStr">
        <is>
          <t>노타</t>
        </is>
      </c>
      <c r="B2619" s="6" t="inlineStr">
        <is>
          <t>486990</t>
        </is>
      </c>
      <c r="C2619" s="6" t="inlineStr">
        <is>
          <t>연결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n">
        <v>3029</v>
      </c>
      <c r="AB2619" s="10" t="n">
        <v>-4286</v>
      </c>
      <c r="AC2619" s="10" t="n">
        <v>-4363</v>
      </c>
      <c r="AD2619" s="7" t="inlineStr"/>
      <c r="AE2619" s="8" t="inlineStr"/>
      <c r="AF2619" s="8" t="inlineStr"/>
      <c r="AG2619" s="9" t="n">
        <v>3585</v>
      </c>
      <c r="AH2619" s="10" t="n">
        <v>-4198</v>
      </c>
      <c r="AI2619" s="10" t="n">
        <v>-4015</v>
      </c>
      <c r="AJ2619" s="11" t="n">
        <v>3823</v>
      </c>
      <c r="AK2619" s="12" t="n">
        <v>-6191</v>
      </c>
      <c r="AL2619" s="12" t="n">
        <v>-6196</v>
      </c>
      <c r="AM2619" s="13" t="n">
        <v>6.6</v>
      </c>
      <c r="AN2619" s="13" t="inlineStr"/>
      <c r="AO2619" s="13" t="n">
        <v>-47.5</v>
      </c>
      <c r="AP2619" s="13" t="inlineStr"/>
    </row>
    <row r="2620">
      <c r="A2620" s="5" t="inlineStr">
        <is>
          <t>신한제14호스팩</t>
        </is>
      </c>
      <c r="B2620" s="6" t="inlineStr">
        <is>
          <t>487360</t>
        </is>
      </c>
      <c r="C2620" s="6" t="inlineStr">
        <is>
          <t>별도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n">
        <v>-22</v>
      </c>
      <c r="W2620" s="10" t="n">
        <v>34</v>
      </c>
      <c r="X2620" s="7" t="inlineStr"/>
      <c r="Y2620" s="8" t="n">
        <v>-8</v>
      </c>
      <c r="Z2620" s="8" t="n">
        <v>50</v>
      </c>
      <c r="AA2620" s="9" t="inlineStr"/>
      <c r="AB2620" s="10" t="n">
        <v>-8</v>
      </c>
      <c r="AC2620" s="10" t="n">
        <v>47</v>
      </c>
      <c r="AD2620" s="7" t="inlineStr"/>
      <c r="AE2620" s="8" t="n">
        <v>-9</v>
      </c>
      <c r="AF2620" s="8" t="n">
        <v>54</v>
      </c>
      <c r="AG2620" s="9" t="n">
        <v>0</v>
      </c>
      <c r="AH2620" s="10" t="n">
        <v>-27</v>
      </c>
      <c r="AI2620" s="10" t="n">
        <v>49</v>
      </c>
      <c r="AJ2620" s="11" t="inlineStr"/>
      <c r="AK2620" s="12" t="n">
        <v>-12</v>
      </c>
      <c r="AL2620" s="12" t="n">
        <v>45</v>
      </c>
      <c r="AM2620" s="13" t="inlineStr"/>
      <c r="AN2620" s="13" t="inlineStr"/>
      <c r="AO2620" s="13" t="n">
        <v>55.6</v>
      </c>
      <c r="AP2620" s="13" t="n">
        <v>-50</v>
      </c>
    </row>
    <row r="2621">
      <c r="A2621" s="5" t="inlineStr">
        <is>
          <t>케이앤에스아이앤씨</t>
        </is>
      </c>
      <c r="B2621" s="6" t="inlineStr">
        <is>
          <t>487400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inlineStr"/>
      <c r="AH2621" s="10" t="inlineStr"/>
      <c r="AI2621" s="10" t="inlineStr"/>
      <c r="AJ2621" s="11" t="n">
        <v>3795</v>
      </c>
      <c r="AK2621" s="12" t="n">
        <v>-1475</v>
      </c>
      <c r="AL2621" s="12" t="n">
        <v>-1536</v>
      </c>
      <c r="AM2621" s="13" t="inlineStr"/>
      <c r="AN2621" s="13" t="inlineStr"/>
      <c r="AO2621" s="13" t="inlineStr"/>
      <c r="AP2621" s="13" t="inlineStr"/>
    </row>
    <row r="2622">
      <c r="A2622" s="5" t="inlineStr">
        <is>
          <t>HS효성</t>
        </is>
      </c>
      <c r="B2622" s="6" t="inlineStr">
        <is>
          <t>487570</t>
        </is>
      </c>
      <c r="C2622" s="6" t="inlineStr">
        <is>
          <t>연결</t>
        </is>
      </c>
      <c r="D2622" s="6" t="inlineStr">
        <is>
          <t>2026Q2</t>
        </is>
      </c>
      <c r="E2622" s="6" t="inlineStr">
        <is>
          <t>2024Q4</t>
        </is>
      </c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n">
        <v>454089</v>
      </c>
      <c r="P2622" s="10" t="n">
        <v>9451</v>
      </c>
      <c r="Q2622" s="10" t="n">
        <v>541</v>
      </c>
      <c r="R2622" s="14" t="n">
        <v>456300</v>
      </c>
      <c r="S2622" s="15" t="n">
        <v>7817</v>
      </c>
      <c r="T2622" s="15" t="n">
        <v>1839</v>
      </c>
      <c r="U2622" s="9" t="n">
        <v>454530</v>
      </c>
      <c r="V2622" s="10" t="n">
        <v>9567</v>
      </c>
      <c r="W2622" s="10" t="n">
        <v>-399</v>
      </c>
      <c r="X2622" s="7" t="n">
        <v>387928</v>
      </c>
      <c r="Y2622" s="8" t="n">
        <v>10779</v>
      </c>
      <c r="Z2622" s="8" t="n">
        <v>5886</v>
      </c>
      <c r="AA2622" s="9" t="n">
        <v>408726</v>
      </c>
      <c r="AB2622" s="10" t="n">
        <v>12650</v>
      </c>
      <c r="AC2622" s="10" t="n">
        <v>5635</v>
      </c>
      <c r="AD2622" s="7" t="n">
        <v>158713</v>
      </c>
      <c r="AE2622" s="8" t="n">
        <v>13438</v>
      </c>
      <c r="AF2622" s="8" t="n">
        <v>8943</v>
      </c>
      <c r="AG2622" s="9" t="n">
        <v>366981</v>
      </c>
      <c r="AH2622" s="10" t="n">
        <v>12543</v>
      </c>
      <c r="AI2622" s="10" t="n">
        <v>7390</v>
      </c>
      <c r="AJ2622" s="11" t="n">
        <v>430921</v>
      </c>
      <c r="AK2622" s="12" t="n">
        <v>35763</v>
      </c>
      <c r="AL2622" s="12" t="n">
        <v>27112</v>
      </c>
      <c r="AM2622" s="13" t="n">
        <v>17.4</v>
      </c>
      <c r="AN2622" s="13" t="n">
        <v>11.1</v>
      </c>
      <c r="AO2622" s="13" t="n">
        <v>185.1</v>
      </c>
      <c r="AP2622" s="13" t="n">
        <v>231.8</v>
      </c>
    </row>
    <row r="2623">
      <c r="A2623" s="5" t="inlineStr">
        <is>
          <t>폴레드</t>
        </is>
      </c>
      <c r="B2623" s="6" t="inlineStr">
        <is>
          <t>487580</t>
        </is>
      </c>
      <c r="C2623" s="6" t="inlineStr">
        <is>
          <t>연결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inlineStr"/>
      <c r="W2623" s="10" t="inlineStr"/>
      <c r="X2623" s="7" t="inlineStr"/>
      <c r="Y2623" s="8" t="inlineStr"/>
      <c r="Z2623" s="8" t="inlineStr"/>
      <c r="AA2623" s="9" t="inlineStr"/>
      <c r="AB2623" s="10" t="inlineStr"/>
      <c r="AC2623" s="10" t="inlineStr"/>
      <c r="AD2623" s="7" t="inlineStr"/>
      <c r="AE2623" s="8" t="inlineStr"/>
      <c r="AF2623" s="8" t="inlineStr"/>
      <c r="AG2623" s="9" t="n">
        <v>25336</v>
      </c>
      <c r="AH2623" s="10" t="n">
        <v>4500</v>
      </c>
      <c r="AI2623" s="10" t="n">
        <v>5212</v>
      </c>
      <c r="AJ2623" s="11" t="n">
        <v>25266</v>
      </c>
      <c r="AK2623" s="12" t="n">
        <v>2064</v>
      </c>
      <c r="AL2623" s="12" t="n">
        <v>1667</v>
      </c>
      <c r="AM2623" s="13" t="n">
        <v>-0.3</v>
      </c>
      <c r="AN2623" s="13" t="inlineStr"/>
      <c r="AO2623" s="13" t="n">
        <v>-54.1</v>
      </c>
      <c r="AP2623" s="13" t="inlineStr"/>
    </row>
    <row r="2624">
      <c r="A2624" s="5" t="inlineStr">
        <is>
          <t>키움제10호스팩</t>
        </is>
      </c>
      <c r="B2624" s="6" t="inlineStr">
        <is>
          <t>487720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-8</v>
      </c>
      <c r="W2624" s="10" t="n">
        <v>28</v>
      </c>
      <c r="X2624" s="7" t="n">
        <v>0</v>
      </c>
      <c r="Y2624" s="8" t="n">
        <v>-3</v>
      </c>
      <c r="Z2624" s="8" t="n">
        <v>34</v>
      </c>
      <c r="AA2624" s="9" t="n">
        <v>0</v>
      </c>
      <c r="AB2624" s="10" t="n">
        <v>-2</v>
      </c>
      <c r="AC2624" s="10" t="n">
        <v>34</v>
      </c>
      <c r="AD2624" s="7" t="n">
        <v>0</v>
      </c>
      <c r="AE2624" s="8" t="n">
        <v>-2</v>
      </c>
      <c r="AF2624" s="8" t="n">
        <v>56</v>
      </c>
      <c r="AG2624" s="9" t="n">
        <v>0</v>
      </c>
      <c r="AH2624" s="10" t="n">
        <v>-8</v>
      </c>
      <c r="AI2624" s="10" t="n">
        <v>24</v>
      </c>
      <c r="AJ2624" s="11" t="n">
        <v>0</v>
      </c>
      <c r="AK2624" s="12" t="n">
        <v>-12</v>
      </c>
      <c r="AL2624" s="12" t="n">
        <v>21</v>
      </c>
      <c r="AM2624" s="13" t="inlineStr"/>
      <c r="AN2624" s="13" t="inlineStr"/>
      <c r="AO2624" s="13" t="n">
        <v>-50</v>
      </c>
      <c r="AP2624" s="13" t="n">
        <v>-300</v>
      </c>
    </row>
    <row r="2625">
      <c r="A2625" s="5" t="inlineStr">
        <is>
          <t>신한제15호스팩</t>
        </is>
      </c>
      <c r="B2625" s="6" t="inlineStr">
        <is>
          <t>487830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n">
        <v>-20</v>
      </c>
      <c r="W2625" s="10" t="n">
        <v>22</v>
      </c>
      <c r="X2625" s="7" t="inlineStr"/>
      <c r="Y2625" s="8" t="n">
        <v>-11</v>
      </c>
      <c r="Z2625" s="8" t="n">
        <v>53</v>
      </c>
      <c r="AA2625" s="9" t="inlineStr"/>
      <c r="AB2625" s="10" t="n">
        <v>-11</v>
      </c>
      <c r="AC2625" s="10" t="n">
        <v>29</v>
      </c>
      <c r="AD2625" s="7" t="inlineStr"/>
      <c r="AE2625" s="8" t="n">
        <v>-8</v>
      </c>
      <c r="AF2625" s="8" t="n">
        <v>64</v>
      </c>
      <c r="AG2625" s="9" t="inlineStr"/>
      <c r="AH2625" s="10" t="n">
        <v>-18</v>
      </c>
      <c r="AI2625" s="10" t="n">
        <v>16</v>
      </c>
      <c r="AJ2625" s="11" t="n">
        <v>0</v>
      </c>
      <c r="AK2625" s="12" t="n">
        <v>-11</v>
      </c>
      <c r="AL2625" s="12" t="n">
        <v>30</v>
      </c>
      <c r="AM2625" s="13" t="inlineStr"/>
      <c r="AN2625" s="13" t="inlineStr"/>
      <c r="AO2625" s="13" t="n">
        <v>38.9</v>
      </c>
      <c r="AP2625" s="13" t="n">
        <v>0</v>
      </c>
    </row>
    <row r="2626">
      <c r="A2626" s="5" t="inlineStr">
        <is>
          <t>유진스팩11호</t>
        </is>
      </c>
      <c r="B2626" s="6" t="inlineStr">
        <is>
          <t>488060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-20</v>
      </c>
      <c r="W2626" s="10" t="n">
        <v>37</v>
      </c>
      <c r="X2626" s="7" t="n">
        <v>0</v>
      </c>
      <c r="Y2626" s="8" t="n">
        <v>-9</v>
      </c>
      <c r="Z2626" s="8" t="n">
        <v>45</v>
      </c>
      <c r="AA2626" s="9" t="inlineStr"/>
      <c r="AB2626" s="10" t="n">
        <v>-11</v>
      </c>
      <c r="AC2626" s="10" t="n">
        <v>22</v>
      </c>
      <c r="AD2626" s="7" t="inlineStr"/>
      <c r="AE2626" s="8" t="n">
        <v>-7</v>
      </c>
      <c r="AF2626" s="8" t="n">
        <v>74</v>
      </c>
      <c r="AG2626" s="9" t="n">
        <v>0</v>
      </c>
      <c r="AH2626" s="10" t="n">
        <v>-19</v>
      </c>
      <c r="AI2626" s="10" t="n">
        <v>24</v>
      </c>
      <c r="AJ2626" s="11" t="n">
        <v>0</v>
      </c>
      <c r="AK2626" s="12" t="n">
        <v>-7</v>
      </c>
      <c r="AL2626" s="12" t="n">
        <v>33</v>
      </c>
      <c r="AM2626" s="13" t="inlineStr"/>
      <c r="AN2626" s="13" t="inlineStr"/>
      <c r="AO2626" s="13" t="n">
        <v>63.2</v>
      </c>
      <c r="AP2626" s="13" t="n">
        <v>22.2</v>
      </c>
    </row>
    <row r="2627">
      <c r="A2627" s="5" t="inlineStr">
        <is>
          <t>에스투더블유</t>
        </is>
      </c>
      <c r="B2627" s="6" t="inlineStr">
        <is>
          <t>488280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inlineStr"/>
      <c r="Y2627" s="8" t="inlineStr"/>
      <c r="Z2627" s="8" t="inlineStr"/>
      <c r="AA2627" s="9" t="n">
        <v>2272</v>
      </c>
      <c r="AB2627" s="10" t="n">
        <v>-2190</v>
      </c>
      <c r="AC2627" s="10" t="n">
        <v>-2116</v>
      </c>
      <c r="AD2627" s="7" t="inlineStr"/>
      <c r="AE2627" s="8" t="inlineStr"/>
      <c r="AF2627" s="8" t="inlineStr"/>
      <c r="AG2627" s="9" t="n">
        <v>2177</v>
      </c>
      <c r="AH2627" s="10" t="n">
        <v>-2252</v>
      </c>
      <c r="AI2627" s="10" t="n">
        <v>-1955</v>
      </c>
      <c r="AJ2627" s="11" t="n">
        <v>2085</v>
      </c>
      <c r="AK2627" s="12" t="n">
        <v>-3163</v>
      </c>
      <c r="AL2627" s="12" t="n">
        <v>-3069</v>
      </c>
      <c r="AM2627" s="13" t="n">
        <v>-4.2</v>
      </c>
      <c r="AN2627" s="13" t="inlineStr"/>
      <c r="AO2627" s="13" t="n">
        <v>-40.5</v>
      </c>
      <c r="AP2627" s="13" t="inlineStr"/>
    </row>
    <row r="2628">
      <c r="A2628" s="5" t="inlineStr">
        <is>
          <t>비츠로넥스텍</t>
        </is>
      </c>
      <c r="B2628" s="6" t="inlineStr">
        <is>
          <t>488900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inlineStr"/>
      <c r="AB2628" s="10" t="inlineStr"/>
      <c r="AC2628" s="10" t="inlineStr"/>
      <c r="AD2628" s="7" t="inlineStr"/>
      <c r="AE2628" s="8" t="inlineStr"/>
      <c r="AF2628" s="8" t="inlineStr"/>
      <c r="AG2628" s="9" t="n">
        <v>7121</v>
      </c>
      <c r="AH2628" s="10" t="n">
        <v>-3369</v>
      </c>
      <c r="AI2628" s="10" t="n">
        <v>-2963</v>
      </c>
      <c r="AJ2628" s="11" t="n">
        <v>6670</v>
      </c>
      <c r="AK2628" s="12" t="n">
        <v>-3120</v>
      </c>
      <c r="AL2628" s="12" t="n">
        <v>-2437</v>
      </c>
      <c r="AM2628" s="13" t="n">
        <v>-6.3</v>
      </c>
      <c r="AN2628" s="13" t="inlineStr"/>
      <c r="AO2628" s="13" t="n">
        <v>7.4</v>
      </c>
      <c r="AP2628" s="13" t="inlineStr"/>
    </row>
    <row r="2629">
      <c r="A2629" s="5" t="inlineStr">
        <is>
          <t>교보17호스팩</t>
        </is>
      </c>
      <c r="B2629" s="6" t="inlineStr">
        <is>
          <t>489210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-23</v>
      </c>
      <c r="W2629" s="10" t="n">
        <v>38</v>
      </c>
      <c r="X2629" s="7" t="n">
        <v>0</v>
      </c>
      <c r="Y2629" s="8" t="n">
        <v>-12</v>
      </c>
      <c r="Z2629" s="8" t="n">
        <v>50</v>
      </c>
      <c r="AA2629" s="9" t="n">
        <v>0</v>
      </c>
      <c r="AB2629" s="10" t="n">
        <v>-9</v>
      </c>
      <c r="AC2629" s="10" t="n">
        <v>52</v>
      </c>
      <c r="AD2629" s="7" t="n">
        <v>0</v>
      </c>
      <c r="AE2629" s="8" t="n">
        <v>-3</v>
      </c>
      <c r="AF2629" s="8" t="n">
        <v>46</v>
      </c>
      <c r="AG2629" s="9" t="n">
        <v>0</v>
      </c>
      <c r="AH2629" s="10" t="n">
        <v>-20</v>
      </c>
      <c r="AI2629" s="10" t="n">
        <v>31</v>
      </c>
      <c r="AJ2629" s="11" t="n">
        <v>0</v>
      </c>
      <c r="AK2629" s="12" t="n">
        <v>-6</v>
      </c>
      <c r="AL2629" s="12" t="n">
        <v>45</v>
      </c>
      <c r="AM2629" s="13" t="inlineStr"/>
      <c r="AN2629" s="13" t="inlineStr"/>
      <c r="AO2629" s="13" t="n">
        <v>70</v>
      </c>
      <c r="AP2629" s="13" t="n">
        <v>50</v>
      </c>
    </row>
    <row r="2630">
      <c r="A2630" s="5" t="inlineStr">
        <is>
          <t>바이오비쥬</t>
        </is>
      </c>
      <c r="B2630" s="6" t="inlineStr">
        <is>
          <t>489460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inlineStr"/>
      <c r="V2630" s="10" t="inlineStr"/>
      <c r="W2630" s="10" t="inlineStr"/>
      <c r="X2630" s="7" t="n">
        <v>6237</v>
      </c>
      <c r="Y2630" s="8" t="n">
        <v>1628</v>
      </c>
      <c r="Z2630" s="8" t="n">
        <v>575</v>
      </c>
      <c r="AA2630" s="9" t="n">
        <v>6640</v>
      </c>
      <c r="AB2630" s="10" t="n">
        <v>2449</v>
      </c>
      <c r="AC2630" s="10" t="n">
        <v>2438</v>
      </c>
      <c r="AD2630" s="7" t="inlineStr"/>
      <c r="AE2630" s="8" t="inlineStr"/>
      <c r="AF2630" s="8" t="inlineStr"/>
      <c r="AG2630" s="9" t="n">
        <v>8015</v>
      </c>
      <c r="AH2630" s="10" t="n">
        <v>2594</v>
      </c>
      <c r="AI2630" s="10" t="n">
        <v>2903</v>
      </c>
      <c r="AJ2630" s="11" t="n">
        <v>9876</v>
      </c>
      <c r="AK2630" s="12" t="n">
        <v>2701</v>
      </c>
      <c r="AL2630" s="12" t="n">
        <v>2529</v>
      </c>
      <c r="AM2630" s="13" t="n">
        <v>23.2</v>
      </c>
      <c r="AN2630" s="13" t="n">
        <v>58.3</v>
      </c>
      <c r="AO2630" s="13" t="n">
        <v>4.1</v>
      </c>
      <c r="AP2630" s="13" t="n">
        <v>65.90000000000001</v>
      </c>
    </row>
    <row r="2631">
      <c r="A2631" s="5" t="inlineStr">
        <is>
          <t>키움제11호스팩</t>
        </is>
      </c>
      <c r="B2631" s="6" t="inlineStr">
        <is>
          <t>489480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-6</v>
      </c>
      <c r="W2631" s="10" t="n">
        <v>60</v>
      </c>
      <c r="X2631" s="7" t="n">
        <v>0</v>
      </c>
      <c r="Y2631" s="8" t="n">
        <v>-13</v>
      </c>
      <c r="Z2631" s="8" t="n">
        <v>55</v>
      </c>
      <c r="AA2631" s="9" t="n">
        <v>0</v>
      </c>
      <c r="AB2631" s="10" t="n">
        <v>-1</v>
      </c>
      <c r="AC2631" s="10" t="n">
        <v>66</v>
      </c>
      <c r="AD2631" s="7" t="n">
        <v>0</v>
      </c>
      <c r="AE2631" s="8" t="n">
        <v>0</v>
      </c>
      <c r="AF2631" s="8" t="n">
        <v>50</v>
      </c>
      <c r="AG2631" s="9" t="n">
        <v>0</v>
      </c>
      <c r="AH2631" s="10" t="n">
        <v>-6</v>
      </c>
      <c r="AI2631" s="10" t="n">
        <v>47</v>
      </c>
      <c r="AJ2631" s="11" t="n">
        <v>0</v>
      </c>
      <c r="AK2631" s="12" t="n">
        <v>-12</v>
      </c>
      <c r="AL2631" s="12" t="n">
        <v>44</v>
      </c>
      <c r="AM2631" s="13" t="inlineStr"/>
      <c r="AN2631" s="13" t="inlineStr"/>
      <c r="AO2631" s="13" t="n">
        <v>-100</v>
      </c>
      <c r="AP2631" s="13" t="n">
        <v>7.7</v>
      </c>
    </row>
    <row r="2632">
      <c r="A2632" s="5" t="inlineStr">
        <is>
          <t>엘케이켐</t>
        </is>
      </c>
      <c r="B2632" s="6" t="inlineStr">
        <is>
          <t>489500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3374</v>
      </c>
      <c r="V2632" s="10" t="n">
        <v>480</v>
      </c>
      <c r="W2632" s="10" t="n">
        <v>434</v>
      </c>
      <c r="X2632" s="7" t="n">
        <v>5761</v>
      </c>
      <c r="Y2632" s="8" t="n">
        <v>1745</v>
      </c>
      <c r="Z2632" s="8" t="n">
        <v>1030</v>
      </c>
      <c r="AA2632" s="9" t="n">
        <v>5555</v>
      </c>
      <c r="AB2632" s="10" t="n">
        <v>1556</v>
      </c>
      <c r="AC2632" s="10" t="n">
        <v>1565</v>
      </c>
      <c r="AD2632" s="7" t="n">
        <v>5490</v>
      </c>
      <c r="AE2632" s="8" t="n">
        <v>789</v>
      </c>
      <c r="AF2632" s="8" t="n">
        <v>1294</v>
      </c>
      <c r="AG2632" s="9" t="n">
        <v>6060</v>
      </c>
      <c r="AH2632" s="10" t="n">
        <v>1107</v>
      </c>
      <c r="AI2632" s="10" t="n">
        <v>1333</v>
      </c>
      <c r="AJ2632" s="11" t="n">
        <v>7644</v>
      </c>
      <c r="AK2632" s="12" t="n">
        <v>1900</v>
      </c>
      <c r="AL2632" s="12" t="n">
        <v>1857</v>
      </c>
      <c r="AM2632" s="13" t="n">
        <v>26.1</v>
      </c>
      <c r="AN2632" s="13" t="n">
        <v>32.7</v>
      </c>
      <c r="AO2632" s="13" t="n">
        <v>71.59999999999999</v>
      </c>
      <c r="AP2632" s="13" t="n">
        <v>8.9</v>
      </c>
    </row>
    <row r="2633">
      <c r="A2633" s="5" t="inlineStr">
        <is>
          <t>디비금융제13호스팩</t>
        </is>
      </c>
      <c r="B2633" s="6" t="inlineStr">
        <is>
          <t>489730</t>
        </is>
      </c>
      <c r="C2633" s="6" t="inlineStr">
        <is>
          <t>별도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0</v>
      </c>
      <c r="V2633" s="10" t="n">
        <v>-18</v>
      </c>
      <c r="W2633" s="10" t="n">
        <v>60</v>
      </c>
      <c r="X2633" s="7" t="n">
        <v>0</v>
      </c>
      <c r="Y2633" s="8" t="n">
        <v>-6</v>
      </c>
      <c r="Z2633" s="8" t="n">
        <v>65</v>
      </c>
      <c r="AA2633" s="9" t="n">
        <v>0</v>
      </c>
      <c r="AB2633" s="10" t="n">
        <v>-9</v>
      </c>
      <c r="AC2633" s="10" t="n">
        <v>51</v>
      </c>
      <c r="AD2633" s="7" t="n">
        <v>0</v>
      </c>
      <c r="AE2633" s="8" t="n">
        <v>-3</v>
      </c>
      <c r="AF2633" s="8" t="n">
        <v>69</v>
      </c>
      <c r="AG2633" s="9" t="n">
        <v>0</v>
      </c>
      <c r="AH2633" s="10" t="n">
        <v>-17</v>
      </c>
      <c r="AI2633" s="10" t="n">
        <v>68</v>
      </c>
      <c r="AJ2633" s="11" t="n">
        <v>0</v>
      </c>
      <c r="AK2633" s="12" t="n">
        <v>-5</v>
      </c>
      <c r="AL2633" s="12" t="n">
        <v>51</v>
      </c>
      <c r="AM2633" s="13" t="inlineStr"/>
      <c r="AN2633" s="13" t="inlineStr"/>
      <c r="AO2633" s="13" t="n">
        <v>70.59999999999999</v>
      </c>
      <c r="AP2633" s="13" t="n">
        <v>16.7</v>
      </c>
    </row>
    <row r="2634">
      <c r="A2634" s="5" t="inlineStr">
        <is>
          <t>한화비전</t>
        </is>
      </c>
      <c r="B2634" s="6" t="inlineStr">
        <is>
          <t>489790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n">
        <v>139525</v>
      </c>
      <c r="P2634" s="10" t="n">
        <v>5424</v>
      </c>
      <c r="Q2634" s="10" t="n">
        <v>-13091</v>
      </c>
      <c r="R2634" s="7" t="inlineStr"/>
      <c r="S2634" s="8" t="inlineStr"/>
      <c r="T2634" s="8" t="inlineStr"/>
      <c r="U2634" s="9" t="n">
        <v>451806</v>
      </c>
      <c r="V2634" s="10" t="n">
        <v>44297</v>
      </c>
      <c r="W2634" s="10" t="n">
        <v>-3304</v>
      </c>
      <c r="X2634" s="7" t="n">
        <v>457162</v>
      </c>
      <c r="Y2634" s="8" t="n">
        <v>56268</v>
      </c>
      <c r="Z2634" s="8" t="n">
        <v>-10188</v>
      </c>
      <c r="AA2634" s="9" t="n">
        <v>422742</v>
      </c>
      <c r="AB2634" s="10" t="n">
        <v>31157</v>
      </c>
      <c r="AC2634" s="10" t="n">
        <v>-6750</v>
      </c>
      <c r="AD2634" s="7" t="n">
        <v>459212</v>
      </c>
      <c r="AE2634" s="8" t="n">
        <v>30545</v>
      </c>
      <c r="AF2634" s="8" t="n">
        <v>62862</v>
      </c>
      <c r="AG2634" s="9" t="n">
        <v>441378</v>
      </c>
      <c r="AH2634" s="10" t="n">
        <v>22093</v>
      </c>
      <c r="AI2634" s="10" t="n">
        <v>-14048</v>
      </c>
      <c r="AJ2634" s="11" t="n">
        <v>542289</v>
      </c>
      <c r="AK2634" s="12" t="n">
        <v>65578</v>
      </c>
      <c r="AL2634" s="12" t="n">
        <v>75295</v>
      </c>
      <c r="AM2634" s="13" t="n">
        <v>22.9</v>
      </c>
      <c r="AN2634" s="13" t="n">
        <v>18.6</v>
      </c>
      <c r="AO2634" s="13" t="n">
        <v>196.8</v>
      </c>
      <c r="AP2634" s="13" t="n">
        <v>16.5</v>
      </c>
    </row>
    <row r="2635">
      <c r="A2635" s="5" t="inlineStr">
        <is>
          <t>세미파이브</t>
        </is>
      </c>
      <c r="B2635" s="6" t="inlineStr">
        <is>
          <t>490470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47875</v>
      </c>
      <c r="AH2635" s="10" t="n">
        <v>105</v>
      </c>
      <c r="AI2635" s="10" t="n">
        <v>1344</v>
      </c>
      <c r="AJ2635" s="11" t="n">
        <v>46802</v>
      </c>
      <c r="AK2635" s="12" t="n">
        <v>-11038</v>
      </c>
      <c r="AL2635" s="12" t="n">
        <v>-12232</v>
      </c>
      <c r="AM2635" s="13" t="n">
        <v>-2.2</v>
      </c>
      <c r="AN2635" s="13" t="inlineStr"/>
      <c r="AO2635" s="13" t="n">
        <v>-10612.4</v>
      </c>
      <c r="AP2635" s="13" t="inlineStr"/>
    </row>
    <row r="2636">
      <c r="A2636" s="5" t="inlineStr">
        <is>
          <t>리브스메드</t>
        </is>
      </c>
      <c r="B2636" s="6" t="inlineStr">
        <is>
          <t>491000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10263</v>
      </c>
      <c r="AH2636" s="10" t="n">
        <v>-8367</v>
      </c>
      <c r="AI2636" s="10" t="n">
        <v>-5878</v>
      </c>
      <c r="AJ2636" s="11" t="n">
        <v>12507</v>
      </c>
      <c r="AK2636" s="12" t="n">
        <v>-12190</v>
      </c>
      <c r="AL2636" s="12" t="n">
        <v>-11028</v>
      </c>
      <c r="AM2636" s="13" t="n">
        <v>21.9</v>
      </c>
      <c r="AN2636" s="13" t="inlineStr"/>
      <c r="AO2636" s="13" t="n">
        <v>-45.7</v>
      </c>
      <c r="AP2636" s="13" t="inlineStr"/>
    </row>
    <row r="2637">
      <c r="A2637" s="5" t="inlineStr">
        <is>
          <t>KB제31호스팩</t>
        </is>
      </c>
      <c r="B2637" s="6" t="inlineStr">
        <is>
          <t>492220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n">
        <v>0</v>
      </c>
      <c r="V2637" s="10" t="n">
        <v>-6</v>
      </c>
      <c r="W2637" s="10" t="n">
        <v>64</v>
      </c>
      <c r="X2637" s="7" t="n">
        <v>0</v>
      </c>
      <c r="Y2637" s="8" t="n">
        <v>-71</v>
      </c>
      <c r="Z2637" s="8" t="n">
        <v>14</v>
      </c>
      <c r="AA2637" s="9" t="n">
        <v>0</v>
      </c>
      <c r="AB2637" s="10" t="n">
        <v>-4</v>
      </c>
      <c r="AC2637" s="10" t="n">
        <v>67</v>
      </c>
      <c r="AD2637" s="7" t="n">
        <v>0</v>
      </c>
      <c r="AE2637" s="8" t="n">
        <v>-5</v>
      </c>
      <c r="AF2637" s="8" t="n">
        <v>85</v>
      </c>
      <c r="AG2637" s="9" t="n">
        <v>0</v>
      </c>
      <c r="AH2637" s="10" t="n">
        <v>-8</v>
      </c>
      <c r="AI2637" s="10" t="n">
        <v>49</v>
      </c>
      <c r="AJ2637" s="11" t="n">
        <v>0</v>
      </c>
      <c r="AK2637" s="12" t="n">
        <v>-13</v>
      </c>
      <c r="AL2637" s="12" t="n">
        <v>45</v>
      </c>
      <c r="AM2637" s="13" t="inlineStr"/>
      <c r="AN2637" s="13" t="inlineStr"/>
      <c r="AO2637" s="13" t="n">
        <v>-62.5</v>
      </c>
      <c r="AP2637" s="13" t="n">
        <v>81.7</v>
      </c>
    </row>
    <row r="2638">
      <c r="A2638" s="5" t="inlineStr">
        <is>
          <t>아이엠바이오로직스</t>
        </is>
      </c>
      <c r="B2638" s="6" t="inlineStr">
        <is>
          <t>493280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inlineStr"/>
      <c r="W2638" s="10" t="inlineStr"/>
      <c r="X2638" s="7" t="inlineStr"/>
      <c r="Y2638" s="8" t="inlineStr"/>
      <c r="Z2638" s="8" t="inlineStr"/>
      <c r="AA2638" s="9" t="inlineStr"/>
      <c r="AB2638" s="10" t="inlineStr"/>
      <c r="AC2638" s="10" t="inlineStr"/>
      <c r="AD2638" s="7" t="inlineStr"/>
      <c r="AE2638" s="8" t="inlineStr"/>
      <c r="AF2638" s="8" t="inlineStr"/>
      <c r="AG2638" s="9" t="n">
        <v>7227</v>
      </c>
      <c r="AH2638" s="10" t="n">
        <v>2733</v>
      </c>
      <c r="AI2638" s="10" t="n">
        <v>3835</v>
      </c>
      <c r="AJ2638" s="11" t="inlineStr"/>
      <c r="AK2638" s="12" t="n">
        <v>-2678</v>
      </c>
      <c r="AL2638" s="12" t="n">
        <v>-2122</v>
      </c>
      <c r="AM2638" s="13" t="inlineStr"/>
      <c r="AN2638" s="13" t="inlineStr"/>
      <c r="AO2638" s="13" t="n">
        <v>-198</v>
      </c>
      <c r="AP2638" s="13" t="inlineStr"/>
    </row>
    <row r="2639">
      <c r="A2639" s="5" t="inlineStr">
        <is>
          <t>지에프아이</t>
        </is>
      </c>
      <c r="B2639" s="6" t="inlineStr">
        <is>
          <t>493330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n">
        <v>13794</v>
      </c>
      <c r="AB2639" s="10" t="n">
        <v>1385</v>
      </c>
      <c r="AC2639" s="10" t="n">
        <v>1615</v>
      </c>
      <c r="AD2639" s="7" t="inlineStr"/>
      <c r="AE2639" s="8" t="inlineStr"/>
      <c r="AF2639" s="8" t="inlineStr"/>
      <c r="AG2639" s="9" t="n">
        <v>19474</v>
      </c>
      <c r="AH2639" s="10" t="n">
        <v>2902</v>
      </c>
      <c r="AI2639" s="10" t="n">
        <v>2997</v>
      </c>
      <c r="AJ2639" s="11" t="n">
        <v>15538</v>
      </c>
      <c r="AK2639" s="12" t="n">
        <v>2955</v>
      </c>
      <c r="AL2639" s="12" t="n">
        <v>2284</v>
      </c>
      <c r="AM2639" s="13" t="n">
        <v>-20.2</v>
      </c>
      <c r="AN2639" s="13" t="inlineStr"/>
      <c r="AO2639" s="13" t="n">
        <v>1.8</v>
      </c>
      <c r="AP2639" s="13" t="inlineStr"/>
    </row>
    <row r="2640">
      <c r="A2640" s="5" t="inlineStr">
        <is>
          <t>유안타제17호스팩</t>
        </is>
      </c>
      <c r="B2640" s="6" t="inlineStr">
        <is>
          <t>493790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-28</v>
      </c>
      <c r="W2640" s="10" t="n">
        <v>14</v>
      </c>
      <c r="X2640" s="7" t="inlineStr"/>
      <c r="Y2640" s="8" t="n">
        <v>-12</v>
      </c>
      <c r="Z2640" s="8" t="n">
        <v>35</v>
      </c>
      <c r="AA2640" s="9" t="inlineStr"/>
      <c r="AB2640" s="10" t="n">
        <v>-14</v>
      </c>
      <c r="AC2640" s="10" t="n">
        <v>36</v>
      </c>
      <c r="AD2640" s="7" t="inlineStr"/>
      <c r="AE2640" s="8" t="n">
        <v>8</v>
      </c>
      <c r="AF2640" s="8" t="n">
        <v>53</v>
      </c>
      <c r="AG2640" s="9" t="n">
        <v>0</v>
      </c>
      <c r="AH2640" s="10" t="n">
        <v>-17</v>
      </c>
      <c r="AI2640" s="10" t="n">
        <v>44</v>
      </c>
      <c r="AJ2640" s="11" t="n">
        <v>0</v>
      </c>
      <c r="AK2640" s="12" t="n">
        <v>-8</v>
      </c>
      <c r="AL2640" s="12" t="n">
        <v>41</v>
      </c>
      <c r="AM2640" s="13" t="inlineStr"/>
      <c r="AN2640" s="13" t="inlineStr"/>
      <c r="AO2640" s="13" t="n">
        <v>52.9</v>
      </c>
      <c r="AP2640" s="13" t="n">
        <v>33.3</v>
      </c>
    </row>
    <row r="2641">
      <c r="A2641" s="5" t="inlineStr">
        <is>
          <t>큐리오시스</t>
        </is>
      </c>
      <c r="B2641" s="6" t="inlineStr">
        <is>
          <t>494120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1537</v>
      </c>
      <c r="V2641" s="10" t="n">
        <v>-1834</v>
      </c>
      <c r="W2641" s="10" t="n">
        <v>-2196</v>
      </c>
      <c r="X2641" s="7" t="n">
        <v>2009</v>
      </c>
      <c r="Y2641" s="8" t="n">
        <v>-1322</v>
      </c>
      <c r="Z2641" s="8" t="n">
        <v>-1338</v>
      </c>
      <c r="AA2641" s="9" t="n">
        <v>1151</v>
      </c>
      <c r="AB2641" s="10" t="n">
        <v>-2080</v>
      </c>
      <c r="AC2641" s="10" t="n">
        <v>-2071</v>
      </c>
      <c r="AD2641" s="7" t="n">
        <v>2606</v>
      </c>
      <c r="AE2641" s="8" t="n">
        <v>-2290</v>
      </c>
      <c r="AF2641" s="8" t="n">
        <v>-2259</v>
      </c>
      <c r="AG2641" s="9" t="n">
        <v>1146</v>
      </c>
      <c r="AH2641" s="10" t="n">
        <v>-1606</v>
      </c>
      <c r="AI2641" s="10" t="n">
        <v>-1475</v>
      </c>
      <c r="AJ2641" s="11" t="n">
        <v>3473</v>
      </c>
      <c r="AK2641" s="12" t="n">
        <v>-1869</v>
      </c>
      <c r="AL2641" s="12" t="n">
        <v>-2082</v>
      </c>
      <c r="AM2641" s="13" t="n">
        <v>203.1</v>
      </c>
      <c r="AN2641" s="13" t="n">
        <v>72.90000000000001</v>
      </c>
      <c r="AO2641" s="13" t="n">
        <v>-16.4</v>
      </c>
      <c r="AP2641" s="13" t="n">
        <v>-41.4</v>
      </c>
    </row>
    <row r="2642">
      <c r="A2642" s="5" t="inlineStr">
        <is>
          <t>신한제16호스팩</t>
        </is>
      </c>
      <c r="B2642" s="6" t="inlineStr">
        <is>
          <t>496070</t>
        </is>
      </c>
      <c r="C2642" s="6" t="inlineStr">
        <is>
          <t>별도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inlineStr"/>
      <c r="V2642" s="10" t="inlineStr"/>
      <c r="W2642" s="10" t="inlineStr"/>
      <c r="X2642" s="7" t="inlineStr"/>
      <c r="Y2642" s="8" t="n">
        <v>-11</v>
      </c>
      <c r="Z2642" s="8" t="n">
        <v>12</v>
      </c>
      <c r="AA2642" s="9" t="inlineStr"/>
      <c r="AB2642" s="10" t="n">
        <v>-10</v>
      </c>
      <c r="AC2642" s="10" t="n">
        <v>40</v>
      </c>
      <c r="AD2642" s="7" t="inlineStr"/>
      <c r="AE2642" s="8" t="inlineStr"/>
      <c r="AF2642" s="8" t="inlineStr"/>
      <c r="AG2642" s="9" t="inlineStr"/>
      <c r="AH2642" s="10" t="n">
        <v>-12</v>
      </c>
      <c r="AI2642" s="10" t="n">
        <v>30</v>
      </c>
      <c r="AJ2642" s="11" t="inlineStr"/>
      <c r="AK2642" s="12" t="n">
        <v>-10</v>
      </c>
      <c r="AL2642" s="12" t="n">
        <v>60</v>
      </c>
      <c r="AM2642" s="13" t="inlineStr"/>
      <c r="AN2642" s="13" t="inlineStr"/>
      <c r="AO2642" s="13" t="n">
        <v>16.7</v>
      </c>
      <c r="AP2642" s="13" t="n">
        <v>9.1</v>
      </c>
    </row>
    <row r="2643">
      <c r="A2643" s="5" t="inlineStr">
        <is>
          <t>한화플러스제5호스팩</t>
        </is>
      </c>
      <c r="B2643" s="6" t="inlineStr">
        <is>
          <t>498390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n">
        <v>-11</v>
      </c>
      <c r="W2643" s="10" t="n">
        <v>-28</v>
      </c>
      <c r="X2643" s="7" t="inlineStr"/>
      <c r="Y2643" s="8" t="n">
        <v>-186</v>
      </c>
      <c r="Z2643" s="8" t="n">
        <v>-202</v>
      </c>
      <c r="AA2643" s="9" t="inlineStr"/>
      <c r="AB2643" s="10" t="n">
        <v>-10</v>
      </c>
      <c r="AC2643" s="10" t="n">
        <v>-28</v>
      </c>
      <c r="AD2643" s="7" t="inlineStr"/>
      <c r="AE2643" s="8" t="n">
        <v>-5</v>
      </c>
      <c r="AF2643" s="8" t="n">
        <v>202</v>
      </c>
      <c r="AG2643" s="9" t="inlineStr"/>
      <c r="AH2643" s="10" t="n">
        <v>-17</v>
      </c>
      <c r="AI2643" s="10" t="n">
        <v>-35</v>
      </c>
      <c r="AJ2643" s="11" t="inlineStr"/>
      <c r="AK2643" s="12" t="n">
        <v>-56</v>
      </c>
      <c r="AL2643" s="12" t="n">
        <v>-73</v>
      </c>
      <c r="AM2643" s="13" t="inlineStr"/>
      <c r="AN2643" s="13" t="inlineStr"/>
      <c r="AO2643" s="13" t="n">
        <v>-229.4</v>
      </c>
      <c r="AP2643" s="13" t="n">
        <v>69.90000000000001</v>
      </c>
    </row>
    <row r="2644">
      <c r="A2644" s="5" t="inlineStr">
        <is>
          <t>GS피앤엘</t>
        </is>
      </c>
      <c r="B2644" s="6" t="inlineStr">
        <is>
          <t>499790</t>
        </is>
      </c>
      <c r="C2644" s="6" t="inlineStr">
        <is>
          <t>연결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n">
        <v>94476</v>
      </c>
      <c r="V2644" s="10" t="n">
        <v>15216</v>
      </c>
      <c r="W2644" s="10" t="n">
        <v>8338</v>
      </c>
      <c r="X2644" s="7" t="n">
        <v>112145</v>
      </c>
      <c r="Y2644" s="8" t="n">
        <v>11564</v>
      </c>
      <c r="Z2644" s="8" t="n">
        <v>6014</v>
      </c>
      <c r="AA2644" s="9" t="n">
        <v>121962</v>
      </c>
      <c r="AB2644" s="10" t="n">
        <v>19929</v>
      </c>
      <c r="AC2644" s="10" t="n">
        <v>12784</v>
      </c>
      <c r="AD2644" s="7" t="n">
        <v>153100</v>
      </c>
      <c r="AE2644" s="8" t="n">
        <v>31314</v>
      </c>
      <c r="AF2644" s="8" t="n">
        <v>2808</v>
      </c>
      <c r="AG2644" s="9" t="n">
        <v>130366</v>
      </c>
      <c r="AH2644" s="10" t="n">
        <v>24162</v>
      </c>
      <c r="AI2644" s="10" t="n">
        <v>14064</v>
      </c>
      <c r="AJ2644" s="11" t="n">
        <v>158961</v>
      </c>
      <c r="AK2644" s="12" t="n">
        <v>29360</v>
      </c>
      <c r="AL2644" s="12" t="n">
        <v>19222</v>
      </c>
      <c r="AM2644" s="13" t="n">
        <v>21.9</v>
      </c>
      <c r="AN2644" s="13" t="n">
        <v>41.7</v>
      </c>
      <c r="AO2644" s="13" t="n">
        <v>21.5</v>
      </c>
      <c r="AP2644" s="13" t="n">
        <v>153.9</v>
      </c>
    </row>
    <row r="2645">
      <c r="A2645" s="5" t="inlineStr">
        <is>
          <t>글로벌에스엠</t>
        </is>
      </c>
      <c r="B2645" s="6" t="inlineStr">
        <is>
          <t>900070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n">
        <v>23</v>
      </c>
      <c r="J2645" s="10" t="n">
        <v>1</v>
      </c>
      <c r="K2645" s="10" t="n">
        <v>0</v>
      </c>
      <c r="L2645" s="7" t="n">
        <v>23</v>
      </c>
      <c r="M2645" s="8" t="n">
        <v>1</v>
      </c>
      <c r="N2645" s="8" t="n">
        <v>1</v>
      </c>
      <c r="O2645" s="9" t="n">
        <v>23</v>
      </c>
      <c r="P2645" s="10" t="n">
        <v>1</v>
      </c>
      <c r="Q2645" s="10" t="n">
        <v>1</v>
      </c>
      <c r="R2645" s="7" t="n">
        <v>21</v>
      </c>
      <c r="S2645" s="8" t="n">
        <v>1</v>
      </c>
      <c r="T2645" s="8" t="n">
        <v>-1</v>
      </c>
      <c r="U2645" s="9" t="n">
        <v>21</v>
      </c>
      <c r="V2645" s="10" t="n">
        <v>1</v>
      </c>
      <c r="W2645" s="10" t="n">
        <v>1</v>
      </c>
      <c r="X2645" s="7" t="n">
        <v>23</v>
      </c>
      <c r="Y2645" s="8" t="n">
        <v>2</v>
      </c>
      <c r="Z2645" s="8" t="n">
        <v>3</v>
      </c>
      <c r="AA2645" s="9" t="n">
        <v>23</v>
      </c>
      <c r="AB2645" s="10" t="n">
        <v>1</v>
      </c>
      <c r="AC2645" s="10" t="n">
        <v>1</v>
      </c>
      <c r="AD2645" s="7" t="n">
        <v>24</v>
      </c>
      <c r="AE2645" s="8" t="n">
        <v>2</v>
      </c>
      <c r="AF2645" s="8" t="n">
        <v>1</v>
      </c>
      <c r="AG2645" s="9" t="n">
        <v>23</v>
      </c>
      <c r="AH2645" s="10" t="n">
        <v>1</v>
      </c>
      <c r="AI2645" s="10" t="n">
        <v>0</v>
      </c>
      <c r="AJ2645" s="11" t="n">
        <v>25</v>
      </c>
      <c r="AK2645" s="12" t="n">
        <v>2</v>
      </c>
      <c r="AL2645" s="12" t="n">
        <v>1</v>
      </c>
      <c r="AM2645" s="13" t="n">
        <v>8.699999999999999</v>
      </c>
      <c r="AN2645" s="13" t="n">
        <v>8.699999999999999</v>
      </c>
      <c r="AO2645" s="13" t="n">
        <v>100</v>
      </c>
      <c r="AP2645" s="13" t="n">
        <v>0</v>
      </c>
    </row>
    <row r="2646">
      <c r="A2646" s="5" t="inlineStr">
        <is>
          <t>파이온엑스</t>
        </is>
      </c>
      <c r="B2646" s="6" t="inlineStr">
        <is>
          <t>900100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4</v>
      </c>
      <c r="J2646" s="10" t="n">
        <v>-3</v>
      </c>
      <c r="K2646" s="10" t="n">
        <v>-3</v>
      </c>
      <c r="L2646" s="7" t="n">
        <v>4</v>
      </c>
      <c r="M2646" s="8" t="n">
        <v>-3</v>
      </c>
      <c r="N2646" s="8" t="n">
        <v>-4</v>
      </c>
      <c r="O2646" s="9" t="n">
        <v>3</v>
      </c>
      <c r="P2646" s="10" t="n">
        <v>-2</v>
      </c>
      <c r="Q2646" s="10" t="n">
        <v>-3</v>
      </c>
      <c r="R2646" s="7" t="n">
        <v>3</v>
      </c>
      <c r="S2646" s="8" t="n">
        <v>0</v>
      </c>
      <c r="T2646" s="8" t="n">
        <v>-2</v>
      </c>
      <c r="U2646" s="9" t="n">
        <v>2</v>
      </c>
      <c r="V2646" s="10" t="n">
        <v>-2</v>
      </c>
      <c r="W2646" s="10" t="n">
        <v>-2</v>
      </c>
      <c r="X2646" s="7" t="n">
        <v>1</v>
      </c>
      <c r="Y2646" s="8" t="n">
        <v>-1</v>
      </c>
      <c r="Z2646" s="8" t="n">
        <v>-3</v>
      </c>
      <c r="AA2646" s="9" t="n">
        <v>1</v>
      </c>
      <c r="AB2646" s="10" t="n">
        <v>-1</v>
      </c>
      <c r="AC2646" s="10" t="n">
        <v>-2</v>
      </c>
      <c r="AD2646" s="7" t="n">
        <v>0</v>
      </c>
      <c r="AE2646" s="8" t="n">
        <v>-2</v>
      </c>
      <c r="AF2646" s="8" t="n">
        <v>-1</v>
      </c>
      <c r="AG2646" s="9" t="n">
        <v>1</v>
      </c>
      <c r="AH2646" s="10" t="n">
        <v>-1</v>
      </c>
      <c r="AI2646" s="10" t="n">
        <v>-1</v>
      </c>
      <c r="AJ2646" s="11" t="n">
        <v>2</v>
      </c>
      <c r="AK2646" s="12" t="n">
        <v>-1</v>
      </c>
      <c r="AL2646" s="12" t="n">
        <v>-1</v>
      </c>
      <c r="AM2646" s="13" t="n">
        <v>100</v>
      </c>
      <c r="AN2646" s="13" t="n">
        <v>100</v>
      </c>
      <c r="AO2646" s="13" t="n">
        <v>0</v>
      </c>
      <c r="AP2646" s="13" t="n">
        <v>0</v>
      </c>
    </row>
    <row r="2647">
      <c r="A2647" s="5" t="inlineStr">
        <is>
          <t>딥커머스</t>
        </is>
      </c>
      <c r="B2647" s="6" t="inlineStr">
        <is>
          <t>900110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66</v>
      </c>
      <c r="J2647" s="10" t="n">
        <v>0</v>
      </c>
      <c r="K2647" s="10" t="n">
        <v>2</v>
      </c>
      <c r="L2647" s="7" t="n">
        <v>105</v>
      </c>
      <c r="M2647" s="8" t="n">
        <v>15</v>
      </c>
      <c r="N2647" s="8" t="n">
        <v>13</v>
      </c>
      <c r="O2647" s="9" t="n">
        <v>93</v>
      </c>
      <c r="P2647" s="10" t="n">
        <v>9</v>
      </c>
      <c r="Q2647" s="10" t="n">
        <v>9</v>
      </c>
      <c r="R2647" s="7" t="n">
        <v>128</v>
      </c>
      <c r="S2647" s="8" t="n">
        <v>19</v>
      </c>
      <c r="T2647" s="8" t="n">
        <v>3</v>
      </c>
      <c r="U2647" s="9" t="n">
        <v>65</v>
      </c>
      <c r="V2647" s="10" t="n">
        <v>3</v>
      </c>
      <c r="W2647" s="10" t="n">
        <v>3</v>
      </c>
      <c r="X2647" s="7" t="n">
        <v>86</v>
      </c>
      <c r="Y2647" s="8" t="n">
        <v>11</v>
      </c>
      <c r="Z2647" s="8" t="n">
        <v>11</v>
      </c>
      <c r="AA2647" s="9" t="n">
        <v>92</v>
      </c>
      <c r="AB2647" s="10" t="n">
        <v>17</v>
      </c>
      <c r="AC2647" s="10" t="n">
        <v>15</v>
      </c>
      <c r="AD2647" s="7" t="n">
        <v>114</v>
      </c>
      <c r="AE2647" s="8" t="n">
        <v>17</v>
      </c>
      <c r="AF2647" s="8" t="n">
        <v>25</v>
      </c>
      <c r="AG2647" s="9" t="n">
        <v>72</v>
      </c>
      <c r="AH2647" s="10" t="n">
        <v>8</v>
      </c>
      <c r="AI2647" s="10" t="n">
        <v>8</v>
      </c>
      <c r="AJ2647" s="11" t="n">
        <v>74</v>
      </c>
      <c r="AK2647" s="12" t="n">
        <v>12</v>
      </c>
      <c r="AL2647" s="12" t="n">
        <v>11</v>
      </c>
      <c r="AM2647" s="13" t="n">
        <v>2.8</v>
      </c>
      <c r="AN2647" s="13" t="n">
        <v>-14</v>
      </c>
      <c r="AO2647" s="13" t="n">
        <v>50</v>
      </c>
      <c r="AP2647" s="13" t="n">
        <v>9.1</v>
      </c>
    </row>
    <row r="2648">
      <c r="A2648" s="5" t="inlineStr">
        <is>
          <t>씨엑스아이</t>
        </is>
      </c>
      <c r="B2648" s="6" t="inlineStr">
        <is>
          <t>900120</t>
        </is>
      </c>
      <c r="C2648" s="6" t="inlineStr">
        <is>
          <t>연결</t>
        </is>
      </c>
      <c r="D2648" s="6" t="inlineStr">
        <is>
          <t>2025Q4</t>
        </is>
      </c>
      <c r="E2648" s="6" t="inlineStr"/>
      <c r="F2648" s="7" t="inlineStr"/>
      <c r="G2648" s="8" t="inlineStr"/>
      <c r="H2648" s="8" t="inlineStr"/>
      <c r="I2648" s="9" t="n">
        <v>96</v>
      </c>
      <c r="J2648" s="10" t="n">
        <v>31</v>
      </c>
      <c r="K2648" s="10" t="n">
        <v>33</v>
      </c>
      <c r="L2648" s="7" t="n">
        <v>48</v>
      </c>
      <c r="M2648" s="8" t="n">
        <v>-13</v>
      </c>
      <c r="N2648" s="8" t="n">
        <v>-13</v>
      </c>
      <c r="O2648" s="9" t="n">
        <v>71</v>
      </c>
      <c r="P2648" s="10" t="n">
        <v>-7</v>
      </c>
      <c r="Q2648" s="10" t="n">
        <v>15</v>
      </c>
      <c r="R2648" s="7" t="n">
        <v>162</v>
      </c>
      <c r="S2648" s="8" t="n">
        <v>91</v>
      </c>
      <c r="T2648" s="8" t="n">
        <v>124</v>
      </c>
      <c r="U2648" s="9" t="n">
        <v>84</v>
      </c>
      <c r="V2648" s="10" t="n">
        <v>25</v>
      </c>
      <c r="W2648" s="10" t="n">
        <v>24</v>
      </c>
      <c r="X2648" s="7" t="n">
        <v>37</v>
      </c>
      <c r="Y2648" s="8" t="n">
        <v>-19</v>
      </c>
      <c r="Z2648" s="8" t="n">
        <v>-19</v>
      </c>
      <c r="AA2648" s="9" t="n">
        <v>53</v>
      </c>
      <c r="AB2648" s="10" t="n">
        <v>-8</v>
      </c>
      <c r="AC2648" s="10" t="n">
        <v>-8</v>
      </c>
      <c r="AD2648" s="7" t="n">
        <v>123</v>
      </c>
      <c r="AE2648" s="8" t="n">
        <v>52</v>
      </c>
      <c r="AF2648" s="8" t="n">
        <v>69</v>
      </c>
      <c r="AG2648" s="9" t="inlineStr"/>
      <c r="AH2648" s="10" t="inlineStr"/>
      <c r="AI2648" s="10" t="inlineStr"/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엘브이엠씨</t>
        </is>
      </c>
      <c r="B2649" s="6" t="inlineStr">
        <is>
          <t>900140</t>
        </is>
      </c>
      <c r="C2649" s="6" t="inlineStr">
        <is>
          <t>연결</t>
        </is>
      </c>
      <c r="D2649" s="6" t="inlineStr">
        <is>
          <t>2026Q2</t>
        </is>
      </c>
      <c r="E2649" s="6" t="inlineStr"/>
      <c r="F2649" s="7" t="inlineStr"/>
      <c r="G2649" s="8" t="inlineStr"/>
      <c r="H2649" s="8" t="inlineStr"/>
      <c r="I2649" s="9" t="n">
        <v>55</v>
      </c>
      <c r="J2649" s="10" t="n">
        <v>2</v>
      </c>
      <c r="K2649" s="10" t="n">
        <v>0</v>
      </c>
      <c r="L2649" s="7" t="n">
        <v>46</v>
      </c>
      <c r="M2649" s="8" t="n">
        <v>3</v>
      </c>
      <c r="N2649" s="8" t="n">
        <v>-2</v>
      </c>
      <c r="O2649" s="9" t="n">
        <v>43</v>
      </c>
      <c r="P2649" s="10" t="n">
        <v>0</v>
      </c>
      <c r="Q2649" s="10" t="n">
        <v>-6</v>
      </c>
      <c r="R2649" s="7" t="n">
        <v>73</v>
      </c>
      <c r="S2649" s="8" t="n">
        <v>7</v>
      </c>
      <c r="T2649" s="8" t="n">
        <v>11</v>
      </c>
      <c r="U2649" s="9" t="n">
        <v>72</v>
      </c>
      <c r="V2649" s="10" t="n">
        <v>8</v>
      </c>
      <c r="W2649" s="10" t="n">
        <v>3</v>
      </c>
      <c r="X2649" s="7" t="n">
        <v>71</v>
      </c>
      <c r="Y2649" s="8" t="n">
        <v>5</v>
      </c>
      <c r="Z2649" s="8" t="n">
        <v>1</v>
      </c>
      <c r="AA2649" s="9" t="n">
        <v>60</v>
      </c>
      <c r="AB2649" s="10" t="n">
        <v>4</v>
      </c>
      <c r="AC2649" s="10" t="n">
        <v>3</v>
      </c>
      <c r="AD2649" s="7" t="n">
        <v>73</v>
      </c>
      <c r="AE2649" s="8" t="n">
        <v>10</v>
      </c>
      <c r="AF2649" s="8" t="n">
        <v>3</v>
      </c>
      <c r="AG2649" s="9" t="n">
        <v>88</v>
      </c>
      <c r="AH2649" s="10" t="n">
        <v>14</v>
      </c>
      <c r="AI2649" s="10" t="n">
        <v>12</v>
      </c>
      <c r="AJ2649" s="11" t="n">
        <v>73</v>
      </c>
      <c r="AK2649" s="12" t="n">
        <v>12</v>
      </c>
      <c r="AL2649" s="12" t="n">
        <v>5</v>
      </c>
      <c r="AM2649" s="13" t="n">
        <v>-17</v>
      </c>
      <c r="AN2649" s="13" t="n">
        <v>2.8</v>
      </c>
      <c r="AO2649" s="13" t="n">
        <v>-14.3</v>
      </c>
      <c r="AP2649" s="13" t="n">
        <v>140</v>
      </c>
    </row>
    <row r="2650">
      <c r="A2650" s="5" t="inlineStr">
        <is>
          <t>크리스탈신소재</t>
        </is>
      </c>
      <c r="B2650" s="6" t="inlineStr">
        <is>
          <t>900250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110</v>
      </c>
      <c r="J2650" s="10" t="n">
        <v>25</v>
      </c>
      <c r="K2650" s="10" t="n">
        <v>19</v>
      </c>
      <c r="L2650" s="7" t="n">
        <v>136</v>
      </c>
      <c r="M2650" s="8" t="n">
        <v>27</v>
      </c>
      <c r="N2650" s="8" t="n">
        <v>-15</v>
      </c>
      <c r="O2650" s="9" t="n">
        <v>140</v>
      </c>
      <c r="P2650" s="10" t="n">
        <v>29</v>
      </c>
      <c r="Q2650" s="10" t="n">
        <v>1</v>
      </c>
      <c r="R2650" s="7" t="n">
        <v>133</v>
      </c>
      <c r="S2650" s="8" t="n">
        <v>19</v>
      </c>
      <c r="T2650" s="8" t="n">
        <v>40</v>
      </c>
      <c r="U2650" s="9" t="n">
        <v>113</v>
      </c>
      <c r="V2650" s="10" t="n">
        <v>13</v>
      </c>
      <c r="W2650" s="10" t="n">
        <v>10</v>
      </c>
      <c r="X2650" s="7" t="n">
        <v>148</v>
      </c>
      <c r="Y2650" s="8" t="n">
        <v>30</v>
      </c>
      <c r="Z2650" s="8" t="n">
        <v>26</v>
      </c>
      <c r="AA2650" s="9" t="n">
        <v>142</v>
      </c>
      <c r="AB2650" s="10" t="n">
        <v>23</v>
      </c>
      <c r="AC2650" s="10" t="n">
        <v>20</v>
      </c>
      <c r="AD2650" s="7" t="n">
        <v>-50</v>
      </c>
      <c r="AE2650" s="8" t="n">
        <v>-12</v>
      </c>
      <c r="AF2650" s="8" t="n">
        <v>-65</v>
      </c>
      <c r="AG2650" s="9" t="n">
        <v>55</v>
      </c>
      <c r="AH2650" s="10" t="n">
        <v>3</v>
      </c>
      <c r="AI2650" s="10" t="n">
        <v>2</v>
      </c>
      <c r="AJ2650" s="11" t="n">
        <v>90</v>
      </c>
      <c r="AK2650" s="12" t="n">
        <v>12</v>
      </c>
      <c r="AL2650" s="12" t="n">
        <v>8</v>
      </c>
      <c r="AM2650" s="13" t="n">
        <v>63.6</v>
      </c>
      <c r="AN2650" s="13" t="n">
        <v>-39.2</v>
      </c>
      <c r="AO2650" s="13" t="n">
        <v>300</v>
      </c>
      <c r="AP2650" s="13" t="n">
        <v>-60</v>
      </c>
    </row>
    <row r="2651">
      <c r="A2651" s="5" t="inlineStr">
        <is>
          <t>로스웰</t>
        </is>
      </c>
      <c r="B2651" s="6" t="inlineStr">
        <is>
          <t>900260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699</v>
      </c>
      <c r="J2651" s="10" t="n">
        <v>48</v>
      </c>
      <c r="K2651" s="10" t="n">
        <v>53</v>
      </c>
      <c r="L2651" s="7" t="n">
        <v>682</v>
      </c>
      <c r="M2651" s="8" t="n">
        <v>27</v>
      </c>
      <c r="N2651" s="8" t="n">
        <v>12</v>
      </c>
      <c r="O2651" s="9" t="n">
        <v>643</v>
      </c>
      <c r="P2651" s="10" t="n">
        <v>12</v>
      </c>
      <c r="Q2651" s="10" t="n">
        <v>11</v>
      </c>
      <c r="R2651" s="7" t="n">
        <v>669</v>
      </c>
      <c r="S2651" s="8" t="n">
        <v>16</v>
      </c>
      <c r="T2651" s="8" t="n">
        <v>16</v>
      </c>
      <c r="U2651" s="9" t="n">
        <v>618</v>
      </c>
      <c r="V2651" s="10" t="n">
        <v>1</v>
      </c>
      <c r="W2651" s="10" t="n">
        <v>5</v>
      </c>
      <c r="X2651" s="7" t="n">
        <v>655</v>
      </c>
      <c r="Y2651" s="8" t="n">
        <v>11</v>
      </c>
      <c r="Z2651" s="8" t="n">
        <v>24</v>
      </c>
      <c r="AA2651" s="9" t="n">
        <v>692</v>
      </c>
      <c r="AB2651" s="10" t="n">
        <v>10</v>
      </c>
      <c r="AC2651" s="10" t="n">
        <v>14</v>
      </c>
      <c r="AD2651" s="7" t="n">
        <v>1853</v>
      </c>
      <c r="AE2651" s="8" t="n">
        <v>34</v>
      </c>
      <c r="AF2651" s="8" t="n">
        <v>56</v>
      </c>
      <c r="AG2651" s="9" t="n">
        <v>1240</v>
      </c>
      <c r="AH2651" s="10" t="n">
        <v>33</v>
      </c>
      <c r="AI2651" s="10" t="n">
        <v>43</v>
      </c>
      <c r="AJ2651" s="11" t="n">
        <v>1083</v>
      </c>
      <c r="AK2651" s="12" t="n">
        <v>27</v>
      </c>
      <c r="AL2651" s="12" t="n">
        <v>34</v>
      </c>
      <c r="AM2651" s="13" t="n">
        <v>-12.7</v>
      </c>
      <c r="AN2651" s="13" t="n">
        <v>65.3</v>
      </c>
      <c r="AO2651" s="13" t="n">
        <v>-18.2</v>
      </c>
      <c r="AP2651" s="13" t="n">
        <v>145.5</v>
      </c>
    </row>
    <row r="2652">
      <c r="A2652" s="5" t="inlineStr">
        <is>
          <t>헝셩그룹</t>
        </is>
      </c>
      <c r="B2652" s="6" t="inlineStr">
        <is>
          <t>900270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124</v>
      </c>
      <c r="J2652" s="10" t="n">
        <v>-1</v>
      </c>
      <c r="K2652" s="10" t="n">
        <v>0</v>
      </c>
      <c r="L2652" s="7" t="n">
        <v>188</v>
      </c>
      <c r="M2652" s="8" t="n">
        <v>14</v>
      </c>
      <c r="N2652" s="8" t="n">
        <v>8</v>
      </c>
      <c r="O2652" s="9" t="n">
        <v>209</v>
      </c>
      <c r="P2652" s="10" t="n">
        <v>23</v>
      </c>
      <c r="Q2652" s="10" t="n">
        <v>20</v>
      </c>
      <c r="R2652" s="7" t="n">
        <v>98</v>
      </c>
      <c r="S2652" s="8" t="n">
        <v>3</v>
      </c>
      <c r="T2652" s="8" t="n">
        <v>-16</v>
      </c>
      <c r="U2652" s="9" t="n">
        <v>93</v>
      </c>
      <c r="V2652" s="10" t="n">
        <v>-6</v>
      </c>
      <c r="W2652" s="10" t="n">
        <v>-4</v>
      </c>
      <c r="X2652" s="7" t="n">
        <v>140</v>
      </c>
      <c r="Y2652" s="8" t="n">
        <v>-1</v>
      </c>
      <c r="Z2652" s="8" t="n">
        <v>4</v>
      </c>
      <c r="AA2652" s="9" t="n">
        <v>151</v>
      </c>
      <c r="AB2652" s="10" t="n">
        <v>7</v>
      </c>
      <c r="AC2652" s="10" t="n">
        <v>4</v>
      </c>
      <c r="AD2652" s="7" t="n">
        <v>166</v>
      </c>
      <c r="AE2652" s="8" t="n">
        <v>-1</v>
      </c>
      <c r="AF2652" s="8" t="n">
        <v>-27</v>
      </c>
      <c r="AG2652" s="9" t="n">
        <v>105</v>
      </c>
      <c r="AH2652" s="10" t="n">
        <v>0</v>
      </c>
      <c r="AI2652" s="10" t="n">
        <v>8</v>
      </c>
      <c r="AJ2652" s="11" t="n">
        <v>134</v>
      </c>
      <c r="AK2652" s="12" t="n">
        <v>0</v>
      </c>
      <c r="AL2652" s="12" t="n">
        <v>8</v>
      </c>
      <c r="AM2652" s="13" t="n">
        <v>27.6</v>
      </c>
      <c r="AN2652" s="13" t="n">
        <v>-4.3</v>
      </c>
      <c r="AO2652" s="13" t="inlineStr"/>
      <c r="AP2652" s="13" t="n">
        <v>100</v>
      </c>
    </row>
    <row r="2653">
      <c r="A2653" s="5" t="inlineStr">
        <is>
          <t>GRT</t>
        </is>
      </c>
      <c r="B2653" s="6" t="inlineStr">
        <is>
          <t>900290</t>
        </is>
      </c>
      <c r="C2653" s="6" t="inlineStr">
        <is>
          <t>연결</t>
        </is>
      </c>
      <c r="D2653" s="6" t="inlineStr">
        <is>
          <t>2025Q4</t>
        </is>
      </c>
      <c r="E2653" s="6" t="inlineStr"/>
      <c r="F2653" s="7" t="inlineStr"/>
      <c r="G2653" s="8" t="inlineStr"/>
      <c r="H2653" s="8" t="inlineStr"/>
      <c r="I2653" s="9" t="n">
        <v>1281</v>
      </c>
      <c r="J2653" s="10" t="n">
        <v>167</v>
      </c>
      <c r="K2653" s="10" t="n">
        <v>123</v>
      </c>
      <c r="L2653" s="7" t="n">
        <v>1317</v>
      </c>
      <c r="M2653" s="8" t="n">
        <v>204</v>
      </c>
      <c r="N2653" s="8" t="n">
        <v>145</v>
      </c>
      <c r="O2653" s="9" t="n">
        <v>1056</v>
      </c>
      <c r="P2653" s="10" t="n">
        <v>173</v>
      </c>
      <c r="Q2653" s="10" t="n">
        <v>130</v>
      </c>
      <c r="R2653" s="7" t="n">
        <v>920</v>
      </c>
      <c r="S2653" s="8" t="n">
        <v>254</v>
      </c>
      <c r="T2653" s="8" t="n">
        <v>202</v>
      </c>
      <c r="U2653" s="9" t="n">
        <v>1359</v>
      </c>
      <c r="V2653" s="10" t="n">
        <v>222</v>
      </c>
      <c r="W2653" s="10" t="n">
        <v>177</v>
      </c>
      <c r="X2653" s="7" t="n">
        <v>1499</v>
      </c>
      <c r="Y2653" s="8" t="n">
        <v>235</v>
      </c>
      <c r="Z2653" s="8" t="n">
        <v>168</v>
      </c>
      <c r="AA2653" s="9" t="n">
        <v>1070</v>
      </c>
      <c r="AB2653" s="10" t="n">
        <v>145</v>
      </c>
      <c r="AC2653" s="10" t="n">
        <v>118</v>
      </c>
      <c r="AD2653" s="7" t="n">
        <v>1015</v>
      </c>
      <c r="AE2653" s="8" t="n">
        <v>106</v>
      </c>
      <c r="AF2653" s="8" t="n">
        <v>33</v>
      </c>
      <c r="AG2653" s="9" t="inlineStr"/>
      <c r="AH2653" s="10" t="inlineStr"/>
      <c r="AI2653" s="10" t="inlineStr"/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오가닉티코스메틱</t>
        </is>
      </c>
      <c r="B2654" s="6" t="inlineStr">
        <is>
          <t>900300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139</v>
      </c>
      <c r="J2654" s="10" t="n">
        <v>-41</v>
      </c>
      <c r="K2654" s="10" t="n">
        <v>-42</v>
      </c>
      <c r="L2654" s="7" t="n">
        <v>207</v>
      </c>
      <c r="M2654" s="8" t="n">
        <v>-120</v>
      </c>
      <c r="N2654" s="8" t="n">
        <v>-111</v>
      </c>
      <c r="O2654" s="9" t="n">
        <v>271</v>
      </c>
      <c r="P2654" s="10" t="n">
        <v>-133</v>
      </c>
      <c r="Q2654" s="10" t="n">
        <v>-141</v>
      </c>
      <c r="R2654" s="7" t="n">
        <v>254</v>
      </c>
      <c r="S2654" s="8" t="n">
        <v>-46</v>
      </c>
      <c r="T2654" s="8" t="n">
        <v>43</v>
      </c>
      <c r="U2654" s="9" t="n">
        <v>157</v>
      </c>
      <c r="V2654" s="10" t="n">
        <v>-49</v>
      </c>
      <c r="W2654" s="10" t="n">
        <v>-47</v>
      </c>
      <c r="X2654" s="7" t="n">
        <v>234</v>
      </c>
      <c r="Y2654" s="8" t="n">
        <v>-95</v>
      </c>
      <c r="Z2654" s="8" t="n">
        <v>-174</v>
      </c>
      <c r="AA2654" s="9" t="n">
        <v>234</v>
      </c>
      <c r="AB2654" s="10" t="n">
        <v>-142</v>
      </c>
      <c r="AC2654" s="10" t="n">
        <v>-127</v>
      </c>
      <c r="AD2654" s="7" t="n">
        <v>302</v>
      </c>
      <c r="AE2654" s="8" t="n">
        <v>-25</v>
      </c>
      <c r="AF2654" s="8" t="n">
        <v>-41</v>
      </c>
      <c r="AG2654" s="9" t="n">
        <v>195</v>
      </c>
      <c r="AH2654" s="10" t="n">
        <v>-35</v>
      </c>
      <c r="AI2654" s="10" t="n">
        <v>-41</v>
      </c>
      <c r="AJ2654" s="11" t="n">
        <v>365</v>
      </c>
      <c r="AK2654" s="12" t="n">
        <v>65</v>
      </c>
      <c r="AL2654" s="12" t="n">
        <v>65</v>
      </c>
      <c r="AM2654" s="13" t="n">
        <v>87.2</v>
      </c>
      <c r="AN2654" s="13" t="n">
        <v>56</v>
      </c>
      <c r="AO2654" s="13" t="n">
        <v>285.7</v>
      </c>
      <c r="AP2654" s="13" t="n">
        <v>168.4</v>
      </c>
    </row>
    <row r="2655">
      <c r="A2655" s="5" t="inlineStr">
        <is>
          <t>컬러레이</t>
        </is>
      </c>
      <c r="B2655" s="6" t="inlineStr">
        <is>
          <t>900310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41</v>
      </c>
      <c r="J2655" s="10" t="n">
        <v>-5</v>
      </c>
      <c r="K2655" s="10" t="n">
        <v>-5</v>
      </c>
      <c r="L2655" s="7" t="n">
        <v>63</v>
      </c>
      <c r="M2655" s="8" t="n">
        <v>9</v>
      </c>
      <c r="N2655" s="8" t="n">
        <v>20</v>
      </c>
      <c r="O2655" s="9" t="n">
        <v>57</v>
      </c>
      <c r="P2655" s="10" t="n">
        <v>-2</v>
      </c>
      <c r="Q2655" s="10" t="n">
        <v>-8</v>
      </c>
      <c r="R2655" s="7" t="n">
        <v>80</v>
      </c>
      <c r="S2655" s="8" t="n">
        <v>-1</v>
      </c>
      <c r="T2655" s="8" t="n">
        <v>-3</v>
      </c>
      <c r="U2655" s="9" t="n">
        <v>60</v>
      </c>
      <c r="V2655" s="10" t="n">
        <v>4</v>
      </c>
      <c r="W2655" s="10" t="n">
        <v>2</v>
      </c>
      <c r="X2655" s="7" t="n">
        <v>56</v>
      </c>
      <c r="Y2655" s="8" t="n">
        <v>2</v>
      </c>
      <c r="Z2655" s="8" t="n">
        <v>3</v>
      </c>
      <c r="AA2655" s="9" t="n">
        <v>70</v>
      </c>
      <c r="AB2655" s="10" t="n">
        <v>3</v>
      </c>
      <c r="AC2655" s="10" t="n">
        <v>1</v>
      </c>
      <c r="AD2655" s="7" t="n">
        <v>35</v>
      </c>
      <c r="AE2655" s="8" t="n">
        <v>-8</v>
      </c>
      <c r="AF2655" s="8" t="n">
        <v>-10</v>
      </c>
      <c r="AG2655" s="9" t="n">
        <v>61</v>
      </c>
      <c r="AH2655" s="10" t="n">
        <v>7</v>
      </c>
      <c r="AI2655" s="10" t="n">
        <v>3</v>
      </c>
      <c r="AJ2655" s="11" t="n">
        <v>47</v>
      </c>
      <c r="AK2655" s="12" t="n">
        <v>3</v>
      </c>
      <c r="AL2655" s="12" t="n">
        <v>1</v>
      </c>
      <c r="AM2655" s="13" t="n">
        <v>-23</v>
      </c>
      <c r="AN2655" s="13" t="n">
        <v>-16.1</v>
      </c>
      <c r="AO2655" s="13" t="n">
        <v>-57.1</v>
      </c>
      <c r="AP2655" s="13" t="n">
        <v>50</v>
      </c>
    </row>
    <row r="2656">
      <c r="A2656" s="5" t="inlineStr">
        <is>
          <t>윙입푸드</t>
        </is>
      </c>
      <c r="B2656" s="6" t="inlineStr">
        <is>
          <t>900340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243</v>
      </c>
      <c r="J2656" s="10" t="n">
        <v>41</v>
      </c>
      <c r="K2656" s="10" t="n">
        <v>31</v>
      </c>
      <c r="L2656" s="7" t="n">
        <v>252</v>
      </c>
      <c r="M2656" s="8" t="n">
        <v>28</v>
      </c>
      <c r="N2656" s="8" t="n">
        <v>28</v>
      </c>
      <c r="O2656" s="9" t="n">
        <v>266</v>
      </c>
      <c r="P2656" s="10" t="n">
        <v>19</v>
      </c>
      <c r="Q2656" s="10" t="n">
        <v>14</v>
      </c>
      <c r="R2656" s="7" t="n">
        <v>280</v>
      </c>
      <c r="S2656" s="8" t="n">
        <v>20</v>
      </c>
      <c r="T2656" s="8" t="n">
        <v>3</v>
      </c>
      <c r="U2656" s="9" t="n">
        <v>250</v>
      </c>
      <c r="V2656" s="10" t="n">
        <v>30</v>
      </c>
      <c r="W2656" s="10" t="n">
        <v>17</v>
      </c>
      <c r="X2656" s="7" t="n">
        <v>259</v>
      </c>
      <c r="Y2656" s="8" t="n">
        <v>18</v>
      </c>
      <c r="Z2656" s="8" t="n">
        <v>15</v>
      </c>
      <c r="AA2656" s="9" t="n">
        <v>230</v>
      </c>
      <c r="AB2656" s="10" t="n">
        <v>0</v>
      </c>
      <c r="AC2656" s="10" t="n">
        <v>-1</v>
      </c>
      <c r="AD2656" s="7" t="n">
        <v>233</v>
      </c>
      <c r="AE2656" s="8" t="n">
        <v>27</v>
      </c>
      <c r="AF2656" s="8" t="n">
        <v>25</v>
      </c>
      <c r="AG2656" s="9" t="n">
        <v>219</v>
      </c>
      <c r="AH2656" s="10" t="n">
        <v>13</v>
      </c>
      <c r="AI2656" s="10" t="n">
        <v>3</v>
      </c>
      <c r="AJ2656" s="11" t="n">
        <v>218</v>
      </c>
      <c r="AK2656" s="12" t="n">
        <v>27</v>
      </c>
      <c r="AL2656" s="12" t="n">
        <v>14</v>
      </c>
      <c r="AM2656" s="13" t="n">
        <v>-0.5</v>
      </c>
      <c r="AN2656" s="13" t="n">
        <v>-15.8</v>
      </c>
      <c r="AO2656" s="13" t="n">
        <v>107.7</v>
      </c>
      <c r="AP2656" s="13" t="n">
        <v>50</v>
      </c>
    </row>
    <row r="2657">
      <c r="A2657" s="5" t="inlineStr">
        <is>
          <t>엑세스바이오</t>
        </is>
      </c>
      <c r="B2657" s="6" t="inlineStr">
        <is>
          <t>950130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26</v>
      </c>
      <c r="J2657" s="10" t="n">
        <v>2</v>
      </c>
      <c r="K2657" s="10" t="n">
        <v>2</v>
      </c>
      <c r="L2657" s="7" t="n">
        <v>19</v>
      </c>
      <c r="M2657" s="8" t="n">
        <v>-2</v>
      </c>
      <c r="N2657" s="8" t="n">
        <v>1</v>
      </c>
      <c r="O2657" s="9" t="n">
        <v>16</v>
      </c>
      <c r="P2657" s="10" t="n">
        <v>-6</v>
      </c>
      <c r="Q2657" s="10" t="n">
        <v>-4</v>
      </c>
      <c r="R2657" s="7" t="n">
        <v>21</v>
      </c>
      <c r="S2657" s="8" t="n">
        <v>3</v>
      </c>
      <c r="T2657" s="8" t="n">
        <v>0</v>
      </c>
      <c r="U2657" s="9" t="n">
        <v>15</v>
      </c>
      <c r="V2657" s="10" t="n">
        <v>-6</v>
      </c>
      <c r="W2657" s="10" t="n">
        <v>-5</v>
      </c>
      <c r="X2657" s="7" t="n">
        <v>1</v>
      </c>
      <c r="Y2657" s="8" t="n">
        <v>-14</v>
      </c>
      <c r="Z2657" s="8" t="n">
        <v>-8</v>
      </c>
      <c r="AA2657" s="9" t="n">
        <v>3</v>
      </c>
      <c r="AB2657" s="10" t="n">
        <v>-10</v>
      </c>
      <c r="AC2657" s="10" t="n">
        <v>-8</v>
      </c>
      <c r="AD2657" s="7" t="n">
        <v>3</v>
      </c>
      <c r="AE2657" s="8" t="n">
        <v>-15</v>
      </c>
      <c r="AF2657" s="8" t="n">
        <v>-37</v>
      </c>
      <c r="AG2657" s="9" t="n">
        <v>4</v>
      </c>
      <c r="AH2657" s="10" t="n">
        <v>-8</v>
      </c>
      <c r="AI2657" s="10" t="n">
        <v>-5</v>
      </c>
      <c r="AJ2657" s="11" t="n">
        <v>6</v>
      </c>
      <c r="AK2657" s="12" t="n">
        <v>-16</v>
      </c>
      <c r="AL2657" s="12" t="n">
        <v>-26</v>
      </c>
      <c r="AM2657" s="13" t="n">
        <v>50</v>
      </c>
      <c r="AN2657" s="13" t="n">
        <v>500</v>
      </c>
      <c r="AO2657" s="13" t="n">
        <v>-100</v>
      </c>
      <c r="AP2657" s="13" t="n">
        <v>-14.3</v>
      </c>
    </row>
    <row r="2658">
      <c r="A2658" s="5" t="inlineStr">
        <is>
          <t>잉글우드랩</t>
        </is>
      </c>
      <c r="B2658" s="6" t="inlineStr">
        <is>
          <t>950140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57218</v>
      </c>
      <c r="G2658" s="15" t="n">
        <v>7959</v>
      </c>
      <c r="H2658" s="15" t="n">
        <v>3019</v>
      </c>
      <c r="I2658" s="9" t="n">
        <v>40</v>
      </c>
      <c r="J2658" s="10" t="n">
        <v>5</v>
      </c>
      <c r="K2658" s="10" t="n">
        <v>5</v>
      </c>
      <c r="L2658" s="7" t="n">
        <v>34</v>
      </c>
      <c r="M2658" s="8" t="n">
        <v>3</v>
      </c>
      <c r="N2658" s="8" t="n">
        <v>3</v>
      </c>
      <c r="O2658" s="9" t="n">
        <v>30</v>
      </c>
      <c r="P2658" s="10" t="n">
        <v>3</v>
      </c>
      <c r="Q2658" s="10" t="n">
        <v>0</v>
      </c>
      <c r="R2658" s="7" t="n">
        <v>30</v>
      </c>
      <c r="S2658" s="8" t="n">
        <v>3</v>
      </c>
      <c r="T2658" s="8" t="n">
        <v>6</v>
      </c>
      <c r="U2658" s="9" t="n">
        <v>29</v>
      </c>
      <c r="V2658" s="10" t="n">
        <v>3</v>
      </c>
      <c r="W2658" s="10" t="n">
        <v>2</v>
      </c>
      <c r="X2658" s="7" t="n">
        <v>41</v>
      </c>
      <c r="Y2658" s="8" t="n">
        <v>7</v>
      </c>
      <c r="Z2658" s="8" t="n">
        <v>2</v>
      </c>
      <c r="AA2658" s="9" t="n">
        <v>45</v>
      </c>
      <c r="AB2658" s="10" t="n">
        <v>10</v>
      </c>
      <c r="AC2658" s="10" t="n">
        <v>8</v>
      </c>
      <c r="AD2658" s="7" t="n">
        <v>37</v>
      </c>
      <c r="AE2658" s="8" t="n">
        <v>6</v>
      </c>
      <c r="AF2658" s="8" t="n">
        <v>5</v>
      </c>
      <c r="AG2658" s="9" t="n">
        <v>34</v>
      </c>
      <c r="AH2658" s="10" t="n">
        <v>4</v>
      </c>
      <c r="AI2658" s="10" t="n">
        <v>5</v>
      </c>
      <c r="AJ2658" s="11" t="n">
        <v>35</v>
      </c>
      <c r="AK2658" s="12" t="n">
        <v>6</v>
      </c>
      <c r="AL2658" s="12" t="n">
        <v>4</v>
      </c>
      <c r="AM2658" s="13" t="n">
        <v>2.9</v>
      </c>
      <c r="AN2658" s="13" t="n">
        <v>-14.6</v>
      </c>
      <c r="AO2658" s="13" t="n">
        <v>50</v>
      </c>
      <c r="AP2658" s="13" t="n">
        <v>-14.3</v>
      </c>
    </row>
    <row r="2659">
      <c r="A2659" s="5" t="inlineStr">
        <is>
          <t>코오롱티슈진</t>
        </is>
      </c>
      <c r="B2659" s="6" t="inlineStr">
        <is>
          <t>950160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1</v>
      </c>
      <c r="J2659" s="10" t="n">
        <v>-3</v>
      </c>
      <c r="K2659" s="10" t="n">
        <v>-3</v>
      </c>
      <c r="L2659" s="7" t="n">
        <v>1</v>
      </c>
      <c r="M2659" s="8" t="n">
        <v>-4</v>
      </c>
      <c r="N2659" s="8" t="n">
        <v>-4</v>
      </c>
      <c r="O2659" s="9" t="n">
        <v>2</v>
      </c>
      <c r="P2659" s="10" t="n">
        <v>-4</v>
      </c>
      <c r="Q2659" s="10" t="n">
        <v>-4</v>
      </c>
      <c r="R2659" s="7" t="n">
        <v>0</v>
      </c>
      <c r="S2659" s="8" t="n">
        <v>-5</v>
      </c>
      <c r="T2659" s="8" t="n">
        <v>-14</v>
      </c>
      <c r="U2659" s="9" t="n">
        <v>1</v>
      </c>
      <c r="V2659" s="10" t="n">
        <v>-4</v>
      </c>
      <c r="W2659" s="10" t="n">
        <v>-4</v>
      </c>
      <c r="X2659" s="7" t="n">
        <v>1</v>
      </c>
      <c r="Y2659" s="8" t="n">
        <v>-4</v>
      </c>
      <c r="Z2659" s="8" t="n">
        <v>-40</v>
      </c>
      <c r="AA2659" s="9" t="n">
        <v>1</v>
      </c>
      <c r="AB2659" s="10" t="n">
        <v>-3</v>
      </c>
      <c r="AC2659" s="10" t="n">
        <v>-4</v>
      </c>
      <c r="AD2659" s="7" t="n">
        <v>1</v>
      </c>
      <c r="AE2659" s="8" t="n">
        <v>-5</v>
      </c>
      <c r="AF2659" s="8" t="n">
        <v>-87</v>
      </c>
      <c r="AG2659" s="9" t="n">
        <v>1</v>
      </c>
      <c r="AH2659" s="10" t="n">
        <v>-4</v>
      </c>
      <c r="AI2659" s="10" t="n">
        <v>-68</v>
      </c>
      <c r="AJ2659" s="11" t="n">
        <v>1</v>
      </c>
      <c r="AK2659" s="12" t="n">
        <v>-5</v>
      </c>
      <c r="AL2659" s="12" t="n">
        <v>33</v>
      </c>
      <c r="AM2659" s="13" t="n">
        <v>0</v>
      </c>
      <c r="AN2659" s="13" t="n">
        <v>0</v>
      </c>
      <c r="AO2659" s="13" t="n">
        <v>-25</v>
      </c>
      <c r="AP2659" s="13" t="n">
        <v>-25</v>
      </c>
    </row>
    <row r="2660">
      <c r="A2660" s="5" t="inlineStr">
        <is>
          <t>JTC</t>
        </is>
      </c>
      <c r="B2660" s="6" t="inlineStr">
        <is>
          <t>950170</t>
        </is>
      </c>
      <c r="C2660" s="6" t="inlineStr">
        <is>
          <t>연결</t>
        </is>
      </c>
      <c r="D2660" s="6" t="inlineStr">
        <is>
          <t>2026Q1</t>
        </is>
      </c>
      <c r="E2660" s="6" t="inlineStr"/>
      <c r="F2660" s="7" t="inlineStr"/>
      <c r="G2660" s="8" t="inlineStr"/>
      <c r="H2660" s="8" t="inlineStr"/>
      <c r="I2660" s="9" t="n">
        <v>9265</v>
      </c>
      <c r="J2660" s="10" t="n">
        <v>1254</v>
      </c>
      <c r="K2660" s="10" t="n">
        <v>1299</v>
      </c>
      <c r="L2660" s="7" t="n">
        <v>8704</v>
      </c>
      <c r="M2660" s="8" t="n">
        <v>1029</v>
      </c>
      <c r="N2660" s="8" t="n">
        <v>798</v>
      </c>
      <c r="O2660" s="9" t="n">
        <v>8165</v>
      </c>
      <c r="P2660" s="10" t="n">
        <v>871</v>
      </c>
      <c r="Q2660" s="10" t="n">
        <v>745</v>
      </c>
      <c r="R2660" s="7" t="n">
        <v>-9866</v>
      </c>
      <c r="S2660" s="8" t="n">
        <v>-779</v>
      </c>
      <c r="T2660" s="8" t="n">
        <v>-624</v>
      </c>
      <c r="U2660" s="9" t="n">
        <v>10048</v>
      </c>
      <c r="V2660" s="10" t="n">
        <v>1169</v>
      </c>
      <c r="W2660" s="10" t="n">
        <v>837</v>
      </c>
      <c r="X2660" s="7" t="n">
        <v>7876</v>
      </c>
      <c r="Y2660" s="8" t="n">
        <v>200</v>
      </c>
      <c r="Z2660" s="8" t="n">
        <v>89</v>
      </c>
      <c r="AA2660" s="9" t="n">
        <v>9157</v>
      </c>
      <c r="AB2660" s="10" t="n">
        <v>767</v>
      </c>
      <c r="AC2660" s="10" t="n">
        <v>575</v>
      </c>
      <c r="AD2660" s="7" t="n">
        <v>6946</v>
      </c>
      <c r="AE2660" s="8" t="n">
        <v>3107</v>
      </c>
      <c r="AF2660" s="8" t="n">
        <v>7014</v>
      </c>
      <c r="AG2660" s="9" t="n">
        <v>4902</v>
      </c>
      <c r="AH2660" s="10" t="n">
        <v>228</v>
      </c>
      <c r="AI2660" s="10" t="n">
        <v>106</v>
      </c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고스트스튜디오</t>
        </is>
      </c>
      <c r="B2661" s="6" t="inlineStr">
        <is>
          <t>950190</t>
        </is>
      </c>
      <c r="C2661" s="6" t="inlineStr">
        <is>
          <t>연결</t>
        </is>
      </c>
      <c r="D2661" s="6" t="inlineStr">
        <is>
          <t>2026Q2</t>
        </is>
      </c>
      <c r="E2661" s="6" t="inlineStr">
        <is>
          <t>2023Q4</t>
        </is>
      </c>
      <c r="F2661" s="14" t="n">
        <v>25341</v>
      </c>
      <c r="G2661" s="15" t="n">
        <v>4162</v>
      </c>
      <c r="H2661" s="15" t="n">
        <v>2432</v>
      </c>
      <c r="I2661" s="9" t="n">
        <v>17</v>
      </c>
      <c r="J2661" s="10" t="n">
        <v>4</v>
      </c>
      <c r="K2661" s="10" t="n">
        <v>4</v>
      </c>
      <c r="L2661" s="7" t="n">
        <v>16</v>
      </c>
      <c r="M2661" s="8" t="n">
        <v>4</v>
      </c>
      <c r="N2661" s="8" t="n">
        <v>4</v>
      </c>
      <c r="O2661" s="9" t="n">
        <v>15</v>
      </c>
      <c r="P2661" s="10" t="n">
        <v>2</v>
      </c>
      <c r="Q2661" s="10" t="n">
        <v>3</v>
      </c>
      <c r="R2661" s="7" t="n">
        <v>15</v>
      </c>
      <c r="S2661" s="8" t="n">
        <v>1</v>
      </c>
      <c r="T2661" s="8" t="n">
        <v>-5</v>
      </c>
      <c r="U2661" s="9" t="n">
        <v>14</v>
      </c>
      <c r="V2661" s="10" t="n">
        <v>3</v>
      </c>
      <c r="W2661" s="10" t="n">
        <v>3</v>
      </c>
      <c r="X2661" s="7" t="n">
        <v>15</v>
      </c>
      <c r="Y2661" s="8" t="n">
        <v>3</v>
      </c>
      <c r="Z2661" s="8" t="n">
        <v>2</v>
      </c>
      <c r="AA2661" s="9" t="n">
        <v>15</v>
      </c>
      <c r="AB2661" s="10" t="n">
        <v>3</v>
      </c>
      <c r="AC2661" s="10" t="n">
        <v>3</v>
      </c>
      <c r="AD2661" s="7" t="n">
        <v>35</v>
      </c>
      <c r="AE2661" s="8" t="n">
        <v>2</v>
      </c>
      <c r="AF2661" s="8" t="n">
        <v>-2</v>
      </c>
      <c r="AG2661" s="9" t="n">
        <v>14</v>
      </c>
      <c r="AH2661" s="10" t="n">
        <v>3</v>
      </c>
      <c r="AI2661" s="10" t="n">
        <v>3</v>
      </c>
      <c r="AJ2661" s="11" t="n">
        <v>15</v>
      </c>
      <c r="AK2661" s="12" t="n">
        <v>3</v>
      </c>
      <c r="AL2661" s="12" t="n">
        <v>3</v>
      </c>
      <c r="AM2661" s="13" t="n">
        <v>7.1</v>
      </c>
      <c r="AN2661" s="13" t="n">
        <v>0</v>
      </c>
      <c r="AO2661" s="13" t="n">
        <v>0</v>
      </c>
      <c r="AP2661" s="13" t="n">
        <v>0</v>
      </c>
    </row>
    <row r="2662">
      <c r="A2662" s="5" t="inlineStr">
        <is>
          <t>소마젠</t>
        </is>
      </c>
      <c r="B2662" s="6" t="inlineStr">
        <is>
          <t>950200</t>
        </is>
      </c>
      <c r="C2662" s="6" t="inlineStr">
        <is>
          <t>별도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7</v>
      </c>
      <c r="J2662" s="10" t="n">
        <v>-2</v>
      </c>
      <c r="K2662" s="10" t="n">
        <v>-1</v>
      </c>
      <c r="L2662" s="7" t="n">
        <v>6</v>
      </c>
      <c r="M2662" s="8" t="n">
        <v>-1</v>
      </c>
      <c r="N2662" s="8" t="n">
        <v>-1</v>
      </c>
      <c r="O2662" s="9" t="n">
        <v>9</v>
      </c>
      <c r="P2662" s="10" t="n">
        <v>-1</v>
      </c>
      <c r="Q2662" s="10" t="n">
        <v>-1</v>
      </c>
      <c r="R2662" s="7" t="n">
        <v>10</v>
      </c>
      <c r="S2662" s="8" t="n">
        <v>0</v>
      </c>
      <c r="T2662" s="8" t="n">
        <v>-2</v>
      </c>
      <c r="U2662" s="9" t="n">
        <v>8</v>
      </c>
      <c r="V2662" s="10" t="n">
        <v>-1</v>
      </c>
      <c r="W2662" s="10" t="n">
        <v>-1</v>
      </c>
      <c r="X2662" s="7" t="n">
        <v>11</v>
      </c>
      <c r="Y2662" s="8" t="n">
        <v>0</v>
      </c>
      <c r="Z2662" s="8" t="n">
        <v>-1</v>
      </c>
      <c r="AA2662" s="9" t="n">
        <v>11</v>
      </c>
      <c r="AB2662" s="10" t="n">
        <v>0</v>
      </c>
      <c r="AC2662" s="10" t="n">
        <v>0</v>
      </c>
      <c r="AD2662" s="7" t="n">
        <v>12</v>
      </c>
      <c r="AE2662" s="8" t="n">
        <v>-1</v>
      </c>
      <c r="AF2662" s="8" t="n">
        <v>-1</v>
      </c>
      <c r="AG2662" s="9" t="n">
        <v>9</v>
      </c>
      <c r="AH2662" s="10" t="n">
        <v>0</v>
      </c>
      <c r="AI2662" s="10" t="n">
        <v>0</v>
      </c>
      <c r="AJ2662" s="11" t="n">
        <v>8</v>
      </c>
      <c r="AK2662" s="12" t="n">
        <v>0</v>
      </c>
      <c r="AL2662" s="12" t="n">
        <v>2</v>
      </c>
      <c r="AM2662" s="13" t="n">
        <v>-11.1</v>
      </c>
      <c r="AN2662" s="13" t="n">
        <v>-27.3</v>
      </c>
      <c r="AO2662" s="13" t="inlineStr"/>
      <c r="AP2662" s="13" t="inlineStr"/>
    </row>
    <row r="2663">
      <c r="A2663" s="5" t="inlineStr">
        <is>
          <t>프레스티지바이오파마</t>
        </is>
      </c>
      <c r="B2663" s="6" t="inlineStr">
        <is>
          <t>950210</t>
        </is>
      </c>
      <c r="C2663" s="6" t="inlineStr">
        <is>
          <t>연결</t>
        </is>
      </c>
      <c r="D2663" s="6" t="inlineStr">
        <is>
          <t>2025Q4</t>
        </is>
      </c>
      <c r="E2663" s="6" t="inlineStr"/>
      <c r="F2663" s="7" t="inlineStr"/>
      <c r="G2663" s="8" t="inlineStr"/>
      <c r="H2663" s="8" t="inlineStr"/>
      <c r="I2663" s="9" t="inlineStr"/>
      <c r="J2663" s="10" t="n">
        <v>-11</v>
      </c>
      <c r="K2663" s="10" t="n">
        <v>-8</v>
      </c>
      <c r="L2663" s="7" t="n">
        <v>0</v>
      </c>
      <c r="M2663" s="8" t="n">
        <v>-15</v>
      </c>
      <c r="N2663" s="8" t="n">
        <v>-16</v>
      </c>
      <c r="O2663" s="9" t="n">
        <v>0</v>
      </c>
      <c r="P2663" s="10" t="n">
        <v>-13</v>
      </c>
      <c r="Q2663" s="10" t="n">
        <v>-10</v>
      </c>
      <c r="R2663" s="7" t="inlineStr"/>
      <c r="S2663" s="8" t="n">
        <v>-8</v>
      </c>
      <c r="T2663" s="8" t="n">
        <v>-7</v>
      </c>
      <c r="U2663" s="9" t="n">
        <v>2</v>
      </c>
      <c r="V2663" s="10" t="n">
        <v>-18</v>
      </c>
      <c r="W2663" s="10" t="n">
        <v>-15</v>
      </c>
      <c r="X2663" s="7" t="n">
        <v>5</v>
      </c>
      <c r="Y2663" s="8" t="n">
        <v>-13</v>
      </c>
      <c r="Z2663" s="8" t="n">
        <v>-14</v>
      </c>
      <c r="AA2663" s="9" t="n">
        <v>0</v>
      </c>
      <c r="AB2663" s="10" t="n">
        <v>-11</v>
      </c>
      <c r="AC2663" s="10" t="n">
        <v>33</v>
      </c>
      <c r="AD2663" s="7" t="n">
        <v>3</v>
      </c>
      <c r="AE2663" s="8" t="n">
        <v>-6</v>
      </c>
      <c r="AF2663" s="8" t="n">
        <v>-1</v>
      </c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네오이뮨텍</t>
        </is>
      </c>
      <c r="B2664" s="6" t="inlineStr">
        <is>
          <t>950220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n">
        <v>0</v>
      </c>
      <c r="J2664" s="10" t="n">
        <v>-8</v>
      </c>
      <c r="K2664" s="10" t="n">
        <v>-9</v>
      </c>
      <c r="L2664" s="7" t="n">
        <v>0</v>
      </c>
      <c r="M2664" s="8" t="n">
        <v>-7</v>
      </c>
      <c r="N2664" s="8" t="n">
        <v>-7</v>
      </c>
      <c r="O2664" s="9" t="n">
        <v>1</v>
      </c>
      <c r="P2664" s="10" t="n">
        <v>-8</v>
      </c>
      <c r="Q2664" s="10" t="n">
        <v>-8</v>
      </c>
      <c r="R2664" s="7" t="n">
        <v>-1</v>
      </c>
      <c r="S2664" s="8" t="n">
        <v>-6</v>
      </c>
      <c r="T2664" s="8" t="n">
        <v>-6</v>
      </c>
      <c r="U2664" s="9" t="n">
        <v>0</v>
      </c>
      <c r="V2664" s="10" t="n">
        <v>-6</v>
      </c>
      <c r="W2664" s="10" t="n">
        <v>-6</v>
      </c>
      <c r="X2664" s="7" t="n">
        <v>0</v>
      </c>
      <c r="Y2664" s="8" t="n">
        <v>-5</v>
      </c>
      <c r="Z2664" s="8" t="n">
        <v>-5</v>
      </c>
      <c r="AA2664" s="9" t="n">
        <v>0</v>
      </c>
      <c r="AB2664" s="10" t="n">
        <v>-3</v>
      </c>
      <c r="AC2664" s="10" t="n">
        <v>-4</v>
      </c>
      <c r="AD2664" s="7" t="n">
        <v>0</v>
      </c>
      <c r="AE2664" s="8" t="n">
        <v>-4</v>
      </c>
      <c r="AF2664" s="8" t="n">
        <v>-7</v>
      </c>
      <c r="AG2664" s="9" t="n">
        <v>0</v>
      </c>
      <c r="AH2664" s="10" t="n">
        <v>-4</v>
      </c>
      <c r="AI2664" s="10" t="n">
        <v>-5</v>
      </c>
      <c r="AJ2664" s="11" t="n">
        <v>1</v>
      </c>
      <c r="AK2664" s="12" t="n">
        <v>-3</v>
      </c>
      <c r="AL2664" s="12" t="n">
        <v>0</v>
      </c>
      <c r="AM2664" s="13" t="inlineStr"/>
      <c r="AN2664" s="13" t="inlineStr"/>
      <c r="AO2664" s="13" t="n">
        <v>25</v>
      </c>
      <c r="AP2664" s="13" t="n">
        <v>40</v>
      </c>
    </row>
    <row r="2665">
      <c r="A2665" s="5" t="inlineStr">
        <is>
          <t>테라뷰</t>
        </is>
      </c>
      <c r="B2665" s="6" t="inlineStr">
        <is>
          <t>950250</t>
        </is>
      </c>
      <c r="C2665" s="6" t="inlineStr">
        <is>
          <t>연결</t>
        </is>
      </c>
      <c r="D2665" s="6" t="inlineStr">
        <is>
          <t>2026Q1</t>
        </is>
      </c>
      <c r="E2665" s="6" t="inlineStr"/>
      <c r="F2665" s="7" t="inlineStr"/>
      <c r="G2665" s="8" t="inlineStr"/>
      <c r="H2665" s="8" t="inlineStr"/>
      <c r="I2665" s="9" t="inlineStr"/>
      <c r="J2665" s="10" t="inlineStr"/>
      <c r="K2665" s="10" t="inlineStr"/>
      <c r="L2665" s="7" t="inlineStr"/>
      <c r="M2665" s="8" t="inlineStr"/>
      <c r="N2665" s="8" t="inlineStr"/>
      <c r="O2665" s="9" t="inlineStr"/>
      <c r="P2665" s="10" t="inlineStr"/>
      <c r="Q2665" s="10" t="inlineStr"/>
      <c r="R2665" s="7" t="inlineStr"/>
      <c r="S2665" s="8" t="inlineStr"/>
      <c r="T2665" s="8" t="inlineStr"/>
      <c r="U2665" s="9" t="inlineStr"/>
      <c r="V2665" s="10" t="inlineStr"/>
      <c r="W2665" s="10" t="inlineStr"/>
      <c r="X2665" s="7" t="n">
        <v>1</v>
      </c>
      <c r="Y2665" s="8" t="n">
        <v>-1</v>
      </c>
      <c r="Z2665" s="8" t="n">
        <v>-1</v>
      </c>
      <c r="AA2665" s="9" t="inlineStr"/>
      <c r="AB2665" s="10" t="inlineStr"/>
      <c r="AC2665" s="10" t="inlineStr"/>
      <c r="AD2665" s="7" t="inlineStr"/>
      <c r="AE2665" s="8" t="inlineStr"/>
      <c r="AF2665" s="8" t="inlineStr"/>
      <c r="AG2665" s="9" t="n">
        <v>1</v>
      </c>
      <c r="AH2665" s="10" t="n">
        <v>-2</v>
      </c>
      <c r="AI2665" s="10" t="n">
        <v>-1</v>
      </c>
      <c r="AJ2665" s="11" t="inlineStr"/>
      <c r="AK2665" s="12" t="inlineStr"/>
      <c r="AL2665" s="12" t="inlineStr"/>
      <c r="AM2665" s="13" t="inlineStr"/>
      <c r="AN2665" s="13" t="inlineStr"/>
      <c r="AO2665" s="13" t="inlineStr"/>
      <c r="AP2665" s="13" t="inlineStr"/>
    </row>
    <row r="2666">
      <c r="A2666" s="5" t="inlineStr">
        <is>
          <t>인제니아테라퓨틱스</t>
        </is>
      </c>
      <c r="B2666" s="6" t="inlineStr">
        <is>
          <t>950260</t>
        </is>
      </c>
      <c r="C2666" s="6" t="inlineStr">
        <is>
          <t>연결</t>
        </is>
      </c>
      <c r="D2666" s="6" t="inlineStr">
        <is>
          <t>2026Q2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inlineStr"/>
      <c r="Y2666" s="8" t="inlineStr"/>
      <c r="Z2666" s="8" t="inlineStr"/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inlineStr"/>
      <c r="AH2666" s="10" t="inlineStr"/>
      <c r="AI2666" s="10" t="inlineStr"/>
      <c r="AJ2666" s="11" t="inlineStr"/>
      <c r="AK2666" s="12" t="n">
        <v>0</v>
      </c>
      <c r="AL2666" s="12" t="n">
        <v>0</v>
      </c>
      <c r="AM2666" s="13" t="inlineStr"/>
      <c r="AN2666" s="13" t="inlineStr"/>
      <c r="AO2666" s="13" t="inlineStr"/>
      <c r="AP2666" s="13" t="inlineStr"/>
    </row>
  </sheetData>
  <autoFilter ref="A1:AP26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4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2026Q2</t>
        </is>
      </c>
      <c r="D472" s="6" t="inlineStr">
        <is>
          <t>20260921</t>
        </is>
      </c>
      <c r="E472" s="16" t="n">
        <v>105091</v>
      </c>
      <c r="F472" s="16" t="n">
        <v>96765</v>
      </c>
      <c r="G472" s="16" t="n">
        <v>8326</v>
      </c>
      <c r="H472" s="6" t="inlineStr">
        <is>
          <t>개,백만원</t>
        </is>
      </c>
      <c r="I472" s="17" t="n">
        <v>-30.1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n">
        <v>8326</v>
      </c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HYPERLINK("https://dart.fss.or.kr/dsaf001/main.do?rcpNo=20260921000083",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2026Q2</t>
        </is>
      </c>
      <c r="D569" s="6" t="inlineStr">
        <is>
          <t>20260921</t>
        </is>
      </c>
      <c r="E569" s="16" t="n">
        <v>55308</v>
      </c>
      <c r="F569" s="16" t="inlineStr"/>
      <c r="G569" s="16" t="n">
        <v>16288</v>
      </c>
      <c r="H569" s="6" t="inlineStr">
        <is>
          <t>백만원</t>
        </is>
      </c>
      <c r="I569" s="17" t="n">
        <v>-0.7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n">
        <v>16288</v>
      </c>
      <c r="T569" s="6" t="n">
        <v>0</v>
      </c>
      <c r="U569" s="5" t="inlineStr"/>
      <c r="V569" s="21">
        <f>HYPERLINK("https://dart.fss.or.kr/dsaf001/main.do?rcpNo=20260921000287",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지구홀딩스</t>
        </is>
      </c>
      <c r="B639" s="6" t="inlineStr">
        <is>
          <t>221800</t>
        </is>
      </c>
      <c r="C639" s="6" t="inlineStr">
        <is>
          <t>2026Q2</t>
        </is>
      </c>
      <c r="D639" s="6" t="inlineStr">
        <is>
          <t>20260828</t>
        </is>
      </c>
      <c r="E639" s="16" t="n">
        <v>18076695</v>
      </c>
      <c r="F639" s="16" t="n">
        <v>8642498</v>
      </c>
      <c r="G639" s="16" t="n">
        <v>9434197</v>
      </c>
      <c r="H639" s="6" t="inlineStr"/>
      <c r="I639" s="17" t="inlineStr"/>
      <c r="J639" s="18" t="inlineStr"/>
      <c r="K639" s="19" t="inlineStr"/>
      <c r="L639" s="18" t="inlineStr"/>
      <c r="M639" s="19" t="inlineStr"/>
      <c r="N639" s="18" t="inlineStr"/>
      <c r="O639" s="19" t="inlineStr"/>
      <c r="P639" s="18" t="inlineStr"/>
      <c r="Q639" s="19" t="inlineStr"/>
      <c r="R639" s="18" t="inlineStr"/>
      <c r="S639" s="20" t="n">
        <v>9434197</v>
      </c>
      <c r="T639" s="6" t="n">
        <v>59</v>
      </c>
      <c r="U639" s="5" t="inlineStr">
        <is>
          <t>임상54 / - | 임상3 | 임상57 / -</t>
        </is>
      </c>
      <c r="V639" s="21">
        <f>HYPERLINK("https://dart.fss.or.kr/dsaf001/main.do?rcpNo=20260828001571", "공시열람")</f>
        <v/>
      </c>
    </row>
    <row r="640">
      <c r="A640" s="5" t="inlineStr">
        <is>
          <t>하이즈항공</t>
        </is>
      </c>
      <c r="B640" s="6" t="inlineStr">
        <is>
          <t>221840</t>
        </is>
      </c>
      <c r="C640" s="6" t="inlineStr">
        <is>
          <t>2026Q2</t>
        </is>
      </c>
      <c r="D640" s="6" t="inlineStr">
        <is>
          <t>20260813</t>
        </is>
      </c>
      <c r="E640" s="16" t="n">
        <v>1759074</v>
      </c>
      <c r="F640" s="16" t="n">
        <v>575610</v>
      </c>
      <c r="G640" s="16" t="n">
        <v>1183464</v>
      </c>
      <c r="H640" s="6" t="inlineStr">
        <is>
          <t>백만원</t>
        </is>
      </c>
      <c r="I640" s="17" t="n">
        <v>2.2</v>
      </c>
      <c r="J640" s="18" t="n">
        <v>1131695</v>
      </c>
      <c r="K640" s="19" t="n">
        <v>1143199</v>
      </c>
      <c r="L640" s="18" t="n">
        <v>1116605</v>
      </c>
      <c r="M640" s="19" t="n">
        <v>1119912</v>
      </c>
      <c r="N640" s="18" t="n">
        <v>1140127</v>
      </c>
      <c r="O640" s="19" t="n">
        <v>1100188</v>
      </c>
      <c r="P640" s="18" t="n">
        <v>1076315</v>
      </c>
      <c r="Q640" s="19" t="n">
        <v>1162538</v>
      </c>
      <c r="R640" s="18" t="n">
        <v>1157968</v>
      </c>
      <c r="S640" s="20" t="n">
        <v>1183464</v>
      </c>
      <c r="T640" s="6" t="n">
        <v>2</v>
      </c>
      <c r="U640" s="5" t="inlineStr">
        <is>
          <t>조립 / - | 부품 / -</t>
        </is>
      </c>
      <c r="V640" s="21">
        <f>HYPERLINK("https://dart.fss.or.kr/dsaf001/main.do?rcpNo=20260813000891", "공시열람")</f>
        <v/>
      </c>
    </row>
    <row r="641">
      <c r="A641" s="5" t="inlineStr">
        <is>
          <t>SFA넥셀</t>
        </is>
      </c>
      <c r="B641" s="6" t="inlineStr">
        <is>
          <t>222080</t>
        </is>
      </c>
      <c r="C641" s="6" t="inlineStr">
        <is>
          <t>2026Q2</t>
        </is>
      </c>
      <c r="D641" s="6" t="inlineStr">
        <is>
          <t>20260811</t>
        </is>
      </c>
      <c r="E641" s="16" t="n">
        <v>30830301644</v>
      </c>
      <c r="F641" s="16" t="inlineStr"/>
      <c r="G641" s="16" t="n">
        <v>275070266501</v>
      </c>
      <c r="H641" s="6" t="inlineStr">
        <is>
          <t>원</t>
        </is>
      </c>
      <c r="I641" s="17" t="n">
        <v>-12.6</v>
      </c>
      <c r="J641" s="18" t="n">
        <v>879582723536</v>
      </c>
      <c r="K641" s="19" t="n">
        <v>861484499816</v>
      </c>
      <c r="L641" s="18" t="n">
        <v>593498709419</v>
      </c>
      <c r="M641" s="19" t="n">
        <v>578727566074</v>
      </c>
      <c r="N641" s="18" t="n">
        <v>499803876277</v>
      </c>
      <c r="O641" s="19" t="n">
        <v>370372106841</v>
      </c>
      <c r="P641" s="18" t="n">
        <v>315539623461</v>
      </c>
      <c r="Q641" s="19" t="n">
        <v>258638252519</v>
      </c>
      <c r="R641" s="18" t="n">
        <v>314657269846</v>
      </c>
      <c r="S641" s="20" t="n">
        <v>275070266501</v>
      </c>
      <c r="T641" s="6" t="n">
        <v>4</v>
      </c>
      <c r="U641" s="5" t="inlineStr">
        <is>
          <t>이차전지전극공정장비 등 / 국외 | 증착 및검사ㆍ측정장비 등 / 국외 | 이차전지전극공정장비 등 / 국내</t>
        </is>
      </c>
      <c r="V641" s="21">
        <f>HYPERLINK("https://dart.fss.or.kr/dsaf001/main.do?rcpNo=20260811000495", "공시열람")</f>
        <v/>
      </c>
    </row>
    <row r="642">
      <c r="A642" s="5" t="inlineStr">
        <is>
          <t>팬젠</t>
        </is>
      </c>
      <c r="B642" s="6" t="inlineStr">
        <is>
          <t>222110</t>
        </is>
      </c>
      <c r="C642" s="6" t="inlineStr">
        <is>
          <t>2026Q2</t>
        </is>
      </c>
      <c r="D642" s="6" t="inlineStr">
        <is>
          <t>20260813</t>
        </is>
      </c>
      <c r="E642" s="16" t="n">
        <v>15572618</v>
      </c>
      <c r="F642" s="16" t="n">
        <v>7869888</v>
      </c>
      <c r="G642" s="16" t="n">
        <v>7702730</v>
      </c>
      <c r="H642" s="6" t="inlineStr">
        <is>
          <t>천원,$</t>
        </is>
      </c>
      <c r="I642" s="17" t="n">
        <v>46.3</v>
      </c>
      <c r="J642" s="18" t="n">
        <v>2557174</v>
      </c>
      <c r="K642" s="19" t="n">
        <v>8104838</v>
      </c>
      <c r="L642" s="18" t="n">
        <v>7172031</v>
      </c>
      <c r="M642" s="19" t="n">
        <v>4703538</v>
      </c>
      <c r="N642" s="18" t="n">
        <v>4499182</v>
      </c>
      <c r="O642" s="19" t="n">
        <v>5311994</v>
      </c>
      <c r="P642" s="18" t="n">
        <v>4574962</v>
      </c>
      <c r="Q642" s="19" t="n">
        <v>4450667</v>
      </c>
      <c r="R642" s="18" t="n">
        <v>5265948</v>
      </c>
      <c r="S642" s="20" t="n">
        <v>7702730</v>
      </c>
      <c r="T642" s="6" t="n">
        <v>10</v>
      </c>
      <c r="U642" s="5" t="inlineStr">
        <is>
          <t>CDO / 26.06.22 / 28.12.31 | CMO / 26.04.15 / 26.07.30 | 시험용역 / 24.07.08 / 30.07.07</t>
        </is>
      </c>
      <c r="V642" s="21">
        <f>HYPERLINK("https://dart.fss.or.kr/dsaf001/main.do?rcpNo=20260813001197", "공시열람")</f>
        <v/>
      </c>
    </row>
    <row r="643">
      <c r="A643" s="5" t="inlineStr">
        <is>
          <t>NPX</t>
        </is>
      </c>
      <c r="B643" s="6" t="inlineStr">
        <is>
          <t>222160</t>
        </is>
      </c>
      <c r="C643" s="6" t="inlineStr">
        <is>
          <t>2026Q1</t>
        </is>
      </c>
      <c r="D643" s="6" t="inlineStr">
        <is>
          <t>20260515</t>
        </is>
      </c>
      <c r="E643" s="16" t="n">
        <v>53</v>
      </c>
      <c r="F643" s="16" t="inlineStr"/>
      <c r="G643" s="16" t="n">
        <v>53</v>
      </c>
      <c r="H643" s="6" t="inlineStr">
        <is>
          <t>대/억원</t>
        </is>
      </c>
      <c r="I643" s="17" t="n">
        <v>0</v>
      </c>
      <c r="J643" s="18" t="inlineStr"/>
      <c r="K643" s="19" t="inlineStr"/>
      <c r="L643" s="18" t="inlineStr"/>
      <c r="M643" s="19" t="inlineStr"/>
      <c r="N643" s="18" t="inlineStr"/>
      <c r="O643" s="19" t="inlineStr"/>
      <c r="P643" s="18" t="n">
        <v>3.4</v>
      </c>
      <c r="Q643" s="19" t="n">
        <v>53</v>
      </c>
      <c r="R643" s="18" t="n">
        <v>53</v>
      </c>
      <c r="S643" s="20" t="inlineStr"/>
      <c r="T643" s="6" t="n">
        <v>2</v>
      </c>
      <c r="U643" s="5" t="inlineStr">
        <is>
          <t>반도체기판 전기검사기 | 반도체기판 전기검사기</t>
        </is>
      </c>
      <c r="V643" s="21">
        <f>HYPERLINK("https://dart.fss.or.kr/dsaf001/main.do?rcpNo=20260515001601", "공시열람")</f>
        <v/>
      </c>
    </row>
    <row r="644">
      <c r="A644" s="5" t="inlineStr">
        <is>
          <t>쎄노텍</t>
        </is>
      </c>
      <c r="B644" s="6" t="inlineStr">
        <is>
          <t>222420</t>
        </is>
      </c>
      <c r="C644" s="6" t="inlineStr">
        <is>
          <t>2026Q2</t>
        </is>
      </c>
      <c r="D644" s="6" t="inlineStr">
        <is>
          <t>20260731</t>
        </is>
      </c>
      <c r="E644" s="16" t="n">
        <v>24165347</v>
      </c>
      <c r="F644" s="16" t="n">
        <v>15751360</v>
      </c>
      <c r="G644" s="16" t="n">
        <v>8413987</v>
      </c>
      <c r="H644" s="6" t="inlineStr">
        <is>
          <t>톤,USD</t>
        </is>
      </c>
      <c r="I644" s="17" t="n">
        <v>101.7</v>
      </c>
      <c r="J644" s="18" t="n">
        <v>4349493</v>
      </c>
      <c r="K644" s="19" t="n">
        <v>5246723</v>
      </c>
      <c r="L644" s="18" t="n">
        <v>5973493</v>
      </c>
      <c r="M644" s="19" t="n">
        <v>5911328</v>
      </c>
      <c r="N644" s="18" t="n">
        <v>1843996</v>
      </c>
      <c r="O644" s="19" t="n">
        <v>2107367</v>
      </c>
      <c r="P644" s="18" t="n">
        <v>1736150</v>
      </c>
      <c r="Q644" s="19" t="n">
        <v>3928292</v>
      </c>
      <c r="R644" s="18" t="n">
        <v>4172399</v>
      </c>
      <c r="S644" s="20" t="n">
        <v>8413987</v>
      </c>
      <c r="T644" s="6" t="n">
        <v>6</v>
      </c>
      <c r="U644" s="5" t="inlineStr">
        <is>
          <t>세라믹 비드 / 광산용 및 제지/잉크 등 / 2025- | 이차전지 첨가제 / 2026-01-08 | 플럭스 / 2026-01-08</t>
        </is>
      </c>
      <c r="V644" s="21">
        <f>HYPERLINK("https://dart.fss.or.kr/dsaf001/main.do?rcpNo=20260731000295", "공시열람")</f>
        <v/>
      </c>
    </row>
    <row r="645">
      <c r="A645" s="5" t="inlineStr">
        <is>
          <t>심텍</t>
        </is>
      </c>
      <c r="B645" s="6" t="inlineStr">
        <is>
          <t>222800</t>
        </is>
      </c>
      <c r="C645" s="6" t="inlineStr">
        <is>
          <t>2026Q2</t>
        </is>
      </c>
      <c r="D645" s="6" t="inlineStr">
        <is>
          <t>20260813</t>
        </is>
      </c>
      <c r="E645" s="16" t="n">
        <v>998848</v>
      </c>
      <c r="F645" s="16" t="n">
        <v>606493</v>
      </c>
      <c r="G645" s="16" t="n">
        <v>392355</v>
      </c>
      <c r="H645" s="6" t="inlineStr">
        <is>
          <t>㎡,천USD</t>
        </is>
      </c>
      <c r="I645" s="17" t="n">
        <v>18.7</v>
      </c>
      <c r="J645" s="18" t="n">
        <v>273020</v>
      </c>
      <c r="K645" s="19" t="n">
        <v>140227</v>
      </c>
      <c r="L645" s="18" t="n">
        <v>130125</v>
      </c>
      <c r="M645" s="19" t="n">
        <v>136721</v>
      </c>
      <c r="N645" s="18" t="n">
        <v>118259</v>
      </c>
      <c r="O645" s="19" t="n">
        <v>191263</v>
      </c>
      <c r="P645" s="18" t="n">
        <v>261706</v>
      </c>
      <c r="Q645" s="19" t="n">
        <v>294564</v>
      </c>
      <c r="R645" s="18" t="n">
        <v>330609</v>
      </c>
      <c r="S645" s="20" t="n">
        <v>392355</v>
      </c>
      <c r="T645" s="6" t="n">
        <v>1</v>
      </c>
      <c r="U645" s="5" t="inlineStr">
        <is>
          <t>인쇄회로기판 / 2026.01 ~ 2026.06 / -</t>
        </is>
      </c>
      <c r="V645" s="21">
        <f>HYPERLINK("https://dart.fss.or.kr/dsaf001/main.do?rcpNo=20260813001430", "공시열람")</f>
        <v/>
      </c>
    </row>
    <row r="646">
      <c r="A646" s="5" t="inlineStr">
        <is>
          <t>드림씨아이에스</t>
        </is>
      </c>
      <c r="B646" s="6" t="inlineStr">
        <is>
          <t>223250</t>
        </is>
      </c>
      <c r="C646" s="6" t="inlineStr">
        <is>
          <t>2026Q2</t>
        </is>
      </c>
      <c r="D646" s="6" t="inlineStr">
        <is>
          <t>20260813</t>
        </is>
      </c>
      <c r="E646" s="16" t="n">
        <v>36086726</v>
      </c>
      <c r="F646" s="16" t="inlineStr"/>
      <c r="G646" s="16" t="n">
        <v>251491876</v>
      </c>
      <c r="H646" s="6" t="inlineStr">
        <is>
          <t>천원</t>
        </is>
      </c>
      <c r="I646" s="17" t="n">
        <v>3.6</v>
      </c>
      <c r="J646" s="18" t="n">
        <v>160580539</v>
      </c>
      <c r="K646" s="19" t="n">
        <v>173048794</v>
      </c>
      <c r="L646" s="18" t="n">
        <v>179923823</v>
      </c>
      <c r="M646" s="19" t="n">
        <v>207552658</v>
      </c>
      <c r="N646" s="18" t="n">
        <v>202005742</v>
      </c>
      <c r="O646" s="19" t="n">
        <v>205979766</v>
      </c>
      <c r="P646" s="18" t="n">
        <v>218306863</v>
      </c>
      <c r="Q646" s="19" t="n">
        <v>247112303</v>
      </c>
      <c r="R646" s="18" t="n">
        <v>242848397</v>
      </c>
      <c r="S646" s="20" t="n">
        <v>251491876</v>
      </c>
      <c r="T646" s="6" t="n">
        <v>0</v>
      </c>
      <c r="U646" s="5" t="inlineStr"/>
      <c r="V646" s="21">
        <f>HYPERLINK("https://dart.fss.or.kr/dsaf001/main.do?rcpNo=20260813001135", "공시열람")</f>
        <v/>
      </c>
    </row>
    <row r="647">
      <c r="A647" s="5" t="inlineStr">
        <is>
          <t>더코디</t>
        </is>
      </c>
      <c r="B647" s="6" t="inlineStr">
        <is>
          <t>224060</t>
        </is>
      </c>
      <c r="C647" s="6" t="inlineStr">
        <is>
          <t>2026Q2</t>
        </is>
      </c>
      <c r="D647" s="6" t="inlineStr">
        <is>
          <t>20260814</t>
        </is>
      </c>
      <c r="E647" s="16" t="n">
        <v>12071</v>
      </c>
      <c r="F647" s="16" t="n">
        <v>7858</v>
      </c>
      <c r="G647" s="16" t="n">
        <v>4213</v>
      </c>
      <c r="H647" s="6" t="inlineStr">
        <is>
          <t>백만원</t>
        </is>
      </c>
      <c r="I647" s="17" t="n">
        <v>-3.7</v>
      </c>
      <c r="J647" s="18" t="n">
        <v>1579</v>
      </c>
      <c r="K647" s="19" t="n">
        <v>2283</v>
      </c>
      <c r="L647" s="18" t="n">
        <v>2628</v>
      </c>
      <c r="M647" s="19" t="n">
        <v>1782</v>
      </c>
      <c r="N647" s="18" t="n">
        <v>5615</v>
      </c>
      <c r="O647" s="19" t="n">
        <v>3453</v>
      </c>
      <c r="P647" s="18" t="n">
        <v>4260</v>
      </c>
      <c r="Q647" s="19" t="n">
        <v>4836</v>
      </c>
      <c r="R647" s="18" t="n">
        <v>4376</v>
      </c>
      <c r="S647" s="20" t="n">
        <v>4213</v>
      </c>
      <c r="T647" s="6" t="n">
        <v>1</v>
      </c>
      <c r="U647" s="5" t="inlineStr">
        <is>
          <t>전자부품 / 2026년 2분기 / -</t>
        </is>
      </c>
      <c r="V647" s="21">
        <f>HYPERLINK("https://dart.fss.or.kr/dsaf001/main.do?rcpNo=20260814002189", "공시열람")</f>
        <v/>
      </c>
    </row>
    <row r="648">
      <c r="A648" s="5" t="inlineStr">
        <is>
          <t>엔에스컴퍼니</t>
        </is>
      </c>
      <c r="B648" s="6" t="inlineStr">
        <is>
          <t>224760</t>
        </is>
      </c>
      <c r="C648" s="6" t="inlineStr">
        <is>
          <t>2023Q4</t>
        </is>
      </c>
      <c r="D648" s="6" t="inlineStr">
        <is>
          <t>20240321</t>
        </is>
      </c>
      <c r="E648" s="16" t="n">
        <v>198558319367</v>
      </c>
      <c r="F648" s="16" t="n">
        <v>108229395773</v>
      </c>
      <c r="G648" s="16" t="n">
        <v>90328893594</v>
      </c>
      <c r="H648" s="6" t="inlineStr"/>
      <c r="I648" s="17" t="inlineStr"/>
      <c r="J648" s="18" t="inlineStr"/>
      <c r="K648" s="19" t="inlineStr"/>
      <c r="L648" s="18" t="inlineStr"/>
      <c r="M648" s="19" t="inlineStr"/>
      <c r="N648" s="18" t="inlineStr"/>
      <c r="O648" s="19" t="inlineStr"/>
      <c r="P648" s="18" t="inlineStr"/>
      <c r="Q648" s="19" t="inlineStr"/>
      <c r="R648" s="18" t="inlineStr"/>
      <c r="S648" s="20" t="inlineStr"/>
      <c r="T648" s="6" t="n">
        <v>25</v>
      </c>
      <c r="U648" s="5" t="inlineStr">
        <is>
          <t>당진기지 LNG탱크 건설공사(1,4호기 탱크 본체 기계 | 배관공사(배관 및 소방설비공사) 및 기계공사(Liner | 1,4호기 보온보냉공사</t>
        </is>
      </c>
      <c r="V648" s="21">
        <f>HYPERLINK("https://dart.fss.or.kr/dsaf001/main.do?rcpNo=20240321000764", "공시열람")</f>
        <v/>
      </c>
    </row>
    <row r="649">
      <c r="A649" s="5" t="inlineStr">
        <is>
          <t>엄지하우스</t>
        </is>
      </c>
      <c r="B649" s="6" t="inlineStr">
        <is>
          <t>224810</t>
        </is>
      </c>
      <c r="C649" s="6" t="inlineStr">
        <is>
          <t>2025Q4</t>
        </is>
      </c>
      <c r="D649" s="6" t="inlineStr">
        <is>
          <t>20260323</t>
        </is>
      </c>
      <c r="E649" s="16" t="inlineStr"/>
      <c r="F649" s="16" t="inlineStr"/>
      <c r="G649" s="16" t="n">
        <v>39731310</v>
      </c>
      <c r="H649" s="6" t="inlineStr">
        <is>
          <t>천원</t>
        </is>
      </c>
      <c r="I649" s="17" t="n">
        <v>-26.6</v>
      </c>
      <c r="J649" s="18" t="inlineStr"/>
      <c r="K649" s="19" t="inlineStr"/>
      <c r="L649" s="18" t="inlineStr"/>
      <c r="M649" s="19" t="n">
        <v>54113100</v>
      </c>
      <c r="N649" s="18" t="inlineStr"/>
      <c r="O649" s="19" t="inlineStr"/>
      <c r="P649" s="18" t="inlineStr"/>
      <c r="Q649" s="19" t="n">
        <v>39731310</v>
      </c>
      <c r="R649" s="18" t="inlineStr"/>
      <c r="S649" s="20" t="inlineStr"/>
      <c r="T649" s="6" t="n">
        <v>4</v>
      </c>
      <c r="U649" s="5" t="inlineStr">
        <is>
          <t>C 공용부 시설 / 2025.07.08 / 2026.0 | D 사옥 / 2025.09.08 / 2026.04.30 | A 리조트 / 2025.01.15 / 2026.05.1</t>
        </is>
      </c>
      <c r="V649" s="21">
        <f>HYPERLINK("https://dart.fss.or.kr/dsaf001/main.do?rcpNo=20260323001051", "공시열람")</f>
        <v/>
      </c>
    </row>
    <row r="650">
      <c r="A650" s="5" t="inlineStr">
        <is>
          <t>제놀루션</t>
        </is>
      </c>
      <c r="B650" s="6" t="inlineStr">
        <is>
          <t>225220</t>
        </is>
      </c>
      <c r="C650" s="6" t="inlineStr">
        <is>
          <t>2025Q3</t>
        </is>
      </c>
      <c r="D650" s="6" t="inlineStr">
        <is>
          <t>20251114</t>
        </is>
      </c>
      <c r="E650" s="16" t="inlineStr"/>
      <c r="F650" s="16" t="n">
        <v>7131</v>
      </c>
      <c r="G650" s="16" t="n">
        <v>2193</v>
      </c>
      <c r="H650" s="6" t="inlineStr">
        <is>
          <t>kit,대</t>
        </is>
      </c>
      <c r="I650" s="17" t="n">
        <v>62.7</v>
      </c>
      <c r="J650" s="18" t="n">
        <v>7415</v>
      </c>
      <c r="K650" s="19" t="n">
        <v>1089</v>
      </c>
      <c r="L650" s="18" t="n">
        <v>7144</v>
      </c>
      <c r="M650" s="19" t="n">
        <v>1197</v>
      </c>
      <c r="N650" s="18" t="n">
        <v>878</v>
      </c>
      <c r="O650" s="19" t="n">
        <v>1348</v>
      </c>
      <c r="P650" s="18" t="n">
        <v>2193</v>
      </c>
      <c r="Q650" s="19" t="inlineStr"/>
      <c r="R650" s="18" t="inlineStr"/>
      <c r="S650" s="20" t="inlineStr"/>
      <c r="T650" s="6" t="n">
        <v>1</v>
      </c>
      <c r="U650" s="5" t="inlineStr">
        <is>
          <t>핵산추출시약</t>
        </is>
      </c>
      <c r="V650" s="21">
        <f>HYPERLINK("https://dart.fss.or.kr/dsaf001/main.do?rcpNo=20251114002436", "공시열람")</f>
        <v/>
      </c>
    </row>
    <row r="651">
      <c r="A651" s="5" t="inlineStr">
        <is>
          <t>신테카바이오</t>
        </is>
      </c>
      <c r="B651" s="6" t="inlineStr">
        <is>
          <t>226330</t>
        </is>
      </c>
      <c r="C651" s="6" t="inlineStr">
        <is>
          <t>2026Q2</t>
        </is>
      </c>
      <c r="D651" s="6" t="inlineStr">
        <is>
          <t>20260814</t>
        </is>
      </c>
      <c r="E651" s="16" t="n">
        <v>1061</v>
      </c>
      <c r="F651" s="16" t="n">
        <v>262</v>
      </c>
      <c r="G651" s="16" t="n">
        <v>799</v>
      </c>
      <c r="H651" s="6" t="inlineStr">
        <is>
          <t>백만원</t>
        </is>
      </c>
      <c r="I651" s="17" t="n">
        <v>14.5</v>
      </c>
      <c r="J651" s="18" t="n">
        <v>1000</v>
      </c>
      <c r="K651" s="19" t="n">
        <v>1000</v>
      </c>
      <c r="L651" s="18" t="n">
        <v>1000</v>
      </c>
      <c r="M651" s="19" t="n">
        <v>1000</v>
      </c>
      <c r="N651" s="18" t="n">
        <v>645</v>
      </c>
      <c r="O651" s="19" t="n">
        <v>618</v>
      </c>
      <c r="P651" s="18" t="n">
        <v>591</v>
      </c>
      <c r="Q651" s="19" t="n">
        <v>799</v>
      </c>
      <c r="R651" s="18" t="n">
        <v>698</v>
      </c>
      <c r="S651" s="20" t="n">
        <v>799</v>
      </c>
      <c r="T651" s="6" t="n">
        <v>3</v>
      </c>
      <c r="U651" s="5" t="inlineStr">
        <is>
          <t>DeepMatcher 플랫폼 서비스 / 2024-12- | IDC 서비스 / 2024-11-27 / 2026-12 | IDC 서비스 / 2025-09-01 / 2026-08</t>
        </is>
      </c>
      <c r="V651" s="21">
        <f>HYPERLINK("https://dart.fss.or.kr/dsaf001/main.do?rcpNo=20260814004304", "공시열람")</f>
        <v/>
      </c>
    </row>
    <row r="652">
      <c r="A652" s="5" t="inlineStr">
        <is>
          <t>본느</t>
        </is>
      </c>
      <c r="B652" s="6" t="inlineStr">
        <is>
          <t>226340</t>
        </is>
      </c>
      <c r="C652" s="6" t="inlineStr">
        <is>
          <t>2026Q1</t>
        </is>
      </c>
      <c r="D652" s="6" t="inlineStr">
        <is>
          <t>20260515</t>
        </is>
      </c>
      <c r="E652" s="16" t="n">
        <v>6780514.42</v>
      </c>
      <c r="F652" s="16" t="inlineStr"/>
      <c r="G652" s="16" t="n">
        <v>9046289.17</v>
      </c>
      <c r="H652" s="6" t="inlineStr"/>
      <c r="I652" s="17" t="n">
        <v>-99.90000000000001</v>
      </c>
      <c r="J652" s="18" t="n">
        <v>21677781379</v>
      </c>
      <c r="K652" s="19" t="n">
        <v>17475678328</v>
      </c>
      <c r="L652" s="18" t="n">
        <v>13174852104</v>
      </c>
      <c r="M652" s="19" t="n">
        <v>12496291561</v>
      </c>
      <c r="N652" s="18" t="n">
        <v>12422303518</v>
      </c>
      <c r="O652" s="19" t="n">
        <v>9321569237</v>
      </c>
      <c r="P652" s="18" t="n">
        <v>13211439893</v>
      </c>
      <c r="Q652" s="19" t="n">
        <v>13435653520</v>
      </c>
      <c r="R652" s="18" t="n">
        <v>9046289.17</v>
      </c>
      <c r="S652" s="20" t="inlineStr"/>
      <c r="T652" s="6" t="n">
        <v>16</v>
      </c>
      <c r="U652" s="5" t="inlineStr">
        <is>
          <t>원화환산금액 | 미국 / 기초 및 색조 화장품 / 2026.01~202 | 영국 / 기초 및 색조 화장품 / 2026.01~202</t>
        </is>
      </c>
      <c r="V652" s="21">
        <f>HYPERLINK("https://dart.fss.or.kr/dsaf001/main.do?rcpNo=20260515000479", "공시열람")</f>
        <v/>
      </c>
    </row>
    <row r="653">
      <c r="A653" s="5" t="inlineStr">
        <is>
          <t>LS에코에너지</t>
        </is>
      </c>
      <c r="B653" s="6" t="inlineStr">
        <is>
          <t>229640</t>
        </is>
      </c>
      <c r="C653" s="6" t="inlineStr">
        <is>
          <t>2026Q2</t>
        </is>
      </c>
      <c r="D653" s="6" t="inlineStr">
        <is>
          <t>20260814</t>
        </is>
      </c>
      <c r="E653" s="16" t="n">
        <v>1047999</v>
      </c>
      <c r="F653" s="16" t="inlineStr"/>
      <c r="G653" s="16" t="n">
        <v>245548</v>
      </c>
      <c r="H653" s="6" t="inlineStr">
        <is>
          <t>백만원</t>
        </is>
      </c>
      <c r="I653" s="17" t="n">
        <v>77.3</v>
      </c>
      <c r="J653" s="18" t="n">
        <v>213976</v>
      </c>
      <c r="K653" s="19" t="n">
        <v>215502</v>
      </c>
      <c r="L653" s="18" t="n">
        <v>210156</v>
      </c>
      <c r="M653" s="19" t="n">
        <v>182672</v>
      </c>
      <c r="N653" s="18" t="n">
        <v>194346</v>
      </c>
      <c r="O653" s="19" t="n">
        <v>219550</v>
      </c>
      <c r="P653" s="18" t="n">
        <v>164061</v>
      </c>
      <c r="Q653" s="19" t="n">
        <v>196201</v>
      </c>
      <c r="R653" s="18" t="n">
        <v>138465</v>
      </c>
      <c r="S653" s="20" t="n">
        <v>245548</v>
      </c>
      <c r="T653" s="6" t="n">
        <v>2</v>
      </c>
      <c r="U653" s="5" t="inlineStr">
        <is>
          <t>LS-VINA Cable &amp; System Joint S | LS Cable &amp; System Vietnam Co.,</t>
        </is>
      </c>
      <c r="V653" s="21">
        <f>HYPERLINK("https://dart.fss.or.kr/dsaf001/main.do?rcpNo=20260814002014", "공시열람")</f>
        <v/>
      </c>
    </row>
    <row r="654">
      <c r="A654" s="5" t="inlineStr">
        <is>
          <t>에치에프알</t>
        </is>
      </c>
      <c r="B654" s="6" t="inlineStr">
        <is>
          <t>230240</t>
        </is>
      </c>
      <c r="C654" s="6" t="inlineStr">
        <is>
          <t>2026Q2</t>
        </is>
      </c>
      <c r="D654" s="6" t="inlineStr">
        <is>
          <t>20260814</t>
        </is>
      </c>
      <c r="E654" s="16" t="n">
        <v>9725</v>
      </c>
      <c r="F654" s="16" t="n">
        <v>14177</v>
      </c>
      <c r="G654" s="16" t="n">
        <v>30456</v>
      </c>
      <c r="H654" s="6" t="inlineStr">
        <is>
          <t>백만원</t>
        </is>
      </c>
      <c r="I654" s="17" t="n">
        <v>1838.6</v>
      </c>
      <c r="J654" s="18" t="n">
        <v>19350</v>
      </c>
      <c r="K654" s="19" t="n">
        <v>9116</v>
      </c>
      <c r="L654" s="18" t="n">
        <v>7066</v>
      </c>
      <c r="M654" s="19" t="n">
        <v>10130</v>
      </c>
      <c r="N654" s="18" t="n">
        <v>19577</v>
      </c>
      <c r="O654" s="19" t="n">
        <v>20613</v>
      </c>
      <c r="P654" s="18" t="n">
        <v>24440</v>
      </c>
      <c r="Q654" s="19" t="n">
        <v>2469</v>
      </c>
      <c r="R654" s="18" t="n">
        <v>1571</v>
      </c>
      <c r="S654" s="20" t="n">
        <v>30456</v>
      </c>
      <c r="T654" s="6" t="n">
        <v>2</v>
      </c>
      <c r="U654" s="5" t="inlineStr">
        <is>
          <t>제품 및 솔루션(국내) | 제품 및 솔루션(해외)</t>
        </is>
      </c>
      <c r="V654" s="21">
        <f>HYPERLINK("https://dart.fss.or.kr/dsaf001/main.do?rcpNo=20260814002714", "공시열람")</f>
        <v/>
      </c>
    </row>
    <row r="655">
      <c r="A655" s="5" t="inlineStr">
        <is>
          <t>와이씨</t>
        </is>
      </c>
      <c r="B655" s="6" t="inlineStr">
        <is>
          <t>232140</t>
        </is>
      </c>
      <c r="C655" s="6" t="inlineStr">
        <is>
          <t>2026Q2</t>
        </is>
      </c>
      <c r="D655" s="6" t="inlineStr">
        <is>
          <t>20260814</t>
        </is>
      </c>
      <c r="E655" s="16" t="n">
        <v>243660</v>
      </c>
      <c r="F655" s="16" t="n">
        <v>29450</v>
      </c>
      <c r="G655" s="16" t="n">
        <v>214210</v>
      </c>
      <c r="H655" s="6" t="inlineStr">
        <is>
          <t>백만원</t>
        </is>
      </c>
      <c r="I655" s="17" t="n">
        <v>214.1</v>
      </c>
      <c r="J655" s="18" t="n">
        <v>75888</v>
      </c>
      <c r="K655" s="19" t="n">
        <v>40176</v>
      </c>
      <c r="L655" s="18" t="n">
        <v>119556</v>
      </c>
      <c r="M655" s="19" t="inlineStr"/>
      <c r="N655" s="18" t="inlineStr"/>
      <c r="O655" s="19" t="inlineStr"/>
      <c r="P655" s="18" t="inlineStr"/>
      <c r="Q655" s="19" t="n">
        <v>68200</v>
      </c>
      <c r="R655" s="18" t="inlineStr"/>
      <c r="S655" s="20" t="n">
        <v>214210</v>
      </c>
      <c r="T655" s="6" t="n">
        <v>1</v>
      </c>
      <c r="U655" s="5" t="inlineStr">
        <is>
          <t>Memory Tester / 2025-06-16 / 2</t>
        </is>
      </c>
      <c r="V655" s="21">
        <f>HYPERLINK("https://dart.fss.or.kr/dsaf001/main.do?rcpNo=20260814001745", "공시열람")</f>
        <v/>
      </c>
    </row>
    <row r="656">
      <c r="A656" s="5" t="inlineStr">
        <is>
          <t>232680</t>
        </is>
      </c>
      <c r="B656" s="6" t="inlineStr">
        <is>
          <t>232680</t>
        </is>
      </c>
      <c r="C656" s="6" t="inlineStr">
        <is>
          <t>2026Q2</t>
        </is>
      </c>
      <c r="D656" s="6" t="inlineStr">
        <is>
          <t>20260813</t>
        </is>
      </c>
      <c r="E656" s="16" t="n">
        <v>81498</v>
      </c>
      <c r="F656" s="16" t="n">
        <v>29146</v>
      </c>
      <c r="G656" s="16" t="n">
        <v>52352</v>
      </c>
      <c r="H656" s="6" t="inlineStr">
        <is>
          <t>백만원</t>
        </is>
      </c>
      <c r="I656" s="17" t="n">
        <v>78.5</v>
      </c>
      <c r="J656" s="18" t="n">
        <v>15636</v>
      </c>
      <c r="K656" s="19" t="n">
        <v>16868</v>
      </c>
      <c r="L656" s="18" t="n">
        <v>23497</v>
      </c>
      <c r="M656" s="19" t="n">
        <v>17694</v>
      </c>
      <c r="N656" s="18" t="n">
        <v>18151</v>
      </c>
      <c r="O656" s="19" t="n">
        <v>14453</v>
      </c>
      <c r="P656" s="18" t="n">
        <v>16402</v>
      </c>
      <c r="Q656" s="19" t="n">
        <v>14815</v>
      </c>
      <c r="R656" s="18" t="n">
        <v>29322</v>
      </c>
      <c r="S656" s="20" t="n">
        <v>52352</v>
      </c>
      <c r="T656" s="6" t="n">
        <v>1</v>
      </c>
      <c r="U656" s="5" t="inlineStr">
        <is>
          <t xml:space="preserve">반도체 웨이퍼 이송모듈 외 / 2026.06.30까지 </t>
        </is>
      </c>
      <c r="V656" s="21">
        <f>HYPERLINK("https://dart.fss.or.kr/dsaf001/main.do?rcpNo=20260813000995", "공시열람")</f>
        <v/>
      </c>
    </row>
    <row r="657">
      <c r="A657" s="5" t="inlineStr">
        <is>
          <t>아이티센피엔에스</t>
        </is>
      </c>
      <c r="B657" s="6" t="inlineStr">
        <is>
          <t>232830</t>
        </is>
      </c>
      <c r="C657" s="6" t="inlineStr">
        <is>
          <t>2026Q2</t>
        </is>
      </c>
      <c r="D657" s="6" t="inlineStr">
        <is>
          <t>20260812</t>
        </is>
      </c>
      <c r="E657" s="16" t="n">
        <v>11477813</v>
      </c>
      <c r="F657" s="16" t="inlineStr"/>
      <c r="G657" s="16" t="n">
        <v>5006140</v>
      </c>
      <c r="H657" s="6" t="inlineStr">
        <is>
          <t>천원</t>
        </is>
      </c>
      <c r="I657" s="17" t="n">
        <v>-2.1</v>
      </c>
      <c r="J657" s="18" t="n">
        <v>3770878</v>
      </c>
      <c r="K657" s="19" t="n">
        <v>7028331</v>
      </c>
      <c r="L657" s="18" t="n">
        <v>6652247</v>
      </c>
      <c r="M657" s="19" t="n">
        <v>4339476</v>
      </c>
      <c r="N657" s="18" t="n">
        <v>36956</v>
      </c>
      <c r="O657" s="19" t="n">
        <v>6453073</v>
      </c>
      <c r="P657" s="18" t="n">
        <v>7653515</v>
      </c>
      <c r="Q657" s="19" t="n">
        <v>6662854</v>
      </c>
      <c r="R657" s="18" t="n">
        <v>5113943</v>
      </c>
      <c r="S657" s="20" t="n">
        <v>5006140</v>
      </c>
      <c r="T657" s="6" t="n">
        <v>13</v>
      </c>
      <c r="U657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7" s="21">
        <f>HYPERLINK("https://dart.fss.or.kr/dsaf001/main.do?rcpNo=20260812000605", "공시열람")</f>
        <v/>
      </c>
    </row>
    <row r="658">
      <c r="A658" s="5" t="inlineStr">
        <is>
          <t>폴라리스세원</t>
        </is>
      </c>
      <c r="B658" s="6" t="inlineStr">
        <is>
          <t>234100</t>
        </is>
      </c>
      <c r="C658" s="6" t="inlineStr">
        <is>
          <t>2025Q2</t>
        </is>
      </c>
      <c r="D658" s="6" t="inlineStr">
        <is>
          <t>20250814</t>
        </is>
      </c>
      <c r="E658" s="16" t="n">
        <v>53300411</v>
      </c>
      <c r="F658" s="16" t="n">
        <v>43616063</v>
      </c>
      <c r="G658" s="16" t="n">
        <v>6300767</v>
      </c>
      <c r="H658" s="6" t="inlineStr">
        <is>
          <t>천원</t>
        </is>
      </c>
      <c r="I658" s="17" t="n">
        <v>81.59999999999999</v>
      </c>
      <c r="J658" s="18" t="n">
        <v>0</v>
      </c>
      <c r="K658" s="19" t="n">
        <v>8947876</v>
      </c>
      <c r="L658" s="18" t="n">
        <v>12396827</v>
      </c>
      <c r="M658" s="19" t="n">
        <v>4675002</v>
      </c>
      <c r="N658" s="18" t="n">
        <v>3468711</v>
      </c>
      <c r="O658" s="19" t="n">
        <v>6300767</v>
      </c>
      <c r="P658" s="18" t="inlineStr"/>
      <c r="Q658" s="19" t="inlineStr"/>
      <c r="R658" s="18" t="inlineStr"/>
      <c r="S658" s="20" t="inlineStr"/>
      <c r="T658" s="6" t="n">
        <v>3</v>
      </c>
      <c r="U658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8" s="21">
        <f>HYPERLINK("https://dart.fss.or.kr/dsaf001/main.do?rcpNo=20250814004110", "공시열람")</f>
        <v/>
      </c>
    </row>
    <row r="659">
      <c r="A659" s="5" t="inlineStr">
        <is>
          <t>에스트래픽</t>
        </is>
      </c>
      <c r="B659" s="6" t="inlineStr">
        <is>
          <t>234300</t>
        </is>
      </c>
      <c r="C659" s="6" t="inlineStr">
        <is>
          <t>2026Q2</t>
        </is>
      </c>
      <c r="D659" s="6" t="inlineStr">
        <is>
          <t>20260814</t>
        </is>
      </c>
      <c r="E659" s="16" t="inlineStr"/>
      <c r="F659" s="16" t="inlineStr"/>
      <c r="G659" s="16" t="n">
        <v>128705328</v>
      </c>
      <c r="H659" s="6" t="inlineStr">
        <is>
          <t>천원</t>
        </is>
      </c>
      <c r="I659" s="17" t="n">
        <v>-8.6</v>
      </c>
      <c r="J659" s="18" t="n">
        <v>196436449</v>
      </c>
      <c r="K659" s="19" t="n">
        <v>189955989</v>
      </c>
      <c r="L659" s="18" t="n">
        <v>179948385</v>
      </c>
      <c r="M659" s="19" t="n">
        <v>188290977</v>
      </c>
      <c r="N659" s="18" t="n">
        <v>152526910</v>
      </c>
      <c r="O659" s="19" t="n">
        <v>156402850</v>
      </c>
      <c r="P659" s="18" t="n">
        <v>145064228</v>
      </c>
      <c r="Q659" s="19" t="n">
        <v>139618090</v>
      </c>
      <c r="R659" s="18" t="n">
        <v>140798815</v>
      </c>
      <c r="S659" s="20" t="n">
        <v>128705328</v>
      </c>
      <c r="T659" s="6" t="n">
        <v>2</v>
      </c>
      <c r="U659" s="5" t="inlineStr">
        <is>
          <t>철도 | 도로</t>
        </is>
      </c>
      <c r="V659" s="21">
        <f>HYPERLINK("https://dart.fss.or.kr/dsaf001/main.do?rcpNo=20260814003282", "공시열람")</f>
        <v/>
      </c>
    </row>
    <row r="660">
      <c r="A660" s="5" t="inlineStr">
        <is>
          <t>자이글</t>
        </is>
      </c>
      <c r="B660" s="6" t="inlineStr">
        <is>
          <t>234920</t>
        </is>
      </c>
      <c r="C660" s="6" t="inlineStr">
        <is>
          <t>2025Q2</t>
        </is>
      </c>
      <c r="D660" s="6" t="inlineStr">
        <is>
          <t>20250814</t>
        </is>
      </c>
      <c r="E660" s="16" t="n">
        <v>2545</v>
      </c>
      <c r="F660" s="16" t="n">
        <v>862</v>
      </c>
      <c r="G660" s="16" t="n">
        <v>1683</v>
      </c>
      <c r="H660" s="6" t="inlineStr">
        <is>
          <t>EA,백만원</t>
        </is>
      </c>
      <c r="I660" s="17" t="n">
        <v>0</v>
      </c>
      <c r="J660" s="18" t="inlineStr"/>
      <c r="K660" s="19" t="inlineStr"/>
      <c r="L660" s="18" t="inlineStr"/>
      <c r="M660" s="19" t="n">
        <v>2057</v>
      </c>
      <c r="N660" s="18" t="n">
        <v>1683</v>
      </c>
      <c r="O660" s="19" t="n">
        <v>1683</v>
      </c>
      <c r="P660" s="18" t="inlineStr"/>
      <c r="Q660" s="19" t="inlineStr"/>
      <c r="R660" s="18" t="inlineStr"/>
      <c r="S660" s="20" t="inlineStr"/>
      <c r="T660" s="6" t="n">
        <v>1</v>
      </c>
      <c r="U660" s="5" t="inlineStr">
        <is>
          <t>고주파마사지기 외 / 2024.11.06 / 2025.</t>
        </is>
      </c>
      <c r="V660" s="21">
        <f>HYPERLINK("https://dart.fss.or.kr/dsaf001/main.do?rcpNo=20250814002203", "공시열람")</f>
        <v/>
      </c>
    </row>
    <row r="661">
      <c r="A661" s="5" t="inlineStr">
        <is>
          <t>에스티팜</t>
        </is>
      </c>
      <c r="B661" s="6" t="inlineStr">
        <is>
          <t>237690</t>
        </is>
      </c>
      <c r="C661" s="6" t="inlineStr">
        <is>
          <t>2026Q2</t>
        </is>
      </c>
      <c r="D661" s="6" t="inlineStr">
        <is>
          <t>20260814</t>
        </is>
      </c>
      <c r="E661" s="16" t="n">
        <v>765540</v>
      </c>
      <c r="F661" s="16" t="n">
        <v>490574</v>
      </c>
      <c r="G661" s="16" t="n">
        <v>274967</v>
      </c>
      <c r="H661" s="6" t="inlineStr">
        <is>
          <t>천USD,천CHF,백만KRW</t>
        </is>
      </c>
      <c r="I661" s="17" t="n">
        <v>-8.199999999999999</v>
      </c>
      <c r="J661" s="18" t="n">
        <v>142129</v>
      </c>
      <c r="K661" s="19" t="n">
        <v>144305</v>
      </c>
      <c r="L661" s="18" t="n">
        <v>205983</v>
      </c>
      <c r="M661" s="19" t="n">
        <v>212587</v>
      </c>
      <c r="N661" s="18" t="n">
        <v>229059</v>
      </c>
      <c r="O661" s="19" t="n">
        <v>255542</v>
      </c>
      <c r="P661" s="18" t="n">
        <v>224306</v>
      </c>
      <c r="Q661" s="19" t="n">
        <v>192994</v>
      </c>
      <c r="R661" s="18" t="n">
        <v>299658</v>
      </c>
      <c r="S661" s="20" t="n">
        <v>274967</v>
      </c>
      <c r="T661" s="6" t="n">
        <v>80</v>
      </c>
      <c r="U661" s="5" t="inlineStr">
        <is>
          <t>올리고핵산치료제 신약 원료의약품(Oligonucleot | 올리고핵산치료제 신약 원료의약품(Oligonucleot | 저분자 화학합성 신약원료 의약품</t>
        </is>
      </c>
      <c r="V661" s="21">
        <f>HYPERLINK("https://dart.fss.or.kr/dsaf001/main.do?rcpNo=20260814003399", "공시열람")</f>
        <v/>
      </c>
    </row>
    <row r="662">
      <c r="A662" s="5" t="inlineStr">
        <is>
          <t>피앤씨테크</t>
        </is>
      </c>
      <c r="B662" s="6" t="inlineStr">
        <is>
          <t>237750</t>
        </is>
      </c>
      <c r="C662" s="6" t="inlineStr">
        <is>
          <t>2026Q2</t>
        </is>
      </c>
      <c r="D662" s="6" t="inlineStr">
        <is>
          <t>20260814</t>
        </is>
      </c>
      <c r="E662" s="16" t="n">
        <v>2956</v>
      </c>
      <c r="F662" s="16" t="n">
        <v>754</v>
      </c>
      <c r="G662" s="16" t="n">
        <v>2201</v>
      </c>
      <c r="H662" s="6" t="inlineStr">
        <is>
          <t>백만원</t>
        </is>
      </c>
      <c r="I662" s="17" t="n">
        <v>206.5</v>
      </c>
      <c r="J662" s="18" t="n">
        <v>0</v>
      </c>
      <c r="K662" s="19" t="n">
        <v>0</v>
      </c>
      <c r="L662" s="18" t="n">
        <v>0</v>
      </c>
      <c r="M662" s="19" t="n">
        <v>0</v>
      </c>
      <c r="N662" s="18" t="n">
        <v>1375</v>
      </c>
      <c r="O662" s="19" t="n">
        <v>1375</v>
      </c>
      <c r="P662" s="18" t="n">
        <v>719</v>
      </c>
      <c r="Q662" s="19" t="n">
        <v>718</v>
      </c>
      <c r="R662" s="18" t="n">
        <v>718</v>
      </c>
      <c r="S662" s="20" t="n">
        <v>2201</v>
      </c>
      <c r="T662" s="6" t="n">
        <v>6</v>
      </c>
      <c r="U662" s="5" t="inlineStr">
        <is>
          <t>SYSTEM / 2026.06.30 / 2026.10. | SYSTEM / 2025.02.28 / 2027.01. | SYSTEM / 2025.08.28 / 2026.11.</t>
        </is>
      </c>
      <c r="V662" s="21">
        <f>HYPERLINK("https://dart.fss.or.kr/dsaf001/main.do?rcpNo=20260814003816", "공시열람")</f>
        <v/>
      </c>
    </row>
    <row r="663">
      <c r="A663" s="5" t="inlineStr">
        <is>
          <t>힘스</t>
        </is>
      </c>
      <c r="B663" s="6" t="inlineStr">
        <is>
          <t>238490</t>
        </is>
      </c>
      <c r="C663" s="6" t="inlineStr">
        <is>
          <t>2026Q2</t>
        </is>
      </c>
      <c r="D663" s="6" t="inlineStr">
        <is>
          <t>20260813</t>
        </is>
      </c>
      <c r="E663" s="16" t="n">
        <v>36756</v>
      </c>
      <c r="F663" s="16" t="n">
        <v>0</v>
      </c>
      <c r="G663" s="16" t="n">
        <v>36756</v>
      </c>
      <c r="H663" s="6" t="inlineStr">
        <is>
          <t>EA,백만원</t>
        </is>
      </c>
      <c r="I663" s="17" t="n">
        <v>-15</v>
      </c>
      <c r="J663" s="18" t="n">
        <v>140</v>
      </c>
      <c r="K663" s="19" t="n">
        <v>281895</v>
      </c>
      <c r="L663" s="18" t="n">
        <v>123</v>
      </c>
      <c r="M663" s="19" t="n">
        <v>25588</v>
      </c>
      <c r="N663" s="18" t="n">
        <v>47854</v>
      </c>
      <c r="O663" s="19" t="n">
        <v>36147</v>
      </c>
      <c r="P663" s="18" t="n">
        <v>32055</v>
      </c>
      <c r="Q663" s="19" t="n">
        <v>40120</v>
      </c>
      <c r="R663" s="18" t="n">
        <v>43227</v>
      </c>
      <c r="S663" s="20" t="n">
        <v>36756</v>
      </c>
      <c r="T663" s="6" t="n">
        <v>4</v>
      </c>
      <c r="U663" s="5" t="inlineStr">
        <is>
          <t>OLED장비 / ~25.12.03 / ~27.01.31 | NON-OLED장비 / ~26.02.26 / ~26.0 | 상품 및 기타 / ~23.05.08 / ~26.12.3</t>
        </is>
      </c>
      <c r="V663" s="21">
        <f>HYPERLINK("https://dart.fss.or.kr/dsaf001/main.do?rcpNo=20260813001330", "공시열람")</f>
        <v/>
      </c>
    </row>
    <row r="664">
      <c r="A664" s="5" t="inlineStr">
        <is>
          <t>유진테크놀로지</t>
        </is>
      </c>
      <c r="B664" s="6" t="inlineStr">
        <is>
          <t>240600</t>
        </is>
      </c>
      <c r="C664" s="6" t="inlineStr">
        <is>
          <t>2026Q1</t>
        </is>
      </c>
      <c r="D664" s="6" t="inlineStr">
        <is>
          <t>20260515</t>
        </is>
      </c>
      <c r="E664" s="16" t="n">
        <v>10764</v>
      </c>
      <c r="F664" s="16" t="n">
        <v>5844</v>
      </c>
      <c r="G664" s="16" t="n">
        <v>4830</v>
      </c>
      <c r="H664" s="6" t="inlineStr">
        <is>
          <t>백만원</t>
        </is>
      </c>
      <c r="I664" s="17" t="n">
        <v>-34.3</v>
      </c>
      <c r="J664" s="18" t="n">
        <v>7494</v>
      </c>
      <c r="K664" s="19" t="n">
        <v>22164</v>
      </c>
      <c r="L664" s="18" t="n">
        <v>7703</v>
      </c>
      <c r="M664" s="19" t="n">
        <v>1735</v>
      </c>
      <c r="N664" s="18" t="n">
        <v>1597</v>
      </c>
      <c r="O664" s="19" t="n">
        <v>1357</v>
      </c>
      <c r="P664" s="18" t="n">
        <v>6604</v>
      </c>
      <c r="Q664" s="19" t="n">
        <v>7353</v>
      </c>
      <c r="R664" s="18" t="n">
        <v>4830</v>
      </c>
      <c r="S664" s="20" t="inlineStr"/>
      <c r="T664" s="6" t="n">
        <v>3</v>
      </c>
      <c r="U664" s="5" t="inlineStr">
        <is>
          <t xml:space="preserve">정밀금형 / 2026년 2월 28일 이전 / 2026년 | 정밀기계부품 / 2026년 2월 28일 이전 / 202 | 리드탭 / 2026년 2월 28일 이전 / 2026년 </t>
        </is>
      </c>
      <c r="V664" s="21">
        <f>HYPERLINK("https://dart.fss.or.kr/dsaf001/main.do?rcpNo=20260515001575", "공시열람")</f>
        <v/>
      </c>
    </row>
    <row r="665">
      <c r="A665" s="5" t="inlineStr">
        <is>
          <t>원익IPS</t>
        </is>
      </c>
      <c r="B665" s="6" t="inlineStr">
        <is>
          <t>240810</t>
        </is>
      </c>
      <c r="C665" s="6" t="inlineStr">
        <is>
          <t>2026Q2</t>
        </is>
      </c>
      <c r="D665" s="6" t="inlineStr">
        <is>
          <t>20260814</t>
        </is>
      </c>
      <c r="E665" s="16" t="n">
        <v>1197393</v>
      </c>
      <c r="F665" s="16" t="n">
        <v>562803</v>
      </c>
      <c r="G665" s="16" t="n">
        <v>634590</v>
      </c>
      <c r="H665" s="6" t="inlineStr">
        <is>
          <t>백만원</t>
        </is>
      </c>
      <c r="I665" s="17" t="n">
        <v>58.5</v>
      </c>
      <c r="J665" s="18" t="n">
        <v>231645</v>
      </c>
      <c r="K665" s="19" t="n">
        <v>160431</v>
      </c>
      <c r="L665" s="18" t="n">
        <v>105167</v>
      </c>
      <c r="M665" s="19" t="n">
        <v>287864</v>
      </c>
      <c r="N665" s="18" t="n">
        <v>260680</v>
      </c>
      <c r="O665" s="19" t="n">
        <v>197749</v>
      </c>
      <c r="P665" s="18" t="n">
        <v>209252</v>
      </c>
      <c r="Q665" s="19" t="n">
        <v>298229</v>
      </c>
      <c r="R665" s="18" t="n">
        <v>400388</v>
      </c>
      <c r="S665" s="20" t="n">
        <v>634590</v>
      </c>
      <c r="T665" s="6" t="n">
        <v>1</v>
      </c>
      <c r="U665" s="5" t="inlineStr">
        <is>
          <t>반도체/Display 장비 / 2026년 반기 / -</t>
        </is>
      </c>
      <c r="V665" s="21">
        <f>HYPERLINK("https://dart.fss.or.kr/dsaf001/main.do?rcpNo=20260814001845", "공시열람")</f>
        <v/>
      </c>
    </row>
    <row r="666">
      <c r="A666" s="5" t="inlineStr">
        <is>
          <t>티이엠씨씨엔에스</t>
        </is>
      </c>
      <c r="B666" s="6" t="inlineStr">
        <is>
          <t>241790</t>
        </is>
      </c>
      <c r="C666" s="6" t="inlineStr">
        <is>
          <t>2026Q2</t>
        </is>
      </c>
      <c r="D666" s="6" t="inlineStr">
        <is>
          <t>20260814</t>
        </is>
      </c>
      <c r="E666" s="16" t="n">
        <v>413</v>
      </c>
      <c r="F666" s="16" t="n">
        <v>370</v>
      </c>
      <c r="G666" s="16" t="n">
        <v>1475</v>
      </c>
      <c r="H666" s="6" t="inlineStr">
        <is>
          <t>억</t>
        </is>
      </c>
      <c r="I666" s="17" t="n">
        <v>-8.5</v>
      </c>
      <c r="J666" s="18" t="n">
        <v>692</v>
      </c>
      <c r="K666" s="19" t="n">
        <v>623</v>
      </c>
      <c r="L666" s="18" t="n">
        <v>811</v>
      </c>
      <c r="M666" s="19" t="n">
        <v>766</v>
      </c>
      <c r="N666" s="18" t="n">
        <v>811</v>
      </c>
      <c r="O666" s="19" t="n">
        <v>580</v>
      </c>
      <c r="P666" s="18" t="n">
        <v>1271</v>
      </c>
      <c r="Q666" s="19" t="n">
        <v>1432</v>
      </c>
      <c r="R666" s="18" t="n">
        <v>1612</v>
      </c>
      <c r="S666" s="20" t="n">
        <v>1475</v>
      </c>
      <c r="T666" s="6" t="n">
        <v>1</v>
      </c>
      <c r="U666" s="5" t="inlineStr">
        <is>
          <t>장비 / 2026년</t>
        </is>
      </c>
      <c r="V666" s="21">
        <f>HYPERLINK("https://dart.fss.or.kr/dsaf001/main.do?rcpNo=20260814000992", "공시열람")</f>
        <v/>
      </c>
    </row>
    <row r="667">
      <c r="A667" s="5" t="inlineStr">
        <is>
          <t>아이티센코어</t>
        </is>
      </c>
      <c r="B667" s="6" t="inlineStr">
        <is>
          <t>243870</t>
        </is>
      </c>
      <c r="C667" s="6" t="inlineStr">
        <is>
          <t>2025Q4</t>
        </is>
      </c>
      <c r="D667" s="6" t="inlineStr">
        <is>
          <t>20260318</t>
        </is>
      </c>
      <c r="E667" s="16" t="n">
        <v>10558824</v>
      </c>
      <c r="F667" s="16" t="n">
        <v>9793315</v>
      </c>
      <c r="G667" s="16" t="n">
        <v>765509</v>
      </c>
      <c r="H667" s="6" t="inlineStr">
        <is>
          <t>천원</t>
        </is>
      </c>
      <c r="I667" s="17" t="inlineStr"/>
      <c r="J667" s="18" t="inlineStr"/>
      <c r="K667" s="19" t="inlineStr"/>
      <c r="L667" s="18" t="inlineStr"/>
      <c r="M667" s="19" t="n">
        <v>0</v>
      </c>
      <c r="N667" s="18" t="inlineStr"/>
      <c r="O667" s="19" t="inlineStr"/>
      <c r="P667" s="18" t="inlineStr"/>
      <c r="Q667" s="19" t="n">
        <v>765509</v>
      </c>
      <c r="R667" s="18" t="inlineStr"/>
      <c r="S667" s="20" t="inlineStr"/>
      <c r="T667" s="6" t="n">
        <v>5</v>
      </c>
      <c r="U667" s="5" t="inlineStr">
        <is>
          <t>건설계약 / 2025-09-15 / 2026-07-14 | 용역서비스 / 2025-01-01 / 2025-12-3 | 용역서비스 / 2025-01-01 / 2025-12-3</t>
        </is>
      </c>
      <c r="V667" s="21">
        <f>HYPERLINK("https://dart.fss.or.kr/dsaf001/main.do?rcpNo=20260318001360", "공시열람")</f>
        <v/>
      </c>
    </row>
    <row r="668">
      <c r="A668" s="5" t="inlineStr">
        <is>
          <t>나눔테크</t>
        </is>
      </c>
      <c r="B668" s="6" t="inlineStr">
        <is>
          <t>244880</t>
        </is>
      </c>
      <c r="C668" s="6" t="inlineStr">
        <is>
          <t>2024Q4</t>
        </is>
      </c>
      <c r="D668" s="6" t="inlineStr">
        <is>
          <t>20250321</t>
        </is>
      </c>
      <c r="E668" s="16" t="n">
        <v>120230</v>
      </c>
      <c r="F668" s="16" t="inlineStr"/>
      <c r="G668" s="16" t="n">
        <v>120230</v>
      </c>
      <c r="H668" s="6" t="inlineStr">
        <is>
          <t>천원</t>
        </is>
      </c>
      <c r="I668" s="17" t="n">
        <v>-7.1</v>
      </c>
      <c r="J668" s="18" t="inlineStr"/>
      <c r="K668" s="19" t="inlineStr"/>
      <c r="L668" s="18" t="inlineStr"/>
      <c r="M668" s="19" t="n">
        <v>120230</v>
      </c>
      <c r="N668" s="18" t="inlineStr"/>
      <c r="O668" s="19" t="inlineStr"/>
      <c r="P668" s="18" t="inlineStr"/>
      <c r="Q668" s="19" t="inlineStr"/>
      <c r="R668" s="18" t="inlineStr"/>
      <c r="S668" s="20" t="inlineStr"/>
      <c r="T668" s="6" t="n">
        <v>6</v>
      </c>
      <c r="U668" s="5" t="inlineStr">
        <is>
          <t>AED 외 / 2025-03-17 / 2025-03-2 | AED 외 / 2025-03-14 / 2025-03-2 | AED 외 / 2025-03-11 / 2025-03-2</t>
        </is>
      </c>
      <c r="V668" s="21">
        <f>HYPERLINK("https://dart.fss.or.kr/dsaf001/main.do?rcpNo=20250321000468", "공시열람")</f>
        <v/>
      </c>
    </row>
    <row r="669">
      <c r="A669" s="5" t="inlineStr">
        <is>
          <t>아스타</t>
        </is>
      </c>
      <c r="B669" s="6" t="inlineStr">
        <is>
          <t>246720</t>
        </is>
      </c>
      <c r="C669" s="6" t="inlineStr">
        <is>
          <t>2026Q1</t>
        </is>
      </c>
      <c r="D669" s="6" t="inlineStr">
        <is>
          <t>20260515</t>
        </is>
      </c>
      <c r="E669" s="16" t="n">
        <v>841669</v>
      </c>
      <c r="F669" s="16" t="inlineStr"/>
      <c r="G669" s="16" t="n">
        <v>841669</v>
      </c>
      <c r="H669" s="6" t="inlineStr">
        <is>
          <t>천원</t>
        </is>
      </c>
      <c r="I669" s="17" t="inlineStr"/>
      <c r="J669" s="18" t="inlineStr"/>
      <c r="K669" s="19" t="inlineStr"/>
      <c r="L669" s="18" t="inlineStr"/>
      <c r="M669" s="19" t="inlineStr"/>
      <c r="N669" s="18" t="inlineStr"/>
      <c r="O669" s="19" t="inlineStr"/>
      <c r="P669" s="18" t="inlineStr"/>
      <c r="Q669" s="19" t="inlineStr"/>
      <c r="R669" s="18" t="n">
        <v>841669</v>
      </c>
      <c r="S669" s="20" t="inlineStr"/>
      <c r="T669" s="6" t="n">
        <v>2</v>
      </c>
      <c r="U669" s="5" t="inlineStr">
        <is>
          <t>질량분석기(MALDI-MS) / 2026-03-20 / | 질량분석기(MALDI-MS) / 2026-04-21 /</t>
        </is>
      </c>
      <c r="V669" s="21">
        <f>HYPERLINK("https://dart.fss.or.kr/dsaf001/main.do?rcpNo=20260515000309", "공시열람")</f>
        <v/>
      </c>
    </row>
    <row r="670">
      <c r="A670" s="5" t="inlineStr">
        <is>
          <t>모비스</t>
        </is>
      </c>
      <c r="B670" s="6" t="inlineStr">
        <is>
          <t>250060</t>
        </is>
      </c>
      <c r="C670" s="6" t="inlineStr">
        <is>
          <t>2026Q2</t>
        </is>
      </c>
      <c r="D670" s="6" t="inlineStr">
        <is>
          <t>20260813</t>
        </is>
      </c>
      <c r="E670" s="16" t="inlineStr"/>
      <c r="F670" s="16" t="inlineStr"/>
      <c r="G670" s="16" t="n">
        <v>7208059797</v>
      </c>
      <c r="H670" s="6" t="inlineStr">
        <is>
          <t>원</t>
        </is>
      </c>
      <c r="I670" s="17" t="n">
        <v>119601.8</v>
      </c>
      <c r="J670" s="18" t="n">
        <v>25561508</v>
      </c>
      <c r="K670" s="19" t="n">
        <v>6974162</v>
      </c>
      <c r="L670" s="18" t="n">
        <v>7861922</v>
      </c>
      <c r="M670" s="19" t="n">
        <v>6232958</v>
      </c>
      <c r="N670" s="18" t="n">
        <v>6634185</v>
      </c>
      <c r="O670" s="19" t="n">
        <v>5528206</v>
      </c>
      <c r="P670" s="18" t="n">
        <v>4953188</v>
      </c>
      <c r="Q670" s="19" t="n">
        <v>4357048</v>
      </c>
      <c r="R670" s="18" t="n">
        <v>6021678</v>
      </c>
      <c r="S670" s="20" t="n">
        <v>7208059797</v>
      </c>
      <c r="T670" s="6" t="n">
        <v>2</v>
      </c>
      <c r="U670" s="5" t="inlineStr">
        <is>
          <t>기초과학 | 스마트팩토리</t>
        </is>
      </c>
      <c r="V670" s="21">
        <f>HYPERLINK("https://dart.fss.or.kr/dsaf001/main.do?rcpNo=20260813001010", "공시열람")</f>
        <v/>
      </c>
    </row>
    <row r="671">
      <c r="A671" s="5" t="inlineStr">
        <is>
          <t>브이원텍</t>
        </is>
      </c>
      <c r="B671" s="6" t="inlineStr">
        <is>
          <t>251630</t>
        </is>
      </c>
      <c r="C671" s="6" t="inlineStr">
        <is>
          <t>2026Q2</t>
        </is>
      </c>
      <c r="D671" s="6" t="inlineStr">
        <is>
          <t>20260814</t>
        </is>
      </c>
      <c r="E671" s="16" t="n">
        <v>77643</v>
      </c>
      <c r="F671" s="16" t="n">
        <v>31955</v>
      </c>
      <c r="G671" s="16" t="n">
        <v>45688</v>
      </c>
      <c r="H671" s="6" t="inlineStr">
        <is>
          <t>백만원</t>
        </is>
      </c>
      <c r="I671" s="17" t="n">
        <v>-8.4</v>
      </c>
      <c r="J671" s="18" t="n">
        <v>60624</v>
      </c>
      <c r="K671" s="19" t="n">
        <v>62575</v>
      </c>
      <c r="L671" s="18" t="n">
        <v>54780</v>
      </c>
      <c r="M671" s="19" t="n">
        <v>45967</v>
      </c>
      <c r="N671" s="18" t="n">
        <v>47878</v>
      </c>
      <c r="O671" s="19" t="n">
        <v>50180</v>
      </c>
      <c r="P671" s="18" t="n">
        <v>75011</v>
      </c>
      <c r="Q671" s="19" t="n">
        <v>56953</v>
      </c>
      <c r="R671" s="18" t="n">
        <v>49900</v>
      </c>
      <c r="S671" s="20" t="n">
        <v>45688</v>
      </c>
      <c r="T671" s="6" t="n">
        <v>3</v>
      </c>
      <c r="U671" s="5" t="inlineStr">
        <is>
          <t>2차전지 검사시스템 / - | 로보틱스/운반기계 / - | LCD/OLED 압흔검사기 / -</t>
        </is>
      </c>
      <c r="V671" s="21">
        <f>HYPERLINK("https://dart.fss.or.kr/dsaf001/main.do?rcpNo=20260814002781", "공시열람")</f>
        <v/>
      </c>
    </row>
    <row r="672">
      <c r="A672" s="5" t="inlineStr">
        <is>
          <t>253590</t>
        </is>
      </c>
      <c r="B672" s="6" t="inlineStr">
        <is>
          <t>253590</t>
        </is>
      </c>
      <c r="C672" s="6" t="inlineStr">
        <is>
          <t>2026Q2</t>
        </is>
      </c>
      <c r="D672" s="6" t="inlineStr">
        <is>
          <t>20260814</t>
        </is>
      </c>
      <c r="E672" s="16" t="n">
        <v>28463</v>
      </c>
      <c r="F672" s="16" t="n">
        <v>2203</v>
      </c>
      <c r="G672" s="16" t="n">
        <v>26260</v>
      </c>
      <c r="H672" s="6" t="inlineStr">
        <is>
          <t>K$,백만원</t>
        </is>
      </c>
      <c r="I672" s="17" t="n">
        <v>-1.7</v>
      </c>
      <c r="J672" s="18" t="n">
        <v>12761</v>
      </c>
      <c r="K672" s="19" t="n">
        <v>16315</v>
      </c>
      <c r="L672" s="18" t="n">
        <v>10598</v>
      </c>
      <c r="M672" s="19" t="n">
        <v>2573</v>
      </c>
      <c r="N672" s="18" t="n">
        <v>1518</v>
      </c>
      <c r="O672" s="19" t="n">
        <v>1315</v>
      </c>
      <c r="P672" s="18" t="inlineStr"/>
      <c r="Q672" s="19" t="n">
        <v>14152</v>
      </c>
      <c r="R672" s="18" t="n">
        <v>26712</v>
      </c>
      <c r="S672" s="20" t="n">
        <v>26260</v>
      </c>
      <c r="T672" s="6" t="n">
        <v>7</v>
      </c>
      <c r="U672" s="5" t="inlineStr">
        <is>
          <t>반도체 검사장비 외 / 2026-05-27 / 2026 | CLT Interface Board / 2026-05- | 반도체 검사장비 외 / 2026-05-06 / 2026</t>
        </is>
      </c>
      <c r="V672" s="21">
        <f>HYPERLINK("https://dart.fss.or.kr/dsaf001/main.do?rcpNo=20260814000817", "공시열람")</f>
        <v/>
      </c>
    </row>
    <row r="673">
      <c r="A673" s="5" t="inlineStr">
        <is>
          <t>자비스</t>
        </is>
      </c>
      <c r="B673" s="6" t="inlineStr">
        <is>
          <t>254120</t>
        </is>
      </c>
      <c r="C673" s="6" t="inlineStr">
        <is>
          <t>2026Q1</t>
        </is>
      </c>
      <c r="D673" s="6" t="inlineStr">
        <is>
          <t>20260514</t>
        </is>
      </c>
      <c r="E673" s="16" t="n">
        <v>3446854647</v>
      </c>
      <c r="F673" s="16" t="n">
        <v>3773390717</v>
      </c>
      <c r="G673" s="16" t="n">
        <v>15381628821</v>
      </c>
      <c r="H673" s="6" t="inlineStr">
        <is>
          <t>원</t>
        </is>
      </c>
      <c r="I673" s="17" t="n">
        <v>-2.1</v>
      </c>
      <c r="J673" s="18" t="n">
        <v>18127996948</v>
      </c>
      <c r="K673" s="19" t="n">
        <v>8191279519</v>
      </c>
      <c r="L673" s="18" t="n">
        <v>7224578397</v>
      </c>
      <c r="M673" s="19" t="n">
        <v>7657082097</v>
      </c>
      <c r="N673" s="18" t="n">
        <v>17189492624</v>
      </c>
      <c r="O673" s="19" t="n">
        <v>15585271210</v>
      </c>
      <c r="P673" s="18" t="n">
        <v>15735178060</v>
      </c>
      <c r="Q673" s="19" t="n">
        <v>15708789085</v>
      </c>
      <c r="R673" s="18" t="n">
        <v>15381628821</v>
      </c>
      <c r="S673" s="20" t="inlineStr"/>
      <c r="T673" s="6" t="n">
        <v>2</v>
      </c>
      <c r="U673" s="5" t="inlineStr">
        <is>
          <t xml:space="preserve">XSCAN / 2026.01.01~2026.03.31  | FSCAN / 2026.01.01~2026.03.31 </t>
        </is>
      </c>
      <c r="V673" s="21">
        <f>HYPERLINK("https://dart.fss.or.kr/dsaf001/main.do?rcpNo=20260514001372", "공시열람")</f>
        <v/>
      </c>
    </row>
    <row r="674">
      <c r="A674" s="5" t="inlineStr">
        <is>
          <t>254160</t>
        </is>
      </c>
      <c r="B674" s="6" t="inlineStr">
        <is>
          <t>254160</t>
        </is>
      </c>
      <c r="C674" s="6" t="inlineStr">
        <is>
          <t>2025Q4</t>
        </is>
      </c>
      <c r="D674" s="6" t="inlineStr">
        <is>
          <t>20260429</t>
        </is>
      </c>
      <c r="E674" s="16" t="n">
        <v>45950</v>
      </c>
      <c r="F674" s="16" t="n">
        <v>23741</v>
      </c>
      <c r="G674" s="16" t="n">
        <v>22209</v>
      </c>
      <c r="H674" s="6" t="inlineStr">
        <is>
          <t>건,백만원</t>
        </is>
      </c>
      <c r="I674" s="17" t="inlineStr"/>
      <c r="J674" s="18" t="inlineStr"/>
      <c r="K674" s="19" t="inlineStr"/>
      <c r="L674" s="18" t="inlineStr"/>
      <c r="M674" s="19" t="inlineStr"/>
      <c r="N674" s="18" t="inlineStr"/>
      <c r="O674" s="19" t="inlineStr"/>
      <c r="P674" s="18" t="inlineStr"/>
      <c r="Q674" s="19" t="n">
        <v>22209</v>
      </c>
      <c r="R674" s="18" t="inlineStr"/>
      <c r="S674" s="20" t="inlineStr"/>
      <c r="T674" s="6" t="n">
        <v>3</v>
      </c>
      <c r="U674" s="5" t="inlineStr">
        <is>
          <t>데크로드시스템 / (주)피플로드 / 2025.01.01 | 데크로드시스템 / (주)알티스멀티 / 2025.01.0 | 데크로드시스템 / (주)제이엠멀티 / 2025.01.0</t>
        </is>
      </c>
      <c r="V674" s="21">
        <f>HYPERLINK("https://dart.fss.or.kr/dsaf001/main.do?rcpNo=20260429000588", "공시열람")</f>
        <v/>
      </c>
    </row>
    <row r="675">
      <c r="A675" s="5" t="inlineStr">
        <is>
          <t>야스</t>
        </is>
      </c>
      <c r="B675" s="6" t="inlineStr">
        <is>
          <t>255440</t>
        </is>
      </c>
      <c r="C675" s="6" t="inlineStr">
        <is>
          <t>2026Q2</t>
        </is>
      </c>
      <c r="D675" s="6" t="inlineStr">
        <is>
          <t>20260814</t>
        </is>
      </c>
      <c r="E675" s="16" t="n">
        <v>26026113</v>
      </c>
      <c r="F675" s="16" t="inlineStr"/>
      <c r="G675" s="16" t="n">
        <v>14894831</v>
      </c>
      <c r="H675" s="6" t="inlineStr">
        <is>
          <t>천원</t>
        </is>
      </c>
      <c r="I675" s="17" t="n">
        <v>290247.6</v>
      </c>
      <c r="J675" s="18" t="n">
        <v>6849</v>
      </c>
      <c r="K675" s="19" t="n">
        <v>6571</v>
      </c>
      <c r="L675" s="18" t="n">
        <v>4187</v>
      </c>
      <c r="M675" s="19" t="n">
        <v>3863</v>
      </c>
      <c r="N675" s="18" t="n">
        <v>3490</v>
      </c>
      <c r="O675" s="19" t="n">
        <v>9046</v>
      </c>
      <c r="P675" s="18" t="n">
        <v>5130</v>
      </c>
      <c r="Q675" s="19" t="inlineStr"/>
      <c r="R675" s="18" t="inlineStr"/>
      <c r="S675" s="20" t="n">
        <v>14894831</v>
      </c>
      <c r="T675" s="6" t="n">
        <v>1</v>
      </c>
      <c r="U675" s="5" t="inlineStr">
        <is>
          <t>증착시스템 및 증발원 등</t>
        </is>
      </c>
      <c r="V675" s="21">
        <f>HYPERLINK("https://dart.fss.or.kr/dsaf001/main.do?rcpNo=20260814001714", "공시열람")</f>
        <v/>
      </c>
    </row>
    <row r="676">
      <c r="A676" s="5" t="inlineStr">
        <is>
          <t>한국비엔씨</t>
        </is>
      </c>
      <c r="B676" s="6" t="inlineStr">
        <is>
          <t>256840</t>
        </is>
      </c>
      <c r="C676" s="6" t="inlineStr">
        <is>
          <t>2026Q2</t>
        </is>
      </c>
      <c r="D676" s="6" t="inlineStr">
        <is>
          <t>20260814</t>
        </is>
      </c>
      <c r="E676" s="16" t="n">
        <v>10154025</v>
      </c>
      <c r="F676" s="16" t="n">
        <v>10154025</v>
      </c>
      <c r="G676" s="16" t="n">
        <v>0</v>
      </c>
      <c r="H676" s="6" t="inlineStr">
        <is>
          <t>천개,천원</t>
        </is>
      </c>
      <c r="I676" s="17" t="n">
        <v>-100</v>
      </c>
      <c r="J676" s="18" t="n">
        <v>9191310</v>
      </c>
      <c r="K676" s="19" t="n">
        <v>8557412</v>
      </c>
      <c r="L676" s="18" t="n">
        <v>7648468</v>
      </c>
      <c r="M676" s="19" t="n">
        <v>6057684</v>
      </c>
      <c r="N676" s="18" t="n">
        <v>5531430</v>
      </c>
      <c r="O676" s="19" t="n">
        <v>3972414</v>
      </c>
      <c r="P676" s="18" t="n">
        <v>3444900</v>
      </c>
      <c r="Q676" s="19" t="n">
        <v>2038169</v>
      </c>
      <c r="R676" s="18" t="n">
        <v>429256</v>
      </c>
      <c r="S676" s="20" t="n">
        <v>0</v>
      </c>
      <c r="T676" s="6" t="n">
        <v>1</v>
      </c>
      <c r="U676" s="5" t="inlineStr">
        <is>
          <t>메조테라피 등 6개품목 / 2024.01.01 / 20</t>
        </is>
      </c>
      <c r="V676" s="21">
        <f>HYPERLINK("https://dart.fss.or.kr/dsaf001/main.do?rcpNo=20260814004180", "공시열람")</f>
        <v/>
      </c>
    </row>
    <row r="677">
      <c r="A677" s="5" t="inlineStr">
        <is>
          <t>킵스파마</t>
        </is>
      </c>
      <c r="B677" s="6" t="inlineStr">
        <is>
          <t>256940</t>
        </is>
      </c>
      <c r="C677" s="6" t="inlineStr">
        <is>
          <t>2025Q1</t>
        </is>
      </c>
      <c r="D677" s="6" t="inlineStr">
        <is>
          <t>20250515</t>
        </is>
      </c>
      <c r="E677" s="16" t="n">
        <v>51890</v>
      </c>
      <c r="F677" s="16" t="n">
        <v>54140</v>
      </c>
      <c r="G677" s="16" t="n">
        <v>1151</v>
      </c>
      <c r="H677" s="6" t="inlineStr">
        <is>
          <t>백만원</t>
        </is>
      </c>
      <c r="I677" s="17" t="n">
        <v>-0.3</v>
      </c>
      <c r="J677" s="18" t="n">
        <v>3983</v>
      </c>
      <c r="K677" s="19" t="n">
        <v>3983</v>
      </c>
      <c r="L677" s="18" t="n">
        <v>1038</v>
      </c>
      <c r="M677" s="19" t="n">
        <v>1154</v>
      </c>
      <c r="N677" s="18" t="n">
        <v>1151</v>
      </c>
      <c r="O677" s="19" t="inlineStr"/>
      <c r="P677" s="18" t="inlineStr"/>
      <c r="Q677" s="19" t="inlineStr"/>
      <c r="R677" s="18" t="inlineStr"/>
      <c r="S677" s="20" t="inlineStr"/>
      <c r="T677" s="6" t="n">
        <v>4</v>
      </c>
      <c r="U677" s="5" t="inlineStr">
        <is>
          <t>OLED 장비 / 2023년 | OLED 장비 / 2016년 / 2017년 | OLED 장비 / 2024년</t>
        </is>
      </c>
      <c r="V677" s="21">
        <f>HYPERLINK("https://dart.fss.or.kr/dsaf001/main.do?rcpNo=20250515002869", "공시열람")</f>
        <v/>
      </c>
    </row>
    <row r="678">
      <c r="A678" s="5" t="inlineStr">
        <is>
          <t>피엔티엠에스</t>
        </is>
      </c>
      <c r="B678" s="6" t="inlineStr">
        <is>
          <t>257370</t>
        </is>
      </c>
      <c r="C678" s="6" t="inlineStr">
        <is>
          <t>2026Q2</t>
        </is>
      </c>
      <c r="D678" s="6" t="inlineStr">
        <is>
          <t>20260812</t>
        </is>
      </c>
      <c r="E678" s="16" t="n">
        <v>29172</v>
      </c>
      <c r="F678" s="16" t="n">
        <v>6383</v>
      </c>
      <c r="G678" s="16" t="n">
        <v>22789</v>
      </c>
      <c r="H678" s="6" t="inlineStr">
        <is>
          <t>백만원</t>
        </is>
      </c>
      <c r="I678" s="17" t="n">
        <v>-21.9</v>
      </c>
      <c r="J678" s="18" t="n">
        <v>38920</v>
      </c>
      <c r="K678" s="19" t="n">
        <v>41984</v>
      </c>
      <c r="L678" s="18" t="n">
        <v>36550</v>
      </c>
      <c r="M678" s="19" t="n">
        <v>34600</v>
      </c>
      <c r="N678" s="18" t="n">
        <v>30500</v>
      </c>
      <c r="O678" s="19" t="n">
        <v>27000</v>
      </c>
      <c r="P678" s="18" t="n">
        <v>27000</v>
      </c>
      <c r="Q678" s="19" t="n">
        <v>27000</v>
      </c>
      <c r="R678" s="18" t="n">
        <v>29172</v>
      </c>
      <c r="S678" s="20" t="n">
        <v>22789</v>
      </c>
      <c r="T678" s="6" t="n">
        <v>3</v>
      </c>
      <c r="U678" s="5" t="inlineStr">
        <is>
          <t>SEPARATOR FILM LINE 설비(제작, 설치) | Tentar Cure Machine 제작_1SET /  | HP 03/04 Line Swelling 추출조 건조조</t>
        </is>
      </c>
      <c r="V678" s="21">
        <f>HYPERLINK("https://dart.fss.or.kr/dsaf001/main.do?rcpNo=20260812000533", "공시열람")</f>
        <v/>
      </c>
    </row>
    <row r="679">
      <c r="A679" s="5" t="inlineStr">
        <is>
          <t>테크트랜스</t>
        </is>
      </c>
      <c r="B679" s="6" t="inlineStr">
        <is>
          <t>258050</t>
        </is>
      </c>
      <c r="C679" s="6" t="inlineStr">
        <is>
          <t>2023Q4</t>
        </is>
      </c>
      <c r="D679" s="6" t="inlineStr">
        <is>
          <t>20240320</t>
        </is>
      </c>
      <c r="E679" s="16" t="n">
        <v>13000000000</v>
      </c>
      <c r="F679" s="16" t="n">
        <v>197810</v>
      </c>
      <c r="G679" s="16" t="n">
        <v>12802190</v>
      </c>
      <c r="H679" s="6" t="inlineStr"/>
      <c r="I679" s="17" t="inlineStr"/>
      <c r="J679" s="18" t="inlineStr"/>
      <c r="K679" s="19" t="inlineStr"/>
      <c r="L679" s="18" t="inlineStr"/>
      <c r="M679" s="19" t="inlineStr"/>
      <c r="N679" s="18" t="inlineStr"/>
      <c r="O679" s="19" t="inlineStr"/>
      <c r="P679" s="18" t="inlineStr"/>
      <c r="Q679" s="19" t="inlineStr"/>
      <c r="R679" s="18" t="inlineStr"/>
      <c r="S679" s="20" t="inlineStr"/>
      <c r="T679" s="6" t="n">
        <v>1</v>
      </c>
      <c r="U679" s="5" t="inlineStr">
        <is>
          <t>안마의자부품</t>
        </is>
      </c>
      <c r="V679" s="21">
        <f>HYPERLINK("https://dart.fss.or.kr/dsaf001/main.do?rcpNo=20240320000610", "공시열람")</f>
        <v/>
      </c>
    </row>
    <row r="680">
      <c r="A680" s="5" t="inlineStr">
        <is>
          <t>케일럼</t>
        </is>
      </c>
      <c r="B680" s="6" t="inlineStr">
        <is>
          <t>258610</t>
        </is>
      </c>
      <c r="C680" s="6" t="inlineStr">
        <is>
          <t>2026Q2</t>
        </is>
      </c>
      <c r="D680" s="6" t="inlineStr">
        <is>
          <t>20260814</t>
        </is>
      </c>
      <c r="E680" s="16" t="n">
        <v>302066</v>
      </c>
      <c r="F680" s="16" t="n">
        <v>139452</v>
      </c>
      <c r="G680" s="16" t="n">
        <v>162614</v>
      </c>
      <c r="H680" s="6" t="inlineStr">
        <is>
          <t>백만원</t>
        </is>
      </c>
      <c r="I680" s="17" t="n">
        <v>-3.9</v>
      </c>
      <c r="J680" s="18" t="n">
        <v>245607</v>
      </c>
      <c r="K680" s="19" t="n">
        <v>241091</v>
      </c>
      <c r="L680" s="18" t="n">
        <v>236443</v>
      </c>
      <c r="M680" s="19" t="n">
        <v>231564</v>
      </c>
      <c r="N680" s="18" t="n">
        <v>219019</v>
      </c>
      <c r="O680" s="19" t="n">
        <v>214777</v>
      </c>
      <c r="P680" s="18" t="n">
        <v>180785</v>
      </c>
      <c r="Q680" s="19" t="n">
        <v>175561</v>
      </c>
      <c r="R680" s="18" t="n">
        <v>169247</v>
      </c>
      <c r="S680" s="20" t="n">
        <v>162614</v>
      </c>
      <c r="T680" s="6" t="n">
        <v>12</v>
      </c>
      <c r="U680" s="5" t="inlineStr">
        <is>
          <t>MTU Seal 2차 / 2019년 / 2035년 | LM2500 LPT / 2015년 / 2030년 | LEAP 1B VANE 1단계 / 2022년 / 203</t>
        </is>
      </c>
      <c r="V680" s="21">
        <f>HYPERLINK("https://dart.fss.or.kr/dsaf001/main.do?rcpNo=20260814000985", "공시열람")</f>
        <v/>
      </c>
    </row>
    <row r="681">
      <c r="A681" s="5" t="inlineStr">
        <is>
          <t>엠플러스</t>
        </is>
      </c>
      <c r="B681" s="6" t="inlineStr">
        <is>
          <t>259630</t>
        </is>
      </c>
      <c r="C681" s="6" t="inlineStr">
        <is>
          <t>2026Q2</t>
        </is>
      </c>
      <c r="D681" s="6" t="inlineStr">
        <is>
          <t>20260814</t>
        </is>
      </c>
      <c r="E681" s="16" t="n">
        <v>1461</v>
      </c>
      <c r="F681" s="16" t="n">
        <v>830</v>
      </c>
      <c r="G681" s="16" t="n">
        <v>631</v>
      </c>
      <c r="H681" s="6" t="inlineStr">
        <is>
          <t>억원</t>
        </is>
      </c>
      <c r="I681" s="17" t="n">
        <v>-42.3</v>
      </c>
      <c r="J681" s="18" t="n">
        <v>3097</v>
      </c>
      <c r="K681" s="19" t="n">
        <v>2847</v>
      </c>
      <c r="L681" s="18" t="n">
        <v>2746</v>
      </c>
      <c r="M681" s="19" t="n">
        <v>2225</v>
      </c>
      <c r="N681" s="18" t="n">
        <v>2604</v>
      </c>
      <c r="O681" s="19" t="n">
        <v>2262</v>
      </c>
      <c r="P681" s="18" t="n">
        <v>1706</v>
      </c>
      <c r="Q681" s="19" t="n">
        <v>1721</v>
      </c>
      <c r="R681" s="18" t="n">
        <v>1094</v>
      </c>
      <c r="S681" s="20" t="n">
        <v>631</v>
      </c>
      <c r="T681" s="6" t="n">
        <v>1</v>
      </c>
      <c r="U681" s="5" t="inlineStr">
        <is>
          <t>이차전지 조립장비 / -</t>
        </is>
      </c>
      <c r="V681" s="21">
        <f>HYPERLINK("https://dart.fss.or.kr/dsaf001/main.do?rcpNo=20260814003181", "공시열람")</f>
        <v/>
      </c>
    </row>
    <row r="682">
      <c r="A682" s="5" t="inlineStr">
        <is>
          <t>아이퀘스트</t>
        </is>
      </c>
      <c r="B682" s="6" t="inlineStr">
        <is>
          <t>262840</t>
        </is>
      </c>
      <c r="C682" s="6" t="inlineStr">
        <is>
          <t>2026Q2</t>
        </is>
      </c>
      <c r="D682" s="6" t="inlineStr">
        <is>
          <t>20260812</t>
        </is>
      </c>
      <c r="E682" s="16" t="n">
        <v>25051</v>
      </c>
      <c r="F682" s="16" t="n">
        <v>10595</v>
      </c>
      <c r="G682" s="16" t="n">
        <v>14456</v>
      </c>
      <c r="H682" s="6" t="inlineStr">
        <is>
          <t>백만원</t>
        </is>
      </c>
      <c r="I682" s="17" t="n">
        <v>-3.4</v>
      </c>
      <c r="J682" s="18" t="n">
        <v>13970</v>
      </c>
      <c r="K682" s="19" t="n">
        <v>10609</v>
      </c>
      <c r="L682" s="18" t="n">
        <v>9930</v>
      </c>
      <c r="M682" s="19" t="n">
        <v>7320</v>
      </c>
      <c r="N682" s="18" t="n">
        <v>14588</v>
      </c>
      <c r="O682" s="19" t="n">
        <v>13817</v>
      </c>
      <c r="P682" s="18" t="n">
        <v>10002</v>
      </c>
      <c r="Q682" s="19" t="n">
        <v>7292</v>
      </c>
      <c r="R682" s="18" t="n">
        <v>14959</v>
      </c>
      <c r="S682" s="20" t="n">
        <v>14456</v>
      </c>
      <c r="T682" s="6" t="n">
        <v>2</v>
      </c>
      <c r="U682" s="5" t="inlineStr">
        <is>
          <t>IT 컨설팅 / 시스템 구축 및 운영/유지 보수 / ' | B2B 소프트웨어 / SAP B1 ERP 공급 및 구축</t>
        </is>
      </c>
      <c r="V682" s="21">
        <f>HYPERLINK("https://dart.fss.or.kr/dsaf001/main.do?rcpNo=20260812000182", "공시열람")</f>
        <v/>
      </c>
    </row>
    <row r="683">
      <c r="A683" s="5" t="inlineStr">
        <is>
          <t>디케이앤디</t>
        </is>
      </c>
      <c r="B683" s="6" t="inlineStr">
        <is>
          <t>263020</t>
        </is>
      </c>
      <c r="C683" s="6" t="inlineStr">
        <is>
          <t>2026Q2</t>
        </is>
      </c>
      <c r="D683" s="6" t="inlineStr">
        <is>
          <t>20260813</t>
        </is>
      </c>
      <c r="E683" s="16" t="n">
        <v>18443</v>
      </c>
      <c r="F683" s="16" t="n">
        <v>15255</v>
      </c>
      <c r="G683" s="16" t="n">
        <v>3188</v>
      </c>
      <c r="H683" s="6" t="inlineStr">
        <is>
          <t>YD,백만원</t>
        </is>
      </c>
      <c r="I683" s="17" t="n">
        <v>-37.9</v>
      </c>
      <c r="J683" s="18" t="inlineStr"/>
      <c r="K683" s="19" t="inlineStr"/>
      <c r="L683" s="18" t="inlineStr"/>
      <c r="M683" s="19" t="inlineStr"/>
      <c r="N683" s="18" t="n">
        <v>14575</v>
      </c>
      <c r="O683" s="19" t="inlineStr"/>
      <c r="P683" s="18" t="inlineStr"/>
      <c r="Q683" s="19" t="inlineStr"/>
      <c r="R683" s="18" t="n">
        <v>5130</v>
      </c>
      <c r="S683" s="20" t="n">
        <v>3188</v>
      </c>
      <c r="T683" s="6" t="n">
        <v>1</v>
      </c>
      <c r="U683" s="5" t="inlineStr">
        <is>
          <t>헤드셋용 합성피혁 / 2024.10.23 / 2027.</t>
        </is>
      </c>
      <c r="V683" s="21">
        <f>HYPERLINK("https://dart.fss.or.kr/dsaf001/main.do?rcpNo=20260813001190", "공시열람")</f>
        <v/>
      </c>
    </row>
    <row r="684">
      <c r="A684" s="5" t="inlineStr">
        <is>
          <t>유틸렉스</t>
        </is>
      </c>
      <c r="B684" s="6" t="inlineStr">
        <is>
          <t>263050</t>
        </is>
      </c>
      <c r="C684" s="6" t="inlineStr">
        <is>
          <t>2026Q2</t>
        </is>
      </c>
      <c r="D684" s="6" t="inlineStr">
        <is>
          <t>20260814</t>
        </is>
      </c>
      <c r="E684" s="16" t="n">
        <v>3359832</v>
      </c>
      <c r="F684" s="16" t="n">
        <v>1527457</v>
      </c>
      <c r="G684" s="16" t="n">
        <v>1832375</v>
      </c>
      <c r="H684" s="6" t="inlineStr">
        <is>
          <t>천원</t>
        </is>
      </c>
      <c r="I684" s="17" t="n">
        <v>-53.5</v>
      </c>
      <c r="J684" s="18" t="inlineStr"/>
      <c r="K684" s="19" t="n">
        <v>1905455</v>
      </c>
      <c r="L684" s="18" t="n">
        <v>960566</v>
      </c>
      <c r="M684" s="19" t="n">
        <v>690673</v>
      </c>
      <c r="N684" s="18" t="n">
        <v>512050</v>
      </c>
      <c r="O684" s="19" t="n">
        <v>1967977</v>
      </c>
      <c r="P684" s="18" t="n">
        <v>3756945</v>
      </c>
      <c r="Q684" s="19" t="n">
        <v>1939095</v>
      </c>
      <c r="R684" s="18" t="n">
        <v>3939263</v>
      </c>
      <c r="S684" s="20" t="n">
        <v>1832375</v>
      </c>
      <c r="T684" s="6" t="n">
        <v>3</v>
      </c>
      <c r="U684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4" s="21">
        <f>HYPERLINK("https://dart.fss.or.kr/dsaf001/main.do?rcpNo=20260814003647", "공시열람")</f>
        <v/>
      </c>
    </row>
    <row r="685">
      <c r="A685" s="5" t="inlineStr">
        <is>
          <t>데이타솔루션</t>
        </is>
      </c>
      <c r="B685" s="6" t="inlineStr">
        <is>
          <t>263800</t>
        </is>
      </c>
      <c r="C685" s="6" t="inlineStr">
        <is>
          <t>2024Q4</t>
        </is>
      </c>
      <c r="D685" s="6" t="inlineStr">
        <is>
          <t>20250312</t>
        </is>
      </c>
      <c r="E685" s="16" t="n">
        <v>5985</v>
      </c>
      <c r="F685" s="16" t="n">
        <v>5664</v>
      </c>
      <c r="G685" s="16" t="n">
        <v>321</v>
      </c>
      <c r="H685" s="6" t="inlineStr"/>
      <c r="I685" s="17" t="n">
        <v>365.2</v>
      </c>
      <c r="J685" s="18" t="n">
        <v>535</v>
      </c>
      <c r="K685" s="19" t="n">
        <v>203</v>
      </c>
      <c r="L685" s="18" t="n">
        <v>69</v>
      </c>
      <c r="M685" s="19" t="n">
        <v>321</v>
      </c>
      <c r="N685" s="18" t="inlineStr"/>
      <c r="O685" s="19" t="inlineStr"/>
      <c r="P685" s="18" t="inlineStr"/>
      <c r="Q685" s="19" t="inlineStr"/>
      <c r="R685" s="18" t="inlineStr"/>
      <c r="S685" s="20" t="inlineStr"/>
      <c r="T685" s="6" t="n">
        <v>1</v>
      </c>
      <c r="U685" s="5" t="inlineStr">
        <is>
          <t>시스템통합 / 2020-10-16 / 2025-03-3</t>
        </is>
      </c>
      <c r="V685" s="21">
        <f>HYPERLINK("https://dart.fss.or.kr/dsaf001/main.do?rcpNo=20250312000588", "공시열람")</f>
        <v/>
      </c>
    </row>
    <row r="686">
      <c r="A686" s="5" t="inlineStr">
        <is>
          <t>유비쿼스</t>
        </is>
      </c>
      <c r="B686" s="6" t="inlineStr">
        <is>
          <t>264450</t>
        </is>
      </c>
      <c r="C686" s="6" t="inlineStr">
        <is>
          <t>2026Q2</t>
        </is>
      </c>
      <c r="D686" s="6" t="inlineStr">
        <is>
          <t>20260814</t>
        </is>
      </c>
      <c r="E686" s="16" t="n">
        <v>179424</v>
      </c>
      <c r="F686" s="16" t="n">
        <v>91937</v>
      </c>
      <c r="G686" s="16" t="n">
        <v>87487</v>
      </c>
      <c r="H686" s="6" t="inlineStr">
        <is>
          <t>백만원</t>
        </is>
      </c>
      <c r="I686" s="17" t="n">
        <v>-15.1</v>
      </c>
      <c r="J686" s="18" t="n">
        <v>171554</v>
      </c>
      <c r="K686" s="19" t="n">
        <v>167430</v>
      </c>
      <c r="L686" s="18" t="n">
        <v>161375</v>
      </c>
      <c r="M686" s="19" t="n">
        <v>147635</v>
      </c>
      <c r="N686" s="18" t="n">
        <v>141886</v>
      </c>
      <c r="O686" s="19" t="n">
        <v>136578</v>
      </c>
      <c r="P686" s="18" t="n">
        <v>124743</v>
      </c>
      <c r="Q686" s="19" t="n">
        <v>112050</v>
      </c>
      <c r="R686" s="18" t="n">
        <v>103021</v>
      </c>
      <c r="S686" s="20" t="n">
        <v>87487</v>
      </c>
      <c r="T686" s="6" t="n">
        <v>1</v>
      </c>
      <c r="U686" s="5" t="inlineStr">
        <is>
          <t>LGU+ 가입자망용 EPON/스위치 단가계약</t>
        </is>
      </c>
      <c r="V686" s="21">
        <f>HYPERLINK("https://dart.fss.or.kr/dsaf001/main.do?rcpNo=20260814001072", "공시열람")</f>
        <v/>
      </c>
    </row>
    <row r="687">
      <c r="A687" s="5" t="inlineStr">
        <is>
          <t>씨앤지하이테크</t>
        </is>
      </c>
      <c r="B687" s="6" t="inlineStr">
        <is>
          <t>264660</t>
        </is>
      </c>
      <c r="C687" s="6" t="inlineStr">
        <is>
          <t>2026Q2</t>
        </is>
      </c>
      <c r="D687" s="6" t="inlineStr">
        <is>
          <t>20260813</t>
        </is>
      </c>
      <c r="E687" s="16" t="n">
        <v>58524</v>
      </c>
      <c r="F687" s="16" t="n">
        <v>33338</v>
      </c>
      <c r="G687" s="16" t="n">
        <v>25186</v>
      </c>
      <c r="H687" s="6" t="inlineStr">
        <is>
          <t>백만원</t>
        </is>
      </c>
      <c r="I687" s="17" t="inlineStr"/>
      <c r="J687" s="18" t="n">
        <v>50912</v>
      </c>
      <c r="K687" s="19" t="n">
        <v>4592</v>
      </c>
      <c r="L687" s="18" t="n">
        <v>18563</v>
      </c>
      <c r="M687" s="19" t="n">
        <v>3163</v>
      </c>
      <c r="N687" s="18" t="n">
        <v>24074</v>
      </c>
      <c r="O687" s="19" t="n">
        <v>19107</v>
      </c>
      <c r="P687" s="18" t="n">
        <v>9322</v>
      </c>
      <c r="Q687" s="19" t="n">
        <v>0</v>
      </c>
      <c r="R687" s="18" t="n">
        <v>0</v>
      </c>
      <c r="S687" s="20" t="n">
        <v>25186</v>
      </c>
      <c r="T687" s="6" t="n">
        <v>2</v>
      </c>
      <c r="U687" s="5" t="inlineStr">
        <is>
          <t>반도체 등 제조장비 / 2026.06.27 / 2026 | 반도체 등 제조장비 / 2026.04.10 / 2026</t>
        </is>
      </c>
      <c r="V687" s="21">
        <f>HYPERLINK("https://dart.fss.or.kr/dsaf001/main.do?rcpNo=20260813000962", "공시열람")</f>
        <v/>
      </c>
    </row>
    <row r="688">
      <c r="A688" s="5" t="inlineStr">
        <is>
          <t>AP시스템</t>
        </is>
      </c>
      <c r="B688" s="6" t="inlineStr">
        <is>
          <t>265520</t>
        </is>
      </c>
      <c r="C688" s="6" t="inlineStr">
        <is>
          <t>2026Q2</t>
        </is>
      </c>
      <c r="D688" s="6" t="inlineStr">
        <is>
          <t>20260814</t>
        </is>
      </c>
      <c r="E688" s="16" t="n">
        <v>804989</v>
      </c>
      <c r="F688" s="16" t="n">
        <v>591790</v>
      </c>
      <c r="G688" s="16" t="n">
        <v>213199</v>
      </c>
      <c r="H688" s="6" t="inlineStr">
        <is>
          <t>백만원</t>
        </is>
      </c>
      <c r="I688" s="17" t="n">
        <v>14.4</v>
      </c>
      <c r="J688" s="18" t="n">
        <v>211401</v>
      </c>
      <c r="K688" s="19" t="n">
        <v>190627</v>
      </c>
      <c r="L688" s="18" t="n">
        <v>175169</v>
      </c>
      <c r="M688" s="19" t="n">
        <v>140816</v>
      </c>
      <c r="N688" s="18" t="n">
        <v>91781</v>
      </c>
      <c r="O688" s="19" t="n">
        <v>131161</v>
      </c>
      <c r="P688" s="18" t="n">
        <v>211308</v>
      </c>
      <c r="Q688" s="19" t="n">
        <v>228659</v>
      </c>
      <c r="R688" s="18" t="n">
        <v>186441</v>
      </c>
      <c r="S688" s="20" t="n">
        <v>213199</v>
      </c>
      <c r="T688" s="6" t="n">
        <v>3</v>
      </c>
      <c r="U688" s="5" t="inlineStr">
        <is>
          <t>디스플레이 제조장비 / - | 반도체 제조장비 / - | 이차전지 제조장비 / -</t>
        </is>
      </c>
      <c r="V688" s="21">
        <f>HYPERLINK("https://dart.fss.or.kr/dsaf001/main.do?rcpNo=20260814003234", "공시열람")</f>
        <v/>
      </c>
    </row>
    <row r="689">
      <c r="A689" s="5" t="inlineStr">
        <is>
          <t>HD현대</t>
        </is>
      </c>
      <c r="B689" s="6" t="inlineStr">
        <is>
          <t>267250</t>
        </is>
      </c>
      <c r="C689" s="6" t="inlineStr">
        <is>
          <t>2026Q2</t>
        </is>
      </c>
      <c r="D689" s="6" t="inlineStr">
        <is>
          <t>20260814</t>
        </is>
      </c>
      <c r="E689" s="16" t="inlineStr"/>
      <c r="F689" s="16" t="inlineStr"/>
      <c r="G689" s="16" t="n">
        <v>2243852713</v>
      </c>
      <c r="H689" s="6" t="inlineStr">
        <is>
          <t>천원,천USD,천JPY</t>
        </is>
      </c>
      <c r="I689" s="17" t="n">
        <v>2418.6</v>
      </c>
      <c r="J689" s="18" t="n">
        <v>77179596</v>
      </c>
      <c r="K689" s="19" t="n">
        <v>78510928</v>
      </c>
      <c r="L689" s="18" t="n">
        <v>77076074</v>
      </c>
      <c r="M689" s="19" t="n">
        <v>83508459</v>
      </c>
      <c r="N689" s="18" t="n">
        <v>84046817</v>
      </c>
      <c r="O689" s="19" t="n">
        <v>81442477</v>
      </c>
      <c r="P689" s="18" t="n">
        <v>79890507</v>
      </c>
      <c r="Q689" s="19" t="n">
        <v>82236880</v>
      </c>
      <c r="R689" s="18" t="n">
        <v>89093027</v>
      </c>
      <c r="S689" s="20" t="n">
        <v>2243852713</v>
      </c>
      <c r="T689" s="6" t="n">
        <v>3</v>
      </c>
      <c r="U689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9" s="21">
        <f>HYPERLINK("https://dart.fss.or.kr/dsaf001/main.do?rcpNo=20260814003420", "공시열람")</f>
        <v/>
      </c>
    </row>
    <row r="690">
      <c r="A690" s="5" t="inlineStr">
        <is>
          <t>HD현대일렉트릭</t>
        </is>
      </c>
      <c r="B690" s="6" t="inlineStr">
        <is>
          <t>267260</t>
        </is>
      </c>
      <c r="C690" s="6" t="inlineStr">
        <is>
          <t>2026Q2</t>
        </is>
      </c>
      <c r="D690" s="6" t="inlineStr">
        <is>
          <t>20260814</t>
        </is>
      </c>
      <c r="E690" s="16" t="n">
        <v>14488813</v>
      </c>
      <c r="F690" s="16" t="n">
        <v>2178313</v>
      </c>
      <c r="G690" s="16" t="n">
        <v>12310500</v>
      </c>
      <c r="H690" s="6" t="inlineStr">
        <is>
          <t>백만원</t>
        </is>
      </c>
      <c r="I690" s="17" t="n">
        <v>7.6</v>
      </c>
      <c r="J690" s="18" t="inlineStr"/>
      <c r="K690" s="19" t="n">
        <v>7090200</v>
      </c>
      <c r="L690" s="18" t="n">
        <v>7180670</v>
      </c>
      <c r="M690" s="19" t="n">
        <v>7646580</v>
      </c>
      <c r="N690" s="18" t="n">
        <v>8493900</v>
      </c>
      <c r="O690" s="19" t="n">
        <v>8711500</v>
      </c>
      <c r="P690" s="18" t="n">
        <v>9566710</v>
      </c>
      <c r="Q690" s="19" t="n">
        <v>9423400</v>
      </c>
      <c r="R690" s="18" t="n">
        <v>11437600</v>
      </c>
      <c r="S690" s="20" t="n">
        <v>12310500</v>
      </c>
      <c r="T690" s="6" t="n">
        <v>1</v>
      </c>
      <c r="U690" s="5" t="inlineStr">
        <is>
          <t>전기전자부문 / 변압기, 고압차단기회전기, 저압전동기배</t>
        </is>
      </c>
      <c r="V690" s="21">
        <f>HYPERLINK("https://dart.fss.or.kr/dsaf001/main.do?rcpNo=20260814003228", "공시열람")</f>
        <v/>
      </c>
    </row>
    <row r="691">
      <c r="A691" s="5" t="inlineStr">
        <is>
          <t>아시아나IDT</t>
        </is>
      </c>
      <c r="B691" s="6" t="inlineStr">
        <is>
          <t>267850</t>
        </is>
      </c>
      <c r="C691" s="6" t="inlineStr">
        <is>
          <t>2026Q2</t>
        </is>
      </c>
      <c r="D691" s="6" t="inlineStr">
        <is>
          <t>20260812</t>
        </is>
      </c>
      <c r="E691" s="16" t="n">
        <v>2526</v>
      </c>
      <c r="F691" s="16" t="n">
        <v>1418</v>
      </c>
      <c r="G691" s="16" t="n">
        <v>1108</v>
      </c>
      <c r="H691" s="6" t="inlineStr">
        <is>
          <t>억원</t>
        </is>
      </c>
      <c r="I691" s="17" t="n">
        <v>-19.1</v>
      </c>
      <c r="J691" s="18" t="n">
        <v>479</v>
      </c>
      <c r="K691" s="19" t="n">
        <v>502</v>
      </c>
      <c r="L691" s="18" t="n">
        <v>441</v>
      </c>
      <c r="M691" s="19" t="n">
        <v>551</v>
      </c>
      <c r="N691" s="18" t="n">
        <v>446</v>
      </c>
      <c r="O691" s="19" t="n">
        <v>324</v>
      </c>
      <c r="P691" s="18" t="n">
        <v>634</v>
      </c>
      <c r="Q691" s="19" t="n">
        <v>768</v>
      </c>
      <c r="R691" s="18" t="n">
        <v>1370</v>
      </c>
      <c r="S691" s="20" t="n">
        <v>1108</v>
      </c>
      <c r="T691" s="6" t="n">
        <v>2</v>
      </c>
      <c r="U691" s="5" t="inlineStr">
        <is>
          <t>운영유지보수 / - | 컨설팅/SI 등 / -</t>
        </is>
      </c>
      <c r="V691" s="21">
        <f>HYPERLINK("https://dart.fss.or.kr/dsaf001/main.do?rcpNo=20260812000800", "공시열람")</f>
        <v/>
      </c>
    </row>
    <row r="692">
      <c r="A692" s="5" t="inlineStr">
        <is>
          <t>에스알바이오텍</t>
        </is>
      </c>
      <c r="B692" s="6" t="inlineStr">
        <is>
          <t>270210</t>
        </is>
      </c>
      <c r="C692" s="6" t="inlineStr">
        <is>
          <t>2024Q4</t>
        </is>
      </c>
      <c r="D692" s="6" t="inlineStr">
        <is>
          <t>20250319</t>
        </is>
      </c>
      <c r="E692" s="16" t="n">
        <v>8125274</v>
      </c>
      <c r="F692" s="16" t="inlineStr"/>
      <c r="G692" s="16" t="n">
        <v>3735917</v>
      </c>
      <c r="H692" s="6" t="inlineStr"/>
      <c r="I692" s="17" t="n">
        <v>80.59999999999999</v>
      </c>
      <c r="J692" s="18" t="inlineStr"/>
      <c r="K692" s="19" t="inlineStr"/>
      <c r="L692" s="18" t="inlineStr"/>
      <c r="M692" s="19" t="n">
        <v>3735917</v>
      </c>
      <c r="N692" s="18" t="inlineStr"/>
      <c r="O692" s="19" t="inlineStr"/>
      <c r="P692" s="18" t="inlineStr"/>
      <c r="Q692" s="19" t="inlineStr"/>
      <c r="R692" s="18" t="inlineStr"/>
      <c r="S692" s="20" t="inlineStr"/>
      <c r="T692" s="6" t="n">
        <v>6</v>
      </c>
      <c r="U692" s="5" t="inlineStr">
        <is>
          <t>주식회사 스킨천사 / 제품 / 5월~12월 | (주)제이크리컴퍼니 / 제품 / 12월 | 엔비엘케이 / 제품 / 12월</t>
        </is>
      </c>
      <c r="V692" s="21">
        <f>HYPERLINK("https://dart.fss.or.kr/dsaf001/main.do?rcpNo=20250319000677", "공시열람")</f>
        <v/>
      </c>
    </row>
    <row r="693">
      <c r="A693" s="5" t="inlineStr">
        <is>
          <t>에브리봇</t>
        </is>
      </c>
      <c r="B693" s="6" t="inlineStr">
        <is>
          <t>270660</t>
        </is>
      </c>
      <c r="C693" s="6" t="inlineStr">
        <is>
          <t>2025Q3</t>
        </is>
      </c>
      <c r="D693" s="6" t="inlineStr">
        <is>
          <t>20251114</t>
        </is>
      </c>
      <c r="E693" s="16" t="n">
        <v>2066000000</v>
      </c>
      <c r="F693" s="16" t="n">
        <v>2066000000</v>
      </c>
      <c r="G693" s="16" t="n">
        <v>0</v>
      </c>
      <c r="H693" s="6" t="inlineStr">
        <is>
          <t>원</t>
        </is>
      </c>
      <c r="I693" s="17" t="inlineStr"/>
      <c r="J693" s="18" t="inlineStr"/>
      <c r="K693" s="19" t="inlineStr"/>
      <c r="L693" s="18" t="inlineStr"/>
      <c r="M693" s="19" t="inlineStr"/>
      <c r="N693" s="18" t="n">
        <v>1850000000</v>
      </c>
      <c r="O693" s="19" t="n">
        <v>0</v>
      </c>
      <c r="P693" s="18" t="n">
        <v>0</v>
      </c>
      <c r="Q693" s="19" t="inlineStr"/>
      <c r="R693" s="18" t="inlineStr"/>
      <c r="S693" s="20" t="inlineStr"/>
      <c r="T693" s="6" t="n">
        <v>2</v>
      </c>
      <c r="U693" s="5" t="inlineStr">
        <is>
          <t>AI 자율주행 공기청정기 개발용역 / 2025.3.31 | S/W 추가 개발용역 / 2025.7.24 / 2025</t>
        </is>
      </c>
      <c r="V693" s="21">
        <f>HYPERLINK("https://dart.fss.or.kr/dsaf001/main.do?rcpNo=20251114000204", "공시열람")</f>
        <v/>
      </c>
    </row>
    <row r="694">
      <c r="A694" s="5" t="inlineStr">
        <is>
          <t>팸텍</t>
        </is>
      </c>
      <c r="B694" s="6" t="inlineStr">
        <is>
          <t>271830</t>
        </is>
      </c>
      <c r="C694" s="6" t="inlineStr">
        <is>
          <t>2026Q2</t>
        </is>
      </c>
      <c r="D694" s="6" t="inlineStr">
        <is>
          <t>20260814</t>
        </is>
      </c>
      <c r="E694" s="16" t="n">
        <v>43295</v>
      </c>
      <c r="F694" s="16" t="n">
        <v>12569</v>
      </c>
      <c r="G694" s="16" t="n">
        <v>30727</v>
      </c>
      <c r="H694" s="6" t="inlineStr">
        <is>
          <t>백만원</t>
        </is>
      </c>
      <c r="I694" s="17" t="n">
        <v>85.2</v>
      </c>
      <c r="J694" s="18" t="n">
        <v>15082</v>
      </c>
      <c r="K694" s="19" t="n">
        <v>16199</v>
      </c>
      <c r="L694" s="18" t="n">
        <v>15198</v>
      </c>
      <c r="M694" s="19" t="n">
        <v>6392</v>
      </c>
      <c r="N694" s="18" t="n">
        <v>10791</v>
      </c>
      <c r="O694" s="19" t="n">
        <v>23451</v>
      </c>
      <c r="P694" s="18" t="n">
        <v>27024</v>
      </c>
      <c r="Q694" s="19" t="n">
        <v>10669</v>
      </c>
      <c r="R694" s="18" t="n">
        <v>16594</v>
      </c>
      <c r="S694" s="20" t="n">
        <v>30727</v>
      </c>
      <c r="T694" s="6" t="n">
        <v>4</v>
      </c>
      <c r="U694" s="5" t="inlineStr">
        <is>
          <t>카메라모듈 / 제품 | 반도체 / 제품 | 모빌리티 / 제품</t>
        </is>
      </c>
      <c r="V694" s="21">
        <f>HYPERLINK("https://dart.fss.or.kr/dsaf001/main.do?rcpNo=20260814002911", "공시열람")</f>
        <v/>
      </c>
    </row>
    <row r="695">
      <c r="A695" s="5" t="inlineStr">
        <is>
          <t>한화시스템</t>
        </is>
      </c>
      <c r="B695" s="6" t="inlineStr">
        <is>
          <t>272210</t>
        </is>
      </c>
      <c r="C695" s="6" t="inlineStr">
        <is>
          <t>2026Q2</t>
        </is>
      </c>
      <c r="D695" s="6" t="inlineStr">
        <is>
          <t>20260813</t>
        </is>
      </c>
      <c r="E695" s="16" t="n">
        <v>13245410</v>
      </c>
      <c r="F695" s="16" t="n">
        <v>1926822</v>
      </c>
      <c r="G695" s="16" t="n">
        <v>11318588</v>
      </c>
      <c r="H695" s="6" t="inlineStr">
        <is>
          <t>백만원</t>
        </is>
      </c>
      <c r="I695" s="17" t="n">
        <v>-7.2</v>
      </c>
      <c r="J695" s="18" t="n">
        <v>7049779</v>
      </c>
      <c r="K695" s="19" t="n">
        <v>6967870</v>
      </c>
      <c r="L695" s="18" t="n">
        <v>7923594</v>
      </c>
      <c r="M695" s="19" t="n">
        <v>10557886</v>
      </c>
      <c r="N695" s="18" t="n">
        <v>10498985</v>
      </c>
      <c r="O695" s="19" t="n">
        <v>10362144</v>
      </c>
      <c r="P695" s="18" t="n">
        <v>11175820</v>
      </c>
      <c r="Q695" s="19" t="n">
        <v>12216300</v>
      </c>
      <c r="R695" s="18" t="n">
        <v>12196397</v>
      </c>
      <c r="S695" s="20" t="n">
        <v>11318588</v>
      </c>
      <c r="T695" s="6" t="n">
        <v>3</v>
      </c>
      <c r="U695" s="5" t="inlineStr">
        <is>
          <t>방산 / 한화시스템 / 군수장비 | 기타 / H FOUNDATION PTE. LTD.Han | ICT / 한화시스템 / 전산시스템 설계 및 구축,전산</t>
        </is>
      </c>
      <c r="V695" s="21">
        <f>HYPERLINK("https://dart.fss.or.kr/dsaf001/main.do?rcpNo=20260813001258", "공시열람")</f>
        <v/>
      </c>
    </row>
    <row r="696">
      <c r="A696" s="5" t="inlineStr">
        <is>
          <t>와이엠텍</t>
        </is>
      </c>
      <c r="B696" s="6" t="inlineStr">
        <is>
          <t>273640</t>
        </is>
      </c>
      <c r="C696" s="6" t="inlineStr">
        <is>
          <t>2023Q4</t>
        </is>
      </c>
      <c r="D696" s="6" t="inlineStr">
        <is>
          <t>20240315</t>
        </is>
      </c>
      <c r="E696" s="16" t="n">
        <v>36701182</v>
      </c>
      <c r="F696" s="16" t="n">
        <v>34852927</v>
      </c>
      <c r="G696" s="16" t="n">
        <v>1848254</v>
      </c>
      <c r="H696" s="6" t="inlineStr">
        <is>
          <t>EA/천원</t>
        </is>
      </c>
      <c r="I696" s="17" t="inlineStr"/>
      <c r="J696" s="18" t="inlineStr"/>
      <c r="K696" s="19" t="inlineStr"/>
      <c r="L696" s="18" t="inlineStr"/>
      <c r="M696" s="19" t="inlineStr"/>
      <c r="N696" s="18" t="inlineStr"/>
      <c r="O696" s="19" t="inlineStr"/>
      <c r="P696" s="18" t="inlineStr"/>
      <c r="Q696" s="19" t="inlineStr"/>
      <c r="R696" s="18" t="inlineStr"/>
      <c r="S696" s="20" t="inlineStr"/>
      <c r="T696" s="6" t="n">
        <v>1</v>
      </c>
      <c r="U696" s="5" t="inlineStr">
        <is>
          <t>EV Relay / 23.12.31 / 23.01~24</t>
        </is>
      </c>
      <c r="V696" s="21">
        <f>HYPERLINK("https://dart.fss.or.kr/dsaf001/main.do?rcpNo=20240315000026", "공시열람")</f>
        <v/>
      </c>
    </row>
    <row r="697">
      <c r="A697" s="5" t="inlineStr">
        <is>
          <t>이노시뮬레이션</t>
        </is>
      </c>
      <c r="B697" s="6" t="inlineStr">
        <is>
          <t>274400</t>
        </is>
      </c>
      <c r="C697" s="6" t="inlineStr">
        <is>
          <t>2026Q2</t>
        </is>
      </c>
      <c r="D697" s="6" t="inlineStr">
        <is>
          <t>20260814</t>
        </is>
      </c>
      <c r="E697" s="16" t="inlineStr"/>
      <c r="F697" s="16" t="inlineStr"/>
      <c r="G697" s="16" t="n">
        <v>27474718</v>
      </c>
      <c r="H697" s="6" t="inlineStr">
        <is>
          <t>천원</t>
        </is>
      </c>
      <c r="I697" s="17" t="n">
        <v>149073.2</v>
      </c>
      <c r="J697" s="18" t="n">
        <v>11025</v>
      </c>
      <c r="K697" s="19" t="n">
        <v>17251</v>
      </c>
      <c r="L697" s="18" t="n">
        <v>15840</v>
      </c>
      <c r="M697" s="19" t="n">
        <v>15401</v>
      </c>
      <c r="N697" s="18" t="n">
        <v>21465</v>
      </c>
      <c r="O697" s="19" t="n">
        <v>17996</v>
      </c>
      <c r="P697" s="18" t="n">
        <v>16114</v>
      </c>
      <c r="Q697" s="19" t="n">
        <v>15574</v>
      </c>
      <c r="R697" s="18" t="n">
        <v>18418</v>
      </c>
      <c r="S697" s="20" t="n">
        <v>27474718</v>
      </c>
      <c r="T697" s="6" t="n">
        <v>2</v>
      </c>
      <c r="U697" s="5" t="inlineStr">
        <is>
          <t>당반기 | 전반기</t>
        </is>
      </c>
      <c r="V697" s="21">
        <f>HYPERLINK("https://dart.fss.or.kr/dsaf001/main.do?rcpNo=20260814003512", "공시열람")</f>
        <v/>
      </c>
    </row>
    <row r="698">
      <c r="A698" s="5" t="inlineStr">
        <is>
          <t>스코넥</t>
        </is>
      </c>
      <c r="B698" s="6" t="inlineStr">
        <is>
          <t>276040</t>
        </is>
      </c>
      <c r="C698" s="6" t="inlineStr">
        <is>
          <t>2026Q2</t>
        </is>
      </c>
      <c r="D698" s="6" t="inlineStr">
        <is>
          <t>20260814</t>
        </is>
      </c>
      <c r="E698" s="16" t="n">
        <v>1433</v>
      </c>
      <c r="F698" s="16" t="n">
        <v>1433</v>
      </c>
      <c r="G698" s="16" t="n">
        <v>0</v>
      </c>
      <c r="H698" s="6" t="inlineStr">
        <is>
          <t>백만원</t>
        </is>
      </c>
      <c r="I698" s="17" t="n">
        <v>-100</v>
      </c>
      <c r="J698" s="18" t="n">
        <v>0</v>
      </c>
      <c r="K698" s="19" t="n">
        <v>1812</v>
      </c>
      <c r="L698" s="18" t="n">
        <v>2360</v>
      </c>
      <c r="M698" s="19" t="n">
        <v>1074</v>
      </c>
      <c r="N698" s="18" t="n">
        <v>3211</v>
      </c>
      <c r="O698" s="19" t="n">
        <v>3158</v>
      </c>
      <c r="P698" s="18" t="n">
        <v>2233</v>
      </c>
      <c r="Q698" s="19" t="n">
        <v>142</v>
      </c>
      <c r="R698" s="18" t="n">
        <v>431</v>
      </c>
      <c r="S698" s="20" t="n">
        <v>0</v>
      </c>
      <c r="T698" s="6" t="n">
        <v>3</v>
      </c>
      <c r="U698" s="5" t="inlineStr">
        <is>
          <t>XR 콘텐츠 개발 및 제작 / 2025-08-28 /  | XR 콘텐츠 개발 및 제작 / 2026-01-30 /  | 콘텐츠 개발 등</t>
        </is>
      </c>
      <c r="V698" s="21">
        <f>HYPERLINK("https://dart.fss.or.kr/dsaf001/main.do?rcpNo=20260814003564", "공시열람")</f>
        <v/>
      </c>
    </row>
    <row r="699">
      <c r="A699" s="5" t="inlineStr">
        <is>
          <t>엘리비젼</t>
        </is>
      </c>
      <c r="B699" s="6" t="inlineStr">
        <is>
          <t>276240</t>
        </is>
      </c>
      <c r="C699" s="6" t="inlineStr">
        <is>
          <t>2025Q4</t>
        </is>
      </c>
      <c r="D699" s="6" t="inlineStr">
        <is>
          <t>20260323</t>
        </is>
      </c>
      <c r="E699" s="16" t="n">
        <v>800500</v>
      </c>
      <c r="F699" s="16" t="inlineStr"/>
      <c r="G699" s="16" t="n">
        <v>800500</v>
      </c>
      <c r="H699" s="6" t="inlineStr">
        <is>
          <t>천원</t>
        </is>
      </c>
      <c r="I699" s="17" t="n">
        <v>369.5</v>
      </c>
      <c r="J699" s="18" t="inlineStr"/>
      <c r="K699" s="19" t="inlineStr"/>
      <c r="L699" s="18" t="inlineStr"/>
      <c r="M699" s="19" t="n">
        <v>170486</v>
      </c>
      <c r="N699" s="18" t="inlineStr"/>
      <c r="O699" s="19" t="inlineStr"/>
      <c r="P699" s="18" t="inlineStr"/>
      <c r="Q699" s="19" t="n">
        <v>800500</v>
      </c>
      <c r="R699" s="18" t="inlineStr"/>
      <c r="S699" s="20" t="inlineStr"/>
      <c r="T699" s="6" t="n">
        <v>6</v>
      </c>
      <c r="U699" s="5" t="inlineStr">
        <is>
          <t>Interactive KIOSK | Interactive KIOSK | Interactive KIOSK</t>
        </is>
      </c>
      <c r="V699" s="21">
        <f>HYPERLINK("https://dart.fss.or.kr/dsaf001/main.do?rcpNo=20260323000763", "공시열람")</f>
        <v/>
      </c>
    </row>
    <row r="700">
      <c r="A700" s="5" t="inlineStr">
        <is>
          <t>티에스아이</t>
        </is>
      </c>
      <c r="B700" s="6" t="inlineStr">
        <is>
          <t>277880</t>
        </is>
      </c>
      <c r="C700" s="6" t="inlineStr">
        <is>
          <t>2026Q2</t>
        </is>
      </c>
      <c r="D700" s="6" t="inlineStr">
        <is>
          <t>20260814</t>
        </is>
      </c>
      <c r="E700" s="16" t="n">
        <v>753663</v>
      </c>
      <c r="F700" s="16" t="n">
        <v>545504</v>
      </c>
      <c r="G700" s="16" t="n">
        <v>208160</v>
      </c>
      <c r="H700" s="6" t="inlineStr">
        <is>
          <t>백만원</t>
        </is>
      </c>
      <c r="I700" s="17" t="n">
        <v>-39.3</v>
      </c>
      <c r="J700" s="18" t="n">
        <v>465915</v>
      </c>
      <c r="K700" s="19" t="n">
        <v>103345</v>
      </c>
      <c r="L700" s="18" t="n">
        <v>507077</v>
      </c>
      <c r="M700" s="19" t="n">
        <v>492364</v>
      </c>
      <c r="N700" s="18" t="n">
        <v>465313</v>
      </c>
      <c r="O700" s="19" t="n">
        <v>274355</v>
      </c>
      <c r="P700" s="18" t="n">
        <v>208298</v>
      </c>
      <c r="Q700" s="19" t="n">
        <v>293628</v>
      </c>
      <c r="R700" s="18" t="n">
        <v>342659</v>
      </c>
      <c r="S700" s="20" t="n">
        <v>208160</v>
      </c>
      <c r="T700" s="6" t="n">
        <v>3</v>
      </c>
      <c r="U700" s="5" t="inlineStr">
        <is>
          <t>믹싱시스템 / - | 공사 / - | 제작품 / -</t>
        </is>
      </c>
      <c r="V700" s="21">
        <f>HYPERLINK("https://dart.fss.or.kr/dsaf001/main.do?rcpNo=20260814001782", "공시열람")</f>
        <v/>
      </c>
    </row>
    <row r="701">
      <c r="A701" s="5" t="inlineStr">
        <is>
          <t>HLB바이오스텝</t>
        </is>
      </c>
      <c r="B701" s="6" t="inlineStr">
        <is>
          <t>278650</t>
        </is>
      </c>
      <c r="C701" s="6" t="inlineStr">
        <is>
          <t>2026Q2</t>
        </is>
      </c>
      <c r="D701" s="6" t="inlineStr">
        <is>
          <t>20260814</t>
        </is>
      </c>
      <c r="E701" s="16" t="inlineStr"/>
      <c r="F701" s="16" t="inlineStr"/>
      <c r="G701" s="16" t="n">
        <v>34083</v>
      </c>
      <c r="H701" s="6" t="inlineStr">
        <is>
          <t>천원</t>
        </is>
      </c>
      <c r="I701" s="17" t="n">
        <v>-99.90000000000001</v>
      </c>
      <c r="J701" s="18" t="inlineStr"/>
      <c r="K701" s="19" t="inlineStr"/>
      <c r="L701" s="18" t="inlineStr"/>
      <c r="M701" s="19" t="inlineStr"/>
      <c r="N701" s="18" t="inlineStr"/>
      <c r="O701" s="19" t="inlineStr"/>
      <c r="P701" s="18" t="n">
        <v>31970718</v>
      </c>
      <c r="Q701" s="19" t="inlineStr"/>
      <c r="R701" s="18" t="n">
        <v>24648959</v>
      </c>
      <c r="S701" s="20" t="n">
        <v>34083</v>
      </c>
      <c r="T701" s="6" t="n">
        <v>3</v>
      </c>
      <c r="U701" s="5" t="inlineStr">
        <is>
          <t>CRO용역(독성) / - / 2026년 04월~2026 | CRO용역(유효성) / - / 2026년 04월~202 | 구축사업 / - / 2026년 04월~2026년 11월</t>
        </is>
      </c>
      <c r="V701" s="21">
        <f>HYPERLINK("https://dart.fss.or.kr/dsaf001/main.do?rcpNo=20260814003288", "공시열람")</f>
        <v/>
      </c>
    </row>
    <row r="702">
      <c r="A702" s="5" t="inlineStr">
        <is>
          <t>이노벡스</t>
        </is>
      </c>
      <c r="B702" s="6" t="inlineStr">
        <is>
          <t>279060</t>
        </is>
      </c>
      <c r="C702" s="6" t="inlineStr">
        <is>
          <t>2025Q4</t>
        </is>
      </c>
      <c r="D702" s="6" t="inlineStr">
        <is>
          <t>20260331</t>
        </is>
      </c>
      <c r="E702" s="16" t="n">
        <v>10452000</v>
      </c>
      <c r="F702" s="16" t="n">
        <v>7306900</v>
      </c>
      <c r="G702" s="16" t="n">
        <v>3145100</v>
      </c>
      <c r="H702" s="6" t="inlineStr">
        <is>
          <t>천원</t>
        </is>
      </c>
      <c r="I702" s="17" t="n">
        <v>-71</v>
      </c>
      <c r="J702" s="18" t="inlineStr"/>
      <c r="K702" s="19" t="inlineStr"/>
      <c r="L702" s="18" t="inlineStr"/>
      <c r="M702" s="19" t="n">
        <v>10860600</v>
      </c>
      <c r="N702" s="18" t="inlineStr"/>
      <c r="O702" s="19" t="inlineStr"/>
      <c r="P702" s="18" t="inlineStr"/>
      <c r="Q702" s="19" t="n">
        <v>3145100</v>
      </c>
      <c r="R702" s="18" t="inlineStr"/>
      <c r="S702" s="20" t="inlineStr"/>
      <c r="T702" s="6" t="n">
        <v>6</v>
      </c>
      <c r="U702" s="5" t="inlineStr">
        <is>
          <t>2차전지활성화공정장비 / 2024-12-05 / 202 | TAS사업 / 2025-12-26 / 2026-04-3 | 2차전지활성화공정장비 / 2024-12-13 / 202</t>
        </is>
      </c>
      <c r="V702" s="21">
        <f>HYPERLINK("https://dart.fss.or.kr/dsaf001/main.do?rcpNo=20260331004637", "공시열람")</f>
        <v/>
      </c>
    </row>
    <row r="703">
      <c r="A703" s="5" t="inlineStr">
        <is>
          <t>미디어젠</t>
        </is>
      </c>
      <c r="B703" s="6" t="inlineStr">
        <is>
          <t>279600</t>
        </is>
      </c>
      <c r="C703" s="6" t="inlineStr">
        <is>
          <t>2026Q2</t>
        </is>
      </c>
      <c r="D703" s="6" t="inlineStr">
        <is>
          <t>20260813</t>
        </is>
      </c>
      <c r="E703" s="16" t="n">
        <v>14368</v>
      </c>
      <c r="F703" s="16" t="n">
        <v>6159</v>
      </c>
      <c r="G703" s="16" t="n">
        <v>8210</v>
      </c>
      <c r="H703" s="6" t="inlineStr">
        <is>
          <t>백만원</t>
        </is>
      </c>
      <c r="I703" s="17" t="n">
        <v>3.4</v>
      </c>
      <c r="J703" s="18" t="n">
        <v>3337</v>
      </c>
      <c r="K703" s="19" t="n">
        <v>9729</v>
      </c>
      <c r="L703" s="18" t="n">
        <v>9627</v>
      </c>
      <c r="M703" s="19" t="n">
        <v>15285</v>
      </c>
      <c r="N703" s="18" t="n">
        <v>9319</v>
      </c>
      <c r="O703" s="19" t="n">
        <v>8581</v>
      </c>
      <c r="P703" s="18" t="n">
        <v>11503</v>
      </c>
      <c r="Q703" s="19" t="n">
        <v>7181</v>
      </c>
      <c r="R703" s="18" t="n">
        <v>7938</v>
      </c>
      <c r="S703" s="20" t="n">
        <v>8210</v>
      </c>
      <c r="T703" s="6" t="n">
        <v>6</v>
      </c>
      <c r="U703" s="5" t="inlineStr">
        <is>
          <t>음성인식용역 / 전년도 수주이월(주1) / - | 음성인식용역 / 2026.1~2026.6 / - | 기타개발용역 / 2026.1~2026.6 / -</t>
        </is>
      </c>
      <c r="V703" s="21">
        <f>HYPERLINK("https://dart.fss.or.kr/dsaf001/main.do?rcpNo=20260813000915", "공시열람")</f>
        <v/>
      </c>
    </row>
    <row r="704">
      <c r="A704" s="5" t="inlineStr">
        <is>
          <t>케이씨텍</t>
        </is>
      </c>
      <c r="B704" s="6" t="inlineStr">
        <is>
          <t>281820</t>
        </is>
      </c>
      <c r="C704" s="6" t="inlineStr">
        <is>
          <t>2024Q4</t>
        </is>
      </c>
      <c r="D704" s="6" t="inlineStr">
        <is>
          <t>20250318</t>
        </is>
      </c>
      <c r="E704" s="16" t="inlineStr"/>
      <c r="F704" s="16" t="inlineStr"/>
      <c r="G704" s="16" t="n">
        <v>40755952</v>
      </c>
      <c r="H704" s="6" t="inlineStr">
        <is>
          <t>천원</t>
        </is>
      </c>
      <c r="I704" s="17" t="n">
        <v>-4.6</v>
      </c>
      <c r="J704" s="18" t="n">
        <v>40755952</v>
      </c>
      <c r="K704" s="19" t="n">
        <v>40755952</v>
      </c>
      <c r="L704" s="18" t="n">
        <v>42728355</v>
      </c>
      <c r="M704" s="19" t="n">
        <v>40755952</v>
      </c>
      <c r="N704" s="18" t="inlineStr"/>
      <c r="O704" s="19" t="inlineStr"/>
      <c r="P704" s="18" t="inlineStr"/>
      <c r="Q704" s="19" t="inlineStr"/>
      <c r="R704" s="18" t="inlineStr"/>
      <c r="S704" s="20" t="inlineStr"/>
      <c r="T704" s="6" t="n">
        <v>2</v>
      </c>
      <c r="U704" s="5" t="inlineStr">
        <is>
          <t>디스플레이부문 | 반도체부문</t>
        </is>
      </c>
      <c r="V704" s="21">
        <f>HYPERLINK("https://dart.fss.or.kr/dsaf001/main.do?rcpNo=20250318001445", "공시열람")</f>
        <v/>
      </c>
    </row>
    <row r="705">
      <c r="A705" s="5" t="inlineStr">
        <is>
          <t>금양그린파워</t>
        </is>
      </c>
      <c r="B705" s="6" t="inlineStr">
        <is>
          <t>282720</t>
        </is>
      </c>
      <c r="C705" s="6" t="inlineStr">
        <is>
          <t>2026Q2</t>
        </is>
      </c>
      <c r="D705" s="6" t="inlineStr">
        <is>
          <t>20260813</t>
        </is>
      </c>
      <c r="E705" s="16" t="n">
        <v>955164337</v>
      </c>
      <c r="F705" s="16" t="n">
        <v>690688046</v>
      </c>
      <c r="G705" s="16" t="n">
        <v>264476291</v>
      </c>
      <c r="H705" s="6" t="inlineStr">
        <is>
          <t>천원</t>
        </is>
      </c>
      <c r="I705" s="17" t="n">
        <v>11.2</v>
      </c>
      <c r="J705" s="18" t="n">
        <v>114143303</v>
      </c>
      <c r="K705" s="19" t="n">
        <v>140437022</v>
      </c>
      <c r="L705" s="18" t="n">
        <v>238060040</v>
      </c>
      <c r="M705" s="19" t="n">
        <v>307278734</v>
      </c>
      <c r="N705" s="18" t="n">
        <v>340992707</v>
      </c>
      <c r="O705" s="19" t="n">
        <v>310093799</v>
      </c>
      <c r="P705" s="18" t="n">
        <v>276403054</v>
      </c>
      <c r="Q705" s="19" t="n">
        <v>293047761</v>
      </c>
      <c r="R705" s="18" t="n">
        <v>237793433</v>
      </c>
      <c r="S705" s="20" t="n">
        <v>264476291</v>
      </c>
      <c r="T705" s="6" t="n">
        <v>48</v>
      </c>
      <c r="U705" s="5" t="inlineStr">
        <is>
          <t>Saudi ARAMCO / 사우디 Amiral | 현대건설 / 신한울3,4호기 전기계장 | 동백마울풍력발전소 / 제주 동백마을 풍력발전</t>
        </is>
      </c>
      <c r="V705" s="21">
        <f>HYPERLINK("https://dart.fss.or.kr/dsaf001/main.do?rcpNo=20260813001497", "공시열람")</f>
        <v/>
      </c>
    </row>
    <row r="706">
      <c r="A706" s="5" t="inlineStr">
        <is>
          <t>코윈테크</t>
        </is>
      </c>
      <c r="B706" s="6" t="inlineStr">
        <is>
          <t>282880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281816</v>
      </c>
      <c r="H706" s="6" t="inlineStr">
        <is>
          <t>백만원</t>
        </is>
      </c>
      <c r="I706" s="17" t="n">
        <v>-4.9</v>
      </c>
      <c r="J706" s="18" t="n">
        <v>387003</v>
      </c>
      <c r="K706" s="19" t="n">
        <v>347996</v>
      </c>
      <c r="L706" s="18" t="n">
        <v>262705</v>
      </c>
      <c r="M706" s="19" t="n">
        <v>276601</v>
      </c>
      <c r="N706" s="18" t="n">
        <v>286189</v>
      </c>
      <c r="O706" s="19" t="n">
        <v>250320</v>
      </c>
      <c r="P706" s="18" t="n">
        <v>256779</v>
      </c>
      <c r="Q706" s="19" t="n">
        <v>243857</v>
      </c>
      <c r="R706" s="18" t="n">
        <v>296373</v>
      </c>
      <c r="S706" s="20" t="n">
        <v>281816</v>
      </c>
      <c r="T706" s="6" t="n">
        <v>2</v>
      </c>
      <c r="U706" s="5" t="inlineStr">
        <is>
          <t>로봇 자동화 | 2차전지 시스템엔지니어링</t>
        </is>
      </c>
      <c r="V706" s="21">
        <f>HYPERLINK("https://dart.fss.or.kr/dsaf001/main.do?rcpNo=20260814001249", "공시열람")</f>
        <v/>
      </c>
    </row>
    <row r="707">
      <c r="A707" s="5" t="inlineStr">
        <is>
          <t>SK케미칼</t>
        </is>
      </c>
      <c r="B707" s="6" t="inlineStr">
        <is>
          <t>285130</t>
        </is>
      </c>
      <c r="C707" s="6" t="inlineStr">
        <is>
          <t>2026Q2</t>
        </is>
      </c>
      <c r="D707" s="6" t="inlineStr">
        <is>
          <t>20260813</t>
        </is>
      </c>
      <c r="E707" s="16" t="n">
        <v>2511572</v>
      </c>
      <c r="F707" s="16" t="n">
        <v>1933255</v>
      </c>
      <c r="G707" s="16" t="n">
        <v>578317</v>
      </c>
      <c r="H707" s="6" t="inlineStr">
        <is>
          <t>백만원</t>
        </is>
      </c>
      <c r="I707" s="17" t="n">
        <v>-30.1</v>
      </c>
      <c r="J707" s="18" t="n">
        <v>114955</v>
      </c>
      <c r="K707" s="19" t="n">
        <v>141644</v>
      </c>
      <c r="L707" s="18" t="n">
        <v>107602</v>
      </c>
      <c r="M707" s="19" t="n">
        <v>979319</v>
      </c>
      <c r="N707" s="18" t="n">
        <v>882738</v>
      </c>
      <c r="O707" s="19" t="n">
        <v>804123</v>
      </c>
      <c r="P707" s="18" t="n">
        <v>720658</v>
      </c>
      <c r="Q707" s="19" t="n">
        <v>801010</v>
      </c>
      <c r="R707" s="18" t="n">
        <v>827917</v>
      </c>
      <c r="S707" s="20" t="n">
        <v>578317</v>
      </c>
      <c r="T707" s="6" t="n">
        <v>2</v>
      </c>
      <c r="U707" s="5" t="inlineStr">
        <is>
          <t>CDMO / 2015년~(계약별 상이) / ~2029년 | 백신 원액 및 완제 생산 / 2022년~(계약별 상이)</t>
        </is>
      </c>
      <c r="V707" s="21">
        <f>HYPERLINK("https://dart.fss.or.kr/dsaf001/main.do?rcpNo=20260813001371", "공시열람")</f>
        <v/>
      </c>
    </row>
    <row r="708">
      <c r="A708" s="5" t="inlineStr">
        <is>
          <t>나노실리칸첨단소재</t>
        </is>
      </c>
      <c r="B708" s="6" t="inlineStr">
        <is>
          <t>286750</t>
        </is>
      </c>
      <c r="C708" s="6" t="inlineStr">
        <is>
          <t>2026Q2</t>
        </is>
      </c>
      <c r="D708" s="6" t="inlineStr">
        <is>
          <t>20260814</t>
        </is>
      </c>
      <c r="E708" s="16" t="n">
        <v>3091515</v>
      </c>
      <c r="F708" s="16" t="n">
        <v>1933260</v>
      </c>
      <c r="G708" s="16" t="n">
        <v>1158255</v>
      </c>
      <c r="H708" s="6" t="inlineStr">
        <is>
          <t>EA,천원</t>
        </is>
      </c>
      <c r="I708" s="17" t="n">
        <v>-0.2</v>
      </c>
      <c r="J708" s="18" t="inlineStr"/>
      <c r="K708" s="19" t="inlineStr"/>
      <c r="L708" s="18" t="inlineStr"/>
      <c r="M708" s="19" t="n">
        <v>1959205</v>
      </c>
      <c r="N708" s="18" t="n">
        <v>1284649</v>
      </c>
      <c r="O708" s="19" t="n">
        <v>2812123</v>
      </c>
      <c r="P708" s="18" t="n">
        <v>438228</v>
      </c>
      <c r="Q708" s="19" t="n">
        <v>1519455</v>
      </c>
      <c r="R708" s="18" t="n">
        <v>1160381</v>
      </c>
      <c r="S708" s="20" t="n">
        <v>1158255</v>
      </c>
      <c r="T708" s="6" t="n">
        <v>2</v>
      </c>
      <c r="U708" s="5" t="inlineStr">
        <is>
          <t>M-Tag / 2026-04-22 / 2026-09-1 | M-Tag / 2025-11-26 / 2026-06-3</t>
        </is>
      </c>
      <c r="V708" s="21">
        <f>HYPERLINK("https://dart.fss.or.kr/dsaf001/main.do?rcpNo=20260814002695", "공시열람")</f>
        <v/>
      </c>
    </row>
    <row r="709">
      <c r="A709" s="5" t="inlineStr">
        <is>
          <t>롯데이노베이트</t>
        </is>
      </c>
      <c r="B709" s="6" t="inlineStr">
        <is>
          <t>286940</t>
        </is>
      </c>
      <c r="C709" s="6" t="inlineStr">
        <is>
          <t>2026Q2</t>
        </is>
      </c>
      <c r="D709" s="6" t="inlineStr">
        <is>
          <t>20260813</t>
        </is>
      </c>
      <c r="E709" s="16" t="n">
        <v>326973</v>
      </c>
      <c r="F709" s="16" t="n">
        <v>151834</v>
      </c>
      <c r="G709" s="16" t="n">
        <v>175140</v>
      </c>
      <c r="H709" s="6" t="inlineStr">
        <is>
          <t>백만원</t>
        </is>
      </c>
      <c r="I709" s="17" t="n">
        <v>5.5</v>
      </c>
      <c r="J709" s="18" t="n">
        <v>104192</v>
      </c>
      <c r="K709" s="19" t="n">
        <v>168416</v>
      </c>
      <c r="L709" s="18" t="n">
        <v>185820</v>
      </c>
      <c r="M709" s="19" t="n">
        <v>156942</v>
      </c>
      <c r="N709" s="18" t="n">
        <v>171681</v>
      </c>
      <c r="O709" s="19" t="n">
        <v>157710</v>
      </c>
      <c r="P709" s="18" t="n">
        <v>123869</v>
      </c>
      <c r="Q709" s="19" t="n">
        <v>97278</v>
      </c>
      <c r="R709" s="18" t="n">
        <v>165974</v>
      </c>
      <c r="S709" s="20" t="n">
        <v>175140</v>
      </c>
      <c r="T709" s="6" t="n">
        <v>1</v>
      </c>
      <c r="U709" s="5" t="inlineStr">
        <is>
          <t>시스템 구축 및 운영/유지보수 / -</t>
        </is>
      </c>
      <c r="V709" s="21">
        <f>HYPERLINK("https://dart.fss.or.kr/dsaf001/main.do?rcpNo=20260813001539", "공시열람")</f>
        <v/>
      </c>
    </row>
    <row r="710">
      <c r="A710" s="5" t="inlineStr">
        <is>
          <t>에스프리즘</t>
        </is>
      </c>
      <c r="B710" s="6" t="inlineStr">
        <is>
          <t>288620</t>
        </is>
      </c>
      <c r="C710" s="6" t="inlineStr">
        <is>
          <t>2026Q2</t>
        </is>
      </c>
      <c r="D710" s="6" t="inlineStr">
        <is>
          <t>20260814</t>
        </is>
      </c>
      <c r="E710" s="16" t="n">
        <v>19987</v>
      </c>
      <c r="F710" s="16" t="n">
        <v>6023</v>
      </c>
      <c r="G710" s="16" t="n">
        <v>13964</v>
      </c>
      <c r="H710" s="6" t="inlineStr">
        <is>
          <t>백만원</t>
        </is>
      </c>
      <c r="I710" s="17" t="n">
        <v>18.9</v>
      </c>
      <c r="J710" s="18" t="n">
        <v>18659958</v>
      </c>
      <c r="K710" s="19" t="n">
        <v>20171792</v>
      </c>
      <c r="L710" s="18" t="n">
        <v>20810552</v>
      </c>
      <c r="M710" s="19" t="n">
        <v>18869499</v>
      </c>
      <c r="N710" s="18" t="n">
        <v>15320</v>
      </c>
      <c r="O710" s="19" t="n">
        <v>13401</v>
      </c>
      <c r="P710" s="18" t="n">
        <v>10314</v>
      </c>
      <c r="Q710" s="19" t="n">
        <v>5212</v>
      </c>
      <c r="R710" s="18" t="n">
        <v>11741</v>
      </c>
      <c r="S710" s="20" t="n">
        <v>13964</v>
      </c>
      <c r="T710" s="6" t="n">
        <v>2</v>
      </c>
      <c r="U710" s="5" t="inlineStr">
        <is>
          <t>건물용 연료전지 / ~2026.06.30 / ~2026 | 발전용 연료전지 / ~2026.06.30 / ~2033</t>
        </is>
      </c>
      <c r="V710" s="21">
        <f>HYPERLINK("https://dart.fss.or.kr/dsaf001/main.do?rcpNo=20260814003226", "공시열람")</f>
        <v/>
      </c>
    </row>
    <row r="711">
      <c r="A711" s="5" t="inlineStr">
        <is>
          <t>모아데이타</t>
        </is>
      </c>
      <c r="B711" s="6" t="inlineStr">
        <is>
          <t>288980</t>
        </is>
      </c>
      <c r="C711" s="6" t="inlineStr">
        <is>
          <t>2026Q2</t>
        </is>
      </c>
      <c r="D711" s="6" t="inlineStr">
        <is>
          <t>20260814</t>
        </is>
      </c>
      <c r="E711" s="16" t="n">
        <v>2392870</v>
      </c>
      <c r="F711" s="16" t="inlineStr"/>
      <c r="G711" s="16" t="n">
        <v>2392870</v>
      </c>
      <c r="H711" s="6" t="inlineStr">
        <is>
          <t>천원</t>
        </is>
      </c>
      <c r="I711" s="17" t="n">
        <v>0</v>
      </c>
      <c r="J711" s="18" t="n">
        <v>2392870</v>
      </c>
      <c r="K711" s="19" t="n">
        <v>2392870</v>
      </c>
      <c r="L711" s="18" t="n">
        <v>2392870</v>
      </c>
      <c r="M711" s="19" t="n">
        <v>4847938</v>
      </c>
      <c r="N711" s="18" t="n">
        <v>4132870</v>
      </c>
      <c r="O711" s="19" t="n">
        <v>3791226</v>
      </c>
      <c r="P711" s="18" t="n">
        <v>3791226</v>
      </c>
      <c r="Q711" s="19" t="n">
        <v>2392870</v>
      </c>
      <c r="R711" s="18" t="n">
        <v>2392870</v>
      </c>
      <c r="S711" s="20" t="n">
        <v>2392870</v>
      </c>
      <c r="T711" s="6" t="n">
        <v>1</v>
      </c>
      <c r="U711" s="5" t="inlineStr">
        <is>
          <t>AI 탄소중립 융복합구축(주1) / 2024-02-28</t>
        </is>
      </c>
      <c r="V711" s="21">
        <f>HYPERLINK("https://dart.fss.or.kr/dsaf001/main.do?rcpNo=20260814002441", "공시열람")</f>
        <v/>
      </c>
    </row>
    <row r="712">
      <c r="A712" s="5" t="inlineStr">
        <is>
          <t>자이언트스텝</t>
        </is>
      </c>
      <c r="B712" s="6" t="inlineStr">
        <is>
          <t>289220</t>
        </is>
      </c>
      <c r="C712" s="6" t="inlineStr">
        <is>
          <t>2026Q2</t>
        </is>
      </c>
      <c r="D712" s="6" t="inlineStr">
        <is>
          <t>20260814</t>
        </is>
      </c>
      <c r="E712" s="16" t="n">
        <v>48</v>
      </c>
      <c r="F712" s="16" t="n">
        <v>3.6</v>
      </c>
      <c r="G712" s="16" t="n">
        <v>44.4</v>
      </c>
      <c r="H712" s="6" t="inlineStr">
        <is>
          <t>억원</t>
        </is>
      </c>
      <c r="I712" s="17" t="n">
        <v>0</v>
      </c>
      <c r="J712" s="18" t="n">
        <v>44.4</v>
      </c>
      <c r="K712" s="19" t="n">
        <v>44.4</v>
      </c>
      <c r="L712" s="18" t="n">
        <v>44.4</v>
      </c>
      <c r="M712" s="19" t="n">
        <v>44</v>
      </c>
      <c r="N712" s="18" t="n">
        <v>44.4</v>
      </c>
      <c r="O712" s="19" t="n">
        <v>44.4</v>
      </c>
      <c r="P712" s="18" t="n">
        <v>44.4</v>
      </c>
      <c r="Q712" s="19" t="n">
        <v>44.4</v>
      </c>
      <c r="R712" s="18" t="n">
        <v>44.4</v>
      </c>
      <c r="S712" s="20" t="n">
        <v>44.4</v>
      </c>
      <c r="T712" s="6" t="n">
        <v>1</v>
      </c>
      <c r="U712" s="5" t="inlineStr">
        <is>
          <t xml:space="preserve">영화 "하이브(HIVE)" VFX 계약 / 2021년 </t>
        </is>
      </c>
      <c r="V712" s="21">
        <f>HYPERLINK("https://dart.fss.or.kr/dsaf001/main.do?rcpNo=20260814002501", "공시열람")</f>
        <v/>
      </c>
    </row>
    <row r="713">
      <c r="A713" s="5" t="inlineStr">
        <is>
          <t>웨이비스</t>
        </is>
      </c>
      <c r="B713" s="6" t="inlineStr">
        <is>
          <t>289930</t>
        </is>
      </c>
      <c r="C713" s="6" t="inlineStr">
        <is>
          <t>2026Q2</t>
        </is>
      </c>
      <c r="D713" s="6" t="inlineStr">
        <is>
          <t>20260813</t>
        </is>
      </c>
      <c r="E713" s="16" t="n">
        <v>16629129536</v>
      </c>
      <c r="F713" s="16" t="inlineStr"/>
      <c r="G713" s="16" t="n">
        <v>94135747</v>
      </c>
      <c r="H713" s="6" t="inlineStr">
        <is>
          <t>원</t>
        </is>
      </c>
      <c r="I713" s="17" t="n">
        <v>0</v>
      </c>
      <c r="J713" s="18" t="inlineStr"/>
      <c r="K713" s="19" t="inlineStr"/>
      <c r="L713" s="18" t="inlineStr"/>
      <c r="M713" s="19" t="n">
        <v>4393222104</v>
      </c>
      <c r="N713" s="18" t="n">
        <v>3117911353</v>
      </c>
      <c r="O713" s="19" t="n">
        <v>2936596693</v>
      </c>
      <c r="P713" s="18" t="n">
        <v>1235472408</v>
      </c>
      <c r="Q713" s="19" t="n">
        <v>94135747</v>
      </c>
      <c r="R713" s="18" t="n">
        <v>94135747</v>
      </c>
      <c r="S713" s="20" t="n">
        <v>94135747</v>
      </c>
      <c r="T713" s="6" t="n">
        <v>1</v>
      </c>
      <c r="U713" s="5" t="inlineStr">
        <is>
          <t>프로젝트A / 2021.05.24 / 2030.12.3</t>
        </is>
      </c>
      <c r="V713" s="21">
        <f>HYPERLINK("https://dart.fss.or.kr/dsaf001/main.do?rcpNo=20260813000472", "공시열람")</f>
        <v/>
      </c>
    </row>
    <row r="714">
      <c r="A714" s="5" t="inlineStr">
        <is>
          <t>트윔</t>
        </is>
      </c>
      <c r="B714" s="6" t="inlineStr">
        <is>
          <t>290090</t>
        </is>
      </c>
      <c r="C714" s="6" t="inlineStr">
        <is>
          <t>2026Q2</t>
        </is>
      </c>
      <c r="D714" s="6" t="inlineStr">
        <is>
          <t>20260814</t>
        </is>
      </c>
      <c r="E714" s="16" t="n">
        <v>17975</v>
      </c>
      <c r="F714" s="16" t="n">
        <v>4945</v>
      </c>
      <c r="G714" s="16" t="n">
        <v>13030</v>
      </c>
      <c r="H714" s="6" t="inlineStr">
        <is>
          <t>건수,백만원</t>
        </is>
      </c>
      <c r="I714" s="17" t="n">
        <v>14.2</v>
      </c>
      <c r="J714" s="18" t="n">
        <v>18491</v>
      </c>
      <c r="K714" s="19" t="n">
        <v>9884</v>
      </c>
      <c r="L714" s="18" t="n">
        <v>4385</v>
      </c>
      <c r="M714" s="19" t="inlineStr"/>
      <c r="N714" s="18" t="n">
        <v>8383</v>
      </c>
      <c r="O714" s="19" t="n">
        <v>8427</v>
      </c>
      <c r="P714" s="18" t="n">
        <v>9381</v>
      </c>
      <c r="Q714" s="19" t="n">
        <v>10019</v>
      </c>
      <c r="R714" s="18" t="n">
        <v>11409</v>
      </c>
      <c r="S714" s="20" t="n">
        <v>13030</v>
      </c>
      <c r="T714" s="6" t="n">
        <v>1</v>
      </c>
      <c r="U714" s="5" t="inlineStr"/>
      <c r="V714" s="21">
        <f>HYPERLINK("https://dart.fss.or.kr/dsaf001/main.do?rcpNo=20260814002271", "공시열람")</f>
        <v/>
      </c>
    </row>
    <row r="715">
      <c r="A715" s="5" t="inlineStr">
        <is>
          <t>신도기연</t>
        </is>
      </c>
      <c r="B715" s="6" t="inlineStr">
        <is>
          <t>290520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12801</v>
      </c>
      <c r="F715" s="16" t="n">
        <v>9313</v>
      </c>
      <c r="G715" s="16" t="n">
        <v>3488</v>
      </c>
      <c r="H715" s="6" t="inlineStr">
        <is>
          <t>백만원</t>
        </is>
      </c>
      <c r="I715" s="17" t="n">
        <v>-67.8</v>
      </c>
      <c r="J715" s="18" t="n">
        <v>6245</v>
      </c>
      <c r="K715" s="19" t="n">
        <v>4822</v>
      </c>
      <c r="L715" s="18" t="n">
        <v>3689</v>
      </c>
      <c r="M715" s="19" t="n">
        <v>28340</v>
      </c>
      <c r="N715" s="18" t="n">
        <v>33622</v>
      </c>
      <c r="O715" s="19" t="n">
        <v>31132</v>
      </c>
      <c r="P715" s="18" t="n">
        <v>28968</v>
      </c>
      <c r="Q715" s="19" t="n">
        <v>11004</v>
      </c>
      <c r="R715" s="18" t="n">
        <v>10829</v>
      </c>
      <c r="S715" s="20" t="n">
        <v>3488</v>
      </c>
      <c r="T715" s="6" t="n">
        <v>1</v>
      </c>
      <c r="U715" s="5" t="inlineStr">
        <is>
          <t>디스플레이제조 장비등 / -</t>
        </is>
      </c>
      <c r="V715" s="21">
        <f>HYPERLINK("https://dart.fss.or.kr/dsaf001/main.do?rcpNo=20260814001825", "공시열람")</f>
        <v/>
      </c>
    </row>
    <row r="716">
      <c r="A716" s="5" t="inlineStr">
        <is>
          <t>아리바이오홀딩스</t>
        </is>
      </c>
      <c r="B716" s="6" t="inlineStr">
        <is>
          <t>290690</t>
        </is>
      </c>
      <c r="C716" s="6" t="inlineStr">
        <is>
          <t>2026Q2</t>
        </is>
      </c>
      <c r="D716" s="6" t="inlineStr">
        <is>
          <t>20260814</t>
        </is>
      </c>
      <c r="E716" s="16" t="n">
        <v>110446192920</v>
      </c>
      <c r="F716" s="16" t="n">
        <v>42509644828</v>
      </c>
      <c r="G716" s="16" t="n">
        <v>67936548093</v>
      </c>
      <c r="H716" s="6" t="inlineStr">
        <is>
          <t>천원</t>
        </is>
      </c>
      <c r="I716" s="17" t="n">
        <v>234905.4</v>
      </c>
      <c r="J716" s="18" t="n">
        <v>40841979</v>
      </c>
      <c r="K716" s="19" t="n">
        <v>37891649</v>
      </c>
      <c r="L716" s="18" t="n">
        <v>33661170</v>
      </c>
      <c r="M716" s="19" t="n">
        <v>26456926</v>
      </c>
      <c r="N716" s="18" t="n">
        <v>42972889</v>
      </c>
      <c r="O716" s="19" t="n">
        <v>39828481</v>
      </c>
      <c r="P716" s="18" t="n">
        <v>41723721</v>
      </c>
      <c r="Q716" s="19" t="n">
        <v>33751941</v>
      </c>
      <c r="R716" s="18" t="n">
        <v>28908499</v>
      </c>
      <c r="S716" s="20" t="n">
        <v>67936548093</v>
      </c>
      <c r="T716" s="6" t="n">
        <v>11</v>
      </c>
      <c r="U716" s="5" t="inlineStr">
        <is>
          <t>괴정동 지역주택조합 전기소방통신설비공사 / 2026-0 | 부산 에코2차(13BL) 통신공사 2단계(공사) / 2 | 기타 201개 현장 / -</t>
        </is>
      </c>
      <c r="V716" s="21">
        <f>HYPERLINK("https://dart.fss.or.kr/dsaf001/main.do?rcpNo=20260814003587", "공시열람")</f>
        <v/>
      </c>
    </row>
    <row r="717">
      <c r="A717" s="5" t="inlineStr">
        <is>
          <t>츌립앤사이언스</t>
        </is>
      </c>
      <c r="B717" s="6" t="inlineStr">
        <is>
          <t>291650</t>
        </is>
      </c>
      <c r="C717" s="6" t="inlineStr">
        <is>
          <t>2026Q2</t>
        </is>
      </c>
      <c r="D717" s="6" t="inlineStr">
        <is>
          <t>20260814</t>
        </is>
      </c>
      <c r="E717" s="16" t="n">
        <v>3596929</v>
      </c>
      <c r="F717" s="16" t="inlineStr"/>
      <c r="G717" s="16" t="n">
        <v>771524</v>
      </c>
      <c r="H717" s="6" t="inlineStr">
        <is>
          <t>천원</t>
        </is>
      </c>
      <c r="I717" s="17" t="n">
        <v>-49.4</v>
      </c>
      <c r="J717" s="18" t="inlineStr"/>
      <c r="K717" s="19" t="inlineStr"/>
      <c r="L717" s="18" t="inlineStr"/>
      <c r="M717" s="19" t="n">
        <v>382965</v>
      </c>
      <c r="N717" s="18" t="n">
        <v>690495</v>
      </c>
      <c r="O717" s="19" t="n">
        <v>774456405</v>
      </c>
      <c r="P717" s="18" t="n">
        <v>1108606</v>
      </c>
      <c r="Q717" s="19" t="n">
        <v>1527765</v>
      </c>
      <c r="R717" s="18" t="n">
        <v>1525438</v>
      </c>
      <c r="S717" s="20" t="n">
        <v>771524</v>
      </c>
      <c r="T717" s="6" t="n">
        <v>3</v>
      </c>
      <c r="U717" s="5" t="inlineStr">
        <is>
          <t>임상시험 검체분석 / 국내 | 허가목적이 아닌 검체분석 / 국내 | 비임상시험 검체분석 / 국내</t>
        </is>
      </c>
      <c r="V717" s="21">
        <f>HYPERLINK("https://dart.fss.or.kr/dsaf001/main.do?rcpNo=20260814003116", "공시열람")</f>
        <v/>
      </c>
    </row>
    <row r="718">
      <c r="A718" s="5" t="inlineStr">
        <is>
          <t>핀텔</t>
        </is>
      </c>
      <c r="B718" s="6" t="inlineStr">
        <is>
          <t>291810</t>
        </is>
      </c>
      <c r="C718" s="6" t="inlineStr">
        <is>
          <t>2026Q2</t>
        </is>
      </c>
      <c r="D718" s="6" t="inlineStr">
        <is>
          <t>20260812</t>
        </is>
      </c>
      <c r="E718" s="16" t="n">
        <v>7140</v>
      </c>
      <c r="F718" s="16" t="n">
        <v>4385</v>
      </c>
      <c r="G718" s="16" t="n">
        <v>2755</v>
      </c>
      <c r="H718" s="6" t="inlineStr">
        <is>
          <t>백만원</t>
        </is>
      </c>
      <c r="I718" s="17" t="n">
        <v>11.1</v>
      </c>
      <c r="J718" s="18" t="n">
        <v>4320</v>
      </c>
      <c r="K718" s="19" t="n">
        <v>4501</v>
      </c>
      <c r="L718" s="18" t="n">
        <v>4088</v>
      </c>
      <c r="M718" s="19" t="n">
        <v>2819</v>
      </c>
      <c r="N718" s="18" t="n">
        <v>2010</v>
      </c>
      <c r="O718" s="19" t="n">
        <v>5106</v>
      </c>
      <c r="P718" s="18" t="n">
        <v>4767</v>
      </c>
      <c r="Q718" s="19" t="n">
        <v>4507</v>
      </c>
      <c r="R718" s="18" t="n">
        <v>2480</v>
      </c>
      <c r="S718" s="20" t="n">
        <v>2755</v>
      </c>
      <c r="T718" s="6" t="n">
        <v>2</v>
      </c>
      <c r="U718" s="5" t="inlineStr">
        <is>
          <t>보안분야 / - | 교통분야 / -</t>
        </is>
      </c>
      <c r="V718" s="21">
        <f>HYPERLINK("https://dart.fss.or.kr/dsaf001/main.do?rcpNo=20260812000620", "공시열람")</f>
        <v/>
      </c>
    </row>
    <row r="719">
      <c r="A719" s="5" t="inlineStr">
        <is>
          <t>하나제약</t>
        </is>
      </c>
      <c r="B719" s="6" t="inlineStr">
        <is>
          <t>293480</t>
        </is>
      </c>
      <c r="C719" s="6" t="inlineStr">
        <is>
          <t>2026Q2</t>
        </is>
      </c>
      <c r="D719" s="6" t="inlineStr">
        <is>
          <t>20260814</t>
        </is>
      </c>
      <c r="E719" s="16" t="n">
        <v>57378</v>
      </c>
      <c r="F719" s="16" t="n">
        <v>4932</v>
      </c>
      <c r="G719" s="16" t="n">
        <v>52446</v>
      </c>
      <c r="H719" s="6" t="inlineStr">
        <is>
          <t>백만원</t>
        </is>
      </c>
      <c r="I719" s="17" t="n">
        <v>-5.5</v>
      </c>
      <c r="J719" s="18" t="n">
        <v>757</v>
      </c>
      <c r="K719" s="19" t="n">
        <v>9</v>
      </c>
      <c r="L719" s="18" t="inlineStr"/>
      <c r="M719" s="19" t="inlineStr"/>
      <c r="N719" s="18" t="n">
        <v>595</v>
      </c>
      <c r="O719" s="19" t="n">
        <v>57378</v>
      </c>
      <c r="P719" s="18" t="n">
        <v>55966</v>
      </c>
      <c r="Q719" s="19" t="n">
        <v>55524</v>
      </c>
      <c r="R719" s="18" t="n">
        <v>55524</v>
      </c>
      <c r="S719" s="20" t="n">
        <v>52446</v>
      </c>
      <c r="T719" s="6" t="n">
        <v>1</v>
      </c>
      <c r="U719" s="5" t="inlineStr">
        <is>
          <t>CMO</t>
        </is>
      </c>
      <c r="V719" s="21">
        <f>HYPERLINK("https://dart.fss.or.kr/dsaf001/main.do?rcpNo=20260814001371", "공시열람")</f>
        <v/>
      </c>
    </row>
    <row r="720">
      <c r="A720" s="5" t="inlineStr">
        <is>
          <t>이오플로우</t>
        </is>
      </c>
      <c r="B720" s="6" t="inlineStr">
        <is>
          <t>294090</t>
        </is>
      </c>
      <c r="C720" s="6" t="inlineStr">
        <is>
          <t>2025Q3</t>
        </is>
      </c>
      <c r="D720" s="6" t="inlineStr">
        <is>
          <t>20251114</t>
        </is>
      </c>
      <c r="E720" s="16" t="n">
        <v>1157</v>
      </c>
      <c r="F720" s="16" t="n">
        <v>355</v>
      </c>
      <c r="G720" s="16" t="n">
        <v>802</v>
      </c>
      <c r="H720" s="6" t="inlineStr">
        <is>
          <t>백만원,천개</t>
        </is>
      </c>
      <c r="I720" s="17" t="n">
        <v>0</v>
      </c>
      <c r="J720" s="18" t="n">
        <v>150</v>
      </c>
      <c r="K720" s="19" t="n">
        <v>860</v>
      </c>
      <c r="L720" s="18" t="n">
        <v>118</v>
      </c>
      <c r="M720" s="19" t="n">
        <v>413</v>
      </c>
      <c r="N720" s="18" t="n">
        <v>802</v>
      </c>
      <c r="O720" s="19" t="n">
        <v>802</v>
      </c>
      <c r="P720" s="18" t="n">
        <v>802</v>
      </c>
      <c r="Q720" s="19" t="inlineStr"/>
      <c r="R720" s="18" t="inlineStr"/>
      <c r="S720" s="20" t="inlineStr"/>
      <c r="T720" s="6" t="n">
        <v>6</v>
      </c>
      <c r="U720" s="5" t="inlineStr">
        <is>
          <t>EOPatch / 2025.03.18 / 2025.05 | EOPatch / 2025.03.28 / 2025.05 | EOPatch / 2025.01.21 / 2025.03</t>
        </is>
      </c>
      <c r="V720" s="21">
        <f>HYPERLINK("https://dart.fss.or.kr/dsaf001/main.do?rcpNo=20251114000863", "공시열람")</f>
        <v/>
      </c>
    </row>
    <row r="721">
      <c r="A721" s="5" t="inlineStr">
        <is>
          <t>레몬</t>
        </is>
      </c>
      <c r="B721" s="6" t="inlineStr">
        <is>
          <t>294140</t>
        </is>
      </c>
      <c r="C721" s="6" t="inlineStr">
        <is>
          <t>2026Q2</t>
        </is>
      </c>
      <c r="D721" s="6" t="inlineStr">
        <is>
          <t>20260814</t>
        </is>
      </c>
      <c r="E721" s="16" t="n">
        <v>11024</v>
      </c>
      <c r="F721" s="16" t="n">
        <v>9321</v>
      </c>
      <c r="G721" s="16" t="n">
        <v>1703</v>
      </c>
      <c r="H721" s="6" t="inlineStr">
        <is>
          <t>백만원</t>
        </is>
      </c>
      <c r="I721" s="17" t="n">
        <v>-19.2</v>
      </c>
      <c r="J721" s="18" t="n">
        <v>120</v>
      </c>
      <c r="K721" s="19" t="n">
        <v>143</v>
      </c>
      <c r="L721" s="18" t="n">
        <v>45</v>
      </c>
      <c r="M721" s="19" t="n">
        <v>225</v>
      </c>
      <c r="N721" s="18" t="n">
        <v>269</v>
      </c>
      <c r="O721" s="19" t="n">
        <v>168</v>
      </c>
      <c r="P721" s="18" t="n">
        <v>1001</v>
      </c>
      <c r="Q721" s="19" t="n">
        <v>1556</v>
      </c>
      <c r="R721" s="18" t="n">
        <v>2107</v>
      </c>
      <c r="S721" s="20" t="n">
        <v>1703</v>
      </c>
      <c r="T721" s="6" t="n">
        <v>2</v>
      </c>
      <c r="U721" s="5" t="inlineStr">
        <is>
          <t>나노관련 | 기타</t>
        </is>
      </c>
      <c r="V721" s="21">
        <f>HYPERLINK("https://dart.fss.or.kr/dsaf001/main.do?rcpNo=20260814002294", "공시열람")</f>
        <v/>
      </c>
    </row>
    <row r="722">
      <c r="A722" s="5" t="inlineStr">
        <is>
          <t>쿠콘</t>
        </is>
      </c>
      <c r="B722" s="6" t="inlineStr">
        <is>
          <t>294570</t>
        </is>
      </c>
      <c r="C722" s="6" t="inlineStr">
        <is>
          <t>2024Q3</t>
        </is>
      </c>
      <c r="D722" s="6" t="inlineStr">
        <is>
          <t>20241114</t>
        </is>
      </c>
      <c r="E722" s="16" t="n">
        <v>4375</v>
      </c>
      <c r="F722" s="16" t="n">
        <v>4375</v>
      </c>
      <c r="G722" s="16" t="n">
        <v>0</v>
      </c>
      <c r="H722" s="6" t="inlineStr">
        <is>
          <t>백만원</t>
        </is>
      </c>
      <c r="I722" s="17" t="n">
        <v>-100</v>
      </c>
      <c r="J722" s="18" t="n">
        <v>26</v>
      </c>
      <c r="K722" s="19" t="n">
        <v>26</v>
      </c>
      <c r="L722" s="18" t="n">
        <v>0</v>
      </c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>
        <is>
          <t>플랫폼 고도화 / 2023년 4월 / 2024년 5월</t>
        </is>
      </c>
      <c r="V722" s="21">
        <f>HYPERLINK("https://dart.fss.or.kr/dsaf001/main.do?rcpNo=20241114002883", "공시열람")</f>
        <v/>
      </c>
    </row>
    <row r="723">
      <c r="A723" s="5" t="inlineStr">
        <is>
          <t>서남</t>
        </is>
      </c>
      <c r="B723" s="6" t="inlineStr">
        <is>
          <t>294630</t>
        </is>
      </c>
      <c r="C723" s="6" t="inlineStr">
        <is>
          <t>2026Q2</t>
        </is>
      </c>
      <c r="D723" s="6" t="inlineStr">
        <is>
          <t>20260813</t>
        </is>
      </c>
      <c r="E723" s="16" t="inlineStr"/>
      <c r="F723" s="16" t="inlineStr"/>
      <c r="G723" s="16" t="n">
        <v>2590588360</v>
      </c>
      <c r="H723" s="6" t="inlineStr">
        <is>
          <t>원</t>
        </is>
      </c>
      <c r="I723" s="17" t="n">
        <v>171039.5</v>
      </c>
      <c r="J723" s="18" t="n">
        <v>2544425651</v>
      </c>
      <c r="K723" s="19" t="n">
        <v>499236303</v>
      </c>
      <c r="L723" s="18" t="n">
        <v>3577431</v>
      </c>
      <c r="M723" s="19" t="n">
        <v>3577431</v>
      </c>
      <c r="N723" s="18" t="n">
        <v>3198302</v>
      </c>
      <c r="O723" s="19" t="n">
        <v>2590588</v>
      </c>
      <c r="P723" s="18" t="n">
        <v>2216452</v>
      </c>
      <c r="Q723" s="19" t="n">
        <v>1828877</v>
      </c>
      <c r="R723" s="18" t="n">
        <v>1513729</v>
      </c>
      <c r="S723" s="20" t="n">
        <v>2590588360</v>
      </c>
      <c r="T723" s="6" t="n">
        <v>1</v>
      </c>
      <c r="U723" s="5" t="inlineStr">
        <is>
          <t>A Reel to Reel PVD system / -</t>
        </is>
      </c>
      <c r="V723" s="21">
        <f>HYPERLINK("https://dart.fss.or.kr/dsaf001/main.do?rcpNo=20260813001650", "공시열람")</f>
        <v/>
      </c>
    </row>
    <row r="724">
      <c r="A724" s="5" t="inlineStr">
        <is>
          <t>IPARK현대산업개발</t>
        </is>
      </c>
      <c r="B724" s="6" t="inlineStr">
        <is>
          <t>294870</t>
        </is>
      </c>
      <c r="C724" s="6" t="inlineStr">
        <is>
          <t>2026Q2</t>
        </is>
      </c>
      <c r="D724" s="6" t="inlineStr">
        <is>
          <t>20260814</t>
        </is>
      </c>
      <c r="E724" s="16" t="n">
        <v>26519376</v>
      </c>
      <c r="F724" s="16" t="n">
        <v>4225760</v>
      </c>
      <c r="G724" s="16" t="n">
        <v>22293615</v>
      </c>
      <c r="H724" s="6" t="inlineStr">
        <is>
          <t>백만원</t>
        </is>
      </c>
      <c r="I724" s="17" t="n">
        <v>2.8</v>
      </c>
      <c r="J724" s="18" t="n">
        <v>20870598</v>
      </c>
      <c r="K724" s="19" t="n">
        <v>19565207</v>
      </c>
      <c r="L724" s="18" t="n">
        <v>19215968</v>
      </c>
      <c r="M724" s="19" t="n">
        <v>19942970</v>
      </c>
      <c r="N724" s="18" t="n">
        <v>19528498</v>
      </c>
      <c r="O724" s="19" t="n">
        <v>19472415</v>
      </c>
      <c r="P724" s="18" t="n">
        <v>20661544</v>
      </c>
      <c r="Q724" s="19" t="n">
        <v>20955039</v>
      </c>
      <c r="R724" s="18" t="n">
        <v>21681977</v>
      </c>
      <c r="S724" s="20" t="n">
        <v>22293615</v>
      </c>
      <c r="T724" s="6" t="n">
        <v>2</v>
      </c>
      <c r="U724" s="5" t="inlineStr">
        <is>
          <t>민간공사 | 관급공사</t>
        </is>
      </c>
      <c r="V724" s="21">
        <f>HYPERLINK("https://dart.fss.or.kr/dsaf001/main.do?rcpNo=20260814003567", "공시열람")</f>
        <v/>
      </c>
    </row>
    <row r="725">
      <c r="A725" s="5" t="inlineStr">
        <is>
          <t>에이치브이엠</t>
        </is>
      </c>
      <c r="B725" s="6" t="inlineStr">
        <is>
          <t>295310</t>
        </is>
      </c>
      <c r="C725" s="6" t="inlineStr">
        <is>
          <t>2026Q2</t>
        </is>
      </c>
      <c r="D725" s="6" t="inlineStr">
        <is>
          <t>20260814</t>
        </is>
      </c>
      <c r="E725" s="16" t="inlineStr"/>
      <c r="F725" s="16" t="inlineStr"/>
      <c r="G725" s="16" t="n">
        <v>63078</v>
      </c>
      <c r="H725" s="6" t="inlineStr">
        <is>
          <t>백만원</t>
        </is>
      </c>
      <c r="I725" s="17" t="n">
        <v>29.8</v>
      </c>
      <c r="J725" s="18" t="inlineStr"/>
      <c r="K725" s="19" t="n">
        <v>21979</v>
      </c>
      <c r="L725" s="18" t="n">
        <v>24738</v>
      </c>
      <c r="M725" s="19" t="n">
        <v>23450</v>
      </c>
      <c r="N725" s="18" t="n">
        <v>19830</v>
      </c>
      <c r="O725" s="19" t="n">
        <v>31960</v>
      </c>
      <c r="P725" s="18" t="n">
        <v>35395</v>
      </c>
      <c r="Q725" s="19" t="n">
        <v>31102</v>
      </c>
      <c r="R725" s="18" t="n">
        <v>48593</v>
      </c>
      <c r="S725" s="20" t="n">
        <v>63078</v>
      </c>
      <c r="T725" s="6" t="n">
        <v>0</v>
      </c>
      <c r="U725" s="5" t="inlineStr"/>
      <c r="V725" s="21">
        <f>HYPERLINK("https://dart.fss.or.kr/dsaf001/main.do?rcpNo=20260814004157", "공시열람")</f>
        <v/>
      </c>
    </row>
    <row r="726">
      <c r="A726" s="5" t="inlineStr">
        <is>
          <t>이노에이엑스</t>
        </is>
      </c>
      <c r="B726" s="6" t="inlineStr">
        <is>
          <t>296640</t>
        </is>
      </c>
      <c r="C726" s="6" t="inlineStr">
        <is>
          <t>2026Q2</t>
        </is>
      </c>
      <c r="D726" s="6" t="inlineStr">
        <is>
          <t>20260814</t>
        </is>
      </c>
      <c r="E726" s="16" t="n">
        <v>40192</v>
      </c>
      <c r="F726" s="16" t="n">
        <v>22341</v>
      </c>
      <c r="G726" s="16" t="n">
        <v>17856</v>
      </c>
      <c r="H726" s="6" t="inlineStr">
        <is>
          <t>백만원</t>
        </is>
      </c>
      <c r="I726" s="17" t="n">
        <v>-1.4</v>
      </c>
      <c r="J726" s="18" t="n">
        <v>17100</v>
      </c>
      <c r="K726" s="19" t="n">
        <v>16965</v>
      </c>
      <c r="L726" s="18" t="n">
        <v>13105</v>
      </c>
      <c r="M726" s="19" t="n">
        <v>18549</v>
      </c>
      <c r="N726" s="18" t="n">
        <v>16541</v>
      </c>
      <c r="O726" s="19" t="n">
        <v>15792</v>
      </c>
      <c r="P726" s="18" t="n">
        <v>16183</v>
      </c>
      <c r="Q726" s="19" t="n">
        <v>18159</v>
      </c>
      <c r="R726" s="18" t="n">
        <v>18111</v>
      </c>
      <c r="S726" s="20" t="n">
        <v>17856</v>
      </c>
      <c r="T726" s="6" t="n">
        <v>3</v>
      </c>
      <c r="U726" s="5" t="inlineStr">
        <is>
          <t>프로페셔널 서비스 | 기술료 | 라이선스</t>
        </is>
      </c>
      <c r="V726" s="21">
        <f>HYPERLINK("https://dart.fss.or.kr/dsaf001/main.do?rcpNo=20260814001685", "공시열람")</f>
        <v/>
      </c>
    </row>
    <row r="727">
      <c r="A727" s="5" t="inlineStr">
        <is>
          <t>HB솔루션</t>
        </is>
      </c>
      <c r="B727" s="6" t="inlineStr">
        <is>
          <t>297890</t>
        </is>
      </c>
      <c r="C727" s="6" t="inlineStr">
        <is>
          <t>2026Q2</t>
        </is>
      </c>
      <c r="D727" s="6" t="inlineStr">
        <is>
          <t>20260814</t>
        </is>
      </c>
      <c r="E727" s="16" t="n">
        <v>51959</v>
      </c>
      <c r="F727" s="16" t="n">
        <v>24863</v>
      </c>
      <c r="G727" s="16" t="n">
        <v>27096</v>
      </c>
      <c r="H727" s="6" t="inlineStr">
        <is>
          <t>백만원</t>
        </is>
      </c>
      <c r="I727" s="17" t="n">
        <v>47.9</v>
      </c>
      <c r="J727" s="18" t="n">
        <v>87927</v>
      </c>
      <c r="K727" s="19" t="n">
        <v>44871</v>
      </c>
      <c r="L727" s="18" t="n">
        <v>64852</v>
      </c>
      <c r="M727" s="19" t="n">
        <v>54824</v>
      </c>
      <c r="N727" s="18" t="n">
        <v>40929</v>
      </c>
      <c r="O727" s="19" t="n">
        <v>13965</v>
      </c>
      <c r="P727" s="18" t="n">
        <v>19717</v>
      </c>
      <c r="Q727" s="19" t="n">
        <v>16793</v>
      </c>
      <c r="R727" s="18" t="n">
        <v>18319</v>
      </c>
      <c r="S727" s="20" t="n">
        <v>27096</v>
      </c>
      <c r="T727" s="6" t="n">
        <v>1</v>
      </c>
      <c r="U727" s="5" t="inlineStr">
        <is>
          <t>디스플레이, 반도체,이차전지 설비 / -</t>
        </is>
      </c>
      <c r="V727" s="21">
        <f>HYPERLINK("https://dart.fss.or.kr/dsaf001/main.do?rcpNo=20260814002863", "공시열람")</f>
        <v/>
      </c>
    </row>
    <row r="728">
      <c r="A728" s="5" t="inlineStr">
        <is>
          <t>효성중공업</t>
        </is>
      </c>
      <c r="B728" s="6" t="inlineStr">
        <is>
          <t>298040</t>
        </is>
      </c>
      <c r="C728" s="6" t="inlineStr">
        <is>
          <t>2026Q2</t>
        </is>
      </c>
      <c r="D728" s="6" t="inlineStr">
        <is>
          <t>20260813</t>
        </is>
      </c>
      <c r="E728" s="16" t="n">
        <v>12131411</v>
      </c>
      <c r="F728" s="16" t="n">
        <v>3971095</v>
      </c>
      <c r="G728" s="16" t="n">
        <v>32958249</v>
      </c>
      <c r="H728" s="6" t="inlineStr">
        <is>
          <t>백만원</t>
        </is>
      </c>
      <c r="I728" s="17" t="n">
        <v>11.8</v>
      </c>
      <c r="J728" s="18" t="n">
        <v>39741022</v>
      </c>
      <c r="K728" s="19" t="n">
        <v>40867602</v>
      </c>
      <c r="L728" s="18" t="n">
        <v>44210450</v>
      </c>
      <c r="M728" s="19" t="n">
        <v>49657494</v>
      </c>
      <c r="N728" s="18" t="n">
        <v>20976755</v>
      </c>
      <c r="O728" s="19" t="n">
        <v>21920840</v>
      </c>
      <c r="P728" s="18" t="n">
        <v>22245977</v>
      </c>
      <c r="Q728" s="19" t="n">
        <v>24389683</v>
      </c>
      <c r="R728" s="18" t="n">
        <v>29489574</v>
      </c>
      <c r="S728" s="20" t="n">
        <v>32958249</v>
      </c>
      <c r="T728" s="6" t="n">
        <v>3</v>
      </c>
      <c r="U728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8" s="21">
        <f>HYPERLINK("https://dart.fss.or.kr/dsaf001/main.do?rcpNo=20260813001554", "공시열람")</f>
        <v/>
      </c>
    </row>
    <row r="729">
      <c r="A729" s="5" t="inlineStr">
        <is>
          <t>하나기술</t>
        </is>
      </c>
      <c r="B729" s="6" t="inlineStr">
        <is>
          <t>299030</t>
        </is>
      </c>
      <c r="C729" s="6" t="inlineStr">
        <is>
          <t>2026Q2</t>
        </is>
      </c>
      <c r="D729" s="6" t="inlineStr">
        <is>
          <t>20260814</t>
        </is>
      </c>
      <c r="E729" s="16" t="n">
        <v>577804</v>
      </c>
      <c r="F729" s="16" t="n">
        <v>95266</v>
      </c>
      <c r="G729" s="16" t="n">
        <v>482537</v>
      </c>
      <c r="H729" s="6" t="inlineStr">
        <is>
          <t>백만원</t>
        </is>
      </c>
      <c r="I729" s="17" t="n">
        <v>42.2</v>
      </c>
      <c r="J729" s="18" t="n">
        <v>372236</v>
      </c>
      <c r="K729" s="19" t="n">
        <v>221947</v>
      </c>
      <c r="L729" s="18" t="n">
        <v>146924</v>
      </c>
      <c r="M729" s="19" t="n">
        <v>153465</v>
      </c>
      <c r="N729" s="18" t="n">
        <v>195962</v>
      </c>
      <c r="O729" s="19" t="n">
        <v>203611</v>
      </c>
      <c r="P729" s="18" t="inlineStr"/>
      <c r="Q729" s="19" t="n">
        <v>326212</v>
      </c>
      <c r="R729" s="18" t="n">
        <v>339342</v>
      </c>
      <c r="S729" s="20" t="n">
        <v>482537</v>
      </c>
      <c r="T729" s="6" t="n">
        <v>1</v>
      </c>
      <c r="U729" s="5" t="inlineStr">
        <is>
          <t>이차전지 제조장비 / -</t>
        </is>
      </c>
      <c r="V729" s="21">
        <f>HYPERLINK("https://dart.fss.or.kr/dsaf001/main.do?rcpNo=20260814003482", "공시열람")</f>
        <v/>
      </c>
    </row>
    <row r="730">
      <c r="A730" s="5" t="inlineStr">
        <is>
          <t>셀리드</t>
        </is>
      </c>
      <c r="B730" s="6" t="inlineStr">
        <is>
          <t>299660</t>
        </is>
      </c>
      <c r="C730" s="6" t="inlineStr">
        <is>
          <t>2026Q2</t>
        </is>
      </c>
      <c r="D730" s="6" t="inlineStr">
        <is>
          <t>20260814</t>
        </is>
      </c>
      <c r="E730" s="16" t="n">
        <v>4888000</v>
      </c>
      <c r="F730" s="16" t="n">
        <v>496000</v>
      </c>
      <c r="G730" s="16" t="n">
        <v>4392000</v>
      </c>
      <c r="H730" s="6" t="inlineStr">
        <is>
          <t>천원</t>
        </is>
      </c>
      <c r="I730" s="17" t="n">
        <v>0</v>
      </c>
      <c r="J730" s="18" t="n">
        <v>4888000</v>
      </c>
      <c r="K730" s="19" t="n">
        <v>4484000</v>
      </c>
      <c r="L730" s="18" t="n">
        <v>4392000</v>
      </c>
      <c r="M730" s="19" t="n">
        <v>4576000</v>
      </c>
      <c r="N730" s="18" t="n">
        <v>4576000</v>
      </c>
      <c r="O730" s="19" t="n">
        <v>4576000</v>
      </c>
      <c r="P730" s="18" t="n">
        <v>4392000</v>
      </c>
      <c r="Q730" s="19" t="n">
        <v>4392000</v>
      </c>
      <c r="R730" s="18" t="n">
        <v>4392000</v>
      </c>
      <c r="S730" s="20" t="n">
        <v>4392000</v>
      </c>
      <c r="T730" s="6" t="n">
        <v>1</v>
      </c>
      <c r="U730" s="5" t="inlineStr">
        <is>
          <t>세포유전자치료제 / 2023.03.16 / (주)</t>
        </is>
      </c>
      <c r="V730" s="21">
        <f>HYPERLINK("https://dart.fss.or.kr/dsaf001/main.do?rcpNo=20260814004146", "공시열람")</f>
        <v/>
      </c>
    </row>
    <row r="731">
      <c r="A731" s="5" t="inlineStr">
        <is>
          <t>위지윅스튜디오</t>
        </is>
      </c>
      <c r="B731" s="6" t="inlineStr">
        <is>
          <t>299900</t>
        </is>
      </c>
      <c r="C731" s="6" t="inlineStr">
        <is>
          <t>2023Q4</t>
        </is>
      </c>
      <c r="D731" s="6" t="inlineStr">
        <is>
          <t>20240320</t>
        </is>
      </c>
      <c r="E731" s="16" t="inlineStr"/>
      <c r="F731" s="16" t="inlineStr"/>
      <c r="G731" s="16" t="n">
        <v>1402977</v>
      </c>
      <c r="H731" s="6" t="inlineStr">
        <is>
          <t>천원</t>
        </is>
      </c>
      <c r="I731" s="17" t="inlineStr"/>
      <c r="J731" s="18" t="inlineStr"/>
      <c r="K731" s="19" t="inlineStr"/>
      <c r="L731" s="18" t="inlineStr"/>
      <c r="M731" s="19" t="inlineStr"/>
      <c r="N731" s="18" t="inlineStr"/>
      <c r="O731" s="19" t="inlineStr"/>
      <c r="P731" s="18" t="inlineStr"/>
      <c r="Q731" s="19" t="inlineStr"/>
      <c r="R731" s="18" t="inlineStr"/>
      <c r="S731" s="20" t="inlineStr"/>
      <c r="T731" s="6" t="n">
        <v>1</v>
      </c>
      <c r="U731" s="5" t="inlineStr">
        <is>
          <t>취득원가</t>
        </is>
      </c>
      <c r="V731" s="21">
        <f>HYPERLINK("https://dart.fss.or.kr/dsaf001/main.do?rcpNo=20240320002041", "공시열람")</f>
        <v/>
      </c>
    </row>
    <row r="732">
      <c r="A732" s="5" t="inlineStr">
        <is>
          <t>라온피플</t>
        </is>
      </c>
      <c r="B732" s="6" t="inlineStr">
        <is>
          <t>300120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385704</v>
      </c>
      <c r="F732" s="16" t="n">
        <v>103956</v>
      </c>
      <c r="G732" s="16" t="n">
        <v>281748</v>
      </c>
      <c r="H732" s="6" t="inlineStr">
        <is>
          <t>백만원</t>
        </is>
      </c>
      <c r="I732" s="17" t="n">
        <v>-4.5</v>
      </c>
      <c r="J732" s="18" t="n">
        <v>39777</v>
      </c>
      <c r="K732" s="19" t="n">
        <v>205291</v>
      </c>
      <c r="L732" s="18" t="n">
        <v>193742</v>
      </c>
      <c r="M732" s="19" t="n">
        <v>7682</v>
      </c>
      <c r="N732" s="18" t="inlineStr"/>
      <c r="O732" s="19" t="n">
        <v>280089</v>
      </c>
      <c r="P732" s="18" t="n">
        <v>275363</v>
      </c>
      <c r="Q732" s="19" t="n">
        <v>316153</v>
      </c>
      <c r="R732" s="18" t="n">
        <v>294879</v>
      </c>
      <c r="S732" s="20" t="n">
        <v>281748</v>
      </c>
      <c r="T732" s="6" t="n">
        <v>3</v>
      </c>
      <c r="U732" s="5" t="inlineStr">
        <is>
          <t>클라우드 등 | AI 비전생성형 AIPlatform | 카메라모듈검사</t>
        </is>
      </c>
      <c r="V732" s="21">
        <f>HYPERLINK("https://dart.fss.or.kr/dsaf001/main.do?rcpNo=20260814002571", "공시열람")</f>
        <v/>
      </c>
    </row>
    <row r="733">
      <c r="A733" s="5" t="inlineStr">
        <is>
          <t>한일시멘트</t>
        </is>
      </c>
      <c r="B733" s="6" t="inlineStr">
        <is>
          <t>300720</t>
        </is>
      </c>
      <c r="C733" s="6" t="inlineStr">
        <is>
          <t>2026Q2</t>
        </is>
      </c>
      <c r="D733" s="6" t="inlineStr">
        <is>
          <t>20260814</t>
        </is>
      </c>
      <c r="E733" s="16" t="n">
        <v>363217</v>
      </c>
      <c r="F733" s="16" t="n">
        <v>180146</v>
      </c>
      <c r="G733" s="16" t="n">
        <v>183071</v>
      </c>
      <c r="H733" s="6" t="inlineStr">
        <is>
          <t>백만원</t>
        </is>
      </c>
      <c r="I733" s="17" t="n">
        <v>2.7</v>
      </c>
      <c r="J733" s="18" t="n">
        <v>259193100290</v>
      </c>
      <c r="K733" s="19" t="n">
        <v>220013996173</v>
      </c>
      <c r="L733" s="18" t="n">
        <v>204122</v>
      </c>
      <c r="M733" s="19" t="n">
        <v>226837</v>
      </c>
      <c r="N733" s="18" t="n">
        <v>214066</v>
      </c>
      <c r="O733" s="19" t="n">
        <v>215258</v>
      </c>
      <c r="P733" s="18" t="n">
        <v>195065</v>
      </c>
      <c r="Q733" s="19" t="n">
        <v>193955</v>
      </c>
      <c r="R733" s="18" t="n">
        <v>178189</v>
      </c>
      <c r="S733" s="20" t="n">
        <v>183071</v>
      </c>
      <c r="T733" s="6" t="n">
        <v>22</v>
      </c>
      <c r="U733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3" s="21">
        <f>HYPERLINK("https://dart.fss.or.kr/dsaf001/main.do?rcpNo=20260814003685", "공시열람")</f>
        <v/>
      </c>
    </row>
    <row r="734">
      <c r="A734" s="5" t="inlineStr">
        <is>
          <t>바이브컴퍼니</t>
        </is>
      </c>
      <c r="B734" s="6" t="inlineStr">
        <is>
          <t>301300</t>
        </is>
      </c>
      <c r="C734" s="6" t="inlineStr">
        <is>
          <t>2026Q2</t>
        </is>
      </c>
      <c r="D734" s="6" t="inlineStr">
        <is>
          <t>20260814</t>
        </is>
      </c>
      <c r="E734" s="16" t="n">
        <v>18792106</v>
      </c>
      <c r="F734" s="16" t="n">
        <v>10901280</v>
      </c>
      <c r="G734" s="16" t="n">
        <v>7890826</v>
      </c>
      <c r="H734" s="6" t="inlineStr">
        <is>
          <t>천원</t>
        </is>
      </c>
      <c r="I734" s="17" t="n">
        <v>3.6</v>
      </c>
      <c r="J734" s="18" t="n">
        <v>5453850</v>
      </c>
      <c r="K734" s="19" t="inlineStr"/>
      <c r="L734" s="18" t="n">
        <v>7344196</v>
      </c>
      <c r="M734" s="19" t="n">
        <v>2404113</v>
      </c>
      <c r="N734" s="18" t="n">
        <v>5172613</v>
      </c>
      <c r="O734" s="19" t="n">
        <v>9112885</v>
      </c>
      <c r="P734" s="18" t="n">
        <v>7032627</v>
      </c>
      <c r="Q734" s="19" t="n">
        <v>2655025</v>
      </c>
      <c r="R734" s="18" t="n">
        <v>7620023</v>
      </c>
      <c r="S734" s="20" t="n">
        <v>7890826</v>
      </c>
      <c r="T734" s="6" t="n">
        <v>21</v>
      </c>
      <c r="U734" s="5" t="inlineStr">
        <is>
          <t>AI솔루션 | SI/SM | AI솔루션</t>
        </is>
      </c>
      <c r="V734" s="21">
        <f>HYPERLINK("https://dart.fss.or.kr/dsaf001/main.do?rcpNo=20260814002481", "공시열람")</f>
        <v/>
      </c>
    </row>
    <row r="735">
      <c r="A735" s="5" t="inlineStr">
        <is>
          <t>이노메트리</t>
        </is>
      </c>
      <c r="B735" s="6" t="inlineStr">
        <is>
          <t>302430</t>
        </is>
      </c>
      <c r="C735" s="6" t="inlineStr">
        <is>
          <t>2024Q1</t>
        </is>
      </c>
      <c r="D735" s="6" t="inlineStr">
        <is>
          <t>20240516</t>
        </is>
      </c>
      <c r="E735" s="16" t="n">
        <v>71769339</v>
      </c>
      <c r="F735" s="16" t="n">
        <v>48635690</v>
      </c>
      <c r="G735" s="16" t="n">
        <v>23133649</v>
      </c>
      <c r="H735" s="6" t="inlineStr">
        <is>
          <t>천원</t>
        </is>
      </c>
      <c r="I735" s="17" t="n">
        <v>-8.800000000000001</v>
      </c>
      <c r="J735" s="18" t="n">
        <v>23133649</v>
      </c>
      <c r="K735" s="19" t="inlineStr"/>
      <c r="L735" s="18" t="inlineStr"/>
      <c r="M735" s="19" t="inlineStr"/>
      <c r="N735" s="18" t="inlineStr"/>
      <c r="O735" s="19" t="inlineStr"/>
      <c r="P735" s="18" t="inlineStr"/>
      <c r="Q735" s="19" t="inlineStr"/>
      <c r="R735" s="18" t="inlineStr"/>
      <c r="S735" s="20" t="inlineStr"/>
      <c r="T735" s="6" t="n">
        <v>13</v>
      </c>
      <c r="U735" s="5" t="inlineStr">
        <is>
          <t>2차전지검사장비 / 2023-11-04 / 2025-0 | 2차전지검사장비 / 2022-12-22 / 2024-0 | 2차전지검사장비 / 2022-12-22 / 2024-0</t>
        </is>
      </c>
      <c r="V735" s="21">
        <f>HYPERLINK("https://dart.fss.or.kr/dsaf001/main.do?rcpNo=20240516000062", "공시열람")</f>
        <v/>
      </c>
    </row>
    <row r="736">
      <c r="A736" s="5" t="inlineStr">
        <is>
          <t>SK바이오사이언스</t>
        </is>
      </c>
      <c r="B736" s="6" t="inlineStr">
        <is>
          <t>302440</t>
        </is>
      </c>
      <c r="C736" s="6" t="inlineStr">
        <is>
          <t>2026Q2</t>
        </is>
      </c>
      <c r="D736" s="6" t="inlineStr">
        <is>
          <t>20260813</t>
        </is>
      </c>
      <c r="E736" s="16" t="n">
        <v>2511572</v>
      </c>
      <c r="F736" s="16" t="n">
        <v>1933255</v>
      </c>
      <c r="G736" s="16" t="n">
        <v>578317</v>
      </c>
      <c r="H736" s="6" t="inlineStr">
        <is>
          <t>백만원</t>
        </is>
      </c>
      <c r="I736" s="17" t="n">
        <v>-30.1</v>
      </c>
      <c r="J736" s="18" t="n">
        <v>114955</v>
      </c>
      <c r="K736" s="19" t="n">
        <v>141644</v>
      </c>
      <c r="L736" s="18" t="n">
        <v>107602</v>
      </c>
      <c r="M736" s="19" t="n">
        <v>979319</v>
      </c>
      <c r="N736" s="18" t="n">
        <v>882738</v>
      </c>
      <c r="O736" s="19" t="n">
        <v>804123</v>
      </c>
      <c r="P736" s="18" t="n">
        <v>720658</v>
      </c>
      <c r="Q736" s="19" t="n">
        <v>801010</v>
      </c>
      <c r="R736" s="18" t="n">
        <v>827917</v>
      </c>
      <c r="S736" s="20" t="n">
        <v>578317</v>
      </c>
      <c r="T736" s="6" t="n">
        <v>2</v>
      </c>
      <c r="U736" s="5" t="inlineStr">
        <is>
          <t>CDMO / 2015년~(계약별 상이) / ~2029년 | 백신 원액 및 완제 생산 / 2022년~(계약별 상이)</t>
        </is>
      </c>
      <c r="V736" s="21">
        <f>HYPERLINK("https://dart.fss.or.kr/dsaf001/main.do?rcpNo=20260813001292", "공시열람")</f>
        <v/>
      </c>
    </row>
    <row r="737">
      <c r="A737" s="5" t="inlineStr">
        <is>
          <t>302550</t>
        </is>
      </c>
      <c r="B737" s="6" t="inlineStr">
        <is>
          <t>302550</t>
        </is>
      </c>
      <c r="C737" s="6" t="inlineStr">
        <is>
          <t>2026Q2</t>
        </is>
      </c>
      <c r="D737" s="6" t="inlineStr">
        <is>
          <t>20260812</t>
        </is>
      </c>
      <c r="E737" s="16" t="n">
        <v>23436000</v>
      </c>
      <c r="F737" s="16" t="n">
        <v>1922088</v>
      </c>
      <c r="G737" s="16" t="n">
        <v>21513912</v>
      </c>
      <c r="H737" s="6" t="inlineStr">
        <is>
          <t>대,천원</t>
        </is>
      </c>
      <c r="I737" s="17" t="n">
        <v>0</v>
      </c>
      <c r="J737" s="18" t="n">
        <v>21538520</v>
      </c>
      <c r="K737" s="19" t="n">
        <v>21538520</v>
      </c>
      <c r="L737" s="18" t="n">
        <v>21538520</v>
      </c>
      <c r="M737" s="19" t="n">
        <v>21513912</v>
      </c>
      <c r="N737" s="18" t="n">
        <v>21513912</v>
      </c>
      <c r="O737" s="19" t="n">
        <v>21513912</v>
      </c>
      <c r="P737" s="18" t="n">
        <v>21513912</v>
      </c>
      <c r="Q737" s="19" t="n">
        <v>21513912</v>
      </c>
      <c r="R737" s="18" t="n">
        <v>21513912</v>
      </c>
      <c r="S737" s="20" t="n">
        <v>21513912</v>
      </c>
      <c r="T737" s="6" t="n">
        <v>13</v>
      </c>
      <c r="U737" s="5" t="inlineStr">
        <is>
          <t>ZTone plus / 2023.11.02 / 2023 | ZTone plus / 2021.09.27 / 2021 | ZTone plus / 2024.01.16 / 2024</t>
        </is>
      </c>
      <c r="V737" s="21">
        <f>HYPERLINK("https://dart.fss.or.kr/dsaf001/main.do?rcpNo=20260812000883", "공시열람")</f>
        <v/>
      </c>
    </row>
    <row r="738">
      <c r="A738" s="5" t="inlineStr">
        <is>
          <t>동국생명과학</t>
        </is>
      </c>
      <c r="B738" s="6" t="inlineStr">
        <is>
          <t>303810</t>
        </is>
      </c>
      <c r="C738" s="6" t="inlineStr">
        <is>
          <t>2026Q2</t>
        </is>
      </c>
      <c r="D738" s="6" t="inlineStr">
        <is>
          <t>20260814</t>
        </is>
      </c>
      <c r="E738" s="16" t="n">
        <v>1532255</v>
      </c>
      <c r="F738" s="16" t="inlineStr"/>
      <c r="G738" s="16" t="n">
        <v>1532255</v>
      </c>
      <c r="H738" s="6" t="inlineStr">
        <is>
          <t>천원</t>
        </is>
      </c>
      <c r="I738" s="17" t="n">
        <v>-33.4</v>
      </c>
      <c r="J738" s="18" t="inlineStr"/>
      <c r="K738" s="19" t="inlineStr"/>
      <c r="L738" s="18" t="inlineStr"/>
      <c r="M738" s="19" t="n">
        <v>4699240</v>
      </c>
      <c r="N738" s="18" t="n">
        <v>4699240</v>
      </c>
      <c r="O738" s="19" t="n">
        <v>1305331</v>
      </c>
      <c r="P738" s="18" t="n">
        <v>2062558</v>
      </c>
      <c r="Q738" s="19" t="n">
        <v>1399658</v>
      </c>
      <c r="R738" s="18" t="n">
        <v>2301490</v>
      </c>
      <c r="S738" s="20" t="n">
        <v>1532255</v>
      </c>
      <c r="T738" s="6" t="n">
        <v>3</v>
      </c>
      <c r="U738" s="5" t="inlineStr">
        <is>
          <t>C사 / 조영제 / Vial | B사 / 조영제 API / Kg | A사 / 조영제 / Vial</t>
        </is>
      </c>
      <c r="V738" s="21">
        <f>HYPERLINK("https://dart.fss.or.kr/dsaf001/main.do?rcpNo=20260814002097", "공시열람")</f>
        <v/>
      </c>
    </row>
    <row r="739">
      <c r="A739" s="5" t="inlineStr">
        <is>
          <t>솔트룩스</t>
        </is>
      </c>
      <c r="B739" s="6" t="inlineStr">
        <is>
          <t>304100</t>
        </is>
      </c>
      <c r="C739" s="6" t="inlineStr">
        <is>
          <t>2026Q2</t>
        </is>
      </c>
      <c r="D739" s="6" t="inlineStr">
        <is>
          <t>20260814</t>
        </is>
      </c>
      <c r="E739" s="16" t="n">
        <v>19855414</v>
      </c>
      <c r="F739" s="16" t="n">
        <v>6935031</v>
      </c>
      <c r="G739" s="16" t="n">
        <v>12920384</v>
      </c>
      <c r="H739" s="6" t="inlineStr">
        <is>
          <t>천원</t>
        </is>
      </c>
      <c r="I739" s="17" t="n">
        <v>309.5</v>
      </c>
      <c r="J739" s="18" t="n">
        <v>1249055</v>
      </c>
      <c r="K739" s="19" t="n">
        <v>25163</v>
      </c>
      <c r="L739" s="18" t="n">
        <v>19371</v>
      </c>
      <c r="M739" s="19" t="n">
        <v>595897</v>
      </c>
      <c r="N739" s="18" t="n">
        <v>391003</v>
      </c>
      <c r="O739" s="19" t="n">
        <v>3729941</v>
      </c>
      <c r="P739" s="18" t="n">
        <v>4080403</v>
      </c>
      <c r="Q739" s="19" t="n">
        <v>3860077</v>
      </c>
      <c r="R739" s="18" t="n">
        <v>3155538</v>
      </c>
      <c r="S739" s="20" t="n">
        <v>12920384</v>
      </c>
      <c r="T739" s="6" t="n">
        <v>15</v>
      </c>
      <c r="U739" s="5" t="inlineStr">
        <is>
          <t>AI Suite / 삼성에스디에스(주) / 2026-0 | AI Suite / 한전원자력연료 / 2026-06-0 | AI Suite / 동양생명보험(주) / 2026-05</t>
        </is>
      </c>
      <c r="V739" s="21">
        <f>HYPERLINK("https://dart.fss.or.kr/dsaf001/main.do?rcpNo=20260814001518", "공시열람")</f>
        <v/>
      </c>
    </row>
    <row r="740">
      <c r="A740" s="5" t="inlineStr">
        <is>
          <t>세아제강</t>
        </is>
      </c>
      <c r="B740" s="6" t="inlineStr">
        <is>
          <t>306200</t>
        </is>
      </c>
      <c r="C740" s="6" t="inlineStr">
        <is>
          <t>2026Q2</t>
        </is>
      </c>
      <c r="D740" s="6" t="inlineStr">
        <is>
          <t>20260814</t>
        </is>
      </c>
      <c r="E740" s="16" t="n">
        <v>270602</v>
      </c>
      <c r="F740" s="16" t="n">
        <v>202482</v>
      </c>
      <c r="G740" s="16" t="n">
        <v>57760</v>
      </c>
      <c r="H740" s="6" t="inlineStr">
        <is>
          <t>백만원</t>
        </is>
      </c>
      <c r="I740" s="17" t="n">
        <v>-41.9</v>
      </c>
      <c r="J740" s="18" t="n">
        <v>59518</v>
      </c>
      <c r="K740" s="19" t="n">
        <v>39297</v>
      </c>
      <c r="L740" s="18" t="n">
        <v>28941</v>
      </c>
      <c r="M740" s="19" t="n">
        <v>28312</v>
      </c>
      <c r="N740" s="18" t="n">
        <v>22063</v>
      </c>
      <c r="O740" s="19" t="n">
        <v>13697</v>
      </c>
      <c r="P740" s="18" t="n">
        <v>11118</v>
      </c>
      <c r="Q740" s="19" t="n">
        <v>108537</v>
      </c>
      <c r="R740" s="18" t="n">
        <v>99347</v>
      </c>
      <c r="S740" s="20" t="n">
        <v>57760</v>
      </c>
      <c r="T740" s="6" t="n">
        <v>2</v>
      </c>
      <c r="U740" s="5" t="inlineStr">
        <is>
          <t xml:space="preserve">천연가스 이송용 PIPE 공급 계약 / 2025.12. | 카타르 LNG 북부 가스전 프로젝트(STS PIPE) </t>
        </is>
      </c>
      <c r="V740" s="21">
        <f>HYPERLINK("https://dart.fss.or.kr/dsaf001/main.do?rcpNo=20260814003277", "공시열람")</f>
        <v/>
      </c>
    </row>
    <row r="741">
      <c r="A741" s="5" t="inlineStr">
        <is>
          <t>아이엘</t>
        </is>
      </c>
      <c r="B741" s="6" t="inlineStr">
        <is>
          <t>307180</t>
        </is>
      </c>
      <c r="C741" s="6" t="inlineStr">
        <is>
          <t>2026Q2</t>
        </is>
      </c>
      <c r="D741" s="6" t="inlineStr">
        <is>
          <t>20260812</t>
        </is>
      </c>
      <c r="E741" s="16" t="n">
        <v>125025045</v>
      </c>
      <c r="F741" s="16" t="n">
        <v>38197706</v>
      </c>
      <c r="G741" s="16" t="n">
        <v>86817339</v>
      </c>
      <c r="H741" s="6" t="inlineStr">
        <is>
          <t>천원</t>
        </is>
      </c>
      <c r="I741" s="17" t="n">
        <v>0</v>
      </c>
      <c r="J741" s="18" t="n">
        <v>71459722</v>
      </c>
      <c r="K741" s="19" t="n">
        <v>72042712</v>
      </c>
      <c r="L741" s="18" t="n">
        <v>72042712</v>
      </c>
      <c r="M741" s="19" t="n">
        <v>72185570</v>
      </c>
      <c r="N741" s="18" t="n">
        <v>95977954</v>
      </c>
      <c r="O741" s="19" t="n">
        <v>67643548</v>
      </c>
      <c r="P741" s="18" t="n">
        <v>68417593</v>
      </c>
      <c r="Q741" s="19" t="n">
        <v>76025371</v>
      </c>
      <c r="R741" s="18" t="n">
        <v>86817339</v>
      </c>
      <c r="S741" s="20" t="n">
        <v>86817339</v>
      </c>
      <c r="T741" s="6" t="n">
        <v>5</v>
      </c>
      <c r="U741" s="5" t="inlineStr">
        <is>
          <t>전장/조명외 | LED조명/시스템 / - | 모듈 및 램프</t>
        </is>
      </c>
      <c r="V741" s="21">
        <f>HYPERLINK("https://dart.fss.or.kr/dsaf001/main.do?rcpNo=20260812000513", "공시열람")</f>
        <v/>
      </c>
    </row>
    <row r="742">
      <c r="A742" s="5" t="inlineStr">
        <is>
          <t>비투엔</t>
        </is>
      </c>
      <c r="B742" s="6" t="inlineStr">
        <is>
          <t>307870</t>
        </is>
      </c>
      <c r="C742" s="6" t="inlineStr">
        <is>
          <t>2026Q2</t>
        </is>
      </c>
      <c r="D742" s="6" t="inlineStr">
        <is>
          <t>20260813</t>
        </is>
      </c>
      <c r="E742" s="16" t="inlineStr"/>
      <c r="F742" s="16" t="inlineStr"/>
      <c r="G742" s="16" t="n">
        <v>5279</v>
      </c>
      <c r="H742" s="6" t="inlineStr">
        <is>
          <t>백만원</t>
        </is>
      </c>
      <c r="I742" s="17" t="n">
        <v>25.3</v>
      </c>
      <c r="J742" s="18" t="n">
        <v>11610</v>
      </c>
      <c r="K742" s="19" t="n">
        <v>9405</v>
      </c>
      <c r="L742" s="18" t="n">
        <v>9761</v>
      </c>
      <c r="M742" s="19" t="n">
        <v>5934</v>
      </c>
      <c r="N742" s="18" t="n">
        <v>8238</v>
      </c>
      <c r="O742" s="19" t="n">
        <v>4515</v>
      </c>
      <c r="P742" s="18" t="n">
        <v>6208</v>
      </c>
      <c r="Q742" s="19" t="n">
        <v>4579</v>
      </c>
      <c r="R742" s="18" t="n">
        <v>4214</v>
      </c>
      <c r="S742" s="20" t="n">
        <v>5279</v>
      </c>
      <c r="T742" s="6" t="n">
        <v>4</v>
      </c>
      <c r="U742" s="5" t="inlineStr">
        <is>
          <t xml:space="preserve">기타 / - | K사 / 융자차세대시스템 구축_정보계, 데이터관리전환  | 공공 / 차세대 상장공시시스템 구축을 위한 개발 용역 </t>
        </is>
      </c>
      <c r="V742" s="21">
        <f>HYPERLINK("https://dart.fss.or.kr/dsaf001/main.do?rcpNo=20260813000458", "공시열람")</f>
        <v/>
      </c>
    </row>
    <row r="743">
      <c r="A743" s="5" t="inlineStr">
        <is>
          <t>현대오토에버</t>
        </is>
      </c>
      <c r="B743" s="6" t="inlineStr">
        <is>
          <t>307950</t>
        </is>
      </c>
      <c r="C743" s="6" t="inlineStr">
        <is>
          <t>2026Q2</t>
        </is>
      </c>
      <c r="D743" s="6" t="inlineStr">
        <is>
          <t>20260814</t>
        </is>
      </c>
      <c r="E743" s="16" t="n">
        <v>18896</v>
      </c>
      <c r="F743" s="16" t="n">
        <v>6155</v>
      </c>
      <c r="G743" s="16" t="n">
        <v>12741</v>
      </c>
      <c r="H743" s="6" t="inlineStr">
        <is>
          <t>억원</t>
        </is>
      </c>
      <c r="I743" s="17" t="n">
        <v>13.8</v>
      </c>
      <c r="J743" s="18" t="n">
        <v>8031</v>
      </c>
      <c r="K743" s="19" t="n">
        <v>8660</v>
      </c>
      <c r="L743" s="18" t="n">
        <v>10167</v>
      </c>
      <c r="M743" s="19" t="n">
        <v>2888</v>
      </c>
      <c r="N743" s="18" t="n">
        <v>10743</v>
      </c>
      <c r="O743" s="19" t="n">
        <v>14200</v>
      </c>
      <c r="P743" s="18" t="n">
        <v>10072</v>
      </c>
      <c r="Q743" s="19" t="n">
        <v>10775</v>
      </c>
      <c r="R743" s="18" t="n">
        <v>11200</v>
      </c>
      <c r="S743" s="20" t="n">
        <v>12741</v>
      </c>
      <c r="T743" s="6" t="n">
        <v>1</v>
      </c>
      <c r="U743" s="5" t="inlineStr">
        <is>
          <t>시스템 구축 / -</t>
        </is>
      </c>
      <c r="V743" s="21">
        <f>HYPERLINK("https://dart.fss.or.kr/dsaf001/main.do?rcpNo=20260814003571", "공시열람")</f>
        <v/>
      </c>
    </row>
    <row r="744">
      <c r="A744" s="5" t="inlineStr">
        <is>
          <t>아이티켐</t>
        </is>
      </c>
      <c r="B744" s="6" t="inlineStr">
        <is>
          <t>309710</t>
        </is>
      </c>
      <c r="C744" s="6" t="inlineStr">
        <is>
          <t>2026Q1</t>
        </is>
      </c>
      <c r="D744" s="6" t="inlineStr">
        <is>
          <t>20260601</t>
        </is>
      </c>
      <c r="E744" s="16" t="n">
        <v>19921</v>
      </c>
      <c r="F744" s="16" t="n">
        <v>1519</v>
      </c>
      <c r="G744" s="16" t="n">
        <v>18402</v>
      </c>
      <c r="H744" s="6" t="inlineStr">
        <is>
          <t>Kg,백만원</t>
        </is>
      </c>
      <c r="I744" s="17" t="n">
        <v>8.800000000000001</v>
      </c>
      <c r="J744" s="18" t="inlineStr"/>
      <c r="K744" s="19" t="inlineStr"/>
      <c r="L744" s="18" t="inlineStr"/>
      <c r="M744" s="19" t="inlineStr"/>
      <c r="N744" s="18" t="inlineStr"/>
      <c r="O744" s="19" t="n">
        <v>11301</v>
      </c>
      <c r="P744" s="18" t="inlineStr"/>
      <c r="Q744" s="19" t="n">
        <v>16918</v>
      </c>
      <c r="R744" s="18" t="n">
        <v>18402</v>
      </c>
      <c r="S744" s="20" t="inlineStr"/>
      <c r="T744" s="6" t="n">
        <v>14</v>
      </c>
      <c r="U744" s="5" t="inlineStr">
        <is>
          <t>BCBB / 2025-12-04 / 2027-05-31 | SK-BMK / 2026-02-28 / 2026-07- | TPB-100T / 2026-03-20 / 2027-0</t>
        </is>
      </c>
      <c r="V744" s="21">
        <f>HYPERLINK("https://dart.fss.or.kr/dsaf001/main.do?rcpNo=20260601001979", "공시열람")</f>
        <v/>
      </c>
    </row>
    <row r="745">
      <c r="A745" s="5" t="inlineStr">
        <is>
          <t>엘에이티</t>
        </is>
      </c>
      <c r="B745" s="6" t="inlineStr">
        <is>
          <t>311060</t>
        </is>
      </c>
      <c r="C745" s="6" t="inlineStr">
        <is>
          <t>2023Q4</t>
        </is>
      </c>
      <c r="D745" s="6" t="inlineStr">
        <is>
          <t>20240320</t>
        </is>
      </c>
      <c r="E745" s="16" t="n">
        <v>43849725</v>
      </c>
      <c r="F745" s="16" t="n">
        <v>7560166</v>
      </c>
      <c r="G745" s="16" t="n">
        <v>36289559</v>
      </c>
      <c r="H745" s="6" t="inlineStr">
        <is>
          <t>천원</t>
        </is>
      </c>
      <c r="I745" s="17" t="inlineStr"/>
      <c r="J745" s="18" t="inlineStr"/>
      <c r="K745" s="19" t="inlineStr"/>
      <c r="L745" s="18" t="inlineStr"/>
      <c r="M745" s="19" t="inlineStr"/>
      <c r="N745" s="18" t="inlineStr"/>
      <c r="O745" s="19" t="inlineStr"/>
      <c r="P745" s="18" t="inlineStr"/>
      <c r="Q745" s="19" t="inlineStr"/>
      <c r="R745" s="18" t="inlineStr"/>
      <c r="S745" s="20" t="inlineStr"/>
      <c r="T745" s="6" t="n">
        <v>1</v>
      </c>
      <c r="U745" s="5" t="inlineStr">
        <is>
          <t>반도체/Display 장비 등 / 2023년 / 202</t>
        </is>
      </c>
      <c r="V745" s="21">
        <f>HYPERLINK("https://dart.fss.or.kr/dsaf001/main.do?rcpNo=20240320001509", "공시열람")</f>
        <v/>
      </c>
    </row>
    <row r="746">
      <c r="A746" s="5" t="inlineStr">
        <is>
          <t>311960</t>
        </is>
      </c>
      <c r="B746" s="6" t="inlineStr">
        <is>
          <t>311960</t>
        </is>
      </c>
      <c r="C746" s="6" t="inlineStr">
        <is>
          <t>2025Q4</t>
        </is>
      </c>
      <c r="D746" s="6" t="inlineStr">
        <is>
          <t>20260326</t>
        </is>
      </c>
      <c r="E746" s="16" t="inlineStr"/>
      <c r="F746" s="16" t="inlineStr"/>
      <c r="G746" s="16" t="n">
        <v>328458</v>
      </c>
      <c r="H746" s="6" t="inlineStr">
        <is>
          <t>천원</t>
        </is>
      </c>
      <c r="I746" s="17" t="n">
        <v>-99.90000000000001</v>
      </c>
      <c r="J746" s="18" t="inlineStr"/>
      <c r="K746" s="19" t="inlineStr"/>
      <c r="L746" s="18" t="inlineStr"/>
      <c r="M746" s="19" t="n">
        <v>469008360</v>
      </c>
      <c r="N746" s="18" t="inlineStr"/>
      <c r="O746" s="19" t="inlineStr"/>
      <c r="P746" s="18" t="inlineStr"/>
      <c r="Q746" s="19" t="n">
        <v>328458</v>
      </c>
      <c r="R746" s="18" t="inlineStr"/>
      <c r="S746" s="20" t="inlineStr"/>
      <c r="T746" s="6" t="n">
        <v>2</v>
      </c>
      <c r="U746" s="5" t="inlineStr">
        <is>
          <t xml:space="preserve">공장설립인허가사전진단서비스시범구축 / 한국산업단지공단  | 24년 사회보장정보시스템 확대개편 사업 / 보건복지부 </t>
        </is>
      </c>
      <c r="V746" s="21">
        <f>HYPERLINK("https://dart.fss.or.kr/dsaf001/main.do?rcpNo=20260326000677", "공시열람")</f>
        <v/>
      </c>
    </row>
    <row r="747">
      <c r="A747" s="5" t="inlineStr">
        <is>
          <t>캐리</t>
        </is>
      </c>
      <c r="B747" s="6" t="inlineStr">
        <is>
          <t>313760</t>
        </is>
      </c>
      <c r="C747" s="6" t="inlineStr">
        <is>
          <t>2024Q4</t>
        </is>
      </c>
      <c r="D747" s="6" t="inlineStr">
        <is>
          <t>20250320</t>
        </is>
      </c>
      <c r="E747" s="16" t="inlineStr"/>
      <c r="F747" s="16" t="inlineStr"/>
      <c r="G747" s="16" t="n">
        <v>125654</v>
      </c>
      <c r="H747" s="6" t="inlineStr">
        <is>
          <t>천원</t>
        </is>
      </c>
      <c r="I747" s="17" t="n">
        <v>-96</v>
      </c>
      <c r="J747" s="18" t="inlineStr"/>
      <c r="K747" s="19" t="inlineStr"/>
      <c r="L747" s="18" t="inlineStr"/>
      <c r="M747" s="19" t="n">
        <v>125654</v>
      </c>
      <c r="N747" s="18" t="inlineStr"/>
      <c r="O747" s="19" t="inlineStr"/>
      <c r="P747" s="18" t="inlineStr"/>
      <c r="Q747" s="19" t="inlineStr"/>
      <c r="R747" s="18" t="inlineStr"/>
      <c r="S747" s="20" t="inlineStr"/>
      <c r="T747" s="6" t="n">
        <v>1</v>
      </c>
      <c r="U747" s="5" t="inlineStr">
        <is>
          <t>효성광양금호1호 태양광발전소 건설 공사</t>
        </is>
      </c>
      <c r="V747" s="21">
        <f>HYPERLINK("https://dart.fss.or.kr/dsaf001/main.do?rcpNo=20250320001747", "공시열람")</f>
        <v/>
      </c>
    </row>
    <row r="748">
      <c r="A748" s="5" t="inlineStr">
        <is>
          <t>지놈앤컴퍼니</t>
        </is>
      </c>
      <c r="B748" s="6" t="inlineStr">
        <is>
          <t>314130</t>
        </is>
      </c>
      <c r="C748" s="6" t="inlineStr">
        <is>
          <t>2026Q2</t>
        </is>
      </c>
      <c r="D748" s="6" t="inlineStr">
        <is>
          <t>20260814</t>
        </is>
      </c>
      <c r="E748" s="16" t="n">
        <v>4916</v>
      </c>
      <c r="F748" s="16" t="n">
        <v>-1484</v>
      </c>
      <c r="G748" s="16" t="n">
        <v>6400</v>
      </c>
      <c r="H748" s="6" t="inlineStr">
        <is>
          <t>백만원</t>
        </is>
      </c>
      <c r="I748" s="17" t="n">
        <v>102.1</v>
      </c>
      <c r="J748" s="18" t="n">
        <v>3298</v>
      </c>
      <c r="K748" s="19" t="n">
        <v>5178</v>
      </c>
      <c r="L748" s="18" t="n">
        <v>7935</v>
      </c>
      <c r="M748" s="19" t="n">
        <v>8000</v>
      </c>
      <c r="N748" s="18" t="n">
        <v>2270</v>
      </c>
      <c r="O748" s="19" t="n">
        <v>5006</v>
      </c>
      <c r="P748" s="18" t="n">
        <v>3501</v>
      </c>
      <c r="Q748" s="19" t="n">
        <v>3488</v>
      </c>
      <c r="R748" s="18" t="n">
        <v>3167</v>
      </c>
      <c r="S748" s="20" t="n">
        <v>6400</v>
      </c>
      <c r="T748" s="6" t="n">
        <v>1</v>
      </c>
      <c r="U748" s="5" t="inlineStr">
        <is>
          <t>CDMO / 2023~ / ~2026</t>
        </is>
      </c>
      <c r="V748" s="21">
        <f>HYPERLINK("https://dart.fss.or.kr/dsaf001/main.do?rcpNo=20260814003059", "공시열람")</f>
        <v/>
      </c>
    </row>
    <row r="749">
      <c r="A749" s="5" t="inlineStr">
        <is>
          <t>딥노이드</t>
        </is>
      </c>
      <c r="B749" s="6" t="inlineStr">
        <is>
          <t>315640</t>
        </is>
      </c>
      <c r="C749" s="6" t="inlineStr">
        <is>
          <t>2026Q2</t>
        </is>
      </c>
      <c r="D749" s="6" t="inlineStr">
        <is>
          <t>20260814</t>
        </is>
      </c>
      <c r="E749" s="16" t="n">
        <v>11954197</v>
      </c>
      <c r="F749" s="16" t="n">
        <v>9390406</v>
      </c>
      <c r="G749" s="16" t="n">
        <v>2563791</v>
      </c>
      <c r="H749" s="6" t="inlineStr">
        <is>
          <t>천원</t>
        </is>
      </c>
      <c r="I749" s="17" t="n">
        <v>-25.8</v>
      </c>
      <c r="J749" s="18" t="n">
        <v>9641359</v>
      </c>
      <c r="K749" s="19" t="n">
        <v>7863159</v>
      </c>
      <c r="L749" s="18" t="n">
        <v>6105915</v>
      </c>
      <c r="M749" s="19" t="n">
        <v>4071022</v>
      </c>
      <c r="N749" s="18" t="n">
        <v>3414278</v>
      </c>
      <c r="O749" s="19" t="n">
        <v>4293914</v>
      </c>
      <c r="P749" s="18" t="n">
        <v>2891025</v>
      </c>
      <c r="Q749" s="19" t="n">
        <v>3303459</v>
      </c>
      <c r="R749" s="18" t="n">
        <v>3455588</v>
      </c>
      <c r="S749" s="20" t="n">
        <v>2563791</v>
      </c>
      <c r="T749" s="6" t="n">
        <v>1</v>
      </c>
      <c r="U749" s="5" t="inlineStr">
        <is>
          <t>인공지능 솔루션 외</t>
        </is>
      </c>
      <c r="V749" s="21">
        <f>HYPERLINK("https://dart.fss.or.kr/dsaf001/main.do?rcpNo=20260814003155", "공시열람")</f>
        <v/>
      </c>
    </row>
    <row r="750">
      <c r="A750" s="5" t="inlineStr">
        <is>
          <t>자이에스앤디</t>
        </is>
      </c>
      <c r="B750" s="6" t="inlineStr">
        <is>
          <t>317400</t>
        </is>
      </c>
      <c r="C750" s="6" t="inlineStr">
        <is>
          <t>2026Q2</t>
        </is>
      </c>
      <c r="D750" s="6" t="inlineStr">
        <is>
          <t>20260814</t>
        </is>
      </c>
      <c r="E750" s="16" t="inlineStr"/>
      <c r="F750" s="16" t="n">
        <v>455806</v>
      </c>
      <c r="G750" s="16" t="n">
        <v>3222374</v>
      </c>
      <c r="H750" s="6" t="inlineStr">
        <is>
          <t>백만원</t>
        </is>
      </c>
      <c r="I750" s="17" t="n">
        <v>3.5</v>
      </c>
      <c r="J750" s="18" t="n">
        <v>1959428</v>
      </c>
      <c r="K750" s="19" t="n">
        <v>2163936</v>
      </c>
      <c r="L750" s="18" t="n">
        <v>2138083</v>
      </c>
      <c r="M750" s="19" t="n">
        <v>2096342</v>
      </c>
      <c r="N750" s="18" t="n">
        <v>893468</v>
      </c>
      <c r="O750" s="19" t="n">
        <v>1070282</v>
      </c>
      <c r="P750" s="18" t="n">
        <v>888890</v>
      </c>
      <c r="Q750" s="19" t="n">
        <v>1009768</v>
      </c>
      <c r="R750" s="18" t="n">
        <v>3111951</v>
      </c>
      <c r="S750" s="20" t="n">
        <v>3222374</v>
      </c>
      <c r="T750" s="6" t="n">
        <v>14</v>
      </c>
      <c r="U750" s="5" t="inlineStr">
        <is>
          <t>주택사업 / 기타 | Home Solution 사업 / 광주원주고속도로_BT | 주택사업 / 상주자이르네 / 고은건설</t>
        </is>
      </c>
      <c r="V750" s="21">
        <f>HYPERLINK("https://dart.fss.or.kr/dsaf001/main.do?rcpNo=20260814000451", "공시열람")</f>
        <v/>
      </c>
    </row>
    <row r="751">
      <c r="A751" s="5" t="inlineStr">
        <is>
          <t>에스피시스템스</t>
        </is>
      </c>
      <c r="B751" s="6" t="inlineStr">
        <is>
          <t>317830</t>
        </is>
      </c>
      <c r="C751" s="6" t="inlineStr">
        <is>
          <t>2026Q2</t>
        </is>
      </c>
      <c r="D751" s="6" t="inlineStr">
        <is>
          <t>20260814</t>
        </is>
      </c>
      <c r="E751" s="16" t="n">
        <v>107924386</v>
      </c>
      <c r="F751" s="16" t="n">
        <v>83301732</v>
      </c>
      <c r="G751" s="16" t="n">
        <v>24622654</v>
      </c>
      <c r="H751" s="6" t="inlineStr">
        <is>
          <t>천원</t>
        </is>
      </c>
      <c r="I751" s="17" t="n">
        <v>18.8</v>
      </c>
      <c r="J751" s="18" t="n">
        <v>36764409</v>
      </c>
      <c r="K751" s="19" t="n">
        <v>30105272</v>
      </c>
      <c r="L751" s="18" t="n">
        <v>27100452</v>
      </c>
      <c r="M751" s="19" t="inlineStr"/>
      <c r="N751" s="18" t="n">
        <v>23521045</v>
      </c>
      <c r="O751" s="19" t="n">
        <v>20825020</v>
      </c>
      <c r="P751" s="18" t="n">
        <v>22517781</v>
      </c>
      <c r="Q751" s="19" t="n">
        <v>16924168</v>
      </c>
      <c r="R751" s="18" t="n">
        <v>20718497</v>
      </c>
      <c r="S751" s="20" t="n">
        <v>24622654</v>
      </c>
      <c r="T751" s="6" t="n">
        <v>2</v>
      </c>
      <c r="U751" s="5" t="inlineStr">
        <is>
          <t>자동화시스템 / - | 스마트팩토리솔루션 / -</t>
        </is>
      </c>
      <c r="V751" s="21">
        <f>HYPERLINK("https://dart.fss.or.kr/dsaf001/main.do?rcpNo=20260814003488", "공시열람")</f>
        <v/>
      </c>
    </row>
    <row r="752">
      <c r="A752" s="5" t="inlineStr">
        <is>
          <t>대모</t>
        </is>
      </c>
      <c r="B752" s="6" t="inlineStr">
        <is>
          <t>317850</t>
        </is>
      </c>
      <c r="C752" s="6" t="inlineStr">
        <is>
          <t>2026Q2</t>
        </is>
      </c>
      <c r="D752" s="6" t="inlineStr">
        <is>
          <t>20260814</t>
        </is>
      </c>
      <c r="E752" s="16" t="n">
        <v>29056237</v>
      </c>
      <c r="F752" s="16" t="n">
        <v>22831190</v>
      </c>
      <c r="G752" s="16" t="n">
        <v>6225047</v>
      </c>
      <c r="H752" s="6" t="inlineStr">
        <is>
          <t>천원</t>
        </is>
      </c>
      <c r="I752" s="17" t="n">
        <v>30.9</v>
      </c>
      <c r="J752" s="18" t="n">
        <v>4880287</v>
      </c>
      <c r="K752" s="19" t="n">
        <v>5695854</v>
      </c>
      <c r="L752" s="18" t="n">
        <v>5343881</v>
      </c>
      <c r="M752" s="19" t="n">
        <v>4808916</v>
      </c>
      <c r="N752" s="18" t="n">
        <v>4520733</v>
      </c>
      <c r="O752" s="19" t="n">
        <v>4262696</v>
      </c>
      <c r="P752" s="18" t="n">
        <v>2846846</v>
      </c>
      <c r="Q752" s="19" t="n">
        <v>5646003</v>
      </c>
      <c r="R752" s="18" t="n">
        <v>4757243</v>
      </c>
      <c r="S752" s="20" t="n">
        <v>6225047</v>
      </c>
      <c r="T752" s="6" t="n">
        <v>1</v>
      </c>
      <c r="U752" s="5" t="inlineStr">
        <is>
          <t>유압브레이커 외 / 2026년 1월 ~ 현재 / 202</t>
        </is>
      </c>
      <c r="V752" s="21">
        <f>HYPERLINK("https://dart.fss.or.kr/dsaf001/main.do?rcpNo=20260814001352", "공시열람")</f>
        <v/>
      </c>
    </row>
    <row r="753">
      <c r="A753" s="5" t="inlineStr">
        <is>
          <t>타임기술</t>
        </is>
      </c>
      <c r="B753" s="6" t="inlineStr">
        <is>
          <t>318660</t>
        </is>
      </c>
      <c r="C753" s="6" t="inlineStr">
        <is>
          <t>2025Q4</t>
        </is>
      </c>
      <c r="D753" s="6" t="inlineStr">
        <is>
          <t>20260323</t>
        </is>
      </c>
      <c r="E753" s="16" t="n">
        <v>12050414</v>
      </c>
      <c r="F753" s="16" t="n">
        <v>6658852</v>
      </c>
      <c r="G753" s="16" t="n">
        <v>5391558</v>
      </c>
      <c r="H753" s="6" t="inlineStr">
        <is>
          <t>천원</t>
        </is>
      </c>
      <c r="I753" s="17" t="n">
        <v>-16.3</v>
      </c>
      <c r="J753" s="18" t="inlineStr"/>
      <c r="K753" s="19" t="inlineStr"/>
      <c r="L753" s="18" t="inlineStr"/>
      <c r="M753" s="19" t="n">
        <v>6438018</v>
      </c>
      <c r="N753" s="18" t="inlineStr"/>
      <c r="O753" s="19" t="inlineStr"/>
      <c r="P753" s="18" t="inlineStr"/>
      <c r="Q753" s="19" t="n">
        <v>5391558</v>
      </c>
      <c r="R753" s="18" t="inlineStr"/>
      <c r="S753" s="20" t="inlineStr"/>
      <c r="T753" s="6" t="n">
        <v>26</v>
      </c>
      <c r="U753" s="5" t="inlineStr">
        <is>
          <t>IPS / 한국항공우주산업 / 2025-01-01 | IPS / 한국항공우주산업 / 2024-09-10 | 콘텐츠 / 현대로템 / 2025-08-08</t>
        </is>
      </c>
      <c r="V753" s="21">
        <f>HYPERLINK("https://dart.fss.or.kr/dsaf001/main.do?rcpNo=20260323000081", "공시열람")</f>
        <v/>
      </c>
    </row>
    <row r="754">
      <c r="A754" s="5" t="inlineStr">
        <is>
          <t>현대무벡스</t>
        </is>
      </c>
      <c r="B754" s="6" t="inlineStr">
        <is>
          <t>319400</t>
        </is>
      </c>
      <c r="C754" s="6" t="inlineStr">
        <is>
          <t>2026Q2</t>
        </is>
      </c>
      <c r="D754" s="6" t="inlineStr">
        <is>
          <t>20260814</t>
        </is>
      </c>
      <c r="E754" s="16" t="n">
        <v>548128800</v>
      </c>
      <c r="F754" s="16" t="n">
        <v>166327510</v>
      </c>
      <c r="G754" s="16" t="n">
        <v>381801290</v>
      </c>
      <c r="H754" s="6" t="inlineStr">
        <is>
          <t>천원</t>
        </is>
      </c>
      <c r="I754" s="17" t="n">
        <v>3.9</v>
      </c>
      <c r="J754" s="18" t="n">
        <v>15268789</v>
      </c>
      <c r="K754" s="19" t="n">
        <v>540418228</v>
      </c>
      <c r="L754" s="18" t="n">
        <v>486486816</v>
      </c>
      <c r="M754" s="19" t="n">
        <v>426861169</v>
      </c>
      <c r="N754" s="18" t="n">
        <v>466303912</v>
      </c>
      <c r="O754" s="19" t="n">
        <v>421481842</v>
      </c>
      <c r="P754" s="18" t="n">
        <v>363174184</v>
      </c>
      <c r="Q754" s="19" t="n">
        <v>373176713</v>
      </c>
      <c r="R754" s="18" t="n">
        <v>367420774</v>
      </c>
      <c r="S754" s="20" t="n">
        <v>381801290</v>
      </c>
      <c r="T754" s="6" t="n">
        <v>3</v>
      </c>
      <c r="U754" s="5" t="inlineStr">
        <is>
          <t>물류자동화 / 2026.06.30. 까지 | 승강장 안전문 / 2026.06.30. 까지 | IT서비스 / 2026.06.30. 까지</t>
        </is>
      </c>
      <c r="V754" s="21">
        <f>HYPERLINK("https://dart.fss.or.kr/dsaf001/main.do?rcpNo=20260814003499", "공시열람")</f>
        <v/>
      </c>
    </row>
    <row r="755">
      <c r="A755" s="5" t="inlineStr">
        <is>
          <t>한울반도체</t>
        </is>
      </c>
      <c r="B755" s="6" t="inlineStr">
        <is>
          <t>320000</t>
        </is>
      </c>
      <c r="C755" s="6" t="inlineStr">
        <is>
          <t>2026Q2</t>
        </is>
      </c>
      <c r="D755" s="6" t="inlineStr">
        <is>
          <t>20260814</t>
        </is>
      </c>
      <c r="E755" s="16" t="n">
        <v>9908436</v>
      </c>
      <c r="F755" s="16" t="n">
        <v>4976149</v>
      </c>
      <c r="G755" s="16" t="n">
        <v>4932288</v>
      </c>
      <c r="H755" s="6" t="inlineStr">
        <is>
          <t>천원</t>
        </is>
      </c>
      <c r="I755" s="17" t="n">
        <v>-1.8</v>
      </c>
      <c r="J755" s="18" t="n">
        <v>8322663</v>
      </c>
      <c r="K755" s="19" t="n">
        <v>6124561</v>
      </c>
      <c r="L755" s="18" t="n">
        <v>6804608</v>
      </c>
      <c r="M755" s="19" t="n">
        <v>7629493</v>
      </c>
      <c r="N755" s="18" t="n">
        <v>8734250</v>
      </c>
      <c r="O755" s="19" t="n">
        <v>8959316</v>
      </c>
      <c r="P755" s="18" t="n">
        <v>9579565</v>
      </c>
      <c r="Q755" s="19" t="n">
        <v>6363585</v>
      </c>
      <c r="R755" s="18" t="n">
        <v>5020482</v>
      </c>
      <c r="S755" s="20" t="n">
        <v>4932288</v>
      </c>
      <c r="T755" s="6" t="n">
        <v>3</v>
      </c>
      <c r="U755" s="5" t="inlineStr">
        <is>
          <t>머신비전(주1) / Chip 검사장비 / - | 머신비전(주1) / Display 검사장비 / - | 머신비전(주1) / Film 검사장비 / -</t>
        </is>
      </c>
      <c r="V755" s="21">
        <f>HYPERLINK("https://dart.fss.or.kr/dsaf001/main.do?rcpNo=20260814003668", "공시열람")</f>
        <v/>
      </c>
    </row>
    <row r="756">
      <c r="A756" s="5" t="inlineStr">
        <is>
          <t>프로이천</t>
        </is>
      </c>
      <c r="B756" s="6" t="inlineStr">
        <is>
          <t>321260</t>
        </is>
      </c>
      <c r="C756" s="6" t="inlineStr">
        <is>
          <t>2026Q2</t>
        </is>
      </c>
      <c r="D756" s="6" t="inlineStr">
        <is>
          <t>20260813</t>
        </is>
      </c>
      <c r="E756" s="16" t="n">
        <v>15482</v>
      </c>
      <c r="F756" s="16" t="n">
        <v>15482</v>
      </c>
      <c r="G756" s="16" t="n">
        <v>0</v>
      </c>
      <c r="H756" s="6" t="inlineStr">
        <is>
          <t>백만원</t>
        </is>
      </c>
      <c r="I756" s="17" t="n">
        <v>-100</v>
      </c>
      <c r="J756" s="18" t="n">
        <v>9626</v>
      </c>
      <c r="K756" s="19" t="n">
        <v>4205</v>
      </c>
      <c r="L756" s="18" t="n">
        <v>2500</v>
      </c>
      <c r="M756" s="19" t="n">
        <v>4836</v>
      </c>
      <c r="N756" s="18" t="n">
        <v>2485</v>
      </c>
      <c r="O756" s="19" t="n">
        <v>2781</v>
      </c>
      <c r="P756" s="18" t="n">
        <v>4046</v>
      </c>
      <c r="Q756" s="19" t="n">
        <v>3069</v>
      </c>
      <c r="R756" s="18" t="n">
        <v>5221</v>
      </c>
      <c r="S756" s="20" t="n">
        <v>0</v>
      </c>
      <c r="T756" s="6" t="n">
        <v>2</v>
      </c>
      <c r="U756" s="5" t="inlineStr">
        <is>
          <t>디스플레이 검사장치 / - | 반도체 검사장치 / -</t>
        </is>
      </c>
      <c r="V756" s="21">
        <f>HYPERLINK("https://dart.fss.or.kr/dsaf001/main.do?rcpNo=20260813000508", "공시열람")</f>
        <v/>
      </c>
    </row>
    <row r="757">
      <c r="A757" s="5" t="inlineStr">
        <is>
          <t>센서뷰</t>
        </is>
      </c>
      <c r="B757" s="6" t="inlineStr">
        <is>
          <t>321370</t>
        </is>
      </c>
      <c r="C757" s="6" t="inlineStr">
        <is>
          <t>2026Q2</t>
        </is>
      </c>
      <c r="D757" s="6" t="inlineStr">
        <is>
          <t>20260814</t>
        </is>
      </c>
      <c r="E757" s="16" t="inlineStr"/>
      <c r="F757" s="16" t="inlineStr"/>
      <c r="G757" s="16" t="n">
        <v>22089913</v>
      </c>
      <c r="H757" s="6" t="inlineStr">
        <is>
          <t>천원</t>
        </is>
      </c>
      <c r="I757" s="17" t="n">
        <v>33.9</v>
      </c>
      <c r="J757" s="18" t="inlineStr"/>
      <c r="K757" s="19" t="inlineStr"/>
      <c r="L757" s="18" t="n">
        <v>945562</v>
      </c>
      <c r="M757" s="19" t="n">
        <v>4577353</v>
      </c>
      <c r="N757" s="18" t="n">
        <v>5679754</v>
      </c>
      <c r="O757" s="19" t="n">
        <v>10415701</v>
      </c>
      <c r="P757" s="18" t="n">
        <v>10449728</v>
      </c>
      <c r="Q757" s="19" t="n">
        <v>8177397</v>
      </c>
      <c r="R757" s="18" t="n">
        <v>16496947</v>
      </c>
      <c r="S757" s="20" t="n">
        <v>22089913</v>
      </c>
      <c r="T757" s="6" t="n">
        <v>0</v>
      </c>
      <c r="U757" s="5" t="inlineStr"/>
      <c r="V757" s="21">
        <f>HYPERLINK("https://dart.fss.or.kr/dsaf001/main.do?rcpNo=20260814002382", "공시열람")</f>
        <v/>
      </c>
    </row>
    <row r="758">
      <c r="A758" s="5" t="inlineStr">
        <is>
          <t>티움바이오</t>
        </is>
      </c>
      <c r="B758" s="6" t="inlineStr">
        <is>
          <t>321550</t>
        </is>
      </c>
      <c r="C758" s="6" t="inlineStr">
        <is>
          <t>2026Q2</t>
        </is>
      </c>
      <c r="D758" s="6" t="inlineStr">
        <is>
          <t>20260814</t>
        </is>
      </c>
      <c r="E758" s="16" t="n">
        <v>41513346</v>
      </c>
      <c r="F758" s="16" t="n">
        <v>16193935</v>
      </c>
      <c r="G758" s="16" t="n">
        <v>25319411</v>
      </c>
      <c r="H758" s="6" t="inlineStr">
        <is>
          <t>천원</t>
        </is>
      </c>
      <c r="I758" s="17" t="n">
        <v>3</v>
      </c>
      <c r="J758" s="18" t="n">
        <v>6459279</v>
      </c>
      <c r="K758" s="19" t="n">
        <v>6352419</v>
      </c>
      <c r="L758" s="18" t="n">
        <v>5391920</v>
      </c>
      <c r="M758" s="19" t="n">
        <v>4426646</v>
      </c>
      <c r="N758" s="18" t="n">
        <v>5494042</v>
      </c>
      <c r="O758" s="19" t="n">
        <v>14990431</v>
      </c>
      <c r="P758" s="18" t="n">
        <v>23035137</v>
      </c>
      <c r="Q758" s="19" t="n">
        <v>20577295</v>
      </c>
      <c r="R758" s="18" t="n">
        <v>24583961</v>
      </c>
      <c r="S758" s="20" t="n">
        <v>25319411</v>
      </c>
      <c r="T758" s="6" t="n">
        <v>2</v>
      </c>
      <c r="U758" s="5" t="inlineStr">
        <is>
          <t>위탁개발 및 분석 | 천연화장품 OEM/ODM</t>
        </is>
      </c>
      <c r="V758" s="21">
        <f>HYPERLINK("https://dart.fss.or.kr/dsaf001/main.do?rcpNo=20260814001441", "공시열람")</f>
        <v/>
      </c>
    </row>
    <row r="759">
      <c r="A759" s="5" t="inlineStr">
        <is>
          <t>HD현대에너지솔루션</t>
        </is>
      </c>
      <c r="B759" s="6" t="inlineStr">
        <is>
          <t>322000</t>
        </is>
      </c>
      <c r="C759" s="6" t="inlineStr">
        <is>
          <t>2026Q2</t>
        </is>
      </c>
      <c r="D759" s="6" t="inlineStr">
        <is>
          <t>20260814</t>
        </is>
      </c>
      <c r="E759" s="16" t="inlineStr"/>
      <c r="F759" s="16" t="inlineStr"/>
      <c r="G759" s="16" t="n">
        <v>14303229</v>
      </c>
      <c r="H759" s="6" t="inlineStr">
        <is>
          <t>천원</t>
        </is>
      </c>
      <c r="I759" s="17" t="n">
        <v>35.8</v>
      </c>
      <c r="J759" s="18" t="n">
        <v>27217550</v>
      </c>
      <c r="K759" s="19" t="n">
        <v>15399084</v>
      </c>
      <c r="L759" s="18" t="n">
        <v>19232675</v>
      </c>
      <c r="M759" s="19" t="n">
        <v>23807433</v>
      </c>
      <c r="N759" s="18" t="n">
        <v>23807433</v>
      </c>
      <c r="O759" s="19" t="n">
        <v>4927681</v>
      </c>
      <c r="P759" s="18" t="n">
        <v>4324569</v>
      </c>
      <c r="Q759" s="19" t="n">
        <v>5379590</v>
      </c>
      <c r="R759" s="18" t="n">
        <v>10529250</v>
      </c>
      <c r="S759" s="20" t="n">
        <v>14303229</v>
      </c>
      <c r="T759" s="6" t="n">
        <v>1</v>
      </c>
      <c r="U759" s="5" t="inlineStr">
        <is>
          <t>모듈설치 공사 / '26.06.30 까지 / -</t>
        </is>
      </c>
      <c r="V759" s="21">
        <f>HYPERLINK("https://dart.fss.or.kr/dsaf001/main.do?rcpNo=20260814002295", "공시열람")</f>
        <v/>
      </c>
    </row>
    <row r="760">
      <c r="A760" s="5" t="inlineStr">
        <is>
          <t>LS티라유텍</t>
        </is>
      </c>
      <c r="B760" s="6" t="inlineStr">
        <is>
          <t>322180</t>
        </is>
      </c>
      <c r="C760" s="6" t="inlineStr">
        <is>
          <t>2026Q2</t>
        </is>
      </c>
      <c r="D760" s="6" t="inlineStr">
        <is>
          <t>20260814</t>
        </is>
      </c>
      <c r="E760" s="16" t="n">
        <v>50590</v>
      </c>
      <c r="F760" s="16" t="n">
        <v>37187</v>
      </c>
      <c r="G760" s="16" t="n">
        <v>13404</v>
      </c>
      <c r="H760" s="6" t="inlineStr">
        <is>
          <t>백만원</t>
        </is>
      </c>
      <c r="I760" s="17" t="n">
        <v>-13.2</v>
      </c>
      <c r="J760" s="18" t="n">
        <v>17017</v>
      </c>
      <c r="K760" s="19" t="n">
        <v>16240</v>
      </c>
      <c r="L760" s="18" t="n">
        <v>11441</v>
      </c>
      <c r="M760" s="19" t="n">
        <v>1098</v>
      </c>
      <c r="N760" s="18" t="n">
        <v>14792</v>
      </c>
      <c r="O760" s="19" t="n">
        <v>581</v>
      </c>
      <c r="P760" s="18" t="n">
        <v>14469</v>
      </c>
      <c r="Q760" s="19" t="n">
        <v>309</v>
      </c>
      <c r="R760" s="18" t="n">
        <v>15445</v>
      </c>
      <c r="S760" s="20" t="n">
        <v>13404</v>
      </c>
      <c r="T760" s="6" t="n">
        <v>5</v>
      </c>
      <c r="U760" s="5" t="inlineStr">
        <is>
          <t>IT서비스 및 SW매출 / - | 파우치형 이차전지 스마트팩토리 구축 / 2024-05- | 물류자동화 공급 / 2025-07-28 / 2026-1</t>
        </is>
      </c>
      <c r="V760" s="21">
        <f>HYPERLINK("https://dart.fss.or.kr/dsaf001/main.do?rcpNo=20260814002493", "공시열람")</f>
        <v/>
      </c>
    </row>
    <row r="761">
      <c r="A761" s="5" t="inlineStr">
        <is>
          <t>제이엘케이</t>
        </is>
      </c>
      <c r="B761" s="6" t="inlineStr">
        <is>
          <t>322510</t>
        </is>
      </c>
      <c r="C761" s="6" t="inlineStr">
        <is>
          <t>2026Q2</t>
        </is>
      </c>
      <c r="D761" s="6" t="inlineStr">
        <is>
          <t>20260814</t>
        </is>
      </c>
      <c r="E761" s="16" t="n">
        <v>1000</v>
      </c>
      <c r="F761" s="16" t="n">
        <v>750</v>
      </c>
      <c r="G761" s="16" t="n">
        <v>250</v>
      </c>
      <c r="H761" s="6" t="inlineStr">
        <is>
          <t>백만원</t>
        </is>
      </c>
      <c r="I761" s="17" t="n">
        <v>0</v>
      </c>
      <c r="J761" s="18" t="n">
        <v>1360</v>
      </c>
      <c r="K761" s="19" t="n">
        <v>1360</v>
      </c>
      <c r="L761" s="18" t="n">
        <v>1360</v>
      </c>
      <c r="M761" s="19" t="n">
        <v>1360</v>
      </c>
      <c r="N761" s="18" t="n">
        <v>700</v>
      </c>
      <c r="O761" s="19" t="n">
        <v>500</v>
      </c>
      <c r="P761" s="18" t="n">
        <v>500</v>
      </c>
      <c r="Q761" s="19" t="n">
        <v>250</v>
      </c>
      <c r="R761" s="18" t="n">
        <v>250</v>
      </c>
      <c r="S761" s="20" t="n">
        <v>250</v>
      </c>
      <c r="T761" s="6" t="n">
        <v>1</v>
      </c>
      <c r="U761" s="5" t="inlineStr">
        <is>
          <t>JVIEWER-X(AI 기반 흉부 X-ray 폐영상 분</t>
        </is>
      </c>
      <c r="V761" s="21">
        <f>HYPERLINK("https://dart.fss.or.kr/dsaf001/main.do?rcpNo=20260814002418", "공시열람")</f>
        <v/>
      </c>
    </row>
    <row r="762">
      <c r="A762" s="5" t="inlineStr">
        <is>
          <t>태성</t>
        </is>
      </c>
      <c r="B762" s="6" t="inlineStr">
        <is>
          <t>323280</t>
        </is>
      </c>
      <c r="C762" s="6" t="inlineStr">
        <is>
          <t>2026Q2</t>
        </is>
      </c>
      <c r="D762" s="6" t="inlineStr">
        <is>
          <t>20260812</t>
        </is>
      </c>
      <c r="E762" s="16" t="n">
        <v>68975</v>
      </c>
      <c r="F762" s="16" t="n">
        <v>23382</v>
      </c>
      <c r="G762" s="16" t="n">
        <v>45593</v>
      </c>
      <c r="H762" s="6" t="inlineStr">
        <is>
          <t>백만원</t>
        </is>
      </c>
      <c r="I762" s="17" t="n">
        <v>43</v>
      </c>
      <c r="J762" s="18" t="n">
        <v>22375</v>
      </c>
      <c r="K762" s="19" t="n">
        <v>16537</v>
      </c>
      <c r="L762" s="18" t="n">
        <v>8512</v>
      </c>
      <c r="M762" s="19" t="n">
        <v>7468</v>
      </c>
      <c r="N762" s="18" t="n">
        <v>7737</v>
      </c>
      <c r="O762" s="19" t="n">
        <v>7076</v>
      </c>
      <c r="P762" s="18" t="n">
        <v>13999</v>
      </c>
      <c r="Q762" s="19" t="n">
        <v>38453</v>
      </c>
      <c r="R762" s="18" t="n">
        <v>31891</v>
      </c>
      <c r="S762" s="20" t="n">
        <v>45593</v>
      </c>
      <c r="T762" s="6" t="n">
        <v>9</v>
      </c>
      <c r="U762" s="5" t="inlineStr">
        <is>
          <t>제품 / - | 제품 / - | 제품 / -</t>
        </is>
      </c>
      <c r="V762" s="21">
        <f>HYPERLINK("https://dart.fss.or.kr/dsaf001/main.do?rcpNo=20260812000203", "공시열람")</f>
        <v/>
      </c>
    </row>
    <row r="763">
      <c r="A763" s="5" t="inlineStr">
        <is>
          <t>다원넥스뷰</t>
        </is>
      </c>
      <c r="B763" s="6" t="inlineStr">
        <is>
          <t>323350</t>
        </is>
      </c>
      <c r="C763" s="6" t="inlineStr">
        <is>
          <t>2023Q4</t>
        </is>
      </c>
      <c r="D763" s="6" t="inlineStr">
        <is>
          <t>20240314</t>
        </is>
      </c>
      <c r="E763" s="16" t="n">
        <v>20729</v>
      </c>
      <c r="F763" s="16" t="n">
        <v>6556</v>
      </c>
      <c r="G763" s="16" t="n">
        <v>14173</v>
      </c>
      <c r="H763" s="6" t="inlineStr"/>
      <c r="I763" s="17" t="inlineStr"/>
      <c r="J763" s="18" t="inlineStr"/>
      <c r="K763" s="19" t="inlineStr"/>
      <c r="L763" s="18" t="inlineStr"/>
      <c r="M763" s="19" t="inlineStr"/>
      <c r="N763" s="18" t="inlineStr"/>
      <c r="O763" s="19" t="inlineStr"/>
      <c r="P763" s="18" t="inlineStr"/>
      <c r="Q763" s="19" t="inlineStr"/>
      <c r="R763" s="18" t="inlineStr"/>
      <c r="S763" s="20" t="inlineStr"/>
      <c r="T763" s="6" t="n">
        <v>1</v>
      </c>
      <c r="U763" s="5" t="inlineStr">
        <is>
          <t>LSMB / 23.01.01 ~ 23.12.31 / 2</t>
        </is>
      </c>
      <c r="V763" s="21">
        <f>HYPERLINK("https://dart.fss.or.kr/dsaf001/main.do?rcpNo=20240314000984", "공시열람")</f>
        <v/>
      </c>
    </row>
    <row r="764">
      <c r="A764" s="5" t="inlineStr">
        <is>
          <t>루닛</t>
        </is>
      </c>
      <c r="B764" s="6" t="inlineStr">
        <is>
          <t>328130</t>
        </is>
      </c>
      <c r="C764" s="6" t="inlineStr">
        <is>
          <t>2026Q2</t>
        </is>
      </c>
      <c r="D764" s="6" t="inlineStr">
        <is>
          <t>20260811</t>
        </is>
      </c>
      <c r="E764" s="16" t="inlineStr"/>
      <c r="F764" s="16" t="inlineStr"/>
      <c r="G764" s="16" t="n">
        <v>20000000</v>
      </c>
      <c r="H764" s="6" t="inlineStr">
        <is>
          <t>USD</t>
        </is>
      </c>
      <c r="I764" s="17" t="n">
        <v>1846.5</v>
      </c>
      <c r="J764" s="18" t="n">
        <v>75903</v>
      </c>
      <c r="K764" s="19" t="n">
        <v>30473</v>
      </c>
      <c r="L764" s="18" t="n">
        <v>70894</v>
      </c>
      <c r="M764" s="19" t="n">
        <v>49048</v>
      </c>
      <c r="N764" s="18" t="n">
        <v>870689</v>
      </c>
      <c r="O764" s="19" t="n">
        <v>96424</v>
      </c>
      <c r="P764" s="18" t="n">
        <v>23000000</v>
      </c>
      <c r="Q764" s="19" t="n">
        <v>490463</v>
      </c>
      <c r="R764" s="18" t="n">
        <v>1027482</v>
      </c>
      <c r="S764" s="20" t="n">
        <v>20000000</v>
      </c>
      <c r="T764" s="6" t="n">
        <v>1</v>
      </c>
      <c r="U764" s="5" t="inlineStr">
        <is>
          <t>통화선도 / USD</t>
        </is>
      </c>
      <c r="V764" s="21">
        <f>HYPERLINK("https://dart.fss.or.kr/dsaf001/main.do?rcpNo=20260811000657", "공시열람")</f>
        <v/>
      </c>
    </row>
    <row r="765">
      <c r="A765" s="5" t="inlineStr">
        <is>
          <t>HD현대중공업</t>
        </is>
      </c>
      <c r="B765" s="6" t="inlineStr">
        <is>
          <t>329180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69514154</v>
      </c>
      <c r="H765" s="6" t="inlineStr">
        <is>
          <t>백만원</t>
        </is>
      </c>
      <c r="I765" s="17" t="n">
        <v>11.8</v>
      </c>
      <c r="J765" s="18" t="n">
        <v>45978622</v>
      </c>
      <c r="K765" s="19" t="n">
        <v>46328902</v>
      </c>
      <c r="L765" s="18" t="n">
        <v>43957480</v>
      </c>
      <c r="M765" s="19" t="n">
        <v>46931768</v>
      </c>
      <c r="N765" s="18" t="n">
        <v>49633635</v>
      </c>
      <c r="O765" s="19" t="n">
        <v>46344247</v>
      </c>
      <c r="P765" s="18" t="n">
        <v>45018051</v>
      </c>
      <c r="Q765" s="19" t="n">
        <v>56384472</v>
      </c>
      <c r="R765" s="18" t="n">
        <v>62170777</v>
      </c>
      <c r="S765" s="20" t="n">
        <v>69514154</v>
      </c>
      <c r="T765" s="6" t="n">
        <v>3</v>
      </c>
      <c r="U765" s="5" t="inlineStr">
        <is>
          <t>조 선 / '26.06.30일까지 / - | 기 타 / '26.06.30일까지 / - | 해양플랜트 / '26.06.30일까지 / -</t>
        </is>
      </c>
      <c r="V765" s="21">
        <f>HYPERLINK("https://dart.fss.or.kr/dsaf001/main.do?rcpNo=20260814002879", "공시열람")</f>
        <v/>
      </c>
    </row>
    <row r="766">
      <c r="A766" s="5" t="inlineStr">
        <is>
          <t>아우토크립트</t>
        </is>
      </c>
      <c r="B766" s="6" t="inlineStr">
        <is>
          <t>331740</t>
        </is>
      </c>
      <c r="C766" s="6" t="inlineStr">
        <is>
          <t>2026Q2</t>
        </is>
      </c>
      <c r="D766" s="6" t="inlineStr">
        <is>
          <t>20260814</t>
        </is>
      </c>
      <c r="E766" s="16" t="n">
        <v>17521589</v>
      </c>
      <c r="F766" s="16" t="inlineStr"/>
      <c r="G766" s="16" t="n">
        <v>8919273</v>
      </c>
      <c r="H766" s="6" t="inlineStr">
        <is>
          <t>천원</t>
        </is>
      </c>
      <c r="I766" s="17" t="n">
        <v>-0.6</v>
      </c>
      <c r="J766" s="18" t="inlineStr"/>
      <c r="K766" s="19" t="inlineStr"/>
      <c r="L766" s="18" t="inlineStr"/>
      <c r="M766" s="19" t="inlineStr"/>
      <c r="N766" s="18" t="inlineStr"/>
      <c r="O766" s="19" t="n">
        <v>8837124</v>
      </c>
      <c r="P766" s="18" t="inlineStr"/>
      <c r="Q766" s="19" t="n">
        <v>8853891</v>
      </c>
      <c r="R766" s="18" t="n">
        <v>8969064</v>
      </c>
      <c r="S766" s="20" t="n">
        <v>8919273</v>
      </c>
      <c r="T766" s="6" t="n">
        <v>16</v>
      </c>
      <c r="U766" s="5" t="inlineStr">
        <is>
          <t xml:space="preserve">기타 | CryptoDev(IVS 사업) / 차량 제어기 보안  | CryptoComm (V2X 사업) / 차량통신 보안 </t>
        </is>
      </c>
      <c r="V766" s="21">
        <f>HYPERLINK("https://dart.fss.or.kr/dsaf001/main.do?rcpNo=20260814003908", "공시열람")</f>
        <v/>
      </c>
    </row>
    <row r="767">
      <c r="A767" s="5" t="inlineStr">
        <is>
          <t>누보</t>
        </is>
      </c>
      <c r="B767" s="6" t="inlineStr">
        <is>
          <t>332290</t>
        </is>
      </c>
      <c r="C767" s="6" t="inlineStr">
        <is>
          <t>2026Q2</t>
        </is>
      </c>
      <c r="D767" s="6" t="inlineStr">
        <is>
          <t>20260814</t>
        </is>
      </c>
      <c r="E767" s="16" t="n">
        <v>8267</v>
      </c>
      <c r="F767" s="16" t="n">
        <v>8153</v>
      </c>
      <c r="G767" s="16" t="n">
        <v>114</v>
      </c>
      <c r="H767" s="6" t="inlineStr">
        <is>
          <t>천KG,천USD</t>
        </is>
      </c>
      <c r="I767" s="17" t="n">
        <v>850</v>
      </c>
      <c r="J767" s="18" t="n">
        <v>794</v>
      </c>
      <c r="K767" s="19" t="n">
        <v>395</v>
      </c>
      <c r="L767" s="18" t="n">
        <v>22217</v>
      </c>
      <c r="M767" s="19" t="n">
        <v>6661</v>
      </c>
      <c r="N767" s="18" t="n">
        <v>2320</v>
      </c>
      <c r="O767" s="19" t="n">
        <v>4790</v>
      </c>
      <c r="P767" s="18" t="n">
        <v>5642</v>
      </c>
      <c r="Q767" s="19" t="n">
        <v>12956</v>
      </c>
      <c r="R767" s="18" t="n">
        <v>12</v>
      </c>
      <c r="S767" s="20" t="n">
        <v>114</v>
      </c>
      <c r="T767" s="6" t="n">
        <v>3</v>
      </c>
      <c r="U767" s="5" t="inlineStr">
        <is>
          <t>비료류 / 2025년~ / 2026년내 | 녹차류 / 2025년~ / 2026년내 | 기타 / 2025년~ / 2026년내</t>
        </is>
      </c>
      <c r="V767" s="21">
        <f>HYPERLINK("https://dart.fss.or.kr/dsaf001/main.do?rcpNo=20260814001153", "공시열람")</f>
        <v/>
      </c>
    </row>
    <row r="768">
      <c r="A768" s="5" t="inlineStr">
        <is>
          <t>이노테나</t>
        </is>
      </c>
      <c r="B768" s="6" t="inlineStr">
        <is>
          <t>333050</t>
        </is>
      </c>
      <c r="C768" s="6" t="inlineStr">
        <is>
          <t>2026Q2</t>
        </is>
      </c>
      <c r="D768" s="6" t="inlineStr">
        <is>
          <t>20260814</t>
        </is>
      </c>
      <c r="E768" s="16" t="n">
        <v>11495022</v>
      </c>
      <c r="F768" s="16" t="inlineStr"/>
      <c r="G768" s="16" t="n">
        <v>17339878</v>
      </c>
      <c r="H768" s="6" t="inlineStr">
        <is>
          <t>천원</t>
        </is>
      </c>
      <c r="I768" s="17" t="n">
        <v>-0.6</v>
      </c>
      <c r="J768" s="18" t="n">
        <v>25008165</v>
      </c>
      <c r="K768" s="19" t="n">
        <v>26825963</v>
      </c>
      <c r="L768" s="18" t="n">
        <v>16915661</v>
      </c>
      <c r="M768" s="19" t="n">
        <v>20391974</v>
      </c>
      <c r="N768" s="18" t="n">
        <v>19518222</v>
      </c>
      <c r="O768" s="19" t="n">
        <v>20026973</v>
      </c>
      <c r="P768" s="18" t="n">
        <v>16303465</v>
      </c>
      <c r="Q768" s="19" t="n">
        <v>18248026</v>
      </c>
      <c r="R768" s="18" t="n">
        <v>17450213</v>
      </c>
      <c r="S768" s="20" t="n">
        <v>17339878</v>
      </c>
      <c r="T768" s="6" t="n">
        <v>3</v>
      </c>
      <c r="U768" s="5" t="inlineStr">
        <is>
          <t>연계솔루션사업 | 클라우드솔루션사업 (APM솔루션 포함) | 보안솔루션사업</t>
        </is>
      </c>
      <c r="V768" s="21">
        <f>HYPERLINK("https://dart.fss.or.kr/dsaf001/main.do?rcpNo=20260814001122", "공시열람")</f>
        <v/>
      </c>
    </row>
    <row r="769">
      <c r="A769" s="5" t="inlineStr">
        <is>
          <t>일승</t>
        </is>
      </c>
      <c r="B769" s="6" t="inlineStr">
        <is>
          <t>333430</t>
        </is>
      </c>
      <c r="C769" s="6" t="inlineStr">
        <is>
          <t>2026Q2</t>
        </is>
      </c>
      <c r="D769" s="6" t="inlineStr">
        <is>
          <t>20260814</t>
        </is>
      </c>
      <c r="E769" s="16" t="n">
        <v>59575</v>
      </c>
      <c r="F769" s="16" t="n">
        <v>28308</v>
      </c>
      <c r="G769" s="16" t="n">
        <v>31267</v>
      </c>
      <c r="H769" s="6" t="inlineStr">
        <is>
          <t>백만원</t>
        </is>
      </c>
      <c r="I769" s="17" t="n">
        <v>10.2</v>
      </c>
      <c r="J769" s="18" t="n">
        <v>24571</v>
      </c>
      <c r="K769" s="19" t="n">
        <v>22487</v>
      </c>
      <c r="L769" s="18" t="n">
        <v>23948</v>
      </c>
      <c r="M769" s="19" t="n">
        <v>20527</v>
      </c>
      <c r="N769" s="18" t="n">
        <v>22835</v>
      </c>
      <c r="O769" s="19" t="n">
        <v>20899</v>
      </c>
      <c r="P769" s="18" t="n">
        <v>27380</v>
      </c>
      <c r="Q769" s="19" t="n">
        <v>27136</v>
      </c>
      <c r="R769" s="18" t="n">
        <v>28376</v>
      </c>
      <c r="S769" s="20" t="n">
        <v>31267</v>
      </c>
      <c r="T769" s="6" t="n">
        <v>1</v>
      </c>
      <c r="U769" s="5" t="inlineStr"/>
      <c r="V769" s="21">
        <f>HYPERLINK("https://dart.fss.or.kr/dsaf001/main.do?rcpNo=20260814000008", "공시열람")</f>
        <v/>
      </c>
    </row>
    <row r="770">
      <c r="A770" s="5" t="inlineStr">
        <is>
          <t>엔시스</t>
        </is>
      </c>
      <c r="B770" s="6" t="inlineStr">
        <is>
          <t>333620</t>
        </is>
      </c>
      <c r="C770" s="6" t="inlineStr">
        <is>
          <t>2026Q2</t>
        </is>
      </c>
      <c r="D770" s="6" t="inlineStr">
        <is>
          <t>20260814</t>
        </is>
      </c>
      <c r="E770" s="16" t="n">
        <v>45384</v>
      </c>
      <c r="F770" s="16" t="n">
        <v>26287</v>
      </c>
      <c r="G770" s="16" t="n">
        <v>61834</v>
      </c>
      <c r="H770" s="6" t="inlineStr">
        <is>
          <t>백만원</t>
        </is>
      </c>
      <c r="I770" s="17" t="n">
        <v>-8.800000000000001</v>
      </c>
      <c r="J770" s="18" t="n">
        <v>80195</v>
      </c>
      <c r="K770" s="19" t="n">
        <v>72779</v>
      </c>
      <c r="L770" s="18" t="n">
        <v>66953</v>
      </c>
      <c r="M770" s="19" t="n">
        <v>60589</v>
      </c>
      <c r="N770" s="18" t="n">
        <v>54683</v>
      </c>
      <c r="O770" s="19" t="n">
        <v>50059</v>
      </c>
      <c r="P770" s="18" t="n">
        <v>47821</v>
      </c>
      <c r="Q770" s="19" t="n">
        <v>53212</v>
      </c>
      <c r="R770" s="18" t="n">
        <v>67794</v>
      </c>
      <c r="S770" s="20" t="n">
        <v>61834</v>
      </c>
      <c r="T770" s="6" t="n">
        <v>1</v>
      </c>
      <c r="U770" s="5" t="inlineStr">
        <is>
          <t>2차전지 검사장비</t>
        </is>
      </c>
      <c r="V770" s="21">
        <f>HYPERLINK("https://dart.fss.or.kr/dsaf001/main.do?rcpNo=20260814000383", "공시열람")</f>
        <v/>
      </c>
    </row>
    <row r="771">
      <c r="A771" s="5" t="inlineStr">
        <is>
          <t>프레스티지바이오로직스</t>
        </is>
      </c>
      <c r="B771" s="6" t="inlineStr">
        <is>
          <t>334970</t>
        </is>
      </c>
      <c r="C771" s="6" t="inlineStr">
        <is>
          <t>2026Q2</t>
        </is>
      </c>
      <c r="D771" s="6" t="inlineStr">
        <is>
          <t>20260918</t>
        </is>
      </c>
      <c r="E771" s="16" t="n">
        <v>75363</v>
      </c>
      <c r="F771" s="16" t="n">
        <v>14890</v>
      </c>
      <c r="G771" s="16" t="n">
        <v>60473</v>
      </c>
      <c r="H771" s="6" t="inlineStr">
        <is>
          <t>천$,백만원</t>
        </is>
      </c>
      <c r="I771" s="17" t="n">
        <v>21.3</v>
      </c>
      <c r="J771" s="18" t="n">
        <v>11000</v>
      </c>
      <c r="K771" s="19" t="n">
        <v>88863</v>
      </c>
      <c r="L771" s="18" t="n">
        <v>11000</v>
      </c>
      <c r="M771" s="19" t="n">
        <v>19071047</v>
      </c>
      <c r="N771" s="18" t="n">
        <v>19320937</v>
      </c>
      <c r="O771" s="19" t="n">
        <v>21282648</v>
      </c>
      <c r="P771" s="18" t="n">
        <v>15074696</v>
      </c>
      <c r="Q771" s="19" t="n">
        <v>48008</v>
      </c>
      <c r="R771" s="18" t="n">
        <v>49863</v>
      </c>
      <c r="S771" s="20" t="n">
        <v>60473</v>
      </c>
      <c r="T771" s="6" t="n">
        <v>2</v>
      </c>
      <c r="U771" s="5" t="inlineStr">
        <is>
          <t>CDMO(CMO, CDO, QC분석서비스 등) / 바이 | CDMO(CMO, CDO, QC분석서비스 등) / 바이</t>
        </is>
      </c>
      <c r="V771" s="21">
        <f>HYPERLINK("https://dart.fss.or.kr/dsaf001/main.do?rcpNo=20260918000488", "공시열람")</f>
        <v/>
      </c>
    </row>
    <row r="772">
      <c r="A772" s="5" t="inlineStr">
        <is>
          <t>웨이버스</t>
        </is>
      </c>
      <c r="B772" s="6" t="inlineStr">
        <is>
          <t>336060</t>
        </is>
      </c>
      <c r="C772" s="6" t="inlineStr">
        <is>
          <t>2026Q2</t>
        </is>
      </c>
      <c r="D772" s="6" t="inlineStr">
        <is>
          <t>20260814</t>
        </is>
      </c>
      <c r="E772" s="16" t="n">
        <v>53408129</v>
      </c>
      <c r="F772" s="16" t="inlineStr"/>
      <c r="G772" s="16" t="n">
        <v>35117803</v>
      </c>
      <c r="H772" s="6" t="inlineStr">
        <is>
          <t>천원</t>
        </is>
      </c>
      <c r="I772" s="17" t="n">
        <v>36.1</v>
      </c>
      <c r="J772" s="18" t="n">
        <v>30551891</v>
      </c>
      <c r="K772" s="19" t="n">
        <v>39835879</v>
      </c>
      <c r="L772" s="18" t="n">
        <v>32261188</v>
      </c>
      <c r="M772" s="19" t="n">
        <v>31857383</v>
      </c>
      <c r="N772" s="18" t="n">
        <v>31807449</v>
      </c>
      <c r="O772" s="19" t="n">
        <v>33122474</v>
      </c>
      <c r="P772" s="18" t="n">
        <v>24962084</v>
      </c>
      <c r="Q772" s="19" t="n">
        <v>16944148</v>
      </c>
      <c r="R772" s="18" t="n">
        <v>25797203</v>
      </c>
      <c r="S772" s="20" t="n">
        <v>35117803</v>
      </c>
      <c r="T772" s="6" t="n">
        <v>9</v>
      </c>
      <c r="U772" s="5" t="inlineStr">
        <is>
          <t>공공기관 / 공간정보 SM / 2026-06-01 | 공공기관 / 공간정보 SM / 2026-01-01 | 공공기관 / 공간정보 SI / 2023-11-30</t>
        </is>
      </c>
      <c r="V772" s="21">
        <f>HYPERLINK("https://dart.fss.or.kr/dsaf001/main.do?rcpNo=20260814001981", "공시열람")</f>
        <v/>
      </c>
    </row>
    <row r="773">
      <c r="A773" s="5" t="inlineStr">
        <is>
          <t>뷰노</t>
        </is>
      </c>
      <c r="B773" s="6" t="inlineStr">
        <is>
          <t>338220</t>
        </is>
      </c>
      <c r="C773" s="6" t="inlineStr">
        <is>
          <t>2026Q2</t>
        </is>
      </c>
      <c r="D773" s="6" t="inlineStr">
        <is>
          <t>20260814</t>
        </is>
      </c>
      <c r="E773" s="16" t="n">
        <v>507</v>
      </c>
      <c r="F773" s="16" t="n">
        <v>487</v>
      </c>
      <c r="G773" s="16" t="n">
        <v>20</v>
      </c>
      <c r="H773" s="6" t="inlineStr">
        <is>
          <t>백만원</t>
        </is>
      </c>
      <c r="I773" s="17" t="n">
        <v>0</v>
      </c>
      <c r="J773" s="18" t="n">
        <v>1021</v>
      </c>
      <c r="K773" s="19" t="n">
        <v>1010</v>
      </c>
      <c r="L773" s="18" t="n">
        <v>962</v>
      </c>
      <c r="M773" s="19" t="n">
        <v>694</v>
      </c>
      <c r="N773" s="18" t="n">
        <v>615</v>
      </c>
      <c r="O773" s="19" t="n">
        <v>345</v>
      </c>
      <c r="P773" s="18" t="n">
        <v>40</v>
      </c>
      <c r="Q773" s="19" t="n">
        <v>40</v>
      </c>
      <c r="R773" s="18" t="n">
        <v>20</v>
      </c>
      <c r="S773" s="20" t="n">
        <v>20</v>
      </c>
      <c r="T773" s="6" t="n">
        <v>1</v>
      </c>
      <c r="U773" s="5" t="inlineStr">
        <is>
          <t>인공지능기반 희귀질환 스크리닝 솔루션 / 2021-11</t>
        </is>
      </c>
      <c r="V773" s="21">
        <f>HYPERLINK("https://dart.fss.or.kr/dsaf001/main.do?rcpNo=20260814002777", "공시열람")</f>
        <v/>
      </c>
    </row>
    <row r="774">
      <c r="A774" s="5" t="inlineStr">
        <is>
          <t>티앤엘</t>
        </is>
      </c>
      <c r="B774" s="6" t="inlineStr">
        <is>
          <t>340570</t>
        </is>
      </c>
      <c r="C774" s="6" t="inlineStr">
        <is>
          <t>2025Q1</t>
        </is>
      </c>
      <c r="D774" s="6" t="inlineStr">
        <is>
          <t>20250514</t>
        </is>
      </c>
      <c r="E774" s="16" t="n">
        <v>7679525</v>
      </c>
      <c r="F774" s="16" t="inlineStr"/>
      <c r="G774" s="16" t="n">
        <v>7679525</v>
      </c>
      <c r="H774" s="6" t="inlineStr">
        <is>
          <t>천원</t>
        </is>
      </c>
      <c r="I774" s="17" t="n">
        <v>-27.2</v>
      </c>
      <c r="J774" s="18" t="n">
        <v>41196255</v>
      </c>
      <c r="K774" s="19" t="n">
        <v>40239752</v>
      </c>
      <c r="L774" s="18" t="n">
        <v>35932640</v>
      </c>
      <c r="M774" s="19" t="n">
        <v>10545983</v>
      </c>
      <c r="N774" s="18" t="n">
        <v>7679525</v>
      </c>
      <c r="O774" s="19" t="inlineStr"/>
      <c r="P774" s="18" t="inlineStr"/>
      <c r="Q774" s="19" t="inlineStr"/>
      <c r="R774" s="18" t="inlineStr"/>
      <c r="S774" s="20" t="inlineStr"/>
      <c r="T774" s="6" t="n">
        <v>6</v>
      </c>
      <c r="U774" s="5" t="inlineStr">
        <is>
          <t>창상피복재 | 창상피복재 | 창상피복재</t>
        </is>
      </c>
      <c r="V774" s="21">
        <f>HYPERLINK("https://dart.fss.or.kr/dsaf001/main.do?rcpNo=20250514001008", "공시열람")</f>
        <v/>
      </c>
    </row>
    <row r="775">
      <c r="A775" s="5" t="inlineStr">
        <is>
          <t>시선AI</t>
        </is>
      </c>
      <c r="B775" s="6" t="inlineStr">
        <is>
          <t>340810</t>
        </is>
      </c>
      <c r="C775" s="6" t="inlineStr">
        <is>
          <t>2026Q2</t>
        </is>
      </c>
      <c r="D775" s="6" t="inlineStr">
        <is>
          <t>20260814</t>
        </is>
      </c>
      <c r="E775" s="16" t="n">
        <v>34780</v>
      </c>
      <c r="F775" s="16" t="n">
        <v>22514</v>
      </c>
      <c r="G775" s="16" t="n">
        <v>12266</v>
      </c>
      <c r="H775" s="6" t="inlineStr">
        <is>
          <t>백만원</t>
        </is>
      </c>
      <c r="I775" s="17" t="n">
        <v>9.4</v>
      </c>
      <c r="J775" s="18" t="n">
        <v>9313</v>
      </c>
      <c r="K775" s="19" t="n">
        <v>12286</v>
      </c>
      <c r="L775" s="18" t="n">
        <v>8608</v>
      </c>
      <c r="M775" s="19" t="n">
        <v>6071</v>
      </c>
      <c r="N775" s="18" t="n">
        <v>5469</v>
      </c>
      <c r="O775" s="19" t="n">
        <v>5180</v>
      </c>
      <c r="P775" s="18" t="n">
        <v>6798</v>
      </c>
      <c r="Q775" s="19" t="n">
        <v>12185</v>
      </c>
      <c r="R775" s="18" t="n">
        <v>11207</v>
      </c>
      <c r="S775" s="20" t="n">
        <v>12266</v>
      </c>
      <c r="T775" s="6" t="n">
        <v>12</v>
      </c>
      <c r="U775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5" s="21">
        <f>HYPERLINK("https://dart.fss.or.kr/dsaf001/main.do?rcpNo=20260814001583", "공시열람")</f>
        <v/>
      </c>
    </row>
    <row r="776">
      <c r="A776" s="5" t="inlineStr">
        <is>
          <t>케이씨씨글라스</t>
        </is>
      </c>
      <c r="B776" s="6" t="inlineStr">
        <is>
          <t>344820</t>
        </is>
      </c>
      <c r="C776" s="6" t="inlineStr">
        <is>
          <t>2026Q2</t>
        </is>
      </c>
      <c r="D776" s="6" t="inlineStr">
        <is>
          <t>20260814</t>
        </is>
      </c>
      <c r="E776" s="16" t="n">
        <v>175723</v>
      </c>
      <c r="F776" s="16" t="n">
        <v>63051</v>
      </c>
      <c r="G776" s="16" t="n">
        <v>112672</v>
      </c>
      <c r="H776" s="6" t="inlineStr">
        <is>
          <t>백만원</t>
        </is>
      </c>
      <c r="I776" s="17" t="n">
        <v>2.3</v>
      </c>
      <c r="J776" s="18" t="n">
        <v>127373</v>
      </c>
      <c r="K776" s="19" t="n">
        <v>96723</v>
      </c>
      <c r="L776" s="18" t="n">
        <v>79466</v>
      </c>
      <c r="M776" s="19" t="n">
        <v>93562</v>
      </c>
      <c r="N776" s="18" t="n">
        <v>49344</v>
      </c>
      <c r="O776" s="19" t="n">
        <v>75007</v>
      </c>
      <c r="P776" s="18" t="n">
        <v>87069</v>
      </c>
      <c r="Q776" s="19" t="n">
        <v>100686</v>
      </c>
      <c r="R776" s="18" t="n">
        <v>110139</v>
      </c>
      <c r="S776" s="20" t="n">
        <v>112672</v>
      </c>
      <c r="T776" s="6" t="n">
        <v>3</v>
      </c>
      <c r="U776" s="5" t="inlineStr">
        <is>
          <t>유리 / ~ 2026.06.30 / - | 인테리어 및 유통 / ~ 2026.06.30 / - | 파일사업 / ~ 2026.06.30 / -</t>
        </is>
      </c>
      <c r="V776" s="21">
        <f>HYPERLINK("https://dart.fss.or.kr/dsaf001/main.do?rcpNo=20260814002243", "공시열람")</f>
        <v/>
      </c>
    </row>
    <row r="777">
      <c r="A777" s="5" t="inlineStr">
        <is>
          <t>타이드</t>
        </is>
      </c>
      <c r="B777" s="6" t="inlineStr">
        <is>
          <t>346010</t>
        </is>
      </c>
      <c r="C777" s="6" t="inlineStr">
        <is>
          <t>2025Q4</t>
        </is>
      </c>
      <c r="D777" s="6" t="inlineStr">
        <is>
          <t>20260407</t>
        </is>
      </c>
      <c r="E777" s="16" t="n">
        <v>674925</v>
      </c>
      <c r="F777" s="16" t="inlineStr"/>
      <c r="G777" s="16" t="n">
        <v>674925</v>
      </c>
      <c r="H777" s="6" t="inlineStr">
        <is>
          <t>천원</t>
        </is>
      </c>
      <c r="I777" s="17" t="n">
        <v>-60.9</v>
      </c>
      <c r="J777" s="18" t="inlineStr"/>
      <c r="K777" s="19" t="inlineStr"/>
      <c r="L777" s="18" t="inlineStr"/>
      <c r="M777" s="19" t="n">
        <v>1728000</v>
      </c>
      <c r="N777" s="18" t="inlineStr"/>
      <c r="O777" s="19" t="inlineStr"/>
      <c r="P777" s="18" t="inlineStr"/>
      <c r="Q777" s="19" t="n">
        <v>674925</v>
      </c>
      <c r="R777" s="18" t="inlineStr"/>
      <c r="S777" s="20" t="inlineStr"/>
      <c r="T777" s="6" t="n">
        <v>1</v>
      </c>
      <c r="U777" s="5" t="inlineStr">
        <is>
          <t>PLC</t>
        </is>
      </c>
      <c r="V777" s="21">
        <f>HYPERLINK("https://dart.fss.or.kr/dsaf001/main.do?rcpNo=20260407000793", "공시열람")</f>
        <v/>
      </c>
    </row>
    <row r="778">
      <c r="A778" s="5" t="inlineStr">
        <is>
          <t>센코</t>
        </is>
      </c>
      <c r="B778" s="6" t="inlineStr">
        <is>
          <t>347000</t>
        </is>
      </c>
      <c r="C778" s="6" t="inlineStr">
        <is>
          <t>2026Q2</t>
        </is>
      </c>
      <c r="D778" s="6" t="inlineStr">
        <is>
          <t>20260814</t>
        </is>
      </c>
      <c r="E778" s="16" t="n">
        <v>6793472855</v>
      </c>
      <c r="F778" s="16" t="n">
        <v>4743282395</v>
      </c>
      <c r="G778" s="16" t="n">
        <v>2050190460</v>
      </c>
      <c r="H778" s="6" t="inlineStr">
        <is>
          <t>원</t>
        </is>
      </c>
      <c r="I778" s="17" t="n">
        <v>45.5</v>
      </c>
      <c r="J778" s="18" t="n">
        <v>2108055554</v>
      </c>
      <c r="K778" s="19" t="n">
        <v>2108055554</v>
      </c>
      <c r="L778" s="18" t="n">
        <v>4784929449</v>
      </c>
      <c r="M778" s="19" t="n">
        <v>3350630000</v>
      </c>
      <c r="N778" s="18" t="n">
        <v>10323012000</v>
      </c>
      <c r="O778" s="19" t="n">
        <v>10323012000</v>
      </c>
      <c r="P778" s="18" t="n">
        <v>10323012000</v>
      </c>
      <c r="Q778" s="19" t="n">
        <v>1409428095</v>
      </c>
      <c r="R778" s="18" t="n">
        <v>1409428095</v>
      </c>
      <c r="S778" s="20" t="n">
        <v>2050190460</v>
      </c>
      <c r="T778" s="6" t="n">
        <v>4</v>
      </c>
      <c r="U778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8" s="21">
        <f>HYPERLINK("https://dart.fss.or.kr/dsaf001/main.do?rcpNo=20260814001161", "공시열람")</f>
        <v/>
      </c>
    </row>
    <row r="779">
      <c r="A779" s="5" t="inlineStr">
        <is>
          <t>스피어</t>
        </is>
      </c>
      <c r="B779" s="6" t="inlineStr">
        <is>
          <t>347700</t>
        </is>
      </c>
      <c r="C779" s="6" t="inlineStr">
        <is>
          <t>2026Q2</t>
        </is>
      </c>
      <c r="D779" s="6" t="inlineStr">
        <is>
          <t>20260814</t>
        </is>
      </c>
      <c r="E779" s="16" t="n">
        <v>204787048</v>
      </c>
      <c r="F779" s="16" t="n">
        <v>89052955</v>
      </c>
      <c r="G779" s="16" t="n">
        <v>115734093</v>
      </c>
      <c r="H779" s="6" t="inlineStr">
        <is>
          <t>USD</t>
        </is>
      </c>
      <c r="I779" s="17" t="n">
        <v>20.8</v>
      </c>
      <c r="J779" s="18" t="inlineStr"/>
      <c r="K779" s="19" t="inlineStr"/>
      <c r="L779" s="18" t="inlineStr"/>
      <c r="M779" s="19" t="inlineStr"/>
      <c r="N779" s="18" t="inlineStr"/>
      <c r="O779" s="19" t="n">
        <v>30280260</v>
      </c>
      <c r="P779" s="18" t="n">
        <v>43545655</v>
      </c>
      <c r="Q779" s="19" t="n">
        <v>57635487</v>
      </c>
      <c r="R779" s="18" t="n">
        <v>95772506</v>
      </c>
      <c r="S779" s="20" t="n">
        <v>115734093</v>
      </c>
      <c r="T779" s="6" t="n">
        <v>31</v>
      </c>
      <c r="U779" s="5" t="inlineStr">
        <is>
          <t>특수합금 공급 / 2025-09-27 / 2027-02 | 특수합금 공급 / 2026-06-08 / 2026-12 | 특수합금 공급 / 2026-06-15 / 2026-07</t>
        </is>
      </c>
      <c r="V779" s="21">
        <f>HYPERLINK("https://dart.fss.or.kr/dsaf001/main.do?rcpNo=20260814003121", "공시열람")</f>
        <v/>
      </c>
    </row>
    <row r="780">
      <c r="A780" s="5" t="inlineStr">
        <is>
          <t>피엔케이피부임상연구센타</t>
        </is>
      </c>
      <c r="B780" s="6" t="inlineStr">
        <is>
          <t>347740</t>
        </is>
      </c>
      <c r="C780" s="6" t="inlineStr">
        <is>
          <t>2026Q2</t>
        </is>
      </c>
      <c r="D780" s="6" t="inlineStr">
        <is>
          <t>20260814</t>
        </is>
      </c>
      <c r="E780" s="16" t="n">
        <v>9261</v>
      </c>
      <c r="F780" s="16" t="n">
        <v>1017</v>
      </c>
      <c r="G780" s="16" t="n">
        <v>8244</v>
      </c>
      <c r="H780" s="6" t="inlineStr">
        <is>
          <t>백만원</t>
        </is>
      </c>
      <c r="I780" s="17" t="n">
        <v>36.9</v>
      </c>
      <c r="J780" s="18" t="n">
        <v>3049</v>
      </c>
      <c r="K780" s="19" t="n">
        <v>4757</v>
      </c>
      <c r="L780" s="18" t="n">
        <v>5786</v>
      </c>
      <c r="M780" s="19" t="n">
        <v>6148</v>
      </c>
      <c r="N780" s="18" t="n">
        <v>5009</v>
      </c>
      <c r="O780" s="19" t="n">
        <v>5216</v>
      </c>
      <c r="P780" s="18" t="n">
        <v>5389</v>
      </c>
      <c r="Q780" s="19" t="n">
        <v>6085</v>
      </c>
      <c r="R780" s="18" t="n">
        <v>6020</v>
      </c>
      <c r="S780" s="20" t="n">
        <v>8244</v>
      </c>
      <c r="T780" s="6" t="n">
        <v>1</v>
      </c>
      <c r="U780" s="5" t="inlineStr">
        <is>
          <t>화장품 인체적용시험외 / -</t>
        </is>
      </c>
      <c r="V780" s="21">
        <f>HYPERLINK("https://dart.fss.or.kr/dsaf001/main.do?rcpNo=20260814002845", "공시열람")</f>
        <v/>
      </c>
    </row>
    <row r="781">
      <c r="A781" s="5" t="inlineStr">
        <is>
          <t>알체라</t>
        </is>
      </c>
      <c r="B781" s="6" t="inlineStr">
        <is>
          <t>347860</t>
        </is>
      </c>
      <c r="C781" s="6" t="inlineStr">
        <is>
          <t>2026Q2</t>
        </is>
      </c>
      <c r="D781" s="6" t="inlineStr">
        <is>
          <t>20260814</t>
        </is>
      </c>
      <c r="E781" s="16" t="n">
        <v>16140</v>
      </c>
      <c r="F781" s="16" t="n">
        <v>3780</v>
      </c>
      <c r="G781" s="16" t="n">
        <v>12360</v>
      </c>
      <c r="H781" s="6" t="inlineStr">
        <is>
          <t>백만원</t>
        </is>
      </c>
      <c r="I781" s="17" t="n">
        <v>6.7</v>
      </c>
      <c r="J781" s="18" t="n">
        <v>9764</v>
      </c>
      <c r="K781" s="19" t="n">
        <v>13821</v>
      </c>
      <c r="L781" s="18" t="n">
        <v>14153</v>
      </c>
      <c r="M781" s="19" t="n">
        <v>9004</v>
      </c>
      <c r="N781" s="18" t="n">
        <v>9801</v>
      </c>
      <c r="O781" s="19" t="n">
        <v>12110</v>
      </c>
      <c r="P781" s="18" t="n">
        <v>12131</v>
      </c>
      <c r="Q781" s="19" t="n">
        <v>9630</v>
      </c>
      <c r="R781" s="18" t="n">
        <v>11583</v>
      </c>
      <c r="S781" s="20" t="n">
        <v>12360</v>
      </c>
      <c r="T781" s="6" t="n">
        <v>6</v>
      </c>
      <c r="U781" s="5" t="inlineStr">
        <is>
          <t>AI 학습 데이타구축 서비스 / ~ 2025년 | 안면인식 AI솔루션 등 / ~ 2025년 | AI 학습 데이타구축 서비스 / 2026년 1월 ~ 6</t>
        </is>
      </c>
      <c r="V781" s="21">
        <f>HYPERLINK("https://dart.fss.or.kr/dsaf001/main.do?rcpNo=20260814001661", "공시열람")</f>
        <v/>
      </c>
    </row>
    <row r="782">
      <c r="A782" s="5" t="inlineStr">
        <is>
          <t>엠엑스온</t>
        </is>
      </c>
      <c r="B782" s="6" t="inlineStr">
        <is>
          <t>347890</t>
        </is>
      </c>
      <c r="C782" s="6" t="inlineStr">
        <is>
          <t>2026Q2</t>
        </is>
      </c>
      <c r="D782" s="6" t="inlineStr">
        <is>
          <t>20260814</t>
        </is>
      </c>
      <c r="E782" s="16" t="n">
        <v>235918460</v>
      </c>
      <c r="F782" s="16" t="n">
        <v>46028966</v>
      </c>
      <c r="G782" s="16" t="n">
        <v>189889494</v>
      </c>
      <c r="H782" s="6" t="inlineStr">
        <is>
          <t>천원</t>
        </is>
      </c>
      <c r="I782" s="17" t="n">
        <v>3.9</v>
      </c>
      <c r="J782" s="18" t="inlineStr"/>
      <c r="K782" s="19" t="inlineStr"/>
      <c r="L782" s="18" t="inlineStr"/>
      <c r="M782" s="19" t="inlineStr"/>
      <c r="N782" s="18" t="inlineStr"/>
      <c r="O782" s="19" t="inlineStr"/>
      <c r="P782" s="18" t="inlineStr"/>
      <c r="Q782" s="19" t="n">
        <v>164329344</v>
      </c>
      <c r="R782" s="18" t="n">
        <v>182779407</v>
      </c>
      <c r="S782" s="20" t="n">
        <v>189889494</v>
      </c>
      <c r="T782" s="6" t="n">
        <v>2</v>
      </c>
      <c r="U782" s="5" t="inlineStr">
        <is>
          <t xml:space="preserve">해외 자동화 물류시스템 외 / ~ 2026.06.30  | 국내 자동화 물류시스템 외 / ~ 2026.06.30 </t>
        </is>
      </c>
      <c r="V782" s="21">
        <f>HYPERLINK("https://dart.fss.or.kr/dsaf001/main.do?rcpNo=20260814004040", "공시열람")</f>
        <v/>
      </c>
    </row>
    <row r="783">
      <c r="A783" s="5" t="inlineStr">
        <is>
          <t>넥스틴</t>
        </is>
      </c>
      <c r="B783" s="6" t="inlineStr">
        <is>
          <t>348210</t>
        </is>
      </c>
      <c r="C783" s="6" t="inlineStr">
        <is>
          <t>2026Q2</t>
        </is>
      </c>
      <c r="D783" s="6" t="inlineStr">
        <is>
          <t>20260814</t>
        </is>
      </c>
      <c r="E783" s="16" t="n">
        <v>21012</v>
      </c>
      <c r="F783" s="16" t="n">
        <v>19770</v>
      </c>
      <c r="G783" s="16" t="n">
        <v>8978</v>
      </c>
      <c r="H783" s="6" t="inlineStr">
        <is>
          <t>백만원</t>
        </is>
      </c>
      <c r="I783" s="17" t="n">
        <v>-65.09999999999999</v>
      </c>
      <c r="J783" s="18" t="n">
        <v>22474</v>
      </c>
      <c r="K783" s="19" t="n">
        <v>25435</v>
      </c>
      <c r="L783" s="18" t="n">
        <v>27272</v>
      </c>
      <c r="M783" s="19" t="n">
        <v>11670</v>
      </c>
      <c r="N783" s="18" t="inlineStr"/>
      <c r="O783" s="19" t="n">
        <v>11855</v>
      </c>
      <c r="P783" s="18" t="n">
        <v>15214</v>
      </c>
      <c r="Q783" s="19" t="n">
        <v>7736</v>
      </c>
      <c r="R783" s="18" t="n">
        <v>25748</v>
      </c>
      <c r="S783" s="20" t="n">
        <v>8978</v>
      </c>
      <c r="T783" s="6" t="n">
        <v>1</v>
      </c>
      <c r="U783" s="5" t="inlineStr">
        <is>
          <t>Wafer InspectionSystem</t>
        </is>
      </c>
      <c r="V783" s="21">
        <f>HYPERLINK("https://dart.fss.or.kr/dsaf001/main.do?rcpNo=20260814003931", "공시열람")</f>
        <v/>
      </c>
    </row>
    <row r="784">
      <c r="A784" s="5" t="inlineStr">
        <is>
          <t>위드텍</t>
        </is>
      </c>
      <c r="B784" s="6" t="inlineStr">
        <is>
          <t>348350</t>
        </is>
      </c>
      <c r="C784" s="6" t="inlineStr">
        <is>
          <t>2026Q2</t>
        </is>
      </c>
      <c r="D784" s="6" t="inlineStr">
        <is>
          <t>20260814</t>
        </is>
      </c>
      <c r="E784" s="16" t="n">
        <v>54187</v>
      </c>
      <c r="F784" s="16" t="n">
        <v>23559</v>
      </c>
      <c r="G784" s="16" t="n">
        <v>30628</v>
      </c>
      <c r="H784" s="6" t="inlineStr">
        <is>
          <t>백만원</t>
        </is>
      </c>
      <c r="I784" s="17" t="n">
        <v>27.4</v>
      </c>
      <c r="J784" s="18" t="n">
        <v>7881</v>
      </c>
      <c r="K784" s="19" t="n">
        <v>7784</v>
      </c>
      <c r="L784" s="18" t="n">
        <v>8558</v>
      </c>
      <c r="M784" s="19" t="n">
        <v>7953</v>
      </c>
      <c r="N784" s="18" t="n">
        <v>14858</v>
      </c>
      <c r="O784" s="19" t="n">
        <v>22390</v>
      </c>
      <c r="P784" s="18" t="n">
        <v>16598</v>
      </c>
      <c r="Q784" s="19" t="n">
        <v>19428</v>
      </c>
      <c r="R784" s="18" t="n">
        <v>24042</v>
      </c>
      <c r="S784" s="20" t="n">
        <v>30628</v>
      </c>
      <c r="T784" s="6" t="n">
        <v>3</v>
      </c>
      <c r="U784" s="5" t="inlineStr">
        <is>
          <t>대기 / - | 공정 / - | 환경(TMS) / -</t>
        </is>
      </c>
      <c r="V784" s="21">
        <f>HYPERLINK("https://dart.fss.or.kr/dsaf001/main.do?rcpNo=20260814001848", "공시열람")</f>
        <v/>
      </c>
    </row>
    <row r="785">
      <c r="A785" s="5" t="inlineStr">
        <is>
          <t>넥사다이내믹스</t>
        </is>
      </c>
      <c r="B785" s="6" t="inlineStr">
        <is>
          <t>351320</t>
        </is>
      </c>
      <c r="C785" s="6" t="inlineStr">
        <is>
          <t>2026Q2</t>
        </is>
      </c>
      <c r="D785" s="6" t="inlineStr">
        <is>
          <t>20260814</t>
        </is>
      </c>
      <c r="E785" s="16" t="n">
        <v>6431</v>
      </c>
      <c r="F785" s="16" t="n">
        <v>627</v>
      </c>
      <c r="G785" s="16" t="n">
        <v>5804</v>
      </c>
      <c r="H785" s="6" t="inlineStr">
        <is>
          <t>백만원</t>
        </is>
      </c>
      <c r="I785" s="17" t="n">
        <v>267.8</v>
      </c>
      <c r="J785" s="18" t="n">
        <v>7652</v>
      </c>
      <c r="K785" s="19" t="n">
        <v>5427</v>
      </c>
      <c r="L785" s="18" t="n">
        <v>13849</v>
      </c>
      <c r="M785" s="19" t="n">
        <v>11413</v>
      </c>
      <c r="N785" s="18" t="n">
        <v>2676</v>
      </c>
      <c r="O785" s="19" t="n">
        <v>1721</v>
      </c>
      <c r="P785" s="18" t="n">
        <v>1409</v>
      </c>
      <c r="Q785" s="19" t="n">
        <v>1588</v>
      </c>
      <c r="R785" s="18" t="n">
        <v>1578</v>
      </c>
      <c r="S785" s="20" t="n">
        <v>5804</v>
      </c>
      <c r="T785" s="6" t="n">
        <v>1</v>
      </c>
      <c r="U785" s="5" t="inlineStr">
        <is>
          <t>제조장비 / -</t>
        </is>
      </c>
      <c r="V785" s="21">
        <f>HYPERLINK("https://dart.fss.or.kr/dsaf001/main.do?rcpNo=20260814003563", "공시열람")</f>
        <v/>
      </c>
    </row>
    <row r="786">
      <c r="A786" s="5" t="inlineStr">
        <is>
          <t>오비고</t>
        </is>
      </c>
      <c r="B786" s="6" t="inlineStr">
        <is>
          <t>352910</t>
        </is>
      </c>
      <c r="C786" s="6" t="inlineStr">
        <is>
          <t>2026Q2</t>
        </is>
      </c>
      <c r="D786" s="6" t="inlineStr">
        <is>
          <t>20260814</t>
        </is>
      </c>
      <c r="E786" s="16" t="n">
        <v>11914285</v>
      </c>
      <c r="F786" s="16" t="n">
        <v>5344424</v>
      </c>
      <c r="G786" s="16" t="n">
        <v>6569860</v>
      </c>
      <c r="H786" s="6" t="inlineStr">
        <is>
          <t>천원</t>
        </is>
      </c>
      <c r="I786" s="17" t="n">
        <v>108636.5</v>
      </c>
      <c r="J786" s="18" t="n">
        <v>5902815</v>
      </c>
      <c r="K786" s="19" t="n">
        <v>4950245</v>
      </c>
      <c r="L786" s="18" t="n">
        <v>4506260</v>
      </c>
      <c r="M786" s="19" t="n">
        <v>5251100</v>
      </c>
      <c r="N786" s="18" t="n">
        <v>5650308</v>
      </c>
      <c r="O786" s="19" t="n">
        <v>5641</v>
      </c>
      <c r="P786" s="18" t="n">
        <v>5545</v>
      </c>
      <c r="Q786" s="19" t="n">
        <v>2646</v>
      </c>
      <c r="R786" s="18" t="n">
        <v>6042</v>
      </c>
      <c r="S786" s="20" t="n">
        <v>6569860</v>
      </c>
      <c r="T786" s="6" t="n">
        <v>3</v>
      </c>
      <c r="U786" s="5" t="inlineStr">
        <is>
          <t>AI 콘텐츠 | AI 카케어 | 피지컬 AI 솔루션</t>
        </is>
      </c>
      <c r="V786" s="21">
        <f>HYPERLINK("https://dart.fss.or.kr/dsaf001/main.do?rcpNo=20260814002505", "공시열람")</f>
        <v/>
      </c>
    </row>
    <row r="787">
      <c r="A787" s="5" t="inlineStr">
        <is>
          <t>인바이오</t>
        </is>
      </c>
      <c r="B787" s="6" t="inlineStr">
        <is>
          <t>352940</t>
        </is>
      </c>
      <c r="C787" s="6" t="inlineStr">
        <is>
          <t>2026Q2</t>
        </is>
      </c>
      <c r="D787" s="6" t="inlineStr">
        <is>
          <t>20260813</t>
        </is>
      </c>
      <c r="E787" s="16" t="n">
        <v>9310088</v>
      </c>
      <c r="F787" s="16" t="n">
        <v>5720301</v>
      </c>
      <c r="G787" s="16" t="n">
        <v>3589787</v>
      </c>
      <c r="H787" s="6" t="inlineStr">
        <is>
          <t>병/봉,천원</t>
        </is>
      </c>
      <c r="I787" s="17" t="n">
        <v>-41</v>
      </c>
      <c r="J787" s="18" t="n">
        <v>3938317</v>
      </c>
      <c r="K787" s="19" t="n">
        <v>3376638</v>
      </c>
      <c r="L787" s="18" t="n">
        <v>1408326</v>
      </c>
      <c r="M787" s="19" t="n">
        <v>2389562</v>
      </c>
      <c r="N787" s="18" t="n">
        <v>1843689</v>
      </c>
      <c r="O787" s="19" t="n">
        <v>867162</v>
      </c>
      <c r="P787" s="18" t="n">
        <v>273113</v>
      </c>
      <c r="Q787" s="19" t="n">
        <v>544106</v>
      </c>
      <c r="R787" s="18" t="n">
        <v>6080203</v>
      </c>
      <c r="S787" s="20" t="n">
        <v>3589787</v>
      </c>
      <c r="T787" s="6" t="n">
        <v>1</v>
      </c>
      <c r="U787" s="5" t="inlineStr">
        <is>
          <t>농약 / 2026.01.31 / 2026.01.31~2</t>
        </is>
      </c>
      <c r="V787" s="21">
        <f>HYPERLINK("https://dart.fss.or.kr/dsaf001/main.do?rcpNo=20260813000903", "공시열람")</f>
        <v/>
      </c>
    </row>
    <row r="788">
      <c r="A788" s="5" t="inlineStr">
        <is>
          <t>대덕전자</t>
        </is>
      </c>
      <c r="B788" s="6" t="inlineStr">
        <is>
          <t>353200</t>
        </is>
      </c>
      <c r="C788" s="6" t="inlineStr">
        <is>
          <t>2026Q2</t>
        </is>
      </c>
      <c r="D788" s="6" t="inlineStr">
        <is>
          <t>20260813</t>
        </is>
      </c>
      <c r="E788" s="16" t="n">
        <v>10777</v>
      </c>
      <c r="F788" s="16" t="n">
        <v>7449</v>
      </c>
      <c r="G788" s="16" t="n">
        <v>3328</v>
      </c>
      <c r="H788" s="6" t="inlineStr">
        <is>
          <t>천㎡,억원</t>
        </is>
      </c>
      <c r="I788" s="17" t="n">
        <v>40.2</v>
      </c>
      <c r="J788" s="18" t="n">
        <v>723</v>
      </c>
      <c r="K788" s="19" t="n">
        <v>682</v>
      </c>
      <c r="L788" s="18" t="n">
        <v>776</v>
      </c>
      <c r="M788" s="19" t="n">
        <v>357</v>
      </c>
      <c r="N788" s="18" t="n">
        <v>792</v>
      </c>
      <c r="O788" s="19" t="n">
        <v>1283</v>
      </c>
      <c r="P788" s="18" t="n">
        <v>3110</v>
      </c>
      <c r="Q788" s="19" t="n">
        <v>2168</v>
      </c>
      <c r="R788" s="18" t="n">
        <v>2374</v>
      </c>
      <c r="S788" s="20" t="n">
        <v>3328</v>
      </c>
      <c r="T788" s="6" t="n">
        <v>1</v>
      </c>
      <c r="U788" s="5" t="inlineStr">
        <is>
          <t>PCB / 2026.01.01~ 2026.06.30</t>
        </is>
      </c>
      <c r="V788" s="21">
        <f>HYPERLINK("https://dart.fss.or.kr/dsaf001/main.do?rcpNo=20260813001620", "공시열람")</f>
        <v/>
      </c>
    </row>
    <row r="789">
      <c r="A789" s="5" t="inlineStr">
        <is>
          <t>바스칸바이오제약</t>
        </is>
      </c>
      <c r="B789" s="6" t="inlineStr">
        <is>
          <t>354390</t>
        </is>
      </c>
      <c r="C789" s="6" t="inlineStr">
        <is>
          <t>2023Q4</t>
        </is>
      </c>
      <c r="D789" s="6" t="inlineStr">
        <is>
          <t>20240318</t>
        </is>
      </c>
      <c r="E789" s="16" t="inlineStr"/>
      <c r="F789" s="16" t="inlineStr"/>
      <c r="G789" s="16" t="n">
        <v>6623811</v>
      </c>
      <c r="H789" s="6" t="inlineStr"/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69</v>
      </c>
      <c r="U789" s="5" t="inlineStr">
        <is>
          <t>마더스제약 / 메모엠연질캡슐 | 씨엠지제약 / 엘카르닌정 | 알리코제약 / 다이제틴정</t>
        </is>
      </c>
      <c r="V789" s="21">
        <f>HYPERLINK("https://dart.fss.or.kr/dsaf001/main.do?rcpNo=20240318000263", "공시열람")</f>
        <v/>
      </c>
    </row>
    <row r="790">
      <c r="A790" s="5" t="inlineStr">
        <is>
          <t>코스텍시스</t>
        </is>
      </c>
      <c r="B790" s="6" t="inlineStr">
        <is>
          <t>355150</t>
        </is>
      </c>
      <c r="C790" s="6" t="inlineStr">
        <is>
          <t>2025Q4</t>
        </is>
      </c>
      <c r="D790" s="6" t="inlineStr">
        <is>
          <t>20260318</t>
        </is>
      </c>
      <c r="E790" s="16" t="n">
        <v>7396</v>
      </c>
      <c r="F790" s="16" t="n">
        <v>6169</v>
      </c>
      <c r="G790" s="16" t="n">
        <v>1227</v>
      </c>
      <c r="H790" s="6" t="inlineStr"/>
      <c r="I790" s="17" t="n">
        <v>-63.8</v>
      </c>
      <c r="J790" s="18" t="n">
        <v>8953</v>
      </c>
      <c r="K790" s="19" t="n">
        <v>10252</v>
      </c>
      <c r="L790" s="18" t="n">
        <v>11707</v>
      </c>
      <c r="M790" s="19" t="n">
        <v>6418</v>
      </c>
      <c r="N790" s="18" t="n">
        <v>2079</v>
      </c>
      <c r="O790" s="19" t="n">
        <v>755</v>
      </c>
      <c r="P790" s="18" t="n">
        <v>3385</v>
      </c>
      <c r="Q790" s="19" t="n">
        <v>1227</v>
      </c>
      <c r="R790" s="18" t="inlineStr"/>
      <c r="S790" s="20" t="inlineStr"/>
      <c r="T790" s="6" t="n">
        <v>4</v>
      </c>
      <c r="U790" s="5" t="inlineStr">
        <is>
          <t>OM780 / 2025.09.23 / 2026.03.1 | OM780 / 2025.07.07 / 2026.03.1 | OM780 / 2025.02.10 / 2026.03.1</t>
        </is>
      </c>
      <c r="V790" s="21">
        <f>HYPERLINK("https://dart.fss.or.kr/dsaf001/main.do?rcpNo=20260318000866", "공시열람")</f>
        <v/>
      </c>
    </row>
    <row r="791">
      <c r="A791" s="5" t="inlineStr">
        <is>
          <t>크라우드웍스</t>
        </is>
      </c>
      <c r="B791" s="6" t="inlineStr">
        <is>
          <t>355390</t>
        </is>
      </c>
      <c r="C791" s="6" t="inlineStr">
        <is>
          <t>2026Q2</t>
        </is>
      </c>
      <c r="D791" s="6" t="inlineStr">
        <is>
          <t>20260814</t>
        </is>
      </c>
      <c r="E791" s="16" t="n">
        <v>10636</v>
      </c>
      <c r="F791" s="16" t="n">
        <v>7344</v>
      </c>
      <c r="G791" s="16" t="n">
        <v>3292</v>
      </c>
      <c r="H791" s="6" t="inlineStr">
        <is>
          <t>개,백만원</t>
        </is>
      </c>
      <c r="I791" s="17" t="n">
        <v>2.5</v>
      </c>
      <c r="J791" s="18" t="n">
        <v>6226</v>
      </c>
      <c r="K791" s="19" t="n">
        <v>7914</v>
      </c>
      <c r="L791" s="18" t="n">
        <v>7577</v>
      </c>
      <c r="M791" s="19" t="n">
        <v>3221</v>
      </c>
      <c r="N791" s="18" t="n">
        <v>3445</v>
      </c>
      <c r="O791" s="19" t="n">
        <v>3943</v>
      </c>
      <c r="P791" s="18" t="n">
        <v>5911</v>
      </c>
      <c r="Q791" s="19" t="n">
        <v>3212</v>
      </c>
      <c r="R791" s="18" t="n">
        <v>3212</v>
      </c>
      <c r="S791" s="20" t="n">
        <v>3292</v>
      </c>
      <c r="T791" s="6" t="n">
        <v>7</v>
      </c>
      <c r="U791" s="5" t="inlineStr">
        <is>
          <t>Enterprise AI Solution / 주1) | LLM Data / 주1) | AI Data / 주1)</t>
        </is>
      </c>
      <c r="V791" s="21">
        <f>HYPERLINK("https://dart.fss.or.kr/dsaf001/main.do?rcpNo=20260814001178", "공시열람")</f>
        <v/>
      </c>
    </row>
    <row r="792">
      <c r="A792" s="5" t="inlineStr">
        <is>
          <t>티엘비</t>
        </is>
      </c>
      <c r="B792" s="6" t="inlineStr">
        <is>
          <t>356860</t>
        </is>
      </c>
      <c r="C792" s="6" t="inlineStr">
        <is>
          <t>2026Q2</t>
        </is>
      </c>
      <c r="D792" s="6" t="inlineStr">
        <is>
          <t>20260814</t>
        </is>
      </c>
      <c r="E792" s="16" t="n">
        <v>2959</v>
      </c>
      <c r="F792" s="16" t="n">
        <v>1641</v>
      </c>
      <c r="G792" s="16" t="n">
        <v>1318</v>
      </c>
      <c r="H792" s="6" t="inlineStr">
        <is>
          <t>억원</t>
        </is>
      </c>
      <c r="I792" s="17" t="n">
        <v>144.5</v>
      </c>
      <c r="J792" s="18" t="n">
        <v>140</v>
      </c>
      <c r="K792" s="19" t="n">
        <v>178</v>
      </c>
      <c r="L792" s="18" t="n">
        <v>158</v>
      </c>
      <c r="M792" s="19" t="n">
        <v>130</v>
      </c>
      <c r="N792" s="18" t="n">
        <v>362</v>
      </c>
      <c r="O792" s="19" t="n">
        <v>442</v>
      </c>
      <c r="P792" s="18" t="n">
        <v>445</v>
      </c>
      <c r="Q792" s="19" t="n">
        <v>526</v>
      </c>
      <c r="R792" s="18" t="n">
        <v>539</v>
      </c>
      <c r="S792" s="20" t="n">
        <v>1318</v>
      </c>
      <c r="T792" s="6" t="n">
        <v>1</v>
      </c>
      <c r="U792" s="5" t="inlineStr">
        <is>
          <t>인쇄회로기판 / 2026.01.01~2026.06.30</t>
        </is>
      </c>
      <c r="V792" s="21">
        <f>HYPERLINK("https://dart.fss.or.kr/dsaf001/main.do?rcpNo=20260814000485", "공시열람")</f>
        <v/>
      </c>
    </row>
    <row r="793">
      <c r="A793" s="5" t="inlineStr">
        <is>
          <t>싸이버원</t>
        </is>
      </c>
      <c r="B793" s="6" t="inlineStr">
        <is>
          <t>356890</t>
        </is>
      </c>
      <c r="C793" s="6" t="inlineStr">
        <is>
          <t>2025Q1</t>
        </is>
      </c>
      <c r="D793" s="6" t="inlineStr">
        <is>
          <t>20250514</t>
        </is>
      </c>
      <c r="E793" s="16" t="n">
        <v>13849</v>
      </c>
      <c r="F793" s="16" t="n">
        <v>4368</v>
      </c>
      <c r="G793" s="16" t="n">
        <v>9481</v>
      </c>
      <c r="H793" s="6" t="inlineStr">
        <is>
          <t>백만원</t>
        </is>
      </c>
      <c r="I793" s="17" t="n">
        <v>33.4</v>
      </c>
      <c r="J793" s="18" t="n">
        <v>8235</v>
      </c>
      <c r="K793" s="19" t="n">
        <v>10145</v>
      </c>
      <c r="L793" s="18" t="n">
        <v>8608</v>
      </c>
      <c r="M793" s="19" t="n">
        <v>7108</v>
      </c>
      <c r="N793" s="18" t="n">
        <v>9481</v>
      </c>
      <c r="O793" s="19" t="inlineStr"/>
      <c r="P793" s="18" t="inlineStr"/>
      <c r="Q793" s="19" t="inlineStr"/>
      <c r="R793" s="18" t="inlineStr"/>
      <c r="S793" s="20" t="inlineStr"/>
      <c r="T793" s="6" t="n">
        <v>3</v>
      </c>
      <c r="U793" s="5" t="inlineStr">
        <is>
          <t>보안컨설팅 용역 / 2025.03.07 / 2025.1 | 클라우드 운영 / 2024.04.01 / 2027.03 | 보안컨설팅 용역 / 2024.01.01 / 2026.1</t>
        </is>
      </c>
      <c r="V793" s="21">
        <f>HYPERLINK("https://dart.fss.or.kr/dsaf001/main.do?rcpNo=20250514001216", "공시열람")</f>
        <v/>
      </c>
    </row>
    <row r="794">
      <c r="A794" s="5" t="inlineStr">
        <is>
          <t>씨엔알리서치</t>
        </is>
      </c>
      <c r="B794" s="6" t="inlineStr">
        <is>
          <t>359090</t>
        </is>
      </c>
      <c r="C794" s="6" t="inlineStr">
        <is>
          <t>2026Q2</t>
        </is>
      </c>
      <c r="D794" s="6" t="inlineStr">
        <is>
          <t>20260814</t>
        </is>
      </c>
      <c r="E794" s="16" t="n">
        <v>370486</v>
      </c>
      <c r="F794" s="16" t="n">
        <v>210425</v>
      </c>
      <c r="G794" s="16" t="n">
        <v>160061</v>
      </c>
      <c r="H794" s="6" t="inlineStr">
        <is>
          <t>백만원</t>
        </is>
      </c>
      <c r="I794" s="17" t="n">
        <v>7.1</v>
      </c>
      <c r="J794" s="18" t="n">
        <v>145157</v>
      </c>
      <c r="K794" s="19" t="n">
        <v>152409</v>
      </c>
      <c r="L794" s="18" t="n">
        <v>151856</v>
      </c>
      <c r="M794" s="19" t="n">
        <v>154569</v>
      </c>
      <c r="N794" s="18" t="n">
        <v>160868</v>
      </c>
      <c r="O794" s="19" t="n">
        <v>153206</v>
      </c>
      <c r="P794" s="18" t="n">
        <v>148944</v>
      </c>
      <c r="Q794" s="19" t="n">
        <v>151038</v>
      </c>
      <c r="R794" s="18" t="n">
        <v>149422</v>
      </c>
      <c r="S794" s="20" t="n">
        <v>160061</v>
      </c>
      <c r="T794" s="6" t="n">
        <v>0</v>
      </c>
      <c r="U794" s="5" t="inlineStr"/>
      <c r="V794" s="21">
        <f>HYPERLINK("https://dart.fss.or.kr/dsaf001/main.do?rcpNo=20260814001641", "공시열람")</f>
        <v/>
      </c>
    </row>
    <row r="795">
      <c r="A795" s="5" t="inlineStr">
        <is>
          <t>탑머티리얼</t>
        </is>
      </c>
      <c r="B795" s="6" t="inlineStr">
        <is>
          <t>360070</t>
        </is>
      </c>
      <c r="C795" s="6" t="inlineStr">
        <is>
          <t>2026Q2</t>
        </is>
      </c>
      <c r="D795" s="6" t="inlineStr">
        <is>
          <t>20260814</t>
        </is>
      </c>
      <c r="E795" s="16" t="n">
        <v>240113958</v>
      </c>
      <c r="F795" s="16" t="n">
        <v>195334760</v>
      </c>
      <c r="G795" s="16" t="n">
        <v>55223846</v>
      </c>
      <c r="H795" s="6" t="inlineStr">
        <is>
          <t>천원</t>
        </is>
      </c>
      <c r="I795" s="17" t="n">
        <v>15.7</v>
      </c>
      <c r="J795" s="18" t="n">
        <v>75108043</v>
      </c>
      <c r="K795" s="19" t="n">
        <v>98673944</v>
      </c>
      <c r="L795" s="18" t="n">
        <v>59906801</v>
      </c>
      <c r="M795" s="19" t="n">
        <v>38902313</v>
      </c>
      <c r="N795" s="18" t="n">
        <v>39469802</v>
      </c>
      <c r="O795" s="19" t="n">
        <v>37185938</v>
      </c>
      <c r="P795" s="18" t="n">
        <v>30863438</v>
      </c>
      <c r="Q795" s="19" t="n">
        <v>37222316</v>
      </c>
      <c r="R795" s="18" t="n">
        <v>47741532</v>
      </c>
      <c r="S795" s="20" t="n">
        <v>55223846</v>
      </c>
      <c r="T795" s="6" t="n">
        <v>1</v>
      </c>
      <c r="U795" s="5" t="inlineStr">
        <is>
          <t>2차전지시스템엔지니어링 / -</t>
        </is>
      </c>
      <c r="V795" s="21">
        <f>HYPERLINK("https://dart.fss.or.kr/dsaf001/main.do?rcpNo=20260814003677", "공시열람")</f>
        <v/>
      </c>
    </row>
    <row r="796">
      <c r="A796" s="5" t="inlineStr">
        <is>
          <t>코셈</t>
        </is>
      </c>
      <c r="B796" s="6" t="inlineStr">
        <is>
          <t>360350</t>
        </is>
      </c>
      <c r="C796" s="6" t="inlineStr">
        <is>
          <t>2026Q2</t>
        </is>
      </c>
      <c r="D796" s="6" t="inlineStr">
        <is>
          <t>20260814</t>
        </is>
      </c>
      <c r="E796" s="16" t="inlineStr"/>
      <c r="F796" s="16" t="inlineStr"/>
      <c r="G796" s="16" t="n">
        <v>1776.2</v>
      </c>
      <c r="H796" s="6" t="inlineStr">
        <is>
          <t>백만원</t>
        </is>
      </c>
      <c r="I796" s="17" t="n">
        <v>54.6</v>
      </c>
      <c r="J796" s="18" t="n">
        <v>1463.1</v>
      </c>
      <c r="K796" s="19" t="n">
        <v>1467.5</v>
      </c>
      <c r="L796" s="18" t="n">
        <v>2643.3</v>
      </c>
      <c r="M796" s="19" t="n">
        <v>1278.5</v>
      </c>
      <c r="N796" s="18" t="n">
        <v>1261.4</v>
      </c>
      <c r="O796" s="19" t="n">
        <v>726.6</v>
      </c>
      <c r="P796" s="18" t="inlineStr"/>
      <c r="Q796" s="19" t="n">
        <v>972.9</v>
      </c>
      <c r="R796" s="18" t="n">
        <v>1148.9</v>
      </c>
      <c r="S796" s="20" t="n">
        <v>1776.2</v>
      </c>
      <c r="T796" s="6" t="n">
        <v>19</v>
      </c>
      <c r="U796" s="5" t="inlineStr">
        <is>
          <t>IJ사 / CX시리즈 / 2026-05-20 | SB사 / EM시리즈 / 2026-06-16 | TR대학교 / EM시리즈 / 2026-05-25</t>
        </is>
      </c>
      <c r="V796" s="21">
        <f>HYPERLINK("https://dart.fss.or.kr/dsaf001/main.do?rcpNo=20260814001928", "공시열람")</f>
        <v/>
      </c>
    </row>
    <row r="797">
      <c r="A797" s="5" t="inlineStr">
        <is>
          <t>제노코</t>
        </is>
      </c>
      <c r="B797" s="6" t="inlineStr">
        <is>
          <t>361390</t>
        </is>
      </c>
      <c r="C797" s="6" t="inlineStr">
        <is>
          <t>2026Q2</t>
        </is>
      </c>
      <c r="D797" s="6" t="inlineStr">
        <is>
          <t>20260814</t>
        </is>
      </c>
      <c r="E797" s="16" t="n">
        <v>183312</v>
      </c>
      <c r="F797" s="16" t="n">
        <v>118819</v>
      </c>
      <c r="G797" s="16" t="n">
        <v>64492</v>
      </c>
      <c r="H797" s="6" t="inlineStr">
        <is>
          <t>백만원</t>
        </is>
      </c>
      <c r="I797" s="17" t="n">
        <v>-5.8</v>
      </c>
      <c r="J797" s="18" t="n">
        <v>97312790</v>
      </c>
      <c r="K797" s="19" t="n">
        <v>98527556</v>
      </c>
      <c r="L797" s="18" t="n">
        <v>105139348</v>
      </c>
      <c r="M797" s="19" t="n">
        <v>93242557</v>
      </c>
      <c r="N797" s="18" t="n">
        <v>93673409</v>
      </c>
      <c r="O797" s="19" t="n">
        <v>89997</v>
      </c>
      <c r="P797" s="18" t="n">
        <v>82149293</v>
      </c>
      <c r="Q797" s="19" t="n">
        <v>63572</v>
      </c>
      <c r="R797" s="18" t="n">
        <v>68487</v>
      </c>
      <c r="S797" s="20" t="n">
        <v>64492</v>
      </c>
      <c r="T797" s="6" t="n">
        <v>4</v>
      </c>
      <c r="U797" s="5" t="inlineStr">
        <is>
          <t>위성통신 / 2016년 / ~2028년 | 핵심부품 등 / 2021년 / ~2030년 | 항공전자 등 / 2019년 / ~2031년</t>
        </is>
      </c>
      <c r="V797" s="21">
        <f>HYPERLINK("https://dart.fss.or.kr/dsaf001/main.do?rcpNo=20260814000659", "공시열람")</f>
        <v/>
      </c>
    </row>
    <row r="798">
      <c r="A798" s="5" t="inlineStr">
        <is>
          <t>티와이홀딩스</t>
        </is>
      </c>
      <c r="B798" s="6" t="inlineStr">
        <is>
          <t>363280</t>
        </is>
      </c>
      <c r="C798" s="6" t="inlineStr">
        <is>
          <t>2024Q3</t>
        </is>
      </c>
      <c r="D798" s="6" t="inlineStr">
        <is>
          <t>20241114</t>
        </is>
      </c>
      <c r="E798" s="16" t="inlineStr"/>
      <c r="F798" s="16" t="n">
        <v>24483448702</v>
      </c>
      <c r="G798" s="16" t="n">
        <v>16332763222</v>
      </c>
      <c r="H798" s="6" t="inlineStr">
        <is>
          <t>천원</t>
        </is>
      </c>
      <c r="I798" s="17" t="n">
        <v>-7.8</v>
      </c>
      <c r="J798" s="18" t="n">
        <v>18879296934</v>
      </c>
      <c r="K798" s="19" t="n">
        <v>17707786106</v>
      </c>
      <c r="L798" s="18" t="n">
        <v>16332763222</v>
      </c>
      <c r="M798" s="19" t="inlineStr"/>
      <c r="N798" s="18" t="inlineStr"/>
      <c r="O798" s="19" t="inlineStr"/>
      <c r="P798" s="18" t="inlineStr"/>
      <c r="Q798" s="19" t="inlineStr"/>
      <c r="R798" s="18" t="inlineStr"/>
      <c r="S798" s="20" t="inlineStr"/>
      <c r="T798" s="6" t="n">
        <v>135</v>
      </c>
      <c r="U798" s="5" t="inlineStr">
        <is>
          <t>합계 - 전체 | 건축사업본부 - 국내 | 토목환경사업본부-전체</t>
        </is>
      </c>
      <c r="V798" s="21">
        <f>HYPERLINK("https://dart.fss.or.kr/dsaf001/main.do?rcpNo=20241114002955", "공시열람")</f>
        <v/>
      </c>
    </row>
    <row r="799">
      <c r="A799" s="5" t="inlineStr">
        <is>
          <t>에이아이코리아</t>
        </is>
      </c>
      <c r="B799" s="6" t="inlineStr">
        <is>
          <t>364950</t>
        </is>
      </c>
      <c r="C799" s="6" t="inlineStr">
        <is>
          <t>2025Q4</t>
        </is>
      </c>
      <c r="D799" s="6" t="inlineStr">
        <is>
          <t>20260313</t>
        </is>
      </c>
      <c r="E799" s="16" t="inlineStr"/>
      <c r="F799" s="16" t="inlineStr"/>
      <c r="G799" s="16" t="n">
        <v>634446</v>
      </c>
      <c r="H799" s="6" t="inlineStr">
        <is>
          <t>천원</t>
        </is>
      </c>
      <c r="I799" s="17" t="n">
        <v>-95.09999999999999</v>
      </c>
      <c r="J799" s="18" t="inlineStr"/>
      <c r="K799" s="19" t="inlineStr"/>
      <c r="L799" s="18" t="inlineStr"/>
      <c r="M799" s="19" t="inlineStr"/>
      <c r="N799" s="18" t="inlineStr"/>
      <c r="O799" s="19" t="n">
        <v>16606163</v>
      </c>
      <c r="P799" s="18" t="n">
        <v>12900287</v>
      </c>
      <c r="Q799" s="19" t="n">
        <v>634446</v>
      </c>
      <c r="R799" s="18" t="inlineStr"/>
      <c r="S799" s="20" t="inlineStr"/>
      <c r="T799" s="6" t="n">
        <v>1</v>
      </c>
      <c r="U799" s="5" t="inlineStr">
        <is>
          <t>동일알루미늄 청주공장 신축공사(소방) / 2025-07</t>
        </is>
      </c>
      <c r="V799" s="21">
        <f>HYPERLINK("https://dart.fss.or.kr/dsaf001/main.do?rcpNo=20260313001213", "공시열람")</f>
        <v/>
      </c>
    </row>
    <row r="800">
      <c r="A800" s="5" t="inlineStr">
        <is>
          <t>에스와이스틸텍</t>
        </is>
      </c>
      <c r="B800" s="6" t="inlineStr">
        <is>
          <t>365330</t>
        </is>
      </c>
      <c r="C800" s="6" t="inlineStr">
        <is>
          <t>2026Q2</t>
        </is>
      </c>
      <c r="D800" s="6" t="inlineStr">
        <is>
          <t>20260814</t>
        </is>
      </c>
      <c r="E800" s="16" t="n">
        <v>84986415</v>
      </c>
      <c r="F800" s="16" t="inlineStr"/>
      <c r="G800" s="16" t="n">
        <v>58149665</v>
      </c>
      <c r="H800" s="6" t="inlineStr">
        <is>
          <t>천㎡,천원</t>
        </is>
      </c>
      <c r="I800" s="17" t="n">
        <v>43.9</v>
      </c>
      <c r="J800" s="18" t="n">
        <v>64512846</v>
      </c>
      <c r="K800" s="19" t="n">
        <v>56887936</v>
      </c>
      <c r="L800" s="18" t="n">
        <v>56091469</v>
      </c>
      <c r="M800" s="19" t="n">
        <v>32436031</v>
      </c>
      <c r="N800" s="18" t="n">
        <v>39422856</v>
      </c>
      <c r="O800" s="19" t="n">
        <v>40863398</v>
      </c>
      <c r="P800" s="18" t="n">
        <v>28886919</v>
      </c>
      <c r="Q800" s="19" t="n">
        <v>37433656</v>
      </c>
      <c r="R800" s="18" t="n">
        <v>40398240</v>
      </c>
      <c r="S800" s="20" t="n">
        <v>58149665</v>
      </c>
      <c r="T800" s="6" t="n">
        <v>22</v>
      </c>
      <c r="U800" s="5" t="inlineStr">
        <is>
          <t>기타 / - | 현대건설(주) / 더현대광주 신축공사 / 2026년7월 | 한화건설 / (1-2공구)서울역북부 1-2공구 / 20</t>
        </is>
      </c>
      <c r="V800" s="21">
        <f>HYPERLINK("https://dart.fss.or.kr/dsaf001/main.do?rcpNo=20260814003676", "공시열람")</f>
        <v/>
      </c>
    </row>
    <row r="801">
      <c r="A801" s="5" t="inlineStr">
        <is>
          <t>레몬헬스케어</t>
        </is>
      </c>
      <c r="B801" s="6" t="inlineStr">
        <is>
          <t>365660</t>
        </is>
      </c>
      <c r="C801" s="6" t="inlineStr">
        <is>
          <t>2026Q2</t>
        </is>
      </c>
      <c r="D801" s="6" t="inlineStr">
        <is>
          <t>20260814</t>
        </is>
      </c>
      <c r="E801" s="16" t="n">
        <v>16424453</v>
      </c>
      <c r="F801" s="16" t="n">
        <v>4959383</v>
      </c>
      <c r="G801" s="16" t="n">
        <v>11465069</v>
      </c>
      <c r="H801" s="6" t="inlineStr">
        <is>
          <t>천원</t>
        </is>
      </c>
      <c r="I801" s="17" t="inlineStr"/>
      <c r="J801" s="18" t="inlineStr"/>
      <c r="K801" s="19" t="inlineStr"/>
      <c r="L801" s="18" t="inlineStr"/>
      <c r="M801" s="19" t="inlineStr"/>
      <c r="N801" s="18" t="inlineStr"/>
      <c r="O801" s="19" t="inlineStr"/>
      <c r="P801" s="18" t="inlineStr"/>
      <c r="Q801" s="19" t="inlineStr"/>
      <c r="R801" s="18" t="inlineStr"/>
      <c r="S801" s="20" t="n">
        <v>11465069</v>
      </c>
      <c r="T801" s="6" t="n">
        <v>2</v>
      </c>
      <c r="U801" s="5" t="inlineStr">
        <is>
          <t>LDB-E | LDB-H</t>
        </is>
      </c>
      <c r="V801" s="21">
        <f>HYPERLINK("https://dart.fss.or.kr/dsaf001/main.do?rcpNo=20260814002913", "공시열람")</f>
        <v/>
      </c>
    </row>
    <row r="802">
      <c r="A802" s="5" t="inlineStr">
        <is>
          <t>플래티어</t>
        </is>
      </c>
      <c r="B802" s="6" t="inlineStr">
        <is>
          <t>367000</t>
        </is>
      </c>
      <c r="C802" s="6" t="inlineStr">
        <is>
          <t>2026Q2</t>
        </is>
      </c>
      <c r="D802" s="6" t="inlineStr">
        <is>
          <t>20260814</t>
        </is>
      </c>
      <c r="E802" s="16" t="inlineStr"/>
      <c r="F802" s="16" t="n">
        <v>18976</v>
      </c>
      <c r="G802" s="16" t="n">
        <v>10453</v>
      </c>
      <c r="H802" s="6" t="inlineStr">
        <is>
          <t>백만원</t>
        </is>
      </c>
      <c r="I802" s="17" t="n">
        <v>41</v>
      </c>
      <c r="J802" s="18" t="n">
        <v>5746</v>
      </c>
      <c r="K802" s="19" t="n">
        <v>5245</v>
      </c>
      <c r="L802" s="18" t="n">
        <v>5720</v>
      </c>
      <c r="M802" s="19" t="n">
        <v>2597</v>
      </c>
      <c r="N802" s="18" t="n">
        <v>19782</v>
      </c>
      <c r="O802" s="19" t="n">
        <v>13739</v>
      </c>
      <c r="P802" s="18" t="n">
        <v>8309</v>
      </c>
      <c r="Q802" s="19" t="n">
        <v>5657</v>
      </c>
      <c r="R802" s="18" t="n">
        <v>7412</v>
      </c>
      <c r="S802" s="20" t="n">
        <v>10453</v>
      </c>
      <c r="T802" s="6" t="n">
        <v>3</v>
      </c>
      <c r="U802" s="5" t="inlineStr">
        <is>
          <t>AI 커머스 | 디지털 전환 | AI CX</t>
        </is>
      </c>
      <c r="V802" s="21">
        <f>HYPERLINK("https://dart.fss.or.kr/dsaf001/main.do?rcpNo=20260814002629", "공시열람")</f>
        <v/>
      </c>
    </row>
    <row r="803">
      <c r="A803" s="5" t="inlineStr">
        <is>
          <t>파이버프로</t>
        </is>
      </c>
      <c r="B803" s="6" t="inlineStr">
        <is>
          <t>368770</t>
        </is>
      </c>
      <c r="C803" s="6" t="inlineStr">
        <is>
          <t>2026Q1</t>
        </is>
      </c>
      <c r="D803" s="6" t="inlineStr">
        <is>
          <t>20260511</t>
        </is>
      </c>
      <c r="E803" s="16" t="n">
        <v>55707</v>
      </c>
      <c r="F803" s="16" t="n">
        <v>22078</v>
      </c>
      <c r="G803" s="16" t="n">
        <v>33629</v>
      </c>
      <c r="H803" s="6" t="inlineStr">
        <is>
          <t>백만원,천$</t>
        </is>
      </c>
      <c r="I803" s="17" t="n">
        <v>-7.2</v>
      </c>
      <c r="J803" s="18" t="n">
        <v>27354</v>
      </c>
      <c r="K803" s="19" t="n">
        <v>44043</v>
      </c>
      <c r="L803" s="18" t="n">
        <v>43306</v>
      </c>
      <c r="M803" s="19" t="n">
        <v>43306</v>
      </c>
      <c r="N803" s="18" t="n">
        <v>36629</v>
      </c>
      <c r="O803" s="19" t="n">
        <v>42788</v>
      </c>
      <c r="P803" s="18" t="n">
        <v>38257</v>
      </c>
      <c r="Q803" s="19" t="n">
        <v>36249</v>
      </c>
      <c r="R803" s="18" t="n">
        <v>33629</v>
      </c>
      <c r="S803" s="20" t="inlineStr"/>
      <c r="T803" s="6" t="n">
        <v>1</v>
      </c>
      <c r="U803" s="5" t="inlineStr">
        <is>
          <t>관성측정기 외 / '23년~ '26년. / -</t>
        </is>
      </c>
      <c r="V803" s="21">
        <f>HYPERLINK("https://dart.fss.or.kr/dsaf001/main.do?rcpNo=20260511000209", "공시열람")</f>
        <v/>
      </c>
    </row>
    <row r="804">
      <c r="A804" s="5" t="inlineStr">
        <is>
          <t>퓨런티어</t>
        </is>
      </c>
      <c r="B804" s="6" t="inlineStr">
        <is>
          <t>370090</t>
        </is>
      </c>
      <c r="C804" s="6" t="inlineStr">
        <is>
          <t>2026Q2</t>
        </is>
      </c>
      <c r="D804" s="6" t="inlineStr">
        <is>
          <t>20260813</t>
        </is>
      </c>
      <c r="E804" s="16" t="n">
        <v>18396303080</v>
      </c>
      <c r="F804" s="16" t="n">
        <v>12009554809</v>
      </c>
      <c r="G804" s="16" t="n">
        <v>6386748271</v>
      </c>
      <c r="H804" s="6" t="inlineStr">
        <is>
          <t>원</t>
        </is>
      </c>
      <c r="I804" s="17" t="n">
        <v>81194258.90000001</v>
      </c>
      <c r="J804" s="18" t="n">
        <v>8966</v>
      </c>
      <c r="K804" s="19" t="n">
        <v>4614</v>
      </c>
      <c r="L804" s="18" t="n">
        <v>3665</v>
      </c>
      <c r="M804" s="19" t="n">
        <v>5995</v>
      </c>
      <c r="N804" s="18" t="n">
        <v>5990</v>
      </c>
      <c r="O804" s="19" t="n">
        <v>5992</v>
      </c>
      <c r="P804" s="18" t="n">
        <v>6155</v>
      </c>
      <c r="Q804" s="19" t="n">
        <v>7872</v>
      </c>
      <c r="R804" s="18" t="n">
        <v>7866</v>
      </c>
      <c r="S804" s="20" t="n">
        <v>6386748271</v>
      </c>
      <c r="T804" s="6" t="n">
        <v>3</v>
      </c>
      <c r="U804" s="5" t="inlineStr">
        <is>
          <t>기타 장비 / 2025~ / 2026~ | 전장용 장비 / 2025~ / 2026~ | PC,광원등 / 2025~ / 2026~</t>
        </is>
      </c>
      <c r="V804" s="21">
        <f>HYPERLINK("https://dart.fss.or.kr/dsaf001/main.do?rcpNo=20260813001157", "공시열람")</f>
        <v/>
      </c>
    </row>
    <row r="805">
      <c r="A805" s="5" t="inlineStr">
        <is>
          <t>윤성에프앤씨</t>
        </is>
      </c>
      <c r="B805" s="6" t="inlineStr">
        <is>
          <t>372170</t>
        </is>
      </c>
      <c r="C805" s="6" t="inlineStr">
        <is>
          <t>2026Q2</t>
        </is>
      </c>
      <c r="D805" s="6" t="inlineStr">
        <is>
          <t>20260814</t>
        </is>
      </c>
      <c r="E805" s="16" t="n">
        <v>274420</v>
      </c>
      <c r="F805" s="16" t="n">
        <v>81735</v>
      </c>
      <c r="G805" s="16" t="n">
        <v>192685</v>
      </c>
      <c r="H805" s="6" t="inlineStr">
        <is>
          <t>백만원</t>
        </is>
      </c>
      <c r="I805" s="17" t="n">
        <v>-8.1</v>
      </c>
      <c r="J805" s="18" t="n">
        <v>252626</v>
      </c>
      <c r="K805" s="19" t="n">
        <v>300161</v>
      </c>
      <c r="L805" s="18" t="n">
        <v>286681</v>
      </c>
      <c r="M805" s="19" t="n">
        <v>238188</v>
      </c>
      <c r="N805" s="18" t="n">
        <v>228592</v>
      </c>
      <c r="O805" s="19" t="n">
        <v>194682</v>
      </c>
      <c r="P805" s="18" t="n">
        <v>189016</v>
      </c>
      <c r="Q805" s="19" t="n">
        <v>218676</v>
      </c>
      <c r="R805" s="18" t="n">
        <v>209671</v>
      </c>
      <c r="S805" s="20" t="n">
        <v>192685</v>
      </c>
      <c r="T805" s="6" t="n">
        <v>1</v>
      </c>
      <c r="U805" s="5" t="inlineStr">
        <is>
          <t>믹싱장비 및 시스템 / -</t>
        </is>
      </c>
      <c r="V805" s="21">
        <f>HYPERLINK("https://dart.fss.or.kr/dsaf001/main.do?rcpNo=20260814000641", "공시열람")</f>
        <v/>
      </c>
    </row>
    <row r="806">
      <c r="A806" s="5" t="inlineStr">
        <is>
          <t>아이티아이즈</t>
        </is>
      </c>
      <c r="B806" s="6" t="inlineStr">
        <is>
          <t>372800</t>
        </is>
      </c>
      <c r="C806" s="6" t="inlineStr">
        <is>
          <t>2026Q2</t>
        </is>
      </c>
      <c r="D806" s="6" t="inlineStr">
        <is>
          <t>20260814</t>
        </is>
      </c>
      <c r="E806" s="16" t="n">
        <v>116472</v>
      </c>
      <c r="F806" s="16" t="n">
        <v>64638</v>
      </c>
      <c r="G806" s="16" t="n">
        <v>51834</v>
      </c>
      <c r="H806" s="6" t="inlineStr">
        <is>
          <t>백만원</t>
        </is>
      </c>
      <c r="I806" s="17" t="n">
        <v>67.59999999999999</v>
      </c>
      <c r="J806" s="18" t="n">
        <v>49616</v>
      </c>
      <c r="K806" s="19" t="n">
        <v>47487</v>
      </c>
      <c r="L806" s="18" t="n">
        <v>48765</v>
      </c>
      <c r="M806" s="19" t="n">
        <v>66734</v>
      </c>
      <c r="N806" s="18" t="n">
        <v>55729</v>
      </c>
      <c r="O806" s="19" t="n">
        <v>44280</v>
      </c>
      <c r="P806" s="18" t="n">
        <v>35435</v>
      </c>
      <c r="Q806" s="19" t="n">
        <v>34711</v>
      </c>
      <c r="R806" s="18" t="n">
        <v>30929</v>
      </c>
      <c r="S806" s="20" t="n">
        <v>51834</v>
      </c>
      <c r="T806" s="6" t="n">
        <v>21</v>
      </c>
      <c r="U806" s="5" t="inlineStr">
        <is>
          <t>2026~2029년도 전력시장운영시스템 유지관리 위탁용 | 신용보증재단 및 신보중앙회 정보시스템 통합유지보수 /  | 기타 / 2022.06.01 / 2029.12.04</t>
        </is>
      </c>
      <c r="V806" s="21">
        <f>HYPERLINK("https://dart.fss.or.kr/dsaf001/main.do?rcpNo=20260814003419", "공시열람")</f>
        <v/>
      </c>
    </row>
    <row r="807">
      <c r="A807" s="5" t="inlineStr">
        <is>
          <t>한컴라이프케어</t>
        </is>
      </c>
      <c r="B807" s="6" t="inlineStr">
        <is>
          <t>372910</t>
        </is>
      </c>
      <c r="C807" s="6" t="inlineStr">
        <is>
          <t>2025Q1</t>
        </is>
      </c>
      <c r="D807" s="6" t="inlineStr">
        <is>
          <t>20250512</t>
        </is>
      </c>
      <c r="E807" s="16" t="n">
        <v>93929</v>
      </c>
      <c r="F807" s="16" t="inlineStr"/>
      <c r="G807" s="16" t="n">
        <v>93929</v>
      </c>
      <c r="H807" s="6" t="inlineStr">
        <is>
          <t>개,백만원</t>
        </is>
      </c>
      <c r="I807" s="17" t="n">
        <v>7.2</v>
      </c>
      <c r="J807" s="18" t="n">
        <v>116585</v>
      </c>
      <c r="K807" s="19" t="n">
        <v>108259</v>
      </c>
      <c r="L807" s="18" t="n">
        <v>98588</v>
      </c>
      <c r="M807" s="19" t="n">
        <v>87636</v>
      </c>
      <c r="N807" s="18" t="n">
        <v>93929</v>
      </c>
      <c r="O807" s="19" t="inlineStr"/>
      <c r="P807" s="18" t="inlineStr"/>
      <c r="Q807" s="19" t="inlineStr"/>
      <c r="R807" s="18" t="inlineStr"/>
      <c r="S807" s="20" t="inlineStr"/>
      <c r="T807" s="6" t="n">
        <v>5</v>
      </c>
      <c r="U807" s="5" t="inlineStr">
        <is>
          <t>지상레이저 표적지시기 2차 사업 / 2023.06.23 | 23년 예비군 교전훈련장비체계 / 2023.07.12  | 기갑/기계화 중대급 교전훈련체계 연구개발 / 2024.</t>
        </is>
      </c>
      <c r="V807" s="21">
        <f>HYPERLINK("https://dart.fss.or.kr/dsaf001/main.do?rcpNo=20250512000052", "공시열람")</f>
        <v/>
      </c>
    </row>
    <row r="808">
      <c r="A808" s="5" t="inlineStr">
        <is>
          <t>엠아이큐브솔루션</t>
        </is>
      </c>
      <c r="B808" s="6" t="inlineStr">
        <is>
          <t>373170</t>
        </is>
      </c>
      <c r="C808" s="6" t="inlineStr">
        <is>
          <t>2026Q2</t>
        </is>
      </c>
      <c r="D808" s="6" t="inlineStr">
        <is>
          <t>20260814</t>
        </is>
      </c>
      <c r="E808" s="16" t="n">
        <v>36684348</v>
      </c>
      <c r="F808" s="16" t="n">
        <v>24959327</v>
      </c>
      <c r="G808" s="16" t="n">
        <v>11725021</v>
      </c>
      <c r="H808" s="6" t="inlineStr">
        <is>
          <t>천원</t>
        </is>
      </c>
      <c r="I808" s="17" t="n">
        <v>2.3</v>
      </c>
      <c r="J808" s="18" t="n">
        <v>13718864</v>
      </c>
      <c r="K808" s="19" t="n">
        <v>11491924</v>
      </c>
      <c r="L808" s="18" t="n">
        <v>10636548</v>
      </c>
      <c r="M808" s="19" t="n">
        <v>7716711</v>
      </c>
      <c r="N808" s="18" t="n">
        <v>11923582</v>
      </c>
      <c r="O808" s="19" t="n">
        <v>11834</v>
      </c>
      <c r="P808" s="18" t="n">
        <v>9573750</v>
      </c>
      <c r="Q808" s="19" t="n">
        <v>5866654</v>
      </c>
      <c r="R808" s="18" t="n">
        <v>11462098</v>
      </c>
      <c r="S808" s="20" t="n">
        <v>11725021</v>
      </c>
      <c r="T808" s="6" t="n">
        <v>1</v>
      </c>
      <c r="U808" s="5" t="inlineStr">
        <is>
          <t>IT서비스 및 SW매출 / -</t>
        </is>
      </c>
      <c r="V808" s="21">
        <f>HYPERLINK("https://dart.fss.or.kr/dsaf001/main.do?rcpNo=20260814003216", "공시열람")</f>
        <v/>
      </c>
    </row>
    <row r="809">
      <c r="A809" s="5" t="inlineStr">
        <is>
          <t>DL이앤씨</t>
        </is>
      </c>
      <c r="B809" s="6" t="inlineStr">
        <is>
          <t>375500</t>
        </is>
      </c>
      <c r="C809" s="6" t="inlineStr">
        <is>
          <t>2026Q2</t>
        </is>
      </c>
      <c r="D809" s="6" t="inlineStr">
        <is>
          <t>20260814</t>
        </is>
      </c>
      <c r="E809" s="16" t="n">
        <v>40867535</v>
      </c>
      <c r="F809" s="16" t="n">
        <v>15227906</v>
      </c>
      <c r="G809" s="16" t="n">
        <v>25639629</v>
      </c>
      <c r="H809" s="6" t="inlineStr">
        <is>
          <t>백만원</t>
        </is>
      </c>
      <c r="I809" s="17" t="n">
        <v>15.4</v>
      </c>
      <c r="J809" s="18" t="n">
        <v>21748252</v>
      </c>
      <c r="K809" s="19" t="n">
        <v>21553212</v>
      </c>
      <c r="L809" s="18" t="n">
        <v>21322311</v>
      </c>
      <c r="M809" s="19" t="n">
        <v>21872078</v>
      </c>
      <c r="N809" s="18" t="n">
        <v>21652989</v>
      </c>
      <c r="O809" s="19" t="n">
        <v>20621363</v>
      </c>
      <c r="P809" s="18" t="n">
        <v>20570366</v>
      </c>
      <c r="Q809" s="19" t="n">
        <v>22436982</v>
      </c>
      <c r="R809" s="18" t="n">
        <v>22225195</v>
      </c>
      <c r="S809" s="20" t="n">
        <v>25639629</v>
      </c>
      <c r="T809" s="6" t="n">
        <v>114</v>
      </c>
      <c r="U809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9" s="21">
        <f>HYPERLINK("https://dart.fss.or.kr/dsaf001/main.do?rcpNo=20260814003712", "공시열람")</f>
        <v/>
      </c>
    </row>
    <row r="810">
      <c r="A810" s="5" t="inlineStr">
        <is>
          <t>노을</t>
        </is>
      </c>
      <c r="B810" s="6" t="inlineStr">
        <is>
          <t>376930</t>
        </is>
      </c>
      <c r="C810" s="6" t="inlineStr">
        <is>
          <t>2026Q2</t>
        </is>
      </c>
      <c r="D810" s="6" t="inlineStr">
        <is>
          <t>20260813</t>
        </is>
      </c>
      <c r="E810" s="16" t="n">
        <v>26057</v>
      </c>
      <c r="F810" s="16" t="n">
        <v>4886</v>
      </c>
      <c r="G810" s="16" t="n">
        <v>21172</v>
      </c>
      <c r="H810" s="6" t="inlineStr">
        <is>
          <t>백만원</t>
        </is>
      </c>
      <c r="I810" s="17" t="n">
        <v>-2.9</v>
      </c>
      <c r="J810" s="18" t="n">
        <v>12160</v>
      </c>
      <c r="K810" s="19" t="n">
        <v>11903</v>
      </c>
      <c r="L810" s="18" t="n">
        <v>11731</v>
      </c>
      <c r="M810" s="19" t="n">
        <v>13878</v>
      </c>
      <c r="N810" s="18" t="n">
        <v>20818</v>
      </c>
      <c r="O810" s="19" t="n">
        <v>22382</v>
      </c>
      <c r="P810" s="18" t="n">
        <v>22516</v>
      </c>
      <c r="Q810" s="19" t="n">
        <v>21923</v>
      </c>
      <c r="R810" s="18" t="n">
        <v>21799</v>
      </c>
      <c r="S810" s="20" t="n">
        <v>21172</v>
      </c>
      <c r="T810" s="6" t="n">
        <v>11</v>
      </c>
      <c r="U810" s="5" t="inlineStr">
        <is>
          <t>miLab™ 디바이스 및 카트리지 / 2023-08-0 | miLab™ 디바이스 및 카트리지 / 2025-02-2 | miLab™ 디바이스 및 카트리지 / 2024-11-0</t>
        </is>
      </c>
      <c r="V810" s="21">
        <f>HYPERLINK("https://dart.fss.or.kr/dsaf001/main.do?rcpNo=20260812000889", "공시열람")</f>
        <v/>
      </c>
    </row>
    <row r="811">
      <c r="A811" s="5" t="inlineStr">
        <is>
          <t>비트맥스</t>
        </is>
      </c>
      <c r="B811" s="6" t="inlineStr">
        <is>
          <t>377030</t>
        </is>
      </c>
      <c r="C811" s="6" t="inlineStr">
        <is>
          <t>2025Q1</t>
        </is>
      </c>
      <c r="D811" s="6" t="inlineStr">
        <is>
          <t>20250515</t>
        </is>
      </c>
      <c r="E811" s="16" t="n">
        <v>496</v>
      </c>
      <c r="F811" s="16" t="inlineStr"/>
      <c r="G811" s="16" t="n">
        <v>496</v>
      </c>
      <c r="H811" s="6" t="inlineStr">
        <is>
          <t>백만원</t>
        </is>
      </c>
      <c r="I811" s="17" t="n">
        <v>-94.7</v>
      </c>
      <c r="J811" s="18" t="n">
        <v>10823</v>
      </c>
      <c r="K811" s="19" t="n">
        <v>11630</v>
      </c>
      <c r="L811" s="18" t="n">
        <v>9529</v>
      </c>
      <c r="M811" s="19" t="n">
        <v>9443</v>
      </c>
      <c r="N811" s="18" t="n">
        <v>496</v>
      </c>
      <c r="O811" s="19" t="inlineStr"/>
      <c r="P811" s="18" t="inlineStr"/>
      <c r="Q811" s="19" t="inlineStr"/>
      <c r="R811" s="18" t="inlineStr"/>
      <c r="S811" s="20" t="inlineStr"/>
      <c r="T811" s="6" t="n">
        <v>1</v>
      </c>
      <c r="U811" s="5" t="inlineStr">
        <is>
          <t>IT서비스 / ㈜아이엘포유 / 시스템구축 및 운영 유지</t>
        </is>
      </c>
      <c r="V811" s="21">
        <f>HYPERLINK("https://dart.fss.or.kr/dsaf001/main.do?rcpNo=20250515001562", "공시열람")</f>
        <v/>
      </c>
    </row>
    <row r="812">
      <c r="A812" s="5" t="inlineStr">
        <is>
          <t>이지트로닉스</t>
        </is>
      </c>
      <c r="B812" s="6" t="inlineStr">
        <is>
          <t>377330</t>
        </is>
      </c>
      <c r="C812" s="6" t="inlineStr">
        <is>
          <t>2026Q2</t>
        </is>
      </c>
      <c r="D812" s="6" t="inlineStr">
        <is>
          <t>20260814</t>
        </is>
      </c>
      <c r="E812" s="16" t="n">
        <v>9495</v>
      </c>
      <c r="F812" s="16" t="n">
        <v>4905</v>
      </c>
      <c r="G812" s="16" t="n">
        <v>4590</v>
      </c>
      <c r="H812" s="6" t="inlineStr">
        <is>
          <t>백만원</t>
        </is>
      </c>
      <c r="I812" s="17" t="n">
        <v>-38.7</v>
      </c>
      <c r="J812" s="18" t="n">
        <v>2886</v>
      </c>
      <c r="K812" s="19" t="n">
        <v>5024</v>
      </c>
      <c r="L812" s="18" t="n">
        <v>12497</v>
      </c>
      <c r="M812" s="19" t="n">
        <v>3039</v>
      </c>
      <c r="N812" s="18" t="n">
        <v>5157</v>
      </c>
      <c r="O812" s="19" t="n">
        <v>3361</v>
      </c>
      <c r="P812" s="18" t="n">
        <v>3325</v>
      </c>
      <c r="Q812" s="19" t="n">
        <v>4939</v>
      </c>
      <c r="R812" s="18" t="n">
        <v>7486</v>
      </c>
      <c r="S812" s="20" t="n">
        <v>4590</v>
      </c>
      <c r="T812" s="6" t="n">
        <v>1</v>
      </c>
      <c r="U812" s="5" t="inlineStr">
        <is>
          <t>전력변환장치(제품) 외 / 2026년</t>
        </is>
      </c>
      <c r="V812" s="21">
        <f>HYPERLINK("https://dart.fss.or.kr/dsaf001/main.do?rcpNo=20260814002509", "공시열람")</f>
        <v/>
      </c>
    </row>
    <row r="813">
      <c r="A813" s="5" t="inlineStr">
        <is>
          <t>마음AI</t>
        </is>
      </c>
      <c r="B813" s="6" t="inlineStr">
        <is>
          <t>377480</t>
        </is>
      </c>
      <c r="C813" s="6" t="inlineStr">
        <is>
          <t>2026Q2</t>
        </is>
      </c>
      <c r="D813" s="6" t="inlineStr">
        <is>
          <t>20260814</t>
        </is>
      </c>
      <c r="E813" s="16" t="n">
        <v>4015317</v>
      </c>
      <c r="F813" s="16" t="n">
        <v>1598358</v>
      </c>
      <c r="G813" s="16" t="n">
        <v>2416959</v>
      </c>
      <c r="H813" s="6" t="inlineStr">
        <is>
          <t>천원</t>
        </is>
      </c>
      <c r="I813" s="17" t="n">
        <v>2218.6</v>
      </c>
      <c r="J813" s="18" t="n">
        <v>1395846</v>
      </c>
      <c r="K813" s="19" t="n">
        <v>1943692</v>
      </c>
      <c r="L813" s="18" t="n">
        <v>1619015</v>
      </c>
      <c r="M813" s="19" t="n">
        <v>518080</v>
      </c>
      <c r="N813" s="18" t="n">
        <v>673648</v>
      </c>
      <c r="O813" s="19" t="n">
        <v>1229587</v>
      </c>
      <c r="P813" s="18" t="n">
        <v>774501</v>
      </c>
      <c r="Q813" s="19" t="n">
        <v>2646480</v>
      </c>
      <c r="R813" s="18" t="n">
        <v>104240</v>
      </c>
      <c r="S813" s="20" t="n">
        <v>2416959</v>
      </c>
      <c r="T813" s="6" t="n">
        <v>14</v>
      </c>
      <c r="U813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3" s="21">
        <f>HYPERLINK("https://dart.fss.or.kr/dsaf001/main.do?rcpNo=20260814002855", "공시열람")</f>
        <v/>
      </c>
    </row>
    <row r="814">
      <c r="A814" s="5" t="inlineStr">
        <is>
          <t>필에너지</t>
        </is>
      </c>
      <c r="B814" s="6" t="inlineStr">
        <is>
          <t>378340</t>
        </is>
      </c>
      <c r="C814" s="6" t="inlineStr">
        <is>
          <t>2026Q2</t>
        </is>
      </c>
      <c r="D814" s="6" t="inlineStr">
        <is>
          <t>20260814</t>
        </is>
      </c>
      <c r="E814" s="16" t="n">
        <v>99387</v>
      </c>
      <c r="F814" s="16" t="n">
        <v>4129</v>
      </c>
      <c r="G814" s="16" t="n">
        <v>95258</v>
      </c>
      <c r="H814" s="6" t="inlineStr">
        <is>
          <t>백만원</t>
        </is>
      </c>
      <c r="I814" s="17" t="n">
        <v>16.4</v>
      </c>
      <c r="J814" s="18" t="n">
        <v>291171</v>
      </c>
      <c r="K814" s="19" t="n">
        <v>199885</v>
      </c>
      <c r="L814" s="18" t="n">
        <v>148244</v>
      </c>
      <c r="M814" s="19" t="n">
        <v>79163</v>
      </c>
      <c r="N814" s="18" t="n">
        <v>82878</v>
      </c>
      <c r="O814" s="19" t="n">
        <v>62162</v>
      </c>
      <c r="P814" s="18" t="n">
        <v>64638</v>
      </c>
      <c r="Q814" s="19" t="n">
        <v>73666</v>
      </c>
      <c r="R814" s="18" t="n">
        <v>81832</v>
      </c>
      <c r="S814" s="20" t="n">
        <v>95258</v>
      </c>
      <c r="T814" s="6" t="n">
        <v>1</v>
      </c>
      <c r="U814" s="5" t="inlineStr">
        <is>
          <t>이차전지 공정장비 / -</t>
        </is>
      </c>
      <c r="V814" s="21">
        <f>HYPERLINK("https://dart.fss.or.kr/dsaf001/main.do?rcpNo=20260814002628", "공시열람")</f>
        <v/>
      </c>
    </row>
    <row r="815">
      <c r="A815" s="5" t="inlineStr">
        <is>
          <t>이성씨엔아이</t>
        </is>
      </c>
      <c r="B815" s="6" t="inlineStr">
        <is>
          <t>379390</t>
        </is>
      </c>
      <c r="C815" s="6" t="inlineStr">
        <is>
          <t>2025Q4</t>
        </is>
      </c>
      <c r="D815" s="6" t="inlineStr">
        <is>
          <t>20260323</t>
        </is>
      </c>
      <c r="E815" s="16" t="n">
        <v>40691</v>
      </c>
      <c r="F815" s="16" t="n">
        <v>23305</v>
      </c>
      <c r="G815" s="16" t="n">
        <v>17386</v>
      </c>
      <c r="H815" s="6" t="inlineStr">
        <is>
          <t>백만원,천USD</t>
        </is>
      </c>
      <c r="I815" s="17" t="n">
        <v>25.5</v>
      </c>
      <c r="J815" s="18" t="inlineStr"/>
      <c r="K815" s="19" t="inlineStr"/>
      <c r="L815" s="18" t="inlineStr"/>
      <c r="M815" s="19" t="inlineStr"/>
      <c r="N815" s="18" t="inlineStr"/>
      <c r="O815" s="19" t="inlineStr"/>
      <c r="P815" s="18" t="inlineStr"/>
      <c r="Q815" s="19" t="n">
        <v>17386</v>
      </c>
      <c r="R815" s="18" t="inlineStr"/>
      <c r="S815" s="20" t="inlineStr"/>
      <c r="T815" s="6" t="n">
        <v>5</v>
      </c>
      <c r="U815" s="5" t="inlineStr">
        <is>
          <t>교전훈련체계 / - | 운송 물류주선 사업 / - | 원자력 / -</t>
        </is>
      </c>
      <c r="V815" s="21">
        <f>HYPERLINK("https://dart.fss.or.kr/dsaf001/main.do?rcpNo=20260323000676", "공시열람")</f>
        <v/>
      </c>
    </row>
    <row r="816">
      <c r="A816" s="5" t="inlineStr">
        <is>
          <t>옵티코어</t>
        </is>
      </c>
      <c r="B816" s="6" t="inlineStr">
        <is>
          <t>380540</t>
        </is>
      </c>
      <c r="C816" s="6" t="inlineStr">
        <is>
          <t>2026Q2</t>
        </is>
      </c>
      <c r="D816" s="6" t="inlineStr">
        <is>
          <t>20260814</t>
        </is>
      </c>
      <c r="E816" s="16" t="n">
        <v>17859</v>
      </c>
      <c r="F816" s="16" t="n">
        <v>14317</v>
      </c>
      <c r="G816" s="16" t="n">
        <v>3543</v>
      </c>
      <c r="H816" s="6" t="inlineStr">
        <is>
          <t>EA,백만원</t>
        </is>
      </c>
      <c r="I816" s="17" t="n">
        <v>25.7</v>
      </c>
      <c r="J816" s="18" t="n">
        <v>2542</v>
      </c>
      <c r="K816" s="19" t="n">
        <v>3422</v>
      </c>
      <c r="L816" s="18" t="n">
        <v>6104</v>
      </c>
      <c r="M816" s="19" t="n">
        <v>1603</v>
      </c>
      <c r="N816" s="18" t="n">
        <v>837</v>
      </c>
      <c r="O816" s="19" t="n">
        <v>1859</v>
      </c>
      <c r="P816" s="18" t="n">
        <v>9151</v>
      </c>
      <c r="Q816" s="19" t="n">
        <v>10808</v>
      </c>
      <c r="R816" s="18" t="n">
        <v>2819</v>
      </c>
      <c r="S816" s="20" t="n">
        <v>3543</v>
      </c>
      <c r="T816" s="6" t="n">
        <v>2</v>
      </c>
      <c r="U816" s="5" t="inlineStr">
        <is>
          <t>광트랜시버 / - | 기타</t>
        </is>
      </c>
      <c r="V816" s="21">
        <f>HYPERLINK("https://dart.fss.or.kr/dsaf001/main.do?rcpNo=20260814003643", "공시열람")</f>
        <v/>
      </c>
    </row>
    <row r="817">
      <c r="A817" s="5" t="inlineStr">
        <is>
          <t>뉴로핏</t>
        </is>
      </c>
      <c r="B817" s="6" t="inlineStr">
        <is>
          <t>380550</t>
        </is>
      </c>
      <c r="C817" s="6" t="inlineStr">
        <is>
          <t>2026Q2</t>
        </is>
      </c>
      <c r="D817" s="6" t="inlineStr">
        <is>
          <t>20260814</t>
        </is>
      </c>
      <c r="E817" s="16" t="n">
        <v>2310528</v>
      </c>
      <c r="F817" s="16" t="inlineStr"/>
      <c r="G817" s="16" t="n">
        <v>1141644</v>
      </c>
      <c r="H817" s="6" t="inlineStr">
        <is>
          <t>천원</t>
        </is>
      </c>
      <c r="I817" s="17" t="n">
        <v>2.4</v>
      </c>
      <c r="J817" s="18" t="inlineStr"/>
      <c r="K817" s="19" t="inlineStr"/>
      <c r="L817" s="18" t="inlineStr"/>
      <c r="M817" s="19" t="inlineStr"/>
      <c r="N817" s="18" t="inlineStr"/>
      <c r="O817" s="19" t="n">
        <v>1386125</v>
      </c>
      <c r="P817" s="18" t="n">
        <v>1146114</v>
      </c>
      <c r="Q817" s="19" t="n">
        <v>1161535</v>
      </c>
      <c r="R817" s="18" t="n">
        <v>1114642</v>
      </c>
      <c r="S817" s="20" t="n">
        <v>1141644</v>
      </c>
      <c r="T817" s="6" t="n">
        <v>38</v>
      </c>
      <c r="U817" s="5" t="inlineStr">
        <is>
          <t>Imaging CRO | Imaging CRO | Neurophet AQUA</t>
        </is>
      </c>
      <c r="V817" s="21">
        <f>HYPERLINK("https://dart.fss.or.kr/dsaf001/main.do?rcpNo=20260814002605", "공시열람")</f>
        <v/>
      </c>
    </row>
    <row r="818">
      <c r="A818" s="5" t="inlineStr">
        <is>
          <t>지앤비에스 에코</t>
        </is>
      </c>
      <c r="B818" s="6" t="inlineStr">
        <is>
          <t>382800</t>
        </is>
      </c>
      <c r="C818" s="6" t="inlineStr">
        <is>
          <t>2025Q1</t>
        </is>
      </c>
      <c r="D818" s="6" t="inlineStr">
        <is>
          <t>20250530</t>
        </is>
      </c>
      <c r="E818" s="16" t="inlineStr"/>
      <c r="F818" s="16" t="inlineStr"/>
      <c r="G818" s="16" t="n">
        <v>9169</v>
      </c>
      <c r="H818" s="6" t="inlineStr">
        <is>
          <t>백만원</t>
        </is>
      </c>
      <c r="I818" s="17" t="n">
        <v>-27.5</v>
      </c>
      <c r="J818" s="18" t="n">
        <v>6300</v>
      </c>
      <c r="K818" s="19" t="n">
        <v>2761</v>
      </c>
      <c r="L818" s="18" t="n">
        <v>2373</v>
      </c>
      <c r="M818" s="19" t="n">
        <v>12648</v>
      </c>
      <c r="N818" s="18" t="n">
        <v>9169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SCRUBBER 외 / -</t>
        </is>
      </c>
      <c r="V818" s="21">
        <f>HYPERLINK("https://dart.fss.or.kr/dsaf001/main.do?rcpNo=20250530001989", "공시열람")</f>
        <v/>
      </c>
    </row>
    <row r="819">
      <c r="A819" s="5" t="inlineStr">
        <is>
          <t>원준</t>
        </is>
      </c>
      <c r="B819" s="6" t="inlineStr">
        <is>
          <t>382840</t>
        </is>
      </c>
      <c r="C819" s="6" t="inlineStr">
        <is>
          <t>2026Q2</t>
        </is>
      </c>
      <c r="D819" s="6" t="inlineStr">
        <is>
          <t>20260814</t>
        </is>
      </c>
      <c r="E819" s="16" t="n">
        <v>121812</v>
      </c>
      <c r="F819" s="16" t="n">
        <v>71639</v>
      </c>
      <c r="G819" s="16" t="n">
        <v>50173</v>
      </c>
      <c r="H819" s="6" t="inlineStr">
        <is>
          <t>백만원</t>
        </is>
      </c>
      <c r="I819" s="17" t="n">
        <v>3.3</v>
      </c>
      <c r="J819" s="18" t="n">
        <v>246010</v>
      </c>
      <c r="K819" s="19" t="n">
        <v>198246</v>
      </c>
      <c r="L819" s="18" t="n">
        <v>178613</v>
      </c>
      <c r="M819" s="19" t="n">
        <v>147154</v>
      </c>
      <c r="N819" s="18" t="n">
        <v>53005</v>
      </c>
      <c r="O819" s="19" t="n">
        <v>48866</v>
      </c>
      <c r="P819" s="18" t="n">
        <v>47606</v>
      </c>
      <c r="Q819" s="19" t="n">
        <v>48218</v>
      </c>
      <c r="R819" s="18" t="n">
        <v>48589</v>
      </c>
      <c r="S819" s="20" t="n">
        <v>50173</v>
      </c>
      <c r="T819" s="6" t="n">
        <v>1</v>
      </c>
      <c r="U819" s="5" t="inlineStr">
        <is>
          <t>열처리 장비 및 공정설비 / -</t>
        </is>
      </c>
      <c r="V819" s="21">
        <f>HYPERLINK("https://dart.fss.or.kr/dsaf001/main.do?rcpNo=20260814003223", "공시열람")</f>
        <v/>
      </c>
    </row>
    <row r="820">
      <c r="A820" s="5" t="inlineStr">
        <is>
          <t>범한퓨얼셀</t>
        </is>
      </c>
      <c r="B820" s="6" t="inlineStr">
        <is>
          <t>382900</t>
        </is>
      </c>
      <c r="C820" s="6" t="inlineStr">
        <is>
          <t>2026Q2</t>
        </is>
      </c>
      <c r="D820" s="6" t="inlineStr">
        <is>
          <t>20260814</t>
        </is>
      </c>
      <c r="E820" s="16" t="n">
        <v>87645</v>
      </c>
      <c r="F820" s="16" t="n">
        <v>26574</v>
      </c>
      <c r="G820" s="16" t="n">
        <v>61071</v>
      </c>
      <c r="H820" s="6" t="inlineStr">
        <is>
          <t>백만원</t>
        </is>
      </c>
      <c r="I820" s="17" t="n">
        <v>-19.5</v>
      </c>
      <c r="J820" s="18" t="n">
        <v>3382</v>
      </c>
      <c r="K820" s="19" t="n">
        <v>2971</v>
      </c>
      <c r="L820" s="18" t="n">
        <v>2560</v>
      </c>
      <c r="M820" s="19" t="n">
        <v>12934</v>
      </c>
      <c r="N820" s="18" t="n">
        <v>12667</v>
      </c>
      <c r="O820" s="19" t="n">
        <v>13550</v>
      </c>
      <c r="P820" s="18" t="n">
        <v>76263</v>
      </c>
      <c r="Q820" s="19" t="n">
        <v>67853</v>
      </c>
      <c r="R820" s="18" t="n">
        <v>75879</v>
      </c>
      <c r="S820" s="20" t="n">
        <v>61071</v>
      </c>
      <c r="T820" s="6" t="n">
        <v>1</v>
      </c>
      <c r="U820" s="5" t="inlineStr">
        <is>
          <t xml:space="preserve">수소충전소 / '21.07.23~'26.04.29 / </t>
        </is>
      </c>
      <c r="V820" s="21">
        <f>HYPERLINK("https://dart.fss.or.kr/dsaf001/main.do?rcpNo=20260814003724", "공시열람")</f>
        <v/>
      </c>
    </row>
    <row r="821">
      <c r="A821" s="5" t="inlineStr">
        <is>
          <t>에코프로에이치엔</t>
        </is>
      </c>
      <c r="B821" s="6" t="inlineStr">
        <is>
          <t>383310</t>
        </is>
      </c>
      <c r="C821" s="6" t="inlineStr">
        <is>
          <t>2026Q2</t>
        </is>
      </c>
      <c r="D821" s="6" t="inlineStr">
        <is>
          <t>20260814</t>
        </is>
      </c>
      <c r="E821" s="16" t="n">
        <v>162441</v>
      </c>
      <c r="F821" s="16" t="n">
        <v>79411</v>
      </c>
      <c r="G821" s="16" t="n">
        <v>83030</v>
      </c>
      <c r="H821" s="6" t="inlineStr">
        <is>
          <t>백만원</t>
        </is>
      </c>
      <c r="I821" s="17" t="n">
        <v>-7.5</v>
      </c>
      <c r="J821" s="18" t="n">
        <v>129684</v>
      </c>
      <c r="K821" s="19" t="n">
        <v>105484</v>
      </c>
      <c r="L821" s="18" t="n">
        <v>89347</v>
      </c>
      <c r="M821" s="19" t="n">
        <v>77099</v>
      </c>
      <c r="N821" s="18" t="n">
        <v>72058</v>
      </c>
      <c r="O821" s="19" t="n">
        <v>78334</v>
      </c>
      <c r="P821" s="18" t="n">
        <v>82744</v>
      </c>
      <c r="Q821" s="19" t="n">
        <v>64269</v>
      </c>
      <c r="R821" s="18" t="n">
        <v>89753</v>
      </c>
      <c r="S821" s="20" t="n">
        <v>83030</v>
      </c>
      <c r="T821" s="6" t="n">
        <v>5</v>
      </c>
      <c r="U821" s="5" t="inlineStr">
        <is>
          <t>온실가스 감축 솔루션 / ~2026.06.30 / - | 미세먼지 저감 솔루션 / ~2026.06.30 / - | 클린룸 케미컬 필터 / ~2026.06.30 / -</t>
        </is>
      </c>
      <c r="V821" s="21">
        <f>HYPERLINK("https://dart.fss.or.kr/dsaf001/main.do?rcpNo=20260814001912", "공시열람")</f>
        <v/>
      </c>
    </row>
    <row r="822">
      <c r="A822" s="5" t="inlineStr">
        <is>
          <t>디티앤씨알오</t>
        </is>
      </c>
      <c r="B822" s="6" t="inlineStr">
        <is>
          <t>383930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113413974</v>
      </c>
      <c r="F822" s="16" t="n">
        <v>57221612</v>
      </c>
      <c r="G822" s="16" t="n">
        <v>56192362</v>
      </c>
      <c r="H822" s="6" t="inlineStr">
        <is>
          <t>천원</t>
        </is>
      </c>
      <c r="I822" s="17" t="n">
        <v>8.6</v>
      </c>
      <c r="J822" s="18" t="n">
        <v>39874739</v>
      </c>
      <c r="K822" s="19" t="n">
        <v>42712496</v>
      </c>
      <c r="L822" s="18" t="n">
        <v>42739514</v>
      </c>
      <c r="M822" s="19" t="n">
        <v>47914244</v>
      </c>
      <c r="N822" s="18" t="n">
        <v>44770378</v>
      </c>
      <c r="O822" s="19" t="n">
        <v>48764533</v>
      </c>
      <c r="P822" s="18" t="n">
        <v>49558403</v>
      </c>
      <c r="Q822" s="19" t="n">
        <v>51756226</v>
      </c>
      <c r="R822" s="18" t="n">
        <v>51756226</v>
      </c>
      <c r="S822" s="20" t="n">
        <v>56192362</v>
      </c>
      <c r="T822" s="6" t="n">
        <v>4</v>
      </c>
      <c r="U822" s="5" t="inlineStr">
        <is>
          <t>임상사업부 / - | 안전성센터 / - | 효능평가센터 / -</t>
        </is>
      </c>
      <c r="V822" s="21">
        <f>HYPERLINK("https://dart.fss.or.kr/dsaf001/main.do?rcpNo=20260814003017", "공시열람")</f>
        <v/>
      </c>
    </row>
    <row r="823">
      <c r="A823" s="5" t="inlineStr">
        <is>
          <t>지투파워</t>
        </is>
      </c>
      <c r="B823" s="6" t="inlineStr">
        <is>
          <t>388050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114135</v>
      </c>
      <c r="F823" s="16" t="inlineStr"/>
      <c r="G823" s="16" t="n">
        <v>114135</v>
      </c>
      <c r="H823" s="6" t="inlineStr">
        <is>
          <t>백만원</t>
        </is>
      </c>
      <c r="I823" s="17" t="n">
        <v>6.8</v>
      </c>
      <c r="J823" s="18" t="n">
        <v>55747</v>
      </c>
      <c r="K823" s="19" t="n">
        <v>71115</v>
      </c>
      <c r="L823" s="18" t="n">
        <v>80667</v>
      </c>
      <c r="M823" s="19" t="n">
        <v>76880</v>
      </c>
      <c r="N823" s="18" t="n">
        <v>120348</v>
      </c>
      <c r="O823" s="19" t="n">
        <v>129623</v>
      </c>
      <c r="P823" s="18" t="n">
        <v>128156</v>
      </c>
      <c r="Q823" s="19" t="n">
        <v>115314</v>
      </c>
      <c r="R823" s="18" t="n">
        <v>106896</v>
      </c>
      <c r="S823" s="20" t="n">
        <v>114135</v>
      </c>
      <c r="T823" s="6" t="n">
        <v>5</v>
      </c>
      <c r="U823" s="5" t="inlineStr">
        <is>
          <t xml:space="preserve">수배전반 / 2022-04-06 ~2026-06-30  | 태양광 / 2023-06-23 ~ 2026-06-30  | ESS / 2024-08-28 ~ 2026-06-01 </t>
        </is>
      </c>
      <c r="V823" s="21">
        <f>HYPERLINK("https://dart.fss.or.kr/dsaf001/main.do?rcpNo=20260814000447", "공시열람")</f>
        <v/>
      </c>
    </row>
    <row r="824">
      <c r="A824" s="5" t="inlineStr">
        <is>
          <t>유일로보틱스</t>
        </is>
      </c>
      <c r="B824" s="6" t="inlineStr">
        <is>
          <t>388720</t>
        </is>
      </c>
      <c r="C824" s="6" t="inlineStr">
        <is>
          <t>2026Q2</t>
        </is>
      </c>
      <c r="D824" s="6" t="inlineStr">
        <is>
          <t>20260814</t>
        </is>
      </c>
      <c r="E824" s="16" t="n">
        <v>11120</v>
      </c>
      <c r="F824" s="16" t="inlineStr"/>
      <c r="G824" s="16" t="n">
        <v>11120</v>
      </c>
      <c r="H824" s="6" t="inlineStr">
        <is>
          <t>백만원</t>
        </is>
      </c>
      <c r="I824" s="17" t="n">
        <v>87.7</v>
      </c>
      <c r="J824" s="18" t="inlineStr"/>
      <c r="K824" s="19" t="inlineStr"/>
      <c r="L824" s="18" t="inlineStr"/>
      <c r="M824" s="19" t="inlineStr"/>
      <c r="N824" s="18" t="inlineStr"/>
      <c r="O824" s="19" t="inlineStr"/>
      <c r="P824" s="18" t="inlineStr"/>
      <c r="Q824" s="19" t="n">
        <v>5925</v>
      </c>
      <c r="R824" s="18" t="n">
        <v>5925</v>
      </c>
      <c r="S824" s="20" t="n">
        <v>11120</v>
      </c>
      <c r="T824" s="6" t="n">
        <v>2</v>
      </c>
      <c r="U824" s="5" t="inlineStr">
        <is>
          <t>진공기상건조로 제4호기, 제5호기 / 2026.02.1 | 신공장 자동화 구축 (물류자동화+MES시스템) / 20</t>
        </is>
      </c>
      <c r="V824" s="21">
        <f>HYPERLINK("https://dart.fss.or.kr/dsaf001/main.do?rcpNo=20260814002610", "공시열람")</f>
        <v/>
      </c>
    </row>
    <row r="825">
      <c r="A825" s="5" t="inlineStr">
        <is>
          <t>라이콤</t>
        </is>
      </c>
      <c r="B825" s="6" t="inlineStr">
        <is>
          <t>388790</t>
        </is>
      </c>
      <c r="C825" s="6" t="inlineStr">
        <is>
          <t>2026Q2</t>
        </is>
      </c>
      <c r="D825" s="6" t="inlineStr">
        <is>
          <t>20260814</t>
        </is>
      </c>
      <c r="E825" s="16" t="n">
        <v>26337</v>
      </c>
      <c r="F825" s="16" t="n">
        <v>7224</v>
      </c>
      <c r="G825" s="16" t="n">
        <v>19115</v>
      </c>
      <c r="H825" s="6" t="inlineStr">
        <is>
          <t>백만원</t>
        </is>
      </c>
      <c r="I825" s="17" t="n">
        <v>78.2</v>
      </c>
      <c r="J825" s="18" t="n">
        <v>5099</v>
      </c>
      <c r="K825" s="19" t="n">
        <v>4345</v>
      </c>
      <c r="L825" s="18" t="n">
        <v>5331</v>
      </c>
      <c r="M825" s="19" t="n">
        <v>4706</v>
      </c>
      <c r="N825" s="18" t="n">
        <v>3180</v>
      </c>
      <c r="O825" s="19" t="n">
        <v>3902</v>
      </c>
      <c r="P825" s="18" t="n">
        <v>10200</v>
      </c>
      <c r="Q825" s="19" t="n">
        <v>6583</v>
      </c>
      <c r="R825" s="18" t="n">
        <v>10726</v>
      </c>
      <c r="S825" s="20" t="n">
        <v>19115</v>
      </c>
      <c r="T825" s="6" t="n">
        <v>4</v>
      </c>
      <c r="U825" s="5" t="inlineStr">
        <is>
          <t>광증폭기 / - | 광섬유레이저 / - | 광중계기 / -</t>
        </is>
      </c>
      <c r="V825" s="21">
        <f>HYPERLINK("https://dart.fss.or.kr/dsaf001/main.do?rcpNo=20260814001795", "공시열람")</f>
        <v/>
      </c>
    </row>
    <row r="826">
      <c r="A826" s="5" t="inlineStr">
        <is>
          <t>자람테크놀로지</t>
        </is>
      </c>
      <c r="B826" s="6" t="inlineStr">
        <is>
          <t>389020</t>
        </is>
      </c>
      <c r="C826" s="6" t="inlineStr">
        <is>
          <t>2026Q2</t>
        </is>
      </c>
      <c r="D826" s="6" t="inlineStr">
        <is>
          <t>20260814</t>
        </is>
      </c>
      <c r="E826" s="16" t="inlineStr"/>
      <c r="F826" s="16" t="inlineStr"/>
      <c r="G826" s="16" t="n">
        <v>24178</v>
      </c>
      <c r="H826" s="6" t="inlineStr">
        <is>
          <t>백만원</t>
        </is>
      </c>
      <c r="I826" s="17" t="n">
        <v>-7.8</v>
      </c>
      <c r="J826" s="18" t="n">
        <v>12805</v>
      </c>
      <c r="K826" s="19" t="n">
        <v>10508</v>
      </c>
      <c r="L826" s="18" t="n">
        <v>6926</v>
      </c>
      <c r="M826" s="19" t="n">
        <v>5184</v>
      </c>
      <c r="N826" s="18" t="n">
        <v>4820</v>
      </c>
      <c r="O826" s="19" t="n">
        <v>5080</v>
      </c>
      <c r="P826" s="18" t="n">
        <v>4927</v>
      </c>
      <c r="Q826" s="19" t="n">
        <v>27886</v>
      </c>
      <c r="R826" s="18" t="n">
        <v>26228</v>
      </c>
      <c r="S826" s="20" t="n">
        <v>24178</v>
      </c>
      <c r="T826" s="6" t="n">
        <v>2</v>
      </c>
      <c r="U826" s="5" t="inlineStr">
        <is>
          <t>N社 등 / XGSPON 및 개발비 | B社 등 / 광트랜시버</t>
        </is>
      </c>
      <c r="V826" s="21">
        <f>HYPERLINK("https://dart.fss.or.kr/dsaf001/main.do?rcpNo=20260814001594", "공시열람")</f>
        <v/>
      </c>
    </row>
    <row r="827">
      <c r="A827" s="5" t="inlineStr">
        <is>
          <t>포바이포</t>
        </is>
      </c>
      <c r="B827" s="6" t="inlineStr">
        <is>
          <t>389140</t>
        </is>
      </c>
      <c r="C827" s="6" t="inlineStr">
        <is>
          <t>2026Q2</t>
        </is>
      </c>
      <c r="D827" s="6" t="inlineStr">
        <is>
          <t>20260814</t>
        </is>
      </c>
      <c r="E827" s="16" t="n">
        <v>14444</v>
      </c>
      <c r="F827" s="16" t="n">
        <v>8143</v>
      </c>
      <c r="G827" s="16" t="n">
        <v>6301</v>
      </c>
      <c r="H827" s="6" t="inlineStr">
        <is>
          <t>백만원</t>
        </is>
      </c>
      <c r="I827" s="17" t="n">
        <v>-37.2</v>
      </c>
      <c r="J827" s="18" t="inlineStr"/>
      <c r="K827" s="19" t="inlineStr"/>
      <c r="L827" s="18" t="inlineStr"/>
      <c r="M827" s="19" t="inlineStr"/>
      <c r="N827" s="18" t="inlineStr"/>
      <c r="O827" s="19" t="n">
        <v>11660</v>
      </c>
      <c r="P827" s="18" t="n">
        <v>12417</v>
      </c>
      <c r="Q827" s="19" t="n">
        <v>12343</v>
      </c>
      <c r="R827" s="18" t="n">
        <v>10029</v>
      </c>
      <c r="S827" s="20" t="n">
        <v>6301</v>
      </c>
      <c r="T827" s="6" t="n">
        <v>5</v>
      </c>
      <c r="U827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7" s="21">
        <f>HYPERLINK("https://dart.fss.or.kr/dsaf001/main.do?rcpNo=20260814002740", "공시열람")</f>
        <v/>
      </c>
    </row>
    <row r="828">
      <c r="A828" s="5" t="inlineStr">
        <is>
          <t>대명에너지</t>
        </is>
      </c>
      <c r="B828" s="6" t="inlineStr">
        <is>
          <t>389260</t>
        </is>
      </c>
      <c r="C828" s="6" t="inlineStr">
        <is>
          <t>2026Q2</t>
        </is>
      </c>
      <c r="D828" s="6" t="inlineStr">
        <is>
          <t>20260814</t>
        </is>
      </c>
      <c r="E828" s="16" t="n">
        <v>693698738</v>
      </c>
      <c r="F828" s="16" t="n">
        <v>238515675</v>
      </c>
      <c r="G828" s="16" t="n">
        <v>455183064</v>
      </c>
      <c r="H828" s="6" t="inlineStr">
        <is>
          <t>천원</t>
        </is>
      </c>
      <c r="I828" s="17" t="n">
        <v>292895.4</v>
      </c>
      <c r="J828" s="18" t="n">
        <v>266114002</v>
      </c>
      <c r="K828" s="19" t="n">
        <v>239306177</v>
      </c>
      <c r="L828" s="18" t="n">
        <v>223076312</v>
      </c>
      <c r="M828" s="19" t="n">
        <v>210571971</v>
      </c>
      <c r="N828" s="18" t="n">
        <v>201797290</v>
      </c>
      <c r="O828" s="19" t="n">
        <v>284434629</v>
      </c>
      <c r="P828" s="18" t="n">
        <v>251950525</v>
      </c>
      <c r="Q828" s="19" t="n">
        <v>238608268</v>
      </c>
      <c r="R828" s="18" t="n">
        <v>155355</v>
      </c>
      <c r="S828" s="20" t="n">
        <v>455183064</v>
      </c>
      <c r="T828" s="6" t="n">
        <v>45</v>
      </c>
      <c r="U828" s="5" t="inlineStr">
        <is>
          <t>개발 / 2026.02.05 / 2029.03.01 | 개발 / 2026.03.18 / 2027.03.31 | 운영 / 2021.07.23 / 2043.06.26</t>
        </is>
      </c>
      <c r="V828" s="21">
        <f>HYPERLINK("https://dart.fss.or.kr/dsaf001/main.do?rcpNo=20260814000931", "공시열람")</f>
        <v/>
      </c>
    </row>
    <row r="829">
      <c r="A829" s="5" t="inlineStr">
        <is>
          <t>인벤티지랩</t>
        </is>
      </c>
      <c r="B829" s="6" t="inlineStr">
        <is>
          <t>389470</t>
        </is>
      </c>
      <c r="C829" s="6" t="inlineStr">
        <is>
          <t>2026Q2</t>
        </is>
      </c>
      <c r="D829" s="6" t="inlineStr">
        <is>
          <t>20260826</t>
        </is>
      </c>
      <c r="E829" s="16" t="n">
        <v>6891</v>
      </c>
      <c r="F829" s="16" t="n">
        <v>6457</v>
      </c>
      <c r="G829" s="16" t="n">
        <v>434</v>
      </c>
      <c r="H829" s="6" t="inlineStr">
        <is>
          <t>백만원</t>
        </is>
      </c>
      <c r="I829" s="17" t="n">
        <v>-32.4</v>
      </c>
      <c r="J829" s="18" t="inlineStr"/>
      <c r="K829" s="19" t="inlineStr"/>
      <c r="L829" s="18" t="inlineStr"/>
      <c r="M829" s="19" t="inlineStr"/>
      <c r="N829" s="18" t="inlineStr"/>
      <c r="O829" s="19" t="n">
        <v>6891</v>
      </c>
      <c r="P829" s="18" t="inlineStr"/>
      <c r="Q829" s="19" t="n">
        <v>4627</v>
      </c>
      <c r="R829" s="18" t="n">
        <v>642</v>
      </c>
      <c r="S829" s="20" t="n">
        <v>434</v>
      </c>
      <c r="T829" s="6" t="n">
        <v>1</v>
      </c>
      <c r="U829" s="5" t="inlineStr">
        <is>
          <t>장기지속형 주사제 제조설비구축 / 2026.02.</t>
        </is>
      </c>
      <c r="V829" s="21">
        <f>HYPERLINK("https://dart.fss.or.kr/dsaf001/main.do?rcpNo=20260826000836", "공시열람")</f>
        <v/>
      </c>
    </row>
    <row r="830">
      <c r="A830" s="5" t="inlineStr">
        <is>
          <t>에스비비테크</t>
        </is>
      </c>
      <c r="B830" s="6" t="inlineStr">
        <is>
          <t>389500</t>
        </is>
      </c>
      <c r="C830" s="6" t="inlineStr">
        <is>
          <t>2026Q2</t>
        </is>
      </c>
      <c r="D830" s="6" t="inlineStr">
        <is>
          <t>20260814</t>
        </is>
      </c>
      <c r="E830" s="16" t="n">
        <v>15400</v>
      </c>
      <c r="F830" s="16" t="n">
        <v>4284</v>
      </c>
      <c r="G830" s="16" t="n">
        <v>11116</v>
      </c>
      <c r="H830" s="6" t="inlineStr">
        <is>
          <t>백만원</t>
        </is>
      </c>
      <c r="I830" s="17" t="n">
        <v>-1.5</v>
      </c>
      <c r="J830" s="18" t="n">
        <v>5263</v>
      </c>
      <c r="K830" s="19" t="n">
        <v>9186</v>
      </c>
      <c r="L830" s="18" t="n">
        <v>4474</v>
      </c>
      <c r="M830" s="19" t="n">
        <v>7772</v>
      </c>
      <c r="N830" s="18" t="n">
        <v>7633</v>
      </c>
      <c r="O830" s="19" t="n">
        <v>7571</v>
      </c>
      <c r="P830" s="18" t="n">
        <v>7530</v>
      </c>
      <c r="Q830" s="19" t="n">
        <v>10069</v>
      </c>
      <c r="R830" s="18" t="n">
        <v>11280</v>
      </c>
      <c r="S830" s="20" t="n">
        <v>11116</v>
      </c>
      <c r="T830" s="6" t="n">
        <v>1</v>
      </c>
      <c r="U830" s="5" t="inlineStr">
        <is>
          <t>감속기 / 2024.01 ~ 2026.06 / 2024</t>
        </is>
      </c>
      <c r="V830" s="21">
        <f>HYPERLINK("https://dart.fss.or.kr/dsaf001/main.do?rcpNo=20260814000984", "공시열람")</f>
        <v/>
      </c>
    </row>
    <row r="831">
      <c r="A831" s="5" t="inlineStr">
        <is>
          <t>토마토시스템</t>
        </is>
      </c>
      <c r="B831" s="6" t="inlineStr">
        <is>
          <t>393210</t>
        </is>
      </c>
      <c r="C831" s="6" t="inlineStr">
        <is>
          <t>2026Q2</t>
        </is>
      </c>
      <c r="D831" s="6" t="inlineStr">
        <is>
          <t>20260812</t>
        </is>
      </c>
      <c r="E831" s="16" t="n">
        <v>45381687</v>
      </c>
      <c r="F831" s="16" t="inlineStr"/>
      <c r="G831" s="16" t="n">
        <v>18414317</v>
      </c>
      <c r="H831" s="6" t="inlineStr">
        <is>
          <t>천원</t>
        </is>
      </c>
      <c r="I831" s="17" t="n">
        <v>-22.1</v>
      </c>
      <c r="J831" s="18" t="n">
        <v>11517922</v>
      </c>
      <c r="K831" s="19" t="n">
        <v>8361159</v>
      </c>
      <c r="L831" s="18" t="n">
        <v>6117139</v>
      </c>
      <c r="M831" s="19" t="n">
        <v>19477998</v>
      </c>
      <c r="N831" s="18" t="n">
        <v>19239044</v>
      </c>
      <c r="O831" s="19" t="n">
        <v>17557845</v>
      </c>
      <c r="P831" s="18" t="inlineStr"/>
      <c r="Q831" s="19" t="n">
        <v>27622934</v>
      </c>
      <c r="R831" s="18" t="n">
        <v>23638058</v>
      </c>
      <c r="S831" s="20" t="n">
        <v>18414317</v>
      </c>
      <c r="T831" s="6" t="n">
        <v>10</v>
      </c>
      <c r="U831" s="5" t="inlineStr">
        <is>
          <t>기타 / - | 원광대학교 / 2025-09-25 / 2027-09-1 | 서울대학교 / 2024-12-30 / 2028-02-2</t>
        </is>
      </c>
      <c r="V831" s="21">
        <f>HYPERLINK("https://dart.fss.or.kr/dsaf001/main.do?rcpNo=20260812000435", "공시열람")</f>
        <v/>
      </c>
    </row>
    <row r="832">
      <c r="A832" s="5" t="inlineStr">
        <is>
          <t>쓰리빌리언</t>
        </is>
      </c>
      <c r="B832" s="6" t="inlineStr">
        <is>
          <t>394800</t>
        </is>
      </c>
      <c r="C832" s="6" t="inlineStr">
        <is>
          <t>2026Q2</t>
        </is>
      </c>
      <c r="D832" s="6" t="inlineStr">
        <is>
          <t>20260813</t>
        </is>
      </c>
      <c r="E832" s="16" t="n">
        <v>2631818</v>
      </c>
      <c r="F832" s="16" t="n">
        <v>916601</v>
      </c>
      <c r="G832" s="16" t="n">
        <v>1715217</v>
      </c>
      <c r="H832" s="6" t="inlineStr">
        <is>
          <t>건,천원</t>
        </is>
      </c>
      <c r="I832" s="17" t="n">
        <v>376.4</v>
      </c>
      <c r="J832" s="18" t="inlineStr"/>
      <c r="K832" s="19" t="inlineStr"/>
      <c r="L832" s="18" t="inlineStr"/>
      <c r="M832" s="19" t="inlineStr"/>
      <c r="N832" s="18" t="n">
        <v>654545</v>
      </c>
      <c r="O832" s="19" t="n">
        <v>208636</v>
      </c>
      <c r="P832" s="18" t="n">
        <v>486819</v>
      </c>
      <c r="Q832" s="19" t="n">
        <v>306819</v>
      </c>
      <c r="R832" s="18" t="n">
        <v>360000</v>
      </c>
      <c r="S832" s="20" t="n">
        <v>1715217</v>
      </c>
      <c r="T832" s="6" t="n">
        <v>3</v>
      </c>
      <c r="U832" s="5" t="inlineStr">
        <is>
          <t>전장유전체 염기서열기반 신생아 선별검사 / 2026.0 | 전장유전체 염기서열 분석 / 2026.04.09 / 2 | 급성 중증 신생아 희귀질환 진단 / 2025.07.01</t>
        </is>
      </c>
      <c r="V832" s="21">
        <f>HYPERLINK("https://dart.fss.or.kr/dsaf001/main.do?rcpNo=20260813000733", "공시열람")</f>
        <v/>
      </c>
    </row>
    <row r="833">
      <c r="A833" s="5" t="inlineStr">
        <is>
          <t>세아메카닉스</t>
        </is>
      </c>
      <c r="B833" s="6" t="inlineStr">
        <is>
          <t>396300</t>
        </is>
      </c>
      <c r="C833" s="6" t="inlineStr">
        <is>
          <t>2026Q2</t>
        </is>
      </c>
      <c r="D833" s="6" t="inlineStr">
        <is>
          <t>20260813</t>
        </is>
      </c>
      <c r="E833" s="16" t="inlineStr"/>
      <c r="F833" s="16" t="inlineStr"/>
      <c r="G833" s="16" t="n">
        <v>577539</v>
      </c>
      <c r="H833" s="6" t="inlineStr">
        <is>
          <t>백만원</t>
        </is>
      </c>
      <c r="I833" s="17" t="n">
        <v>-5.6</v>
      </c>
      <c r="J833" s="18" t="n">
        <v>553975</v>
      </c>
      <c r="K833" s="19" t="n">
        <v>461535</v>
      </c>
      <c r="L833" s="18" t="n">
        <v>467737</v>
      </c>
      <c r="M833" s="19" t="n">
        <v>555070</v>
      </c>
      <c r="N833" s="18" t="n">
        <v>727579</v>
      </c>
      <c r="O833" s="19" t="n">
        <v>708425</v>
      </c>
      <c r="P833" s="18" t="n">
        <v>705298</v>
      </c>
      <c r="Q833" s="19" t="n">
        <v>611844</v>
      </c>
      <c r="R833" s="18" t="n">
        <v>611910</v>
      </c>
      <c r="S833" s="20" t="n">
        <v>577539</v>
      </c>
      <c r="T833" s="6" t="n">
        <v>1</v>
      </c>
      <c r="U833" s="5" t="inlineStr">
        <is>
          <t>자동차부품 / -</t>
        </is>
      </c>
      <c r="V833" s="21">
        <f>HYPERLINK("https://dart.fss.or.kr/dsaf001/main.do?rcpNo=20260813001552", "공시열람")</f>
        <v/>
      </c>
    </row>
    <row r="834">
      <c r="A834" s="5" t="inlineStr">
        <is>
          <t>에스지헬스케어</t>
        </is>
      </c>
      <c r="B834" s="6" t="inlineStr">
        <is>
          <t>398120</t>
        </is>
      </c>
      <c r="C834" s="6" t="inlineStr">
        <is>
          <t>2026Q2</t>
        </is>
      </c>
      <c r="D834" s="6" t="inlineStr">
        <is>
          <t>20260831</t>
        </is>
      </c>
      <c r="E834" s="16" t="n">
        <v>14269</v>
      </c>
      <c r="F834" s="16" t="n">
        <v>12842</v>
      </c>
      <c r="G834" s="16" t="n">
        <v>1427</v>
      </c>
      <c r="H834" s="6" t="inlineStr">
        <is>
          <t>백만</t>
        </is>
      </c>
      <c r="I834" s="17" t="n">
        <v>-27</v>
      </c>
      <c r="J834" s="18" t="inlineStr"/>
      <c r="K834" s="19" t="inlineStr"/>
      <c r="L834" s="18" t="inlineStr"/>
      <c r="M834" s="19" t="n">
        <v>1909.5</v>
      </c>
      <c r="N834" s="18" t="n">
        <v>1448</v>
      </c>
      <c r="O834" s="19" t="n">
        <v>13257</v>
      </c>
      <c r="P834" s="18" t="inlineStr"/>
      <c r="Q834" s="19" t="n">
        <v>3442</v>
      </c>
      <c r="R834" s="18" t="n">
        <v>1954</v>
      </c>
      <c r="S834" s="20" t="n">
        <v>1427</v>
      </c>
      <c r="T834" s="6" t="n">
        <v>2</v>
      </c>
      <c r="U834" s="5" t="inlineStr">
        <is>
          <t>Jumong GeneralC-arm 외2 / 2025. | 의료기자재 / 2025.08.29 / 2026.10.3</t>
        </is>
      </c>
      <c r="V834" s="21">
        <f>HYPERLINK("https://dart.fss.or.kr/dsaf001/main.do?rcpNo=20260831001202", "공시열람")</f>
        <v/>
      </c>
    </row>
    <row r="835">
      <c r="A835" s="5" t="inlineStr">
        <is>
          <t>가온칩스</t>
        </is>
      </c>
      <c r="B835" s="6" t="inlineStr">
        <is>
          <t>399720</t>
        </is>
      </c>
      <c r="C835" s="6" t="inlineStr">
        <is>
          <t>2026Q2</t>
        </is>
      </c>
      <c r="D835" s="6" t="inlineStr">
        <is>
          <t>20260814</t>
        </is>
      </c>
      <c r="E835" s="16" t="n">
        <v>151279</v>
      </c>
      <c r="F835" s="16" t="inlineStr"/>
      <c r="G835" s="16" t="n">
        <v>76412</v>
      </c>
      <c r="H835" s="6" t="inlineStr">
        <is>
          <t>백만원</t>
        </is>
      </c>
      <c r="I835" s="17" t="n">
        <v>52</v>
      </c>
      <c r="J835" s="18" t="inlineStr"/>
      <c r="K835" s="19" t="inlineStr"/>
      <c r="L835" s="18" t="inlineStr"/>
      <c r="M835" s="19" t="inlineStr"/>
      <c r="N835" s="18" t="inlineStr"/>
      <c r="O835" s="19" t="n">
        <v>25003</v>
      </c>
      <c r="P835" s="18" t="n">
        <v>34747</v>
      </c>
      <c r="Q835" s="19" t="n">
        <v>61051</v>
      </c>
      <c r="R835" s="18" t="n">
        <v>50267</v>
      </c>
      <c r="S835" s="20" t="n">
        <v>76412</v>
      </c>
      <c r="T835" s="6" t="n">
        <v>5</v>
      </c>
      <c r="U835" s="5" t="inlineStr">
        <is>
          <t>주문형 반도체 설계 개발 / 2026-06-10 / 2 | 주문형 반도체 설계 개발 / 2025-10-29 / 2 | 주문형 반도체 설계 개발 / 2025-12-26 / 2</t>
        </is>
      </c>
      <c r="V835" s="21">
        <f>HYPERLINK("https://dart.fss.or.kr/dsaf001/main.do?rcpNo=20260814003050", "공시열람")</f>
        <v/>
      </c>
    </row>
    <row r="836">
      <c r="A836" s="5" t="inlineStr">
        <is>
          <t>코난테크놀로지</t>
        </is>
      </c>
      <c r="B836" s="6" t="inlineStr">
        <is>
          <t>402030</t>
        </is>
      </c>
      <c r="C836" s="6" t="inlineStr">
        <is>
          <t>2026Q2</t>
        </is>
      </c>
      <c r="D836" s="6" t="inlineStr">
        <is>
          <t>20260814</t>
        </is>
      </c>
      <c r="E836" s="16" t="inlineStr"/>
      <c r="F836" s="16" t="inlineStr"/>
      <c r="G836" s="16" t="n">
        <v>22501</v>
      </c>
      <c r="H836" s="6" t="inlineStr">
        <is>
          <t>백만원</t>
        </is>
      </c>
      <c r="I836" s="17" t="n">
        <v>853</v>
      </c>
      <c r="J836" s="18" t="n">
        <v>5286</v>
      </c>
      <c r="K836" s="19" t="n">
        <v>5676</v>
      </c>
      <c r="L836" s="18" t="n">
        <v>15007</v>
      </c>
      <c r="M836" s="19" t="n">
        <v>8067</v>
      </c>
      <c r="N836" s="18" t="n">
        <v>4379</v>
      </c>
      <c r="O836" s="19" t="n">
        <v>7487</v>
      </c>
      <c r="P836" s="18" t="n">
        <v>18434</v>
      </c>
      <c r="Q836" s="19" t="n">
        <v>14077</v>
      </c>
      <c r="R836" s="18" t="n">
        <v>2361</v>
      </c>
      <c r="S836" s="20" t="n">
        <v>22501</v>
      </c>
      <c r="T836" s="6" t="n">
        <v>1</v>
      </c>
      <c r="U836" s="5" t="inlineStr"/>
      <c r="V836" s="21">
        <f>HYPERLINK("https://dart.fss.or.kr/dsaf001/main.do?rcpNo=20260814002288", "공시열람")</f>
        <v/>
      </c>
    </row>
    <row r="837">
      <c r="A837" s="5" t="inlineStr">
        <is>
          <t>라피치</t>
        </is>
      </c>
      <c r="B837" s="6" t="inlineStr">
        <is>
          <t>403360</t>
        </is>
      </c>
      <c r="C837" s="6" t="inlineStr">
        <is>
          <t>2026Q2</t>
        </is>
      </c>
      <c r="D837" s="6" t="inlineStr">
        <is>
          <t>20260814</t>
        </is>
      </c>
      <c r="E837" s="16" t="n">
        <v>32180</v>
      </c>
      <c r="F837" s="16" t="n">
        <v>19427</v>
      </c>
      <c r="G837" s="16" t="n">
        <v>12752</v>
      </c>
      <c r="H837" s="6" t="inlineStr">
        <is>
          <t>백만원</t>
        </is>
      </c>
      <c r="I837" s="17" t="n">
        <v>-99.5</v>
      </c>
      <c r="J837" s="18" t="inlineStr"/>
      <c r="K837" s="19" t="n">
        <v>4348331</v>
      </c>
      <c r="L837" s="18" t="inlineStr"/>
      <c r="M837" s="19" t="n">
        <v>2725658</v>
      </c>
      <c r="N837" s="18" t="inlineStr"/>
      <c r="O837" s="19" t="inlineStr"/>
      <c r="P837" s="18" t="inlineStr"/>
      <c r="Q837" s="19" t="n">
        <v>2684112</v>
      </c>
      <c r="R837" s="18" t="inlineStr"/>
      <c r="S837" s="20" t="n">
        <v>12752</v>
      </c>
      <c r="T837" s="6" t="n">
        <v>6</v>
      </c>
      <c r="U837" s="5" t="inlineStr">
        <is>
          <t>AI 인프라(국내) / 진행중 | AI 인프라(국내) / 진행중 | ConvAI / 진행중</t>
        </is>
      </c>
      <c r="V837" s="21">
        <f>HYPERLINK("https://dart.fss.or.kr/dsaf001/main.do?rcpNo=20260814001610", "공시열람")</f>
        <v/>
      </c>
    </row>
    <row r="838">
      <c r="A838" s="5" t="inlineStr">
        <is>
          <t>아이엘로보틱스</t>
        </is>
      </c>
      <c r="B838" s="6" t="inlineStr">
        <is>
          <t>403810</t>
        </is>
      </c>
      <c r="C838" s="6" t="inlineStr">
        <is>
          <t>2025Q4</t>
        </is>
      </c>
      <c r="D838" s="6" t="inlineStr">
        <is>
          <t>20260320</t>
        </is>
      </c>
      <c r="E838" s="16" t="n">
        <v>3738</v>
      </c>
      <c r="F838" s="16" t="n">
        <v>134</v>
      </c>
      <c r="G838" s="16" t="n">
        <v>3604</v>
      </c>
      <c r="H838" s="6" t="inlineStr">
        <is>
          <t>백만원</t>
        </is>
      </c>
      <c r="I838" s="17" t="inlineStr"/>
      <c r="J838" s="18" t="inlineStr"/>
      <c r="K838" s="19" t="inlineStr"/>
      <c r="L838" s="18" t="inlineStr"/>
      <c r="M838" s="19" t="inlineStr"/>
      <c r="N838" s="18" t="inlineStr"/>
      <c r="O838" s="19" t="inlineStr"/>
      <c r="P838" s="18" t="inlineStr"/>
      <c r="Q838" s="19" t="n">
        <v>3604</v>
      </c>
      <c r="R838" s="18" t="inlineStr"/>
      <c r="S838" s="20" t="inlineStr"/>
      <c r="T838" s="6" t="n">
        <v>3</v>
      </c>
      <c r="U838" s="5" t="inlineStr">
        <is>
          <t>미세먼지 측정 보안등 / - | 터널등 제어 시스템 / - | IoT 제어 시스템 / -</t>
        </is>
      </c>
      <c r="V838" s="21">
        <f>HYPERLINK("https://dart.fss.or.kr/dsaf001/main.do?rcpNo=20260320001132", "공시열람")</f>
        <v/>
      </c>
    </row>
    <row r="839">
      <c r="A839" s="5" t="inlineStr">
        <is>
          <t>제일엠앤에스</t>
        </is>
      </c>
      <c r="B839" s="6" t="inlineStr">
        <is>
          <t>412540</t>
        </is>
      </c>
      <c r="C839" s="6" t="inlineStr">
        <is>
          <t>2026Q2</t>
        </is>
      </c>
      <c r="D839" s="6" t="inlineStr">
        <is>
          <t>20260814</t>
        </is>
      </c>
      <c r="E839" s="16" t="n">
        <v>421407</v>
      </c>
      <c r="F839" s="16" t="n">
        <v>127076</v>
      </c>
      <c r="G839" s="16" t="n">
        <v>294331</v>
      </c>
      <c r="H839" s="6" t="inlineStr">
        <is>
          <t>백만원</t>
        </is>
      </c>
      <c r="I839" s="17" t="n">
        <v>-25.4</v>
      </c>
      <c r="J839" s="18" t="inlineStr"/>
      <c r="K839" s="19" t="n">
        <v>289130</v>
      </c>
      <c r="L839" s="18" t="n">
        <v>338297</v>
      </c>
      <c r="M839" s="19" t="n">
        <v>434218</v>
      </c>
      <c r="N839" s="18" t="n">
        <v>278268</v>
      </c>
      <c r="O839" s="19" t="n">
        <v>248229</v>
      </c>
      <c r="P839" s="18" t="inlineStr"/>
      <c r="Q839" s="19" t="n">
        <v>393120</v>
      </c>
      <c r="R839" s="18" t="n">
        <v>394291</v>
      </c>
      <c r="S839" s="20" t="n">
        <v>294331</v>
      </c>
      <c r="T839" s="6" t="n">
        <v>1</v>
      </c>
      <c r="U839" s="5" t="inlineStr">
        <is>
          <t>믹싱장비 및 믹싱시스템 / -</t>
        </is>
      </c>
      <c r="V839" s="21">
        <f>HYPERLINK("https://dart.fss.or.kr/dsaf001/main.do?rcpNo=20260813001794", "공시열람")</f>
        <v/>
      </c>
    </row>
    <row r="840">
      <c r="A840" s="5" t="inlineStr">
        <is>
          <t>티엘엔지니어링</t>
        </is>
      </c>
      <c r="B840" s="6" t="inlineStr">
        <is>
          <t>413300</t>
        </is>
      </c>
      <c r="C840" s="6" t="inlineStr">
        <is>
          <t>2025Q4</t>
        </is>
      </c>
      <c r="D840" s="6" t="inlineStr">
        <is>
          <t>20260323</t>
        </is>
      </c>
      <c r="E840" s="16" t="n">
        <v>7533807754</v>
      </c>
      <c r="F840" s="16" t="inlineStr"/>
      <c r="G840" s="16" t="n">
        <v>1633785854</v>
      </c>
      <c r="H840" s="6" t="inlineStr">
        <is>
          <t>원</t>
        </is>
      </c>
      <c r="I840" s="17" t="n">
        <v>-51.8</v>
      </c>
      <c r="J840" s="18" t="inlineStr"/>
      <c r="K840" s="19" t="inlineStr"/>
      <c r="L840" s="18" t="inlineStr"/>
      <c r="M840" s="19" t="n">
        <v>3388457253</v>
      </c>
      <c r="N840" s="18" t="inlineStr"/>
      <c r="O840" s="19" t="inlineStr"/>
      <c r="P840" s="18" t="inlineStr"/>
      <c r="Q840" s="19" t="n">
        <v>1633785854</v>
      </c>
      <c r="R840" s="18" t="inlineStr"/>
      <c r="S840" s="20" t="inlineStr"/>
      <c r="T840" s="6" t="n">
        <v>28</v>
      </c>
      <c r="U840" s="5" t="inlineStr">
        <is>
          <t>N / 2025-11-24 | AA / 2026-01-12 | BB / 2026-01-05</t>
        </is>
      </c>
      <c r="V840" s="21">
        <f>HYPERLINK("https://dart.fss.or.kr/dsaf001/main.do?rcpNo=20260323000750", "공시열람")</f>
        <v/>
      </c>
    </row>
    <row r="841">
      <c r="A841" s="5" t="inlineStr">
        <is>
          <t>비아이매트릭스</t>
        </is>
      </c>
      <c r="B841" s="6" t="inlineStr">
        <is>
          <t>413640</t>
        </is>
      </c>
      <c r="C841" s="6" t="inlineStr">
        <is>
          <t>2026Q2</t>
        </is>
      </c>
      <c r="D841" s="6" t="inlineStr">
        <is>
          <t>20260814</t>
        </is>
      </c>
      <c r="E841" s="16" t="n">
        <v>49635</v>
      </c>
      <c r="F841" s="16" t="inlineStr"/>
      <c r="G841" s="16" t="n">
        <v>13868</v>
      </c>
      <c r="H841" s="6" t="inlineStr">
        <is>
          <t>백만원</t>
        </is>
      </c>
      <c r="I841" s="17" t="n">
        <v>3.1</v>
      </c>
      <c r="J841" s="18" t="n">
        <v>3855</v>
      </c>
      <c r="K841" s="19" t="n">
        <v>3850</v>
      </c>
      <c r="L841" s="18" t="n">
        <v>6956</v>
      </c>
      <c r="M841" s="19" t="n">
        <v>7435</v>
      </c>
      <c r="N841" s="18" t="n">
        <v>10173</v>
      </c>
      <c r="O841" s="19" t="n">
        <v>10234</v>
      </c>
      <c r="P841" s="18" t="n">
        <v>10543</v>
      </c>
      <c r="Q841" s="19" t="n">
        <v>11651</v>
      </c>
      <c r="R841" s="18" t="n">
        <v>13447</v>
      </c>
      <c r="S841" s="20" t="n">
        <v>13868</v>
      </c>
      <c r="T841" s="6" t="n">
        <v>9</v>
      </c>
      <c r="U841" s="5" t="inlineStr">
        <is>
          <t>비아이매트릭스 / 기타 / - | 비아이매트릭스 / 솔루션 외 / 2026-06-01 / | 비아이매트릭스 / 솔루션 / 2026-03-27 / 2</t>
        </is>
      </c>
      <c r="V841" s="21">
        <f>HYPERLINK("https://dart.fss.or.kr/dsaf001/main.do?rcpNo=20260814003267", "공시열람")</f>
        <v/>
      </c>
    </row>
    <row r="842">
      <c r="A842" s="5" t="inlineStr">
        <is>
          <t>니어스랩</t>
        </is>
      </c>
      <c r="B842" s="6" t="inlineStr">
        <is>
          <t>417030</t>
        </is>
      </c>
      <c r="C842" s="6" t="inlineStr">
        <is>
          <t>2026Q2</t>
        </is>
      </c>
      <c r="D842" s="6" t="inlineStr">
        <is>
          <t>20260828</t>
        </is>
      </c>
      <c r="E842" s="16" t="n">
        <v>6490</v>
      </c>
      <c r="F842" s="16" t="inlineStr"/>
      <c r="G842" s="16" t="n">
        <v>5922</v>
      </c>
      <c r="H842" s="6" t="inlineStr">
        <is>
          <t>백만원</t>
        </is>
      </c>
      <c r="I842" s="17" t="inlineStr"/>
      <c r="J842" s="18" t="inlineStr"/>
      <c r="K842" s="19" t="inlineStr"/>
      <c r="L842" s="18" t="inlineStr"/>
      <c r="M842" s="19" t="inlineStr"/>
      <c r="N842" s="18" t="inlineStr"/>
      <c r="O842" s="19" t="inlineStr"/>
      <c r="P842" s="18" t="inlineStr"/>
      <c r="Q842" s="19" t="inlineStr"/>
      <c r="R842" s="18" t="inlineStr"/>
      <c r="S842" s="20" t="n">
        <v>5922</v>
      </c>
      <c r="T842" s="6" t="n">
        <v>10</v>
      </c>
      <c r="U842" s="5" t="inlineStr">
        <is>
          <t>국내 A사 / KAiDEN 시제품 개발 / 2026-0 | 기타 / 풍력발전기 점검솔루션 / 계약일 | UAE A사 / XAiDEN 교육훈련 서비스 / 202</t>
        </is>
      </c>
      <c r="V842" s="21">
        <f>HYPERLINK("https://dart.fss.or.kr/dsaf001/main.do?rcpNo=20260828000598", "공시열람")</f>
        <v/>
      </c>
    </row>
    <row r="843">
      <c r="A843" s="5" t="inlineStr">
        <is>
          <t>오브젠</t>
        </is>
      </c>
      <c r="B843" s="6" t="inlineStr">
        <is>
          <t>417860</t>
        </is>
      </c>
      <c r="C843" s="6" t="inlineStr">
        <is>
          <t>2026Q2</t>
        </is>
      </c>
      <c r="D843" s="6" t="inlineStr">
        <is>
          <t>20260814</t>
        </is>
      </c>
      <c r="E843" s="16" t="n">
        <v>52960</v>
      </c>
      <c r="F843" s="16" t="n">
        <v>25600</v>
      </c>
      <c r="G843" s="16" t="n">
        <v>27360</v>
      </c>
      <c r="H843" s="6" t="inlineStr">
        <is>
          <t>백만원</t>
        </is>
      </c>
      <c r="I843" s="17" t="n">
        <v>22.4</v>
      </c>
      <c r="J843" s="18" t="n">
        <v>5993</v>
      </c>
      <c r="K843" s="19" t="n">
        <v>9936</v>
      </c>
      <c r="L843" s="18" t="n">
        <v>7903</v>
      </c>
      <c r="M843" s="19" t="n">
        <v>16262</v>
      </c>
      <c r="N843" s="18" t="n">
        <v>14409</v>
      </c>
      <c r="O843" s="19" t="n">
        <v>10682</v>
      </c>
      <c r="P843" s="18" t="n">
        <v>7948</v>
      </c>
      <c r="Q843" s="19" t="n">
        <v>8051</v>
      </c>
      <c r="R843" s="18" t="n">
        <v>22355</v>
      </c>
      <c r="S843" s="20" t="n">
        <v>27360</v>
      </c>
      <c r="T843" s="6" t="n">
        <v>7</v>
      </c>
      <c r="U843" s="5" t="inlineStr">
        <is>
          <t>데이터 분석 플랫폼 사업부문 / 용역 / - | 고객 데이터&amp; 경험관리 플랫폼(CDXP+) 사업부문 / | 데이터 분석 플랫폼 사업부문 / 유지보수 / -</t>
        </is>
      </c>
      <c r="V843" s="21">
        <f>HYPERLINK("https://dart.fss.or.kr/dsaf001/main.do?rcpNo=20260814003882", "공시열람")</f>
        <v/>
      </c>
    </row>
    <row r="844">
      <c r="A844" s="5" t="inlineStr">
        <is>
          <t>제이오</t>
        </is>
      </c>
      <c r="B844" s="6" t="inlineStr">
        <is>
          <t>418550</t>
        </is>
      </c>
      <c r="C844" s="6" t="inlineStr">
        <is>
          <t>2026Q2</t>
        </is>
      </c>
      <c r="D844" s="6" t="inlineStr">
        <is>
          <t>20260814</t>
        </is>
      </c>
      <c r="E844" s="16" t="n">
        <v>92030314</v>
      </c>
      <c r="F844" s="16" t="inlineStr"/>
      <c r="G844" s="16" t="n">
        <v>13111428</v>
      </c>
      <c r="H844" s="6" t="inlineStr">
        <is>
          <t>천원</t>
        </is>
      </c>
      <c r="I844" s="17" t="n">
        <v>267.8</v>
      </c>
      <c r="J844" s="18" t="n">
        <v>52816834</v>
      </c>
      <c r="K844" s="19" t="n">
        <v>39991099</v>
      </c>
      <c r="L844" s="18" t="n">
        <v>23146090</v>
      </c>
      <c r="M844" s="19" t="n">
        <v>10964569</v>
      </c>
      <c r="N844" s="18" t="n">
        <v>20946902</v>
      </c>
      <c r="O844" s="19" t="n">
        <v>16110238</v>
      </c>
      <c r="P844" s="18" t="n">
        <v>8177068</v>
      </c>
      <c r="Q844" s="19" t="n">
        <v>5511204</v>
      </c>
      <c r="R844" s="18" t="n">
        <v>3565238</v>
      </c>
      <c r="S844" s="20" t="n">
        <v>13111428</v>
      </c>
      <c r="T844" s="6" t="n">
        <v>1</v>
      </c>
      <c r="U844" s="5" t="inlineStr">
        <is>
          <t>국내 / 에코프로머티리얼즈 등 / 플랜트공사 외</t>
        </is>
      </c>
      <c r="V844" s="21">
        <f>HYPERLINK("https://dart.fss.or.kr/dsaf001/main.do?rcpNo=20260814001514", "공시열람")</f>
        <v/>
      </c>
    </row>
    <row r="845">
      <c r="A845" s="5" t="inlineStr">
        <is>
          <t>E8</t>
        </is>
      </c>
      <c r="B845" s="6" t="inlineStr">
        <is>
          <t>418620</t>
        </is>
      </c>
      <c r="C845" s="6" t="inlineStr">
        <is>
          <t>2026Q2</t>
        </is>
      </c>
      <c r="D845" s="6" t="inlineStr">
        <is>
          <t>20260814</t>
        </is>
      </c>
      <c r="E845" s="16" t="n">
        <v>11540115</v>
      </c>
      <c r="F845" s="16" t="inlineStr"/>
      <c r="G845" s="16" t="n">
        <v>7406797</v>
      </c>
      <c r="H845" s="6" t="inlineStr">
        <is>
          <t>천원</t>
        </is>
      </c>
      <c r="I845" s="17" t="n">
        <v>-6.5</v>
      </c>
      <c r="J845" s="18" t="n">
        <v>6973600</v>
      </c>
      <c r="K845" s="19" t="n">
        <v>6583</v>
      </c>
      <c r="L845" s="18" t="n">
        <v>6876946</v>
      </c>
      <c r="M845" s="19" t="n">
        <v>6703241</v>
      </c>
      <c r="N845" s="18" t="n">
        <v>6450193</v>
      </c>
      <c r="O845" s="19" t="n">
        <v>6417667</v>
      </c>
      <c r="P845" s="18" t="n">
        <v>7252909</v>
      </c>
      <c r="Q845" s="19" t="n">
        <v>7161634</v>
      </c>
      <c r="R845" s="18" t="n">
        <v>7919338</v>
      </c>
      <c r="S845" s="20" t="n">
        <v>7406797</v>
      </c>
      <c r="T845" s="6" t="n">
        <v>2</v>
      </c>
      <c r="U845" s="5" t="inlineStr">
        <is>
          <t>용역 | 서비스</t>
        </is>
      </c>
      <c r="V845" s="21">
        <f>HYPERLINK("https://dart.fss.or.kr/dsaf001/main.do?rcpNo=20260814002560", "공시열람")</f>
        <v/>
      </c>
    </row>
    <row r="846">
      <c r="A846" s="5" t="inlineStr">
        <is>
          <t>삼기에너지솔루션즈</t>
        </is>
      </c>
      <c r="B846" s="6" t="inlineStr">
        <is>
          <t>419050</t>
        </is>
      </c>
      <c r="C846" s="6" t="inlineStr">
        <is>
          <t>2026Q2</t>
        </is>
      </c>
      <c r="D846" s="6" t="inlineStr">
        <is>
          <t>20260813</t>
        </is>
      </c>
      <c r="E846" s="16" t="n">
        <v>535943</v>
      </c>
      <c r="F846" s="16" t="n">
        <v>433448</v>
      </c>
      <c r="G846" s="16" t="n">
        <v>146838</v>
      </c>
      <c r="H846" s="6" t="inlineStr">
        <is>
          <t>백만원</t>
        </is>
      </c>
      <c r="I846" s="17" t="n">
        <v>-11.8</v>
      </c>
      <c r="J846" s="18" t="n">
        <v>859330924</v>
      </c>
      <c r="K846" s="19" t="n">
        <v>847035043</v>
      </c>
      <c r="L846" s="18" t="n">
        <v>830674207</v>
      </c>
      <c r="M846" s="19" t="n">
        <v>279496</v>
      </c>
      <c r="N846" s="18" t="n">
        <v>266391</v>
      </c>
      <c r="O846" s="19" t="n">
        <v>257201</v>
      </c>
      <c r="P846" s="18" t="n">
        <v>257201</v>
      </c>
      <c r="Q846" s="19" t="n">
        <v>181246</v>
      </c>
      <c r="R846" s="18" t="n">
        <v>166559</v>
      </c>
      <c r="S846" s="20" t="n">
        <v>146838</v>
      </c>
      <c r="T846" s="6" t="n">
        <v>4</v>
      </c>
      <c r="U846" s="5" t="inlineStr">
        <is>
          <t>End-Plate | End-Plate | End-Plate</t>
        </is>
      </c>
      <c r="V846" s="21">
        <f>HYPERLINK("https://dart.fss.or.kr/dsaf001/main.do?rcpNo=20260813000643", "공시열람")</f>
        <v/>
      </c>
    </row>
    <row r="847">
      <c r="A847" s="5" t="inlineStr">
        <is>
          <t>산돌</t>
        </is>
      </c>
      <c r="B847" s="6" t="inlineStr">
        <is>
          <t>419120</t>
        </is>
      </c>
      <c r="C847" s="6" t="inlineStr">
        <is>
          <t>2026Q2</t>
        </is>
      </c>
      <c r="D847" s="6" t="inlineStr">
        <is>
          <t>20260814</t>
        </is>
      </c>
      <c r="E847" s="16" t="n">
        <v>3362535620</v>
      </c>
      <c r="F847" s="16" t="inlineStr"/>
      <c r="G847" s="16" t="n">
        <v>1629888881</v>
      </c>
      <c r="H847" s="6" t="inlineStr">
        <is>
          <t>연결,원</t>
        </is>
      </c>
      <c r="I847" s="17" t="n">
        <v>-17.1</v>
      </c>
      <c r="J847" s="18" t="n">
        <v>252200000</v>
      </c>
      <c r="K847" s="19" t="n">
        <v>264198488</v>
      </c>
      <c r="L847" s="18" t="n">
        <v>520200046</v>
      </c>
      <c r="M847" s="19" t="n">
        <v>1493318867</v>
      </c>
      <c r="N847" s="18" t="n">
        <v>2255671606</v>
      </c>
      <c r="O847" s="19" t="n">
        <v>2393741288</v>
      </c>
      <c r="P847" s="18" t="n">
        <v>2121142108</v>
      </c>
      <c r="Q847" s="19" t="n">
        <v>2556153560</v>
      </c>
      <c r="R847" s="18" t="n">
        <v>1965102545</v>
      </c>
      <c r="S847" s="20" t="n">
        <v>1629888881</v>
      </c>
      <c r="T847" s="6" t="n">
        <v>1</v>
      </c>
      <c r="U847" s="5" t="inlineStr">
        <is>
          <t>커스텀폰트</t>
        </is>
      </c>
      <c r="V847" s="21">
        <f>HYPERLINK("https://dart.fss.or.kr/dsaf001/main.do?rcpNo=20260814000109", "공시열람")</f>
        <v/>
      </c>
    </row>
    <row r="848">
      <c r="A848" s="5" t="inlineStr">
        <is>
          <t>기가비스</t>
        </is>
      </c>
      <c r="B848" s="6" t="inlineStr">
        <is>
          <t>420770</t>
        </is>
      </c>
      <c r="C848" s="6" t="inlineStr">
        <is>
          <t>2026Q2</t>
        </is>
      </c>
      <c r="D848" s="6" t="inlineStr">
        <is>
          <t>20260814</t>
        </is>
      </c>
      <c r="E848" s="16" t="inlineStr"/>
      <c r="F848" s="16" t="inlineStr"/>
      <c r="G848" s="16" t="n">
        <v>65266</v>
      </c>
      <c r="H848" s="6" t="inlineStr">
        <is>
          <t>백만원</t>
        </is>
      </c>
      <c r="I848" s="17" t="n">
        <v>251.4</v>
      </c>
      <c r="J848" s="18" t="inlineStr"/>
      <c r="K848" s="19" t="inlineStr"/>
      <c r="L848" s="18" t="inlineStr"/>
      <c r="M848" s="19" t="inlineStr"/>
      <c r="N848" s="18" t="n">
        <v>33402</v>
      </c>
      <c r="O848" s="19" t="n">
        <v>34423</v>
      </c>
      <c r="P848" s="18" t="n">
        <v>34604</v>
      </c>
      <c r="Q848" s="19" t="n">
        <v>13566</v>
      </c>
      <c r="R848" s="18" t="n">
        <v>18575</v>
      </c>
      <c r="S848" s="20" t="n">
        <v>65266</v>
      </c>
      <c r="T848" s="6" t="n">
        <v>1</v>
      </c>
      <c r="U848" s="5" t="inlineStr">
        <is>
          <t>반도체 기판 검사 및 수리장비</t>
        </is>
      </c>
      <c r="V848" s="21">
        <f>HYPERLINK("https://dart.fss.or.kr/dsaf001/main.do?rcpNo=20260814003218", "공시열람")</f>
        <v/>
      </c>
    </row>
    <row r="849">
      <c r="A849" s="5" t="inlineStr">
        <is>
          <t>벨로크</t>
        </is>
      </c>
      <c r="B849" s="6" t="inlineStr">
        <is>
          <t>424760</t>
        </is>
      </c>
      <c r="C849" s="6" t="inlineStr">
        <is>
          <t>2026Q2</t>
        </is>
      </c>
      <c r="D849" s="6" t="inlineStr">
        <is>
          <t>20260814</t>
        </is>
      </c>
      <c r="E849" s="16" t="n">
        <v>23653</v>
      </c>
      <c r="F849" s="16" t="n">
        <v>8952</v>
      </c>
      <c r="G849" s="16" t="n">
        <v>14700</v>
      </c>
      <c r="H849" s="6" t="inlineStr">
        <is>
          <t>백만원</t>
        </is>
      </c>
      <c r="I849" s="17" t="n">
        <v>-1.2</v>
      </c>
      <c r="J849" s="18" t="n">
        <v>10016</v>
      </c>
      <c r="K849" s="19" t="n">
        <v>8613</v>
      </c>
      <c r="L849" s="18" t="n">
        <v>9280</v>
      </c>
      <c r="M849" s="19" t="n">
        <v>6130</v>
      </c>
      <c r="N849" s="18" t="n">
        <v>6069</v>
      </c>
      <c r="O849" s="19" t="n">
        <v>8753</v>
      </c>
      <c r="P849" s="18" t="n">
        <v>19064</v>
      </c>
      <c r="Q849" s="19" t="n">
        <v>14845</v>
      </c>
      <c r="R849" s="18" t="n">
        <v>14885</v>
      </c>
      <c r="S849" s="20" t="n">
        <v>14700</v>
      </c>
      <c r="T849" s="6" t="n">
        <v>2</v>
      </c>
      <c r="U849" s="5" t="inlineStr">
        <is>
          <t>보안서비스 / 주1) | 보안솔루션 / 주1)</t>
        </is>
      </c>
      <c r="V849" s="21">
        <f>HYPERLINK("https://dart.fss.or.kr/dsaf001/main.do?rcpNo=20260814002442", "공시열람")</f>
        <v/>
      </c>
    </row>
    <row r="850">
      <c r="A850" s="5" t="inlineStr">
        <is>
          <t>스마트레이더시스템</t>
        </is>
      </c>
      <c r="B850" s="6" t="inlineStr">
        <is>
          <t>424960</t>
        </is>
      </c>
      <c r="C850" s="6" t="inlineStr">
        <is>
          <t>2023Q4</t>
        </is>
      </c>
      <c r="D850" s="6" t="inlineStr">
        <is>
          <t>20240320</t>
        </is>
      </c>
      <c r="E850" s="16" t="n">
        <v>2505</v>
      </c>
      <c r="F850" s="16" t="n">
        <v>473</v>
      </c>
      <c r="G850" s="16" t="n">
        <v>2032</v>
      </c>
      <c r="H850" s="6" t="inlineStr"/>
      <c r="I850" s="17" t="inlineStr"/>
      <c r="J850" s="18" t="inlineStr"/>
      <c r="K850" s="19" t="inlineStr"/>
      <c r="L850" s="18" t="inlineStr"/>
      <c r="M850" s="19" t="inlineStr"/>
      <c r="N850" s="18" t="inlineStr"/>
      <c r="O850" s="19" t="inlineStr"/>
      <c r="P850" s="18" t="inlineStr"/>
      <c r="Q850" s="19" t="inlineStr"/>
      <c r="R850" s="18" t="inlineStr"/>
      <c r="S850" s="20" t="inlineStr"/>
      <c r="T850" s="6" t="n">
        <v>6</v>
      </c>
      <c r="U850" s="5" t="inlineStr">
        <is>
          <t>비모빌리티 / 스마트시티 / 2023~ | 비모빌리티 / 산업 / 2023~ | 모빌리티 / 특수장비차 / 2023~</t>
        </is>
      </c>
      <c r="V850" s="21">
        <f>HYPERLINK("https://dart.fss.or.kr/dsaf001/main.do?rcpNo=20240320001173", "공시열람")</f>
        <v/>
      </c>
    </row>
    <row r="851">
      <c r="A851" s="5" t="inlineStr">
        <is>
          <t>케이쓰리아이</t>
        </is>
      </c>
      <c r="B851" s="6" t="inlineStr">
        <is>
          <t>431190</t>
        </is>
      </c>
      <c r="C851" s="6" t="inlineStr">
        <is>
          <t>2026Q2</t>
        </is>
      </c>
      <c r="D851" s="6" t="inlineStr">
        <is>
          <t>20260813</t>
        </is>
      </c>
      <c r="E851" s="16" t="n">
        <v>7103</v>
      </c>
      <c r="F851" s="16" t="n">
        <v>6103</v>
      </c>
      <c r="G851" s="16" t="n">
        <v>7783</v>
      </c>
      <c r="H851" s="6" t="inlineStr">
        <is>
          <t>백만원</t>
        </is>
      </c>
      <c r="I851" s="17" t="n">
        <v>30.7</v>
      </c>
      <c r="J851" s="18" t="inlineStr"/>
      <c r="K851" s="19" t="inlineStr"/>
      <c r="L851" s="18" t="n">
        <v>5952</v>
      </c>
      <c r="M851" s="19" t="n">
        <v>4677</v>
      </c>
      <c r="N851" s="18" t="n">
        <v>3230</v>
      </c>
      <c r="O851" s="19" t="n">
        <v>7058</v>
      </c>
      <c r="P851" s="18" t="n">
        <v>8413</v>
      </c>
      <c r="Q851" s="19" t="n">
        <v>6783</v>
      </c>
      <c r="R851" s="18" t="n">
        <v>5955</v>
      </c>
      <c r="S851" s="20" t="n">
        <v>7783</v>
      </c>
      <c r="T851" s="6" t="n">
        <v>2</v>
      </c>
      <c r="U851" s="5" t="inlineStr">
        <is>
          <t>XR 사업 / - | 디지털트윈 및 기타 / -</t>
        </is>
      </c>
      <c r="V851" s="21">
        <f>HYPERLINK("https://dart.fss.or.kr/dsaf001/main.do?rcpNo=20260813001741", "공시열람")</f>
        <v/>
      </c>
    </row>
    <row r="852">
      <c r="A852" s="5" t="inlineStr">
        <is>
          <t>와이랩</t>
        </is>
      </c>
      <c r="B852" s="6" t="inlineStr">
        <is>
          <t>432430</t>
        </is>
      </c>
      <c r="C852" s="6" t="inlineStr">
        <is>
          <t>2026Q2</t>
        </is>
      </c>
      <c r="D852" s="6" t="inlineStr">
        <is>
          <t>20260814</t>
        </is>
      </c>
      <c r="E852" s="16" t="n">
        <v>5600000</v>
      </c>
      <c r="F852" s="16" t="inlineStr"/>
      <c r="G852" s="16" t="n">
        <v>5600000</v>
      </c>
      <c r="H852" s="6" t="inlineStr">
        <is>
          <t>천원</t>
        </is>
      </c>
      <c r="I852" s="17" t="n">
        <v>0</v>
      </c>
      <c r="J852" s="18" t="inlineStr"/>
      <c r="K852" s="19" t="inlineStr"/>
      <c r="L852" s="18" t="inlineStr"/>
      <c r="M852" s="19" t="inlineStr"/>
      <c r="N852" s="18" t="inlineStr"/>
      <c r="O852" s="19" t="n">
        <v>5600000</v>
      </c>
      <c r="P852" s="18" t="n">
        <v>5600000</v>
      </c>
      <c r="Q852" s="19" t="n">
        <v>5600000</v>
      </c>
      <c r="R852" s="18" t="n">
        <v>5600000</v>
      </c>
      <c r="S852" s="20" t="n">
        <v>5600000</v>
      </c>
      <c r="T852" s="6" t="n">
        <v>1</v>
      </c>
      <c r="U852" s="5" t="inlineStr">
        <is>
          <t>드라마 제작 대행 계약 / 2024-06-28 / 20</t>
        </is>
      </c>
      <c r="V852" s="21">
        <f>HYPERLINK("https://dart.fss.or.kr/dsaf001/main.do?rcpNo=20260814001850", "공시열람")</f>
        <v/>
      </c>
    </row>
    <row r="853">
      <c r="A853" s="5" t="inlineStr">
        <is>
          <t>버넥트</t>
        </is>
      </c>
      <c r="B853" s="6" t="inlineStr">
        <is>
          <t>438700</t>
        </is>
      </c>
      <c r="C853" s="6" t="inlineStr">
        <is>
          <t>2026Q2</t>
        </is>
      </c>
      <c r="D853" s="6" t="inlineStr">
        <is>
          <t>20260814</t>
        </is>
      </c>
      <c r="E853" s="16" t="n">
        <v>1038</v>
      </c>
      <c r="F853" s="16" t="n">
        <v>727</v>
      </c>
      <c r="G853" s="16" t="n">
        <v>311</v>
      </c>
      <c r="H853" s="6" t="inlineStr"/>
      <c r="I853" s="17" t="n">
        <v>-65.90000000000001</v>
      </c>
      <c r="J853" s="18" t="n">
        <v>1032</v>
      </c>
      <c r="K853" s="19" t="n">
        <v>874</v>
      </c>
      <c r="L853" s="18" t="n">
        <v>835</v>
      </c>
      <c r="M853" s="19" t="n">
        <v>558</v>
      </c>
      <c r="N853" s="18" t="n">
        <v>764</v>
      </c>
      <c r="O853" s="19" t="n">
        <v>874</v>
      </c>
      <c r="P853" s="18" t="n">
        <v>1061</v>
      </c>
      <c r="Q853" s="19" t="n">
        <v>892</v>
      </c>
      <c r="R853" s="18" t="n">
        <v>912</v>
      </c>
      <c r="S853" s="20" t="n">
        <v>311</v>
      </c>
      <c r="T853" s="6" t="n">
        <v>5</v>
      </c>
      <c r="U853" s="5" t="inlineStr">
        <is>
          <t>D / 라이선스 / 2026.01.19 | E / 솔루션 / 2026.06.04 | B / 솔루션 / 2026.01.14</t>
        </is>
      </c>
      <c r="V853" s="21">
        <f>HYPERLINK("https://dart.fss.or.kr/dsaf001/main.do?rcpNo=20260814002340", "공시열람")</f>
        <v/>
      </c>
    </row>
    <row r="854">
      <c r="A854" s="5" t="inlineStr">
        <is>
          <t>대한조선</t>
        </is>
      </c>
      <c r="B854" s="6" t="inlineStr">
        <is>
          <t>439260</t>
        </is>
      </c>
      <c r="C854" s="6" t="inlineStr">
        <is>
          <t>2026Q2</t>
        </is>
      </c>
      <c r="D854" s="6" t="inlineStr">
        <is>
          <t>20260814</t>
        </is>
      </c>
      <c r="E854" s="16" t="inlineStr"/>
      <c r="F854" s="16" t="n">
        <v>657618</v>
      </c>
      <c r="G854" s="16" t="n">
        <v>2366510</v>
      </c>
      <c r="H854" s="6" t="inlineStr">
        <is>
          <t>척,백만원</t>
        </is>
      </c>
      <c r="I854" s="17" t="n">
        <v>39.7</v>
      </c>
      <c r="J854" s="18" t="inlineStr"/>
      <c r="K854" s="19" t="inlineStr"/>
      <c r="L854" s="18" t="inlineStr"/>
      <c r="M854" s="19" t="inlineStr"/>
      <c r="N854" s="18" t="inlineStr"/>
      <c r="O854" s="19" t="n">
        <v>1821580</v>
      </c>
      <c r="P854" s="18" t="n">
        <v>1572066</v>
      </c>
      <c r="Q854" s="19" t="n">
        <v>1723129</v>
      </c>
      <c r="R854" s="18" t="n">
        <v>1694146</v>
      </c>
      <c r="S854" s="20" t="n">
        <v>2366510</v>
      </c>
      <c r="T854" s="6" t="n">
        <v>1</v>
      </c>
      <c r="U854" s="5" t="inlineStr">
        <is>
          <t>선박 / 26년 6월 30일까지 / -</t>
        </is>
      </c>
      <c r="V854" s="21">
        <f>HYPERLINK("https://dart.fss.or.kr/dsaf001/main.do?rcpNo=20260814001422", "공시열람")</f>
        <v/>
      </c>
    </row>
    <row r="855">
      <c r="A855" s="5" t="inlineStr">
        <is>
          <t>파두</t>
        </is>
      </c>
      <c r="B855" s="6" t="inlineStr">
        <is>
          <t>440110</t>
        </is>
      </c>
      <c r="C855" s="6" t="inlineStr">
        <is>
          <t>2026Q2</t>
        </is>
      </c>
      <c r="D855" s="6" t="inlineStr">
        <is>
          <t>20260813</t>
        </is>
      </c>
      <c r="E855" s="16" t="n">
        <v>205625</v>
      </c>
      <c r="F855" s="16" t="n">
        <v>13870</v>
      </c>
      <c r="G855" s="16" t="n">
        <v>191755</v>
      </c>
      <c r="H855" s="6" t="inlineStr">
        <is>
          <t>천USD</t>
        </is>
      </c>
      <c r="I855" s="17" t="n">
        <v>65</v>
      </c>
      <c r="J855" s="18" t="inlineStr"/>
      <c r="K855" s="19" t="n">
        <v>13985</v>
      </c>
      <c r="L855" s="18" t="n">
        <v>17671</v>
      </c>
      <c r="M855" s="19" t="n">
        <v>28971</v>
      </c>
      <c r="N855" s="18" t="n">
        <v>24070</v>
      </c>
      <c r="O855" s="19" t="n">
        <v>6292</v>
      </c>
      <c r="P855" s="18" t="n">
        <v>20675</v>
      </c>
      <c r="Q855" s="19" t="n">
        <v>69906</v>
      </c>
      <c r="R855" s="18" t="n">
        <v>116208</v>
      </c>
      <c r="S855" s="20" t="n">
        <v>191755</v>
      </c>
      <c r="T855" s="6" t="n">
        <v>11</v>
      </c>
      <c r="U855" s="5" t="inlineStr">
        <is>
          <t>SSD 컨트롤러 (주1) / 2026.05.05 / 2 | SSD 완제품 (주1) / 2025.11.04 / 20 | SSD 컨트롤러 / 2026.05.28 / 2026.1</t>
        </is>
      </c>
      <c r="V855" s="21">
        <f>HYPERLINK("https://dart.fss.or.kr/dsaf001/main.do?rcpNo=20260813001260", "공시열람")</f>
        <v/>
      </c>
    </row>
    <row r="856">
      <c r="A856" s="5" t="inlineStr">
        <is>
          <t>오픈놀</t>
        </is>
      </c>
      <c r="B856" s="6" t="inlineStr">
        <is>
          <t>440320</t>
        </is>
      </c>
      <c r="C856" s="6" t="inlineStr">
        <is>
          <t>2026Q2</t>
        </is>
      </c>
      <c r="D856" s="6" t="inlineStr">
        <is>
          <t>20260812</t>
        </is>
      </c>
      <c r="E856" s="16" t="n">
        <v>63805</v>
      </c>
      <c r="F856" s="16" t="n">
        <v>39285</v>
      </c>
      <c r="G856" s="16" t="n">
        <v>24520</v>
      </c>
      <c r="H856" s="6" t="inlineStr">
        <is>
          <t>백만원</t>
        </is>
      </c>
      <c r="I856" s="17" t="n">
        <v>-17.6</v>
      </c>
      <c r="J856" s="18" t="n">
        <v>17333</v>
      </c>
      <c r="K856" s="19" t="n">
        <v>13782</v>
      </c>
      <c r="L856" s="18" t="n">
        <v>8543</v>
      </c>
      <c r="M856" s="19" t="n">
        <v>626</v>
      </c>
      <c r="N856" s="18" t="n">
        <v>17577</v>
      </c>
      <c r="O856" s="19" t="n">
        <v>17477</v>
      </c>
      <c r="P856" s="18" t="n">
        <v>9512</v>
      </c>
      <c r="Q856" s="19" t="n">
        <v>5995</v>
      </c>
      <c r="R856" s="18" t="n">
        <v>29769</v>
      </c>
      <c r="S856" s="20" t="n">
        <v>24520</v>
      </c>
      <c r="T856" s="6" t="n">
        <v>1</v>
      </c>
      <c r="U856" s="5" t="inlineStr">
        <is>
          <t xml:space="preserve">미니인턴 및 플랫폼서비스 등 / 수주과업에 따라 다름 </t>
        </is>
      </c>
      <c r="V856" s="21">
        <f>HYPERLINK("https://dart.fss.or.kr/dsaf001/main.do?rcpNo=20260812000706", "공시열람")</f>
        <v/>
      </c>
    </row>
    <row r="857">
      <c r="A857" s="5" t="inlineStr">
        <is>
          <t>HD현대마린솔루션</t>
        </is>
      </c>
      <c r="B857" s="6" t="inlineStr">
        <is>
          <t>443060</t>
        </is>
      </c>
      <c r="C857" s="6" t="inlineStr">
        <is>
          <t>2026Q2</t>
        </is>
      </c>
      <c r="D857" s="6" t="inlineStr">
        <is>
          <t>20260814</t>
        </is>
      </c>
      <c r="E857" s="16" t="inlineStr"/>
      <c r="F857" s="16" t="n">
        <v>50122</v>
      </c>
      <c r="G857" s="16" t="n">
        <v>206776</v>
      </c>
      <c r="H857" s="6" t="inlineStr">
        <is>
          <t>백만원</t>
        </is>
      </c>
      <c r="I857" s="17" t="n">
        <v>-7.7</v>
      </c>
      <c r="J857" s="18" t="inlineStr"/>
      <c r="K857" s="19" t="n">
        <v>212169</v>
      </c>
      <c r="L857" s="18" t="n">
        <v>208069</v>
      </c>
      <c r="M857" s="19" t="n">
        <v>189745</v>
      </c>
      <c r="N857" s="18" t="inlineStr"/>
      <c r="O857" s="19" t="n">
        <v>198690</v>
      </c>
      <c r="P857" s="18" t="n">
        <v>245057</v>
      </c>
      <c r="Q857" s="19" t="n">
        <v>230592</v>
      </c>
      <c r="R857" s="18" t="n">
        <v>224108</v>
      </c>
      <c r="S857" s="20" t="n">
        <v>206776</v>
      </c>
      <c r="T857" s="6" t="n">
        <v>1</v>
      </c>
      <c r="U857" s="5" t="inlineStr">
        <is>
          <t>친환경솔루션(FSRU, FSU, EPLO, EGCS 등</t>
        </is>
      </c>
      <c r="V857" s="21">
        <f>HYPERLINK("https://dart.fss.or.kr/dsaf001/main.do?rcpNo=20260814001752", "공시열람")</f>
        <v/>
      </c>
    </row>
    <row r="858">
      <c r="A858" s="5" t="inlineStr">
        <is>
          <t>에스피소프트</t>
        </is>
      </c>
      <c r="B858" s="6" t="inlineStr">
        <is>
          <t>443670</t>
        </is>
      </c>
      <c r="C858" s="6" t="inlineStr">
        <is>
          <t>2026Q2</t>
        </is>
      </c>
      <c r="D858" s="6" t="inlineStr">
        <is>
          <t>20260813</t>
        </is>
      </c>
      <c r="E858" s="16" t="n">
        <v>3407554637</v>
      </c>
      <c r="F858" s="16" t="n">
        <v>1946409832</v>
      </c>
      <c r="G858" s="16" t="n">
        <v>1461144805</v>
      </c>
      <c r="H858" s="6" t="inlineStr">
        <is>
          <t>원</t>
        </is>
      </c>
      <c r="I858" s="17" t="n">
        <v>-15.2</v>
      </c>
      <c r="J858" s="18" t="n">
        <v>233127200</v>
      </c>
      <c r="K858" s="19" t="n">
        <v>281341222</v>
      </c>
      <c r="L858" s="18" t="n">
        <v>725537324</v>
      </c>
      <c r="M858" s="19" t="n">
        <v>587056645</v>
      </c>
      <c r="N858" s="18" t="n">
        <v>771439808</v>
      </c>
      <c r="O858" s="19" t="n">
        <v>735886927</v>
      </c>
      <c r="P858" s="18" t="n">
        <v>1244237864</v>
      </c>
      <c r="Q858" s="19" t="n">
        <v>1656260847</v>
      </c>
      <c r="R858" s="18" t="n">
        <v>1723488129</v>
      </c>
      <c r="S858" s="20" t="n">
        <v>1461144805</v>
      </c>
      <c r="T858" s="6" t="n">
        <v>3</v>
      </c>
      <c r="U858" s="5" t="inlineStr">
        <is>
          <t>M365 / - | SPLA / - | 라이선스 / -</t>
        </is>
      </c>
      <c r="V858" s="21">
        <f>HYPERLINK("https://dart.fss.or.kr/dsaf001/main.do?rcpNo=20260813001182", "공시열람")</f>
        <v/>
      </c>
    </row>
    <row r="859">
      <c r="A859" s="5" t="inlineStr">
        <is>
          <t>심플랫폼</t>
        </is>
      </c>
      <c r="B859" s="6" t="inlineStr">
        <is>
          <t>444530</t>
        </is>
      </c>
      <c r="C859" s="6" t="inlineStr">
        <is>
          <t>2026Q2</t>
        </is>
      </c>
      <c r="D859" s="6" t="inlineStr">
        <is>
          <t>20260814</t>
        </is>
      </c>
      <c r="E859" s="16" t="n">
        <v>8009183</v>
      </c>
      <c r="F859" s="16" t="inlineStr"/>
      <c r="G859" s="16" t="n">
        <v>5291531</v>
      </c>
      <c r="H859" s="6" t="inlineStr">
        <is>
          <t>천원</t>
        </is>
      </c>
      <c r="I859" s="17" t="n">
        <v>45.4</v>
      </c>
      <c r="J859" s="18" t="inlineStr"/>
      <c r="K859" s="19" t="inlineStr"/>
      <c r="L859" s="18" t="inlineStr"/>
      <c r="M859" s="19" t="inlineStr"/>
      <c r="N859" s="18" t="inlineStr"/>
      <c r="O859" s="19" t="inlineStr"/>
      <c r="P859" s="18" t="n">
        <v>3467214</v>
      </c>
      <c r="Q859" s="19" t="n">
        <v>707420</v>
      </c>
      <c r="R859" s="18" t="n">
        <v>3638291</v>
      </c>
      <c r="S859" s="20" t="n">
        <v>5291531</v>
      </c>
      <c r="T859" s="6" t="n">
        <v>1</v>
      </c>
      <c r="U859" s="5" t="inlineStr">
        <is>
          <t>NUBISON AX</t>
        </is>
      </c>
      <c r="V859" s="21">
        <f>HYPERLINK("https://dart.fss.or.kr/dsaf001/main.do?rcpNo=20260814002308", "공시열람")</f>
        <v/>
      </c>
    </row>
    <row r="860">
      <c r="A860" s="5" t="inlineStr">
        <is>
          <t>에이직랜드</t>
        </is>
      </c>
      <c r="B860" s="6" t="inlineStr">
        <is>
          <t>445090</t>
        </is>
      </c>
      <c r="C860" s="6" t="inlineStr">
        <is>
          <t>2026Q2</t>
        </is>
      </c>
      <c r="D860" s="6" t="inlineStr">
        <is>
          <t>20260814</t>
        </is>
      </c>
      <c r="E860" s="16" t="n">
        <v>179082</v>
      </c>
      <c r="F860" s="16" t="n">
        <v>16510</v>
      </c>
      <c r="G860" s="16" t="n">
        <v>61821</v>
      </c>
      <c r="H860" s="6" t="inlineStr">
        <is>
          <t>백만원</t>
        </is>
      </c>
      <c r="I860" s="17" t="n">
        <v>-29.6</v>
      </c>
      <c r="J860" s="18" t="n">
        <v>93489</v>
      </c>
      <c r="K860" s="19" t="inlineStr"/>
      <c r="L860" s="18" t="inlineStr"/>
      <c r="M860" s="19" t="n">
        <v>62757</v>
      </c>
      <c r="N860" s="18" t="n">
        <v>64207</v>
      </c>
      <c r="O860" s="19" t="inlineStr"/>
      <c r="P860" s="18" t="n">
        <v>84994</v>
      </c>
      <c r="Q860" s="19" t="n">
        <v>100686</v>
      </c>
      <c r="R860" s="18" t="n">
        <v>87824</v>
      </c>
      <c r="S860" s="20" t="n">
        <v>61821</v>
      </c>
      <c r="T860" s="6" t="n">
        <v>7</v>
      </c>
      <c r="U860" s="5" t="inlineStr">
        <is>
          <t>주문형 반도체 설계 / 2024.11.01 / 2026 | 주문형 반도체 설계 / 2025.05.27 / 2027 | 양산 계약 / 2026.01.08 / 2026.12.3</t>
        </is>
      </c>
      <c r="V860" s="21">
        <f>HYPERLINK("https://dart.fss.or.kr/dsaf001/main.do?rcpNo=20260814000520", "공시열람")</f>
        <v/>
      </c>
    </row>
    <row r="861">
      <c r="A861" s="5" t="inlineStr">
        <is>
          <t>큐리옥스바이오시스템즈</t>
        </is>
      </c>
      <c r="B861" s="6" t="inlineStr">
        <is>
          <t>445680</t>
        </is>
      </c>
      <c r="C861" s="6" t="inlineStr">
        <is>
          <t>2026Q2</t>
        </is>
      </c>
      <c r="D861" s="6" t="inlineStr">
        <is>
          <t>20260814</t>
        </is>
      </c>
      <c r="E861" s="16" t="n">
        <v>3532</v>
      </c>
      <c r="F861" s="16" t="n">
        <v>619</v>
      </c>
      <c r="G861" s="16" t="n">
        <v>2913</v>
      </c>
      <c r="H861" s="6" t="inlineStr">
        <is>
          <t>대,백만원</t>
        </is>
      </c>
      <c r="I861" s="17" t="n">
        <v>0</v>
      </c>
      <c r="J861" s="18" t="n">
        <v>2643056640</v>
      </c>
      <c r="K861" s="19" t="n">
        <v>2643056640</v>
      </c>
      <c r="L861" s="18" t="n">
        <v>2643056640</v>
      </c>
      <c r="M861" s="19" t="n">
        <v>2643</v>
      </c>
      <c r="N861" s="18" t="n">
        <v>2643</v>
      </c>
      <c r="O861" s="19" t="n">
        <v>3454</v>
      </c>
      <c r="P861" s="18" t="n">
        <v>2934</v>
      </c>
      <c r="Q861" s="19" t="n">
        <v>2913</v>
      </c>
      <c r="R861" s="18" t="n">
        <v>2913</v>
      </c>
      <c r="S861" s="20" t="n">
        <v>2913</v>
      </c>
      <c r="T861" s="6" t="n">
        <v>1</v>
      </c>
      <c r="U861" s="5" t="inlineStr">
        <is>
          <t>Laminar Wash HT 2000 시스템/Lamin</t>
        </is>
      </c>
      <c r="V861" s="21">
        <f>HYPERLINK("https://dart.fss.or.kr/dsaf001/main.do?rcpNo=20260814004125", "공시열람")</f>
        <v/>
      </c>
    </row>
    <row r="862">
      <c r="A862" s="5" t="inlineStr">
        <is>
          <t>에코아이</t>
        </is>
      </c>
      <c r="B862" s="6" t="inlineStr">
        <is>
          <t>448280</t>
        </is>
      </c>
      <c r="C862" s="6" t="inlineStr">
        <is>
          <t>2026Q2</t>
        </is>
      </c>
      <c r="D862" s="6" t="inlineStr">
        <is>
          <t>20260814</t>
        </is>
      </c>
      <c r="E862" s="16" t="n">
        <v>2825303</v>
      </c>
      <c r="F862" s="16" t="n">
        <v>6999</v>
      </c>
      <c r="G862" s="16" t="n">
        <v>8480</v>
      </c>
      <c r="H862" s="6" t="inlineStr">
        <is>
          <t>톤,백만원</t>
        </is>
      </c>
      <c r="I862" s="17" t="n">
        <v>0</v>
      </c>
      <c r="J862" s="18" t="n">
        <v>8476</v>
      </c>
      <c r="K862" s="19" t="n">
        <v>8476</v>
      </c>
      <c r="L862" s="18" t="n">
        <v>8476</v>
      </c>
      <c r="M862" s="19" t="n">
        <v>8476</v>
      </c>
      <c r="N862" s="18" t="n">
        <v>8476</v>
      </c>
      <c r="O862" s="19" t="n">
        <v>8480</v>
      </c>
      <c r="P862" s="18" t="n">
        <v>8480</v>
      </c>
      <c r="Q862" s="19" t="n">
        <v>8480</v>
      </c>
      <c r="R862" s="18" t="n">
        <v>8480</v>
      </c>
      <c r="S862" s="20" t="n">
        <v>8480</v>
      </c>
      <c r="T862" s="6" t="n">
        <v>11</v>
      </c>
      <c r="U862" s="5" t="inlineStr">
        <is>
          <t>방글라데시 / 쿡스토브 / i-KOC / 2019-09 | 미얀마 / 쿡스토브 / i-KOC / 2020-02-2 | 미얀마 / 쿡스토브 / i-KOC / 2020-02-2</t>
        </is>
      </c>
      <c r="V862" s="21">
        <f>HYPERLINK("https://dart.fss.or.kr/dsaf001/main.do?rcpNo=20260814000143", "공시열람")</f>
        <v/>
      </c>
    </row>
    <row r="863">
      <c r="A863" s="5" t="inlineStr">
        <is>
          <t>한국피아이엠</t>
        </is>
      </c>
      <c r="B863" s="6" t="inlineStr">
        <is>
          <t>448900</t>
        </is>
      </c>
      <c r="C863" s="6" t="inlineStr">
        <is>
          <t>2026Q2</t>
        </is>
      </c>
      <c r="D863" s="6" t="inlineStr">
        <is>
          <t>20260814</t>
        </is>
      </c>
      <c r="E863" s="16" t="n">
        <v>48337998</v>
      </c>
      <c r="F863" s="16" t="n">
        <v>5920553</v>
      </c>
      <c r="G863" s="16" t="n">
        <v>42417445</v>
      </c>
      <c r="H863" s="6" t="inlineStr">
        <is>
          <t>천원</t>
        </is>
      </c>
      <c r="I863" s="17" t="n">
        <v>7.4</v>
      </c>
      <c r="J863" s="18" t="inlineStr"/>
      <c r="K863" s="19" t="inlineStr"/>
      <c r="L863" s="18" t="inlineStr"/>
      <c r="M863" s="19" t="n">
        <v>27015058</v>
      </c>
      <c r="N863" s="18" t="n">
        <v>31114346</v>
      </c>
      <c r="O863" s="19" t="n">
        <v>35687974</v>
      </c>
      <c r="P863" s="18" t="n">
        <v>35516371</v>
      </c>
      <c r="Q863" s="19" t="n">
        <v>39811667</v>
      </c>
      <c r="R863" s="18" t="n">
        <v>39492025</v>
      </c>
      <c r="S863" s="20" t="n">
        <v>42417445</v>
      </c>
      <c r="T863" s="6" t="n">
        <v>10</v>
      </c>
      <c r="U863" s="5" t="inlineStr">
        <is>
          <t>V / 수시 | M / 수시 | A / 수시</t>
        </is>
      </c>
      <c r="V863" s="21">
        <f>HYPERLINK("https://dart.fss.or.kr/dsaf001/main.do?rcpNo=20260814004093", "공시열람")</f>
        <v/>
      </c>
    </row>
    <row r="864">
      <c r="A864" s="5" t="inlineStr">
        <is>
          <t>인스웨이브</t>
        </is>
      </c>
      <c r="B864" s="6" t="inlineStr">
        <is>
          <t>450520</t>
        </is>
      </c>
      <c r="C864" s="6" t="inlineStr">
        <is>
          <t>2026Q2</t>
        </is>
      </c>
      <c r="D864" s="6" t="inlineStr">
        <is>
          <t>20260813</t>
        </is>
      </c>
      <c r="E864" s="16" t="n">
        <v>57030</v>
      </c>
      <c r="F864" s="16" t="n">
        <v>12916</v>
      </c>
      <c r="G864" s="16" t="n">
        <v>44114</v>
      </c>
      <c r="H864" s="6" t="inlineStr">
        <is>
          <t>백만원</t>
        </is>
      </c>
      <c r="I864" s="17" t="n">
        <v>39.9</v>
      </c>
      <c r="J864" s="18" t="n">
        <v>8064</v>
      </c>
      <c r="K864" s="19" t="n">
        <v>7103</v>
      </c>
      <c r="L864" s="18" t="n">
        <v>14142</v>
      </c>
      <c r="M864" s="19" t="n">
        <v>12212</v>
      </c>
      <c r="N864" s="18" t="n">
        <v>12176</v>
      </c>
      <c r="O864" s="19" t="n">
        <v>10862</v>
      </c>
      <c r="P864" s="18" t="n">
        <v>13744</v>
      </c>
      <c r="Q864" s="19" t="n">
        <v>20855</v>
      </c>
      <c r="R864" s="18" t="n">
        <v>31529</v>
      </c>
      <c r="S864" s="20" t="n">
        <v>44114</v>
      </c>
      <c r="T864" s="6" t="n">
        <v>4</v>
      </c>
      <c r="U864" s="5" t="inlineStr">
        <is>
          <t>농협은행 계정계 차세대 (프로젝트 NEO) / 2026 | 기타 | 코어뱅킹현대화_웹단말전환 / 2026-06-01 / 2</t>
        </is>
      </c>
      <c r="V864" s="21">
        <f>HYPERLINK("https://dart.fss.or.kr/dsaf001/main.do?rcpNo=20260813001397", "공시열람")</f>
        <v/>
      </c>
    </row>
    <row r="865">
      <c r="A865" s="5" t="inlineStr">
        <is>
          <t>아이엠티</t>
        </is>
      </c>
      <c r="B865" s="6" t="inlineStr">
        <is>
          <t>451220</t>
        </is>
      </c>
      <c r="C865" s="6" t="inlineStr">
        <is>
          <t>2026Q2</t>
        </is>
      </c>
      <c r="D865" s="6" t="inlineStr">
        <is>
          <t>20260814</t>
        </is>
      </c>
      <c r="E865" s="16" t="n">
        <v>1280000</v>
      </c>
      <c r="F865" s="16" t="inlineStr"/>
      <c r="G865" s="16" t="n">
        <v>1280000</v>
      </c>
      <c r="H865" s="6" t="inlineStr">
        <is>
          <t>대,USD</t>
        </is>
      </c>
      <c r="I865" s="17" t="n">
        <v>0</v>
      </c>
      <c r="J865" s="18" t="inlineStr"/>
      <c r="K865" s="19" t="inlineStr"/>
      <c r="L865" s="18" t="inlineStr"/>
      <c r="M865" s="19" t="n">
        <v>1295000</v>
      </c>
      <c r="N865" s="18" t="n">
        <v>1295000</v>
      </c>
      <c r="O865" s="19" t="n">
        <v>2625000</v>
      </c>
      <c r="P865" s="18" t="n">
        <v>2742000</v>
      </c>
      <c r="Q865" s="19" t="n">
        <v>2742000</v>
      </c>
      <c r="R865" s="18" t="n">
        <v>1280000</v>
      </c>
      <c r="S865" s="20" t="n">
        <v>1280000</v>
      </c>
      <c r="T865" s="6" t="n">
        <v>1</v>
      </c>
      <c r="U865" s="5" t="inlineStr">
        <is>
          <t>HBM용 Wafer 세정장비 / 2025-09-02 /</t>
        </is>
      </c>
      <c r="V865" s="21">
        <f>HYPERLINK("https://dart.fss.or.kr/dsaf001/main.do?rcpNo=20260814001618", "공시열람")</f>
        <v/>
      </c>
    </row>
    <row r="866">
      <c r="A866" s="5" t="inlineStr">
        <is>
          <t>컨텍</t>
        </is>
      </c>
      <c r="B866" s="6" t="inlineStr">
        <is>
          <t>451760</t>
        </is>
      </c>
      <c r="C866" s="6" t="inlineStr">
        <is>
          <t>2026Q2</t>
        </is>
      </c>
      <c r="D866" s="6" t="inlineStr">
        <is>
          <t>20260814</t>
        </is>
      </c>
      <c r="E866" s="16" t="inlineStr"/>
      <c r="F866" s="16" t="inlineStr"/>
      <c r="G866" s="16" t="n">
        <v>32777553</v>
      </c>
      <c r="H866" s="6" t="inlineStr">
        <is>
          <t>천원</t>
        </is>
      </c>
      <c r="I866" s="17" t="n">
        <v>-51.8</v>
      </c>
      <c r="J866" s="18" t="n">
        <v>26019</v>
      </c>
      <c r="K866" s="19" t="n">
        <v>21362334</v>
      </c>
      <c r="L866" s="18" t="n">
        <v>70717698</v>
      </c>
      <c r="M866" s="19" t="n">
        <v>70647949</v>
      </c>
      <c r="N866" s="18" t="n">
        <v>70225551</v>
      </c>
      <c r="O866" s="19" t="n">
        <v>58061079</v>
      </c>
      <c r="P866" s="18" t="n">
        <v>56043528</v>
      </c>
      <c r="Q866" s="19" t="n">
        <v>63004833</v>
      </c>
      <c r="R866" s="18" t="n">
        <v>68071376</v>
      </c>
      <c r="S866" s="20" t="n">
        <v>32777553</v>
      </c>
      <c r="T866" s="6" t="n">
        <v>4</v>
      </c>
      <c r="U866" s="5" t="inlineStr">
        <is>
          <t>위성제조 및 서비스 솔루션 | 기 타 | 지상국솔루션 / -</t>
        </is>
      </c>
      <c r="V866" s="21">
        <f>HYPERLINK("https://dart.fss.or.kr/dsaf001/main.do?rcpNo=20260814000791", "공시열람")</f>
        <v/>
      </c>
    </row>
    <row r="867">
      <c r="A867" s="5" t="inlineStr">
        <is>
          <t>제이엔비</t>
        </is>
      </c>
      <c r="B867" s="6" t="inlineStr">
        <is>
          <t>452160</t>
        </is>
      </c>
      <c r="C867" s="6" t="inlineStr">
        <is>
          <t>2024Q1</t>
        </is>
      </c>
      <c r="D867" s="6" t="inlineStr">
        <is>
          <t>20240514</t>
        </is>
      </c>
      <c r="E867" s="16" t="inlineStr"/>
      <c r="F867" s="16" t="inlineStr"/>
      <c r="G867" s="16" t="n">
        <v>1773800</v>
      </c>
      <c r="H867" s="6" t="inlineStr">
        <is>
          <t>USD</t>
        </is>
      </c>
      <c r="I867" s="17" t="n">
        <v>0</v>
      </c>
      <c r="J867" s="18" t="n">
        <v>1773800</v>
      </c>
      <c r="K867" s="19" t="inlineStr"/>
      <c r="L867" s="18" t="inlineStr"/>
      <c r="M867" s="19" t="inlineStr"/>
      <c r="N867" s="18" t="inlineStr"/>
      <c r="O867" s="19" t="inlineStr"/>
      <c r="P867" s="18" t="inlineStr"/>
      <c r="Q867" s="19" t="inlineStr"/>
      <c r="R867" s="18" t="inlineStr"/>
      <c r="S867" s="20" t="inlineStr"/>
      <c r="T867" s="6" t="n">
        <v>1</v>
      </c>
      <c r="U867" s="5" t="inlineStr">
        <is>
          <t>통화선물환 / 중소기업은행</t>
        </is>
      </c>
      <c r="V867" s="21">
        <f>HYPERLINK("https://dart.fss.or.kr/dsaf001/main.do?rcpNo=20240514001502", "공시열람")</f>
        <v/>
      </c>
    </row>
    <row r="868">
      <c r="A868" s="5" t="inlineStr">
        <is>
          <t>한빛레이저</t>
        </is>
      </c>
      <c r="B868" s="6" t="inlineStr">
        <is>
          <t>452190</t>
        </is>
      </c>
      <c r="C868" s="6" t="inlineStr">
        <is>
          <t>2026Q2</t>
        </is>
      </c>
      <c r="D868" s="6" t="inlineStr">
        <is>
          <t>20260813</t>
        </is>
      </c>
      <c r="E868" s="16" t="inlineStr"/>
      <c r="F868" s="16" t="inlineStr"/>
      <c r="G868" s="16" t="n">
        <v>11569483</v>
      </c>
      <c r="H868" s="6" t="inlineStr">
        <is>
          <t>천원</t>
        </is>
      </c>
      <c r="I868" s="17" t="n">
        <v>-4.5</v>
      </c>
      <c r="J868" s="18" t="n">
        <v>13255538</v>
      </c>
      <c r="K868" s="19" t="n">
        <v>14992788</v>
      </c>
      <c r="L868" s="18" t="n">
        <v>12317390</v>
      </c>
      <c r="M868" s="19" t="n">
        <v>12297801</v>
      </c>
      <c r="N868" s="18" t="n">
        <v>18611946</v>
      </c>
      <c r="O868" s="19" t="n">
        <v>14920180</v>
      </c>
      <c r="P868" s="18" t="n">
        <v>15709023</v>
      </c>
      <c r="Q868" s="19" t="n">
        <v>10190703</v>
      </c>
      <c r="R868" s="18" t="n">
        <v>12109195</v>
      </c>
      <c r="S868" s="20" t="n">
        <v>11569483</v>
      </c>
      <c r="T868" s="6" t="n">
        <v>0</v>
      </c>
      <c r="U868" s="5" t="inlineStr"/>
      <c r="V868" s="21">
        <f>HYPERLINK("https://dart.fss.or.kr/dsaf001/main.do?rcpNo=20260813001626", "공시열람")</f>
        <v/>
      </c>
    </row>
    <row r="869">
      <c r="A869" s="5" t="inlineStr">
        <is>
          <t>민테크</t>
        </is>
      </c>
      <c r="B869" s="6" t="inlineStr">
        <is>
          <t>452200</t>
        </is>
      </c>
      <c r="C869" s="6" t="inlineStr">
        <is>
          <t>2026Q2</t>
        </is>
      </c>
      <c r="D869" s="6" t="inlineStr">
        <is>
          <t>20260814</t>
        </is>
      </c>
      <c r="E869" s="16" t="n">
        <v>5486</v>
      </c>
      <c r="F869" s="16" t="n">
        <v>3143</v>
      </c>
      <c r="G869" s="16" t="n">
        <v>2343</v>
      </c>
      <c r="H869" s="6" t="inlineStr">
        <is>
          <t>백만원</t>
        </is>
      </c>
      <c r="I869" s="17" t="n">
        <v>-19.2</v>
      </c>
      <c r="J869" s="18" t="inlineStr"/>
      <c r="K869" s="19" t="n">
        <v>11595</v>
      </c>
      <c r="L869" s="18" t="n">
        <v>11535</v>
      </c>
      <c r="M869" s="19" t="n">
        <v>13841</v>
      </c>
      <c r="N869" s="18" t="n">
        <v>14035</v>
      </c>
      <c r="O869" s="19" t="n">
        <v>17366</v>
      </c>
      <c r="P869" s="18" t="n">
        <v>9319</v>
      </c>
      <c r="Q869" s="19" t="n">
        <v>3917</v>
      </c>
      <c r="R869" s="18" t="n">
        <v>2901</v>
      </c>
      <c r="S869" s="20" t="n">
        <v>2343</v>
      </c>
      <c r="T869" s="6" t="n">
        <v>3</v>
      </c>
      <c r="U869" s="5" t="inlineStr">
        <is>
          <t>기타 / - | 배터리 진단시스템 / - | 충방전검사장비 / -</t>
        </is>
      </c>
      <c r="V869" s="21">
        <f>HYPERLINK("https://dart.fss.or.kr/dsaf001/main.do?rcpNo=20260814002464", "공시열람")</f>
        <v/>
      </c>
    </row>
    <row r="870">
      <c r="A870" s="5" t="inlineStr">
        <is>
          <t>피아이이</t>
        </is>
      </c>
      <c r="B870" s="6" t="inlineStr">
        <is>
          <t>452450</t>
        </is>
      </c>
      <c r="C870" s="6" t="inlineStr">
        <is>
          <t>2026Q2</t>
        </is>
      </c>
      <c r="D870" s="6" t="inlineStr">
        <is>
          <t>20260813</t>
        </is>
      </c>
      <c r="E870" s="16" t="n">
        <v>44944443</v>
      </c>
      <c r="F870" s="16" t="n">
        <v>14691076</v>
      </c>
      <c r="G870" s="16" t="n">
        <v>30253367</v>
      </c>
      <c r="H870" s="6" t="inlineStr">
        <is>
          <t>천원</t>
        </is>
      </c>
      <c r="I870" s="17" t="n">
        <v>-21</v>
      </c>
      <c r="J870" s="18" t="inlineStr"/>
      <c r="K870" s="19" t="inlineStr"/>
      <c r="L870" s="18" t="inlineStr"/>
      <c r="M870" s="19" t="n">
        <v>29345690821</v>
      </c>
      <c r="N870" s="18" t="n">
        <v>29458734</v>
      </c>
      <c r="O870" s="19" t="n">
        <v>28596758</v>
      </c>
      <c r="P870" s="18" t="n">
        <v>31483810</v>
      </c>
      <c r="Q870" s="19" t="n">
        <v>24862774</v>
      </c>
      <c r="R870" s="18" t="n">
        <v>38319372</v>
      </c>
      <c r="S870" s="20" t="n">
        <v>30253367</v>
      </c>
      <c r="T870" s="6" t="n">
        <v>2</v>
      </c>
      <c r="U870" s="5" t="inlineStr">
        <is>
          <t>비전 및 장비 솔루션 | 기타</t>
        </is>
      </c>
      <c r="V870" s="21">
        <f>HYPERLINK("https://dart.fss.or.kr/dsaf001/main.do?rcpNo=20260813001351", "공시열람")</f>
        <v/>
      </c>
    </row>
    <row r="871">
      <c r="A871" s="5" t="inlineStr">
        <is>
          <t>두산로보틱스</t>
        </is>
      </c>
      <c r="B871" s="6" t="inlineStr">
        <is>
          <t>454910</t>
        </is>
      </c>
      <c r="C871" s="6" t="inlineStr">
        <is>
          <t>2026Q1</t>
        </is>
      </c>
      <c r="D871" s="6" t="inlineStr">
        <is>
          <t>20260515</t>
        </is>
      </c>
      <c r="E871" s="16" t="n">
        <v>18100</v>
      </c>
      <c r="F871" s="16" t="n">
        <v>4553</v>
      </c>
      <c r="G871" s="16" t="n">
        <v>13547</v>
      </c>
      <c r="H871" s="6" t="inlineStr">
        <is>
          <t>USD천</t>
        </is>
      </c>
      <c r="I871" s="17" t="n">
        <v>-9</v>
      </c>
      <c r="J871" s="18" t="inlineStr"/>
      <c r="K871" s="19" t="inlineStr"/>
      <c r="L871" s="18" t="inlineStr"/>
      <c r="M871" s="19" t="inlineStr"/>
      <c r="N871" s="18" t="inlineStr"/>
      <c r="O871" s="19" t="inlineStr"/>
      <c r="P871" s="18" t="n">
        <v>9343</v>
      </c>
      <c r="Q871" s="19" t="n">
        <v>14884</v>
      </c>
      <c r="R871" s="18" t="n">
        <v>13547</v>
      </c>
      <c r="S871" s="20" t="inlineStr"/>
      <c r="T871" s="6" t="n">
        <v>1</v>
      </c>
      <c r="U871" s="5" t="inlineStr">
        <is>
          <t>자동화 솔루션 / EOL/CMI 등</t>
        </is>
      </c>
      <c r="V871" s="21">
        <f>HYPERLINK("https://dart.fss.or.kr/dsaf001/main.do?rcpNo=20260515001834", "공시열람")</f>
        <v/>
      </c>
    </row>
    <row r="872">
      <c r="A872" s="5" t="inlineStr">
        <is>
          <t>케이지에이</t>
        </is>
      </c>
      <c r="B872" s="6" t="inlineStr">
        <is>
          <t>455180</t>
        </is>
      </c>
      <c r="C872" s="6" t="inlineStr">
        <is>
          <t>2026Q2</t>
        </is>
      </c>
      <c r="D872" s="6" t="inlineStr">
        <is>
          <t>20260814</t>
        </is>
      </c>
      <c r="E872" s="16" t="n">
        <v>22483930</v>
      </c>
      <c r="F872" s="16" t="n">
        <v>2558748</v>
      </c>
      <c r="G872" s="16" t="n">
        <v>19925182</v>
      </c>
      <c r="H872" s="6" t="inlineStr">
        <is>
          <t>천원</t>
        </is>
      </c>
      <c r="I872" s="17" t="n">
        <v>-99.7</v>
      </c>
      <c r="J872" s="18" t="inlineStr"/>
      <c r="K872" s="19" t="inlineStr"/>
      <c r="L872" s="18" t="inlineStr"/>
      <c r="M872" s="19" t="inlineStr"/>
      <c r="N872" s="18" t="inlineStr"/>
      <c r="O872" s="19" t="inlineStr"/>
      <c r="P872" s="18" t="inlineStr"/>
      <c r="Q872" s="19" t="inlineStr"/>
      <c r="R872" s="18" t="n">
        <v>7546000000</v>
      </c>
      <c r="S872" s="20" t="n">
        <v>19925182</v>
      </c>
      <c r="T872" s="6" t="n">
        <v>2</v>
      </c>
      <c r="U872" s="5" t="inlineStr">
        <is>
          <t>2차전지 전극공정 장비 / - | 기타 / -</t>
        </is>
      </c>
      <c r="V872" s="21">
        <f>HYPERLINK("https://dart.fss.or.kr/dsaf001/main.do?rcpNo=20260814002235", "공시열람")</f>
        <v/>
      </c>
    </row>
    <row r="873">
      <c r="A873" s="5" t="inlineStr">
        <is>
          <t>아이씨티케이</t>
        </is>
      </c>
      <c r="B873" s="6" t="inlineStr">
        <is>
          <t>456010</t>
        </is>
      </c>
      <c r="C873" s="6" t="inlineStr">
        <is>
          <t>2026Q2</t>
        </is>
      </c>
      <c r="D873" s="6" t="inlineStr">
        <is>
          <t>20260814</t>
        </is>
      </c>
      <c r="E873" s="16" t="n">
        <v>14772860</v>
      </c>
      <c r="F873" s="16" t="n">
        <v>3365175</v>
      </c>
      <c r="G873" s="16" t="n">
        <v>11407685</v>
      </c>
      <c r="H873" s="6" t="inlineStr">
        <is>
          <t>천원</t>
        </is>
      </c>
      <c r="I873" s="17" t="n">
        <v>-6.3</v>
      </c>
      <c r="J873" s="18" t="n">
        <v>3710000</v>
      </c>
      <c r="K873" s="19" t="n">
        <v>3345000</v>
      </c>
      <c r="L873" s="18" t="n">
        <v>1700000</v>
      </c>
      <c r="M873" s="19" t="n">
        <v>329700</v>
      </c>
      <c r="N873" s="18" t="n">
        <v>250000</v>
      </c>
      <c r="O873" s="19" t="n">
        <v>360561</v>
      </c>
      <c r="P873" s="18" t="n">
        <v>228859</v>
      </c>
      <c r="Q873" s="19" t="n">
        <v>12761850</v>
      </c>
      <c r="R873" s="18" t="n">
        <v>12180535</v>
      </c>
      <c r="S873" s="20" t="n">
        <v>11407685</v>
      </c>
      <c r="T873" s="6" t="n">
        <v>3</v>
      </c>
      <c r="U873" s="5" t="inlineStr">
        <is>
          <t>개발용역 / 양자암호 솔루션 개발 | 개발용역 / 이동통신사 | 연구용역 / 보안기술연구소</t>
        </is>
      </c>
      <c r="V873" s="21">
        <f>HYPERLINK("https://dart.fss.or.kr/dsaf001/main.do?rcpNo=20260814003391", "공시열람")</f>
        <v/>
      </c>
    </row>
    <row r="874">
      <c r="A874" s="5" t="inlineStr">
        <is>
          <t>이엔셀</t>
        </is>
      </c>
      <c r="B874" s="6" t="inlineStr">
        <is>
          <t>456070</t>
        </is>
      </c>
      <c r="C874" s="6" t="inlineStr">
        <is>
          <t>2026Q2</t>
        </is>
      </c>
      <c r="D874" s="6" t="inlineStr">
        <is>
          <t>20260814</t>
        </is>
      </c>
      <c r="E874" s="16" t="n">
        <v>14676</v>
      </c>
      <c r="F874" s="16" t="n">
        <v>5491</v>
      </c>
      <c r="G874" s="16" t="n">
        <v>9185</v>
      </c>
      <c r="H874" s="6" t="inlineStr">
        <is>
          <t>백만원</t>
        </is>
      </c>
      <c r="I874" s="17" t="n">
        <v>19.6</v>
      </c>
      <c r="J874" s="18" t="inlineStr"/>
      <c r="K874" s="19" t="inlineStr"/>
      <c r="L874" s="18" t="n">
        <v>9202</v>
      </c>
      <c r="M874" s="19" t="n">
        <v>4014</v>
      </c>
      <c r="N874" s="18" t="n">
        <v>3858</v>
      </c>
      <c r="O874" s="19" t="n">
        <v>5047</v>
      </c>
      <c r="P874" s="18" t="n">
        <v>9101</v>
      </c>
      <c r="Q874" s="19" t="n">
        <v>8001</v>
      </c>
      <c r="R874" s="18" t="n">
        <v>7681</v>
      </c>
      <c r="S874" s="20" t="n">
        <v>9185</v>
      </c>
      <c r="T874" s="6" t="n">
        <v>1</v>
      </c>
      <c r="U874" s="5" t="inlineStr">
        <is>
          <t>CDMO / 2023년~ (계약별 상이) / ~2029</t>
        </is>
      </c>
      <c r="V874" s="21">
        <f>HYPERLINK("https://dart.fss.or.kr/dsaf001/main.do?rcpNo=20260814003945", "공시열람")</f>
        <v/>
      </c>
    </row>
    <row r="875">
      <c r="A875" s="5" t="inlineStr">
        <is>
          <t>우진엔텍</t>
        </is>
      </c>
      <c r="B875" s="6" t="inlineStr">
        <is>
          <t>457550</t>
        </is>
      </c>
      <c r="C875" s="6" t="inlineStr">
        <is>
          <t>2026Q2</t>
        </is>
      </c>
      <c r="D875" s="6" t="inlineStr">
        <is>
          <t>20260814</t>
        </is>
      </c>
      <c r="E875" s="16" t="n">
        <v>167239</v>
      </c>
      <c r="F875" s="16" t="n">
        <v>146153</v>
      </c>
      <c r="G875" s="16" t="n">
        <v>21086</v>
      </c>
      <c r="H875" s="6" t="inlineStr">
        <is>
          <t>백만원</t>
        </is>
      </c>
      <c r="I875" s="17" t="n">
        <v>-17.8</v>
      </c>
      <c r="J875" s="18" t="n">
        <v>50044</v>
      </c>
      <c r="K875" s="19" t="n">
        <v>40484</v>
      </c>
      <c r="L875" s="18" t="n">
        <v>53494</v>
      </c>
      <c r="M875" s="19" t="n">
        <v>45661</v>
      </c>
      <c r="N875" s="18" t="n">
        <v>43724</v>
      </c>
      <c r="O875" s="19" t="n">
        <v>36259</v>
      </c>
      <c r="P875" s="18" t="n">
        <v>32608</v>
      </c>
      <c r="Q875" s="19" t="n">
        <v>26383</v>
      </c>
      <c r="R875" s="18" t="n">
        <v>25641</v>
      </c>
      <c r="S875" s="20" t="n">
        <v>21086</v>
      </c>
      <c r="T875" s="6" t="n">
        <v>9</v>
      </c>
      <c r="U875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5" s="21">
        <f>HYPERLINK("https://dart.fss.or.kr/dsaf001/main.do?rcpNo=20260814000513", "공시열람")</f>
        <v/>
      </c>
    </row>
    <row r="876">
      <c r="A876" s="5" t="inlineStr">
        <is>
          <t>나우로보틱스</t>
        </is>
      </c>
      <c r="B876" s="6" t="inlineStr">
        <is>
          <t>459510</t>
        </is>
      </c>
      <c r="C876" s="6" t="inlineStr">
        <is>
          <t>2025Q4</t>
        </is>
      </c>
      <c r="D876" s="6" t="inlineStr">
        <is>
          <t>20260323</t>
        </is>
      </c>
      <c r="E876" s="16" t="inlineStr"/>
      <c r="F876" s="16" t="inlineStr"/>
      <c r="G876" s="16" t="n">
        <v>723234</v>
      </c>
      <c r="H876" s="6" t="inlineStr">
        <is>
          <t>천원</t>
        </is>
      </c>
      <c r="I876" s="17" t="inlineStr"/>
      <c r="J876" s="18" t="inlineStr"/>
      <c r="K876" s="19" t="inlineStr"/>
      <c r="L876" s="18" t="inlineStr"/>
      <c r="M876" s="19" t="inlineStr"/>
      <c r="N876" s="18" t="inlineStr"/>
      <c r="O876" s="19" t="inlineStr"/>
      <c r="P876" s="18" t="inlineStr"/>
      <c r="Q876" s="19" t="n">
        <v>723234</v>
      </c>
      <c r="R876" s="18" t="inlineStr"/>
      <c r="S876" s="20" t="inlineStr"/>
      <c r="T876" s="6" t="n">
        <v>1</v>
      </c>
      <c r="U876" s="5" t="inlineStr">
        <is>
          <t>주문제작 방식 산업용로봇 / -</t>
        </is>
      </c>
      <c r="V876" s="21">
        <f>HYPERLINK("https://dart.fss.or.kr/dsaf001/main.do?rcpNo=20260323000990", "공시열람")</f>
        <v/>
      </c>
    </row>
    <row r="877">
      <c r="A877" s="5" t="inlineStr">
        <is>
          <t>아이빔테크놀로지</t>
        </is>
      </c>
      <c r="B877" s="6" t="inlineStr">
        <is>
          <t>460470</t>
        </is>
      </c>
      <c r="C877" s="6" t="inlineStr">
        <is>
          <t>2026Q2</t>
        </is>
      </c>
      <c r="D877" s="6" t="inlineStr">
        <is>
          <t>20260813</t>
        </is>
      </c>
      <c r="E877" s="16" t="n">
        <v>301837</v>
      </c>
      <c r="F877" s="16" t="inlineStr"/>
      <c r="G877" s="16" t="n">
        <v>301837</v>
      </c>
      <c r="H877" s="6" t="inlineStr">
        <is>
          <t>천원</t>
        </is>
      </c>
      <c r="I877" s="17" t="n">
        <v>-83</v>
      </c>
      <c r="J877" s="18" t="inlineStr"/>
      <c r="K877" s="19" t="n">
        <v>782352</v>
      </c>
      <c r="L877" s="18" t="n">
        <v>647060</v>
      </c>
      <c r="M877" s="19" t="n">
        <v>525603</v>
      </c>
      <c r="N877" s="18" t="n">
        <v>572245</v>
      </c>
      <c r="O877" s="19" t="n">
        <v>880989</v>
      </c>
      <c r="P877" s="18" t="n">
        <v>532362</v>
      </c>
      <c r="Q877" s="19" t="n">
        <v>711083</v>
      </c>
      <c r="R877" s="18" t="n">
        <v>1772405</v>
      </c>
      <c r="S877" s="20" t="n">
        <v>301837</v>
      </c>
      <c r="T877" s="6" t="n">
        <v>8</v>
      </c>
      <c r="U877" s="5" t="inlineStr">
        <is>
          <t>CRO서비스 / 2025-03-18 / 2026년 예정 | CRO서비스 / 2026-06-05 / 2026년 예정 | CRO서비스 / 2026-05-26 / 2026년 예정</t>
        </is>
      </c>
      <c r="V877" s="21">
        <f>HYPERLINK("https://dart.fss.or.kr/dsaf001/main.do?rcpNo=20260813000688", "공시열람")</f>
        <v/>
      </c>
    </row>
    <row r="878">
      <c r="A878" s="5" t="inlineStr">
        <is>
          <t>동국제강</t>
        </is>
      </c>
      <c r="B878" s="6" t="inlineStr">
        <is>
          <t>460860</t>
        </is>
      </c>
      <c r="C878" s="6" t="inlineStr">
        <is>
          <t>2026Q2</t>
        </is>
      </c>
      <c r="D878" s="6" t="inlineStr">
        <is>
          <t>20260814</t>
        </is>
      </c>
      <c r="E878" s="16" t="n">
        <v>699010</v>
      </c>
      <c r="F878" s="16" t="n">
        <v>87896</v>
      </c>
      <c r="G878" s="16" t="n">
        <v>611114</v>
      </c>
      <c r="H878" s="6" t="inlineStr">
        <is>
          <t>톤,백만원</t>
        </is>
      </c>
      <c r="I878" s="17" t="n">
        <v>-5.3</v>
      </c>
      <c r="J878" s="18" t="n">
        <v>86719</v>
      </c>
      <c r="K878" s="19" t="n">
        <v>239931</v>
      </c>
      <c r="L878" s="18" t="n">
        <v>198900</v>
      </c>
      <c r="M878" s="19" t="n">
        <v>140695</v>
      </c>
      <c r="N878" s="18" t="n">
        <v>109957</v>
      </c>
      <c r="O878" s="19" t="n">
        <v>58781</v>
      </c>
      <c r="P878" s="18" t="n">
        <v>19179</v>
      </c>
      <c r="Q878" s="19" t="n">
        <v>668827</v>
      </c>
      <c r="R878" s="18" t="n">
        <v>645314</v>
      </c>
      <c r="S878" s="20" t="n">
        <v>611114</v>
      </c>
      <c r="T878" s="6" t="n">
        <v>1</v>
      </c>
      <c r="U878" s="5" t="inlineStr">
        <is>
          <t>이형철근 / 조달청 / 2025.10.29</t>
        </is>
      </c>
      <c r="V878" s="21">
        <f>HYPERLINK("https://dart.fss.or.kr/dsaf001/main.do?rcpNo=20260814001702", "공시열람")</f>
        <v/>
      </c>
    </row>
    <row r="879">
      <c r="A879" s="5" t="inlineStr">
        <is>
          <t>현대힘스</t>
        </is>
      </c>
      <c r="B879" s="6" t="inlineStr">
        <is>
          <t>460930</t>
        </is>
      </c>
      <c r="C879" s="6" t="inlineStr">
        <is>
          <t>2026Q2</t>
        </is>
      </c>
      <c r="D879" s="6" t="inlineStr">
        <is>
          <t>20260813</t>
        </is>
      </c>
      <c r="E879" s="16" t="n">
        <v>202343</v>
      </c>
      <c r="F879" s="16" t="n">
        <v>152481</v>
      </c>
      <c r="G879" s="16" t="n">
        <v>49862</v>
      </c>
      <c r="H879" s="6" t="inlineStr">
        <is>
          <t>백만원</t>
        </is>
      </c>
      <c r="I879" s="17" t="n">
        <v>-13.5</v>
      </c>
      <c r="J879" s="18" t="n">
        <v>38283</v>
      </c>
      <c r="K879" s="19" t="n">
        <v>36280</v>
      </c>
      <c r="L879" s="18" t="n">
        <v>34724</v>
      </c>
      <c r="M879" s="19" t="n">
        <v>35684</v>
      </c>
      <c r="N879" s="18" t="n">
        <v>41194</v>
      </c>
      <c r="O879" s="19" t="n">
        <v>60520</v>
      </c>
      <c r="P879" s="18" t="n">
        <v>54815</v>
      </c>
      <c r="Q879" s="19" t="n">
        <v>65375</v>
      </c>
      <c r="R879" s="18" t="n">
        <v>57628</v>
      </c>
      <c r="S879" s="20" t="n">
        <v>49862</v>
      </c>
      <c r="T879" s="6" t="n">
        <v>4</v>
      </c>
      <c r="U879" s="5" t="inlineStr">
        <is>
          <t>블록 / '26.06.30까지 / - | 항만크레인 / '26.06.30까지 / - | 배관/철의장 / '26.06.30까지 / -</t>
        </is>
      </c>
      <c r="V879" s="21">
        <f>HYPERLINK("https://dart.fss.or.kr/dsaf001/main.do?rcpNo=20260813000095", "공시열람")</f>
        <v/>
      </c>
    </row>
    <row r="880">
      <c r="A880" s="5" t="inlineStr">
        <is>
          <t>이노스페이스</t>
        </is>
      </c>
      <c r="B880" s="6" t="inlineStr">
        <is>
          <t>462350</t>
        </is>
      </c>
      <c r="C880" s="6" t="inlineStr">
        <is>
          <t>2026Q2</t>
        </is>
      </c>
      <c r="D880" s="6" t="inlineStr">
        <is>
          <t>20260814</t>
        </is>
      </c>
      <c r="E880" s="16" t="n">
        <v>11750</v>
      </c>
      <c r="F880" s="16" t="n">
        <v>5827</v>
      </c>
      <c r="G880" s="16" t="n">
        <v>5923</v>
      </c>
      <c r="H880" s="6" t="inlineStr">
        <is>
          <t>백만원</t>
        </is>
      </c>
      <c r="I880" s="17" t="n">
        <v>-27.3</v>
      </c>
      <c r="J880" s="18" t="n">
        <v>12608</v>
      </c>
      <c r="K880" s="19" t="n">
        <v>14149</v>
      </c>
      <c r="L880" s="18" t="n">
        <v>14932</v>
      </c>
      <c r="M880" s="19" t="n">
        <v>16204</v>
      </c>
      <c r="N880" s="18" t="n">
        <v>14389</v>
      </c>
      <c r="O880" s="19" t="n">
        <v>14432</v>
      </c>
      <c r="P880" s="18" t="n">
        <v>7374</v>
      </c>
      <c r="Q880" s="19" t="n">
        <v>9065</v>
      </c>
      <c r="R880" s="18" t="n">
        <v>8148</v>
      </c>
      <c r="S880" s="20" t="n">
        <v>5923</v>
      </c>
      <c r="T880" s="6" t="n">
        <v>2</v>
      </c>
      <c r="U880" s="5" t="inlineStr">
        <is>
          <t>모의 발사체 공급계약 / 2025년 / 2025년 ~  | 재사용 기술 시연체 유공압 엄빌리컬 위탁 개발 계약 /</t>
        </is>
      </c>
      <c r="V880" s="21">
        <f>HYPERLINK("https://dart.fss.or.kr/dsaf001/main.do?rcpNo=20260814003448", "공시열람")</f>
        <v/>
      </c>
    </row>
    <row r="881">
      <c r="A881" s="5" t="inlineStr">
        <is>
          <t>라메디텍</t>
        </is>
      </c>
      <c r="B881" s="6" t="inlineStr">
        <is>
          <t>462510</t>
        </is>
      </c>
      <c r="C881" s="6" t="inlineStr">
        <is>
          <t>2025Q1</t>
        </is>
      </c>
      <c r="D881" s="6" t="inlineStr">
        <is>
          <t>20250514</t>
        </is>
      </c>
      <c r="E881" s="16" t="n">
        <v>1493379</v>
      </c>
      <c r="F881" s="16" t="n">
        <v>1391379</v>
      </c>
      <c r="G881" s="16" t="n">
        <v>102000</v>
      </c>
      <c r="H881" s="6" t="inlineStr">
        <is>
          <t>천원</t>
        </is>
      </c>
      <c r="I881" s="17" t="n">
        <v>51.7</v>
      </c>
      <c r="J881" s="18" t="inlineStr"/>
      <c r="K881" s="19" t="n">
        <v>749000</v>
      </c>
      <c r="L881" s="18" t="n">
        <v>433000</v>
      </c>
      <c r="M881" s="19" t="n">
        <v>67244</v>
      </c>
      <c r="N881" s="18" t="n">
        <v>102000</v>
      </c>
      <c r="O881" s="19" t="inlineStr"/>
      <c r="P881" s="18" t="inlineStr"/>
      <c r="Q881" s="19" t="inlineStr"/>
      <c r="R881" s="18" t="inlineStr"/>
      <c r="S881" s="20" t="inlineStr"/>
      <c r="T881" s="6" t="n">
        <v>1</v>
      </c>
      <c r="U881" s="5" t="inlineStr">
        <is>
          <t>레이저 미용기기 / 2025-01-02 / 2025-0</t>
        </is>
      </c>
      <c r="V881" s="21">
        <f>HYPERLINK("https://dart.fss.or.kr/dsaf001/main.do?rcpNo=20250514000373", "공시열람")</f>
        <v/>
      </c>
    </row>
    <row r="882">
      <c r="A882" s="5" t="inlineStr">
        <is>
          <t>조선내화</t>
        </is>
      </c>
      <c r="B882" s="6" t="inlineStr">
        <is>
          <t>462520</t>
        </is>
      </c>
      <c r="C882" s="6" t="inlineStr">
        <is>
          <t>2023Q4</t>
        </is>
      </c>
      <c r="D882" s="6" t="inlineStr">
        <is>
          <t>20240313</t>
        </is>
      </c>
      <c r="E882" s="16" t="inlineStr"/>
      <c r="F882" s="16" t="inlineStr"/>
      <c r="G882" s="16" t="n">
        <v>49000000</v>
      </c>
      <c r="H882" s="6" t="inlineStr">
        <is>
          <t>천원</t>
        </is>
      </c>
      <c r="I882" s="17" t="inlineStr"/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inlineStr"/>
      <c r="R882" s="18" t="inlineStr"/>
      <c r="S882" s="20" t="inlineStr"/>
      <c r="T882" s="6" t="n">
        <v>1</v>
      </c>
      <c r="U882" s="5" t="inlineStr">
        <is>
          <t>국내플랜트공사 / -</t>
        </is>
      </c>
      <c r="V882" s="21">
        <f>HYPERLINK("https://dart.fss.or.kr/dsaf001/main.do?rcpNo=20240313001572", "공시열람")</f>
        <v/>
      </c>
    </row>
    <row r="883">
      <c r="A883" s="5" t="inlineStr">
        <is>
          <t>에스오에스랩</t>
        </is>
      </c>
      <c r="B883" s="6" t="inlineStr">
        <is>
          <t>464080</t>
        </is>
      </c>
      <c r="C883" s="6" t="inlineStr">
        <is>
          <t>2026Q2</t>
        </is>
      </c>
      <c r="D883" s="6" t="inlineStr">
        <is>
          <t>20260814</t>
        </is>
      </c>
      <c r="E883" s="16" t="n">
        <v>2240</v>
      </c>
      <c r="F883" s="16" t="inlineStr"/>
      <c r="G883" s="16" t="n">
        <v>1808</v>
      </c>
      <c r="H883" s="6" t="inlineStr">
        <is>
          <t>백만원</t>
        </is>
      </c>
      <c r="I883" s="17" t="n">
        <v>203.4</v>
      </c>
      <c r="J883" s="18" t="inlineStr"/>
      <c r="K883" s="19" t="n">
        <v>2986</v>
      </c>
      <c r="L883" s="18" t="n">
        <v>2247</v>
      </c>
      <c r="M883" s="19" t="n">
        <v>2038</v>
      </c>
      <c r="N883" s="18" t="n">
        <v>2674</v>
      </c>
      <c r="O883" s="19" t="n">
        <v>1503</v>
      </c>
      <c r="P883" s="18" t="n">
        <v>1503</v>
      </c>
      <c r="Q883" s="19" t="n">
        <v>370</v>
      </c>
      <c r="R883" s="18" t="n">
        <v>596</v>
      </c>
      <c r="S883" s="20" t="n">
        <v>1808</v>
      </c>
      <c r="T883" s="6" t="n">
        <v>7</v>
      </c>
      <c r="U883" s="5" t="inlineStr">
        <is>
          <t>인프라 / 스마트시티 / E사 / ML / 2026-0 | 인프라 / 기타 / E사 / 2023-08-16 | 모빌리티 / 로보틱스 / C사 / GL / 2026-0</t>
        </is>
      </c>
      <c r="V883" s="21">
        <f>HYPERLINK("https://dart.fss.or.kr/dsaf001/main.do?rcpNo=20260814003376", "공시열람")</f>
        <v/>
      </c>
    </row>
    <row r="884">
      <c r="A884" s="5" t="inlineStr">
        <is>
          <t>닷밀</t>
        </is>
      </c>
      <c r="B884" s="6" t="inlineStr">
        <is>
          <t>464580</t>
        </is>
      </c>
      <c r="C884" s="6" t="inlineStr">
        <is>
          <t>2026Q2</t>
        </is>
      </c>
      <c r="D884" s="6" t="inlineStr">
        <is>
          <t>20260814</t>
        </is>
      </c>
      <c r="E884" s="16" t="n">
        <v>27443</v>
      </c>
      <c r="F884" s="16" t="n">
        <v>24763</v>
      </c>
      <c r="G884" s="16" t="n">
        <v>2680</v>
      </c>
      <c r="H884" s="6" t="inlineStr">
        <is>
          <t>백만원</t>
        </is>
      </c>
      <c r="I884" s="17" t="n">
        <v>-59.8</v>
      </c>
      <c r="J884" s="18" t="inlineStr"/>
      <c r="K884" s="19" t="inlineStr"/>
      <c r="L884" s="18" t="inlineStr"/>
      <c r="M884" s="19" t="n">
        <v>7371</v>
      </c>
      <c r="N884" s="18" t="n">
        <v>8263</v>
      </c>
      <c r="O884" s="19" t="n">
        <v>9922</v>
      </c>
      <c r="P884" s="18" t="n">
        <v>1378</v>
      </c>
      <c r="Q884" s="19" t="n">
        <v>9012</v>
      </c>
      <c r="R884" s="18" t="n">
        <v>6669</v>
      </c>
      <c r="S884" s="20" t="n">
        <v>2680</v>
      </c>
      <c r="T884" s="6" t="n">
        <v>7</v>
      </c>
      <c r="U884" s="5" t="inlineStr">
        <is>
          <t>프로젝트 4 / 2025.06.20 / 2027.06. | 프로젝트 5 / 2025.12.24 / 2026.11. | 프로젝트 6 / 2025.12.29 / 2026.12.</t>
        </is>
      </c>
      <c r="V884" s="21">
        <f>HYPERLINK("https://dart.fss.or.kr/dsaf001/main.do?rcpNo=20260814000901", "공시열람")</f>
        <v/>
      </c>
    </row>
    <row r="885">
      <c r="A885" s="5" t="inlineStr">
        <is>
          <t>인스피언</t>
        </is>
      </c>
      <c r="B885" s="6" t="inlineStr">
        <is>
          <t>465480</t>
        </is>
      </c>
      <c r="C885" s="6" t="inlineStr">
        <is>
          <t>2026Q2</t>
        </is>
      </c>
      <c r="D885" s="6" t="inlineStr">
        <is>
          <t>20260813</t>
        </is>
      </c>
      <c r="E885" s="16" t="n">
        <v>17672576</v>
      </c>
      <c r="F885" s="16" t="inlineStr"/>
      <c r="G885" s="16" t="n">
        <v>8634035</v>
      </c>
      <c r="H885" s="6" t="inlineStr">
        <is>
          <t>건,천원</t>
        </is>
      </c>
      <c r="I885" s="17" t="n">
        <v>-4.5</v>
      </c>
      <c r="J885" s="18" t="inlineStr"/>
      <c r="K885" s="19" t="inlineStr"/>
      <c r="L885" s="18" t="inlineStr"/>
      <c r="M885" s="19" t="n">
        <v>8523195</v>
      </c>
      <c r="N885" s="18" t="n">
        <v>11527551</v>
      </c>
      <c r="O885" s="19" t="n">
        <v>10814854</v>
      </c>
      <c r="P885" s="18" t="n">
        <v>10676233</v>
      </c>
      <c r="Q885" s="19" t="n">
        <v>7686628</v>
      </c>
      <c r="R885" s="18" t="n">
        <v>9040396</v>
      </c>
      <c r="S885" s="20" t="n">
        <v>8634035</v>
      </c>
      <c r="T885" s="6" t="n">
        <v>7</v>
      </c>
      <c r="U885" s="5" t="inlineStr">
        <is>
          <t>솔루션 사업 / SW/HW | 솔루션 사업 / 유지보수 | 컨설팅 사업 / SM</t>
        </is>
      </c>
      <c r="V885" s="21">
        <f>HYPERLINK("https://dart.fss.or.kr/dsaf001/main.do?rcpNo=20260813001070", "공시열람")</f>
        <v/>
      </c>
    </row>
    <row r="886">
      <c r="A886" s="5" t="inlineStr">
        <is>
          <t>이노테크</t>
        </is>
      </c>
      <c r="B886" s="6" t="inlineStr">
        <is>
          <t>469610</t>
        </is>
      </c>
      <c r="C886" s="6" t="inlineStr">
        <is>
          <t>2026Q2</t>
        </is>
      </c>
      <c r="D886" s="6" t="inlineStr">
        <is>
          <t>20260811</t>
        </is>
      </c>
      <c r="E886" s="16" t="n">
        <v>3841</v>
      </c>
      <c r="F886" s="16" t="n">
        <v>602</v>
      </c>
      <c r="G886" s="16" t="n">
        <v>3239</v>
      </c>
      <c r="H886" s="6" t="inlineStr">
        <is>
          <t>백만원</t>
        </is>
      </c>
      <c r="I886" s="17" t="n">
        <v>-14.2</v>
      </c>
      <c r="J886" s="18" t="inlineStr"/>
      <c r="K886" s="19" t="inlineStr"/>
      <c r="L886" s="18" t="inlineStr"/>
      <c r="M886" s="19" t="inlineStr"/>
      <c r="N886" s="18" t="inlineStr"/>
      <c r="O886" s="19" t="inlineStr"/>
      <c r="P886" s="18" t="inlineStr"/>
      <c r="Q886" s="19" t="n">
        <v>3352366663</v>
      </c>
      <c r="R886" s="18" t="n">
        <v>3774</v>
      </c>
      <c r="S886" s="20" t="n">
        <v>3239</v>
      </c>
      <c r="T886" s="6" t="n">
        <v>3</v>
      </c>
      <c r="U886" s="5" t="inlineStr">
        <is>
          <t>디스플레이 | 반도체 | 기타</t>
        </is>
      </c>
      <c r="V886" s="21">
        <f>HYPERLINK("https://dart.fss.or.kr/dsaf001/main.do?rcpNo=20260811000295", "공시열람")</f>
        <v/>
      </c>
    </row>
    <row r="887">
      <c r="A887" s="5" t="inlineStr">
        <is>
          <t>아이비젼웍스</t>
        </is>
      </c>
      <c r="B887" s="6" t="inlineStr">
        <is>
          <t>469750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11579</v>
      </c>
      <c r="F887" s="16" t="n">
        <v>1742</v>
      </c>
      <c r="G887" s="16" t="n">
        <v>9508</v>
      </c>
      <c r="H887" s="6" t="inlineStr">
        <is>
          <t>백만원</t>
        </is>
      </c>
      <c r="I887" s="17" t="n">
        <v>45.4</v>
      </c>
      <c r="J887" s="18" t="inlineStr"/>
      <c r="K887" s="19" t="inlineStr"/>
      <c r="L887" s="18" t="n">
        <v>9175</v>
      </c>
      <c r="M887" s="19" t="n">
        <v>10423</v>
      </c>
      <c r="N887" s="18" t="n">
        <v>10744</v>
      </c>
      <c r="O887" s="19" t="n">
        <v>16645</v>
      </c>
      <c r="P887" s="18" t="n">
        <v>8244</v>
      </c>
      <c r="Q887" s="19" t="n">
        <v>7077</v>
      </c>
      <c r="R887" s="18" t="n">
        <v>6538</v>
      </c>
      <c r="S887" s="20" t="n">
        <v>9508</v>
      </c>
      <c r="T887" s="6" t="n">
        <v>1</v>
      </c>
      <c r="U887" s="5" t="inlineStr">
        <is>
          <t>이차전지검사시스템</t>
        </is>
      </c>
      <c r="V887" s="21">
        <f>HYPERLINK("https://dart.fss.or.kr/dsaf001/main.do?rcpNo=20260814000826", "공시열람")</f>
        <v/>
      </c>
    </row>
    <row r="888">
      <c r="A888" s="5" t="inlineStr">
        <is>
          <t>루미르</t>
        </is>
      </c>
      <c r="B888" s="6" t="inlineStr">
        <is>
          <t>474170</t>
        </is>
      </c>
      <c r="C888" s="6" t="inlineStr">
        <is>
          <t>2026Q2</t>
        </is>
      </c>
      <c r="D888" s="6" t="inlineStr">
        <is>
          <t>20260814</t>
        </is>
      </c>
      <c r="E888" s="16" t="n">
        <v>30992654</v>
      </c>
      <c r="F888" s="16" t="n">
        <v>26537861</v>
      </c>
      <c r="G888" s="16" t="n">
        <v>4454793</v>
      </c>
      <c r="H888" s="6" t="inlineStr">
        <is>
          <t>천원</t>
        </is>
      </c>
      <c r="I888" s="17" t="n">
        <v>-37.1</v>
      </c>
      <c r="J888" s="18" t="inlineStr"/>
      <c r="K888" s="19" t="inlineStr"/>
      <c r="L888" s="18" t="inlineStr"/>
      <c r="M888" s="19" t="n">
        <v>13201090</v>
      </c>
      <c r="N888" s="18" t="n">
        <v>11992186</v>
      </c>
      <c r="O888" s="19" t="n">
        <v>11103409</v>
      </c>
      <c r="P888" s="18" t="n">
        <v>8775404</v>
      </c>
      <c r="Q888" s="19" t="n">
        <v>7471105</v>
      </c>
      <c r="R888" s="18" t="n">
        <v>7083658</v>
      </c>
      <c r="S888" s="20" t="n">
        <v>4454793</v>
      </c>
      <c r="T888" s="6" t="n">
        <v>1</v>
      </c>
      <c r="U888" s="5" t="inlineStr">
        <is>
          <t>위성제조 분야</t>
        </is>
      </c>
      <c r="V888" s="21">
        <f>HYPERLINK("https://dart.fss.or.kr/dsaf001/main.do?rcpNo=20260814002463", "공시열람")</f>
        <v/>
      </c>
    </row>
    <row r="889">
      <c r="A889" s="5" t="inlineStr">
        <is>
          <t>SK이터닉스</t>
        </is>
      </c>
      <c r="B889" s="6" t="inlineStr">
        <is>
          <t>475150</t>
        </is>
      </c>
      <c r="C889" s="6" t="inlineStr">
        <is>
          <t>2026Q2</t>
        </is>
      </c>
      <c r="D889" s="6" t="inlineStr">
        <is>
          <t>20260813</t>
        </is>
      </c>
      <c r="E889" s="16" t="n">
        <v>614961</v>
      </c>
      <c r="F889" s="16" t="n">
        <v>385443</v>
      </c>
      <c r="G889" s="16" t="n">
        <v>229518</v>
      </c>
      <c r="H889" s="6" t="inlineStr">
        <is>
          <t>백만원</t>
        </is>
      </c>
      <c r="I889" s="17" t="n">
        <v>-49.6</v>
      </c>
      <c r="J889" s="18" t="n">
        <v>506429</v>
      </c>
      <c r="K889" s="19" t="n">
        <v>504048</v>
      </c>
      <c r="L889" s="18" t="n">
        <v>727912</v>
      </c>
      <c r="M889" s="19" t="n">
        <v>598423</v>
      </c>
      <c r="N889" s="18" t="n">
        <v>587955</v>
      </c>
      <c r="O889" s="19" t="n">
        <v>561909</v>
      </c>
      <c r="P889" s="18" t="n">
        <v>638702</v>
      </c>
      <c r="Q889" s="19" t="n">
        <v>457876</v>
      </c>
      <c r="R889" s="18" t="n">
        <v>455070</v>
      </c>
      <c r="S889" s="20" t="n">
        <v>229518</v>
      </c>
      <c r="T889" s="6" t="n">
        <v>4</v>
      </c>
      <c r="U889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9" s="21">
        <f>HYPERLINK("https://dart.fss.or.kr/dsaf001/main.do?rcpNo=20260813000561", "공시열람")</f>
        <v/>
      </c>
    </row>
    <row r="890">
      <c r="A890" s="5" t="inlineStr">
        <is>
          <t>엔알비</t>
        </is>
      </c>
      <c r="B890" s="6" t="inlineStr">
        <is>
          <t>475230</t>
        </is>
      </c>
      <c r="C890" s="6" t="inlineStr">
        <is>
          <t>2026Q2</t>
        </is>
      </c>
      <c r="D890" s="6" t="inlineStr">
        <is>
          <t>20260814</t>
        </is>
      </c>
      <c r="E890" s="16" t="n">
        <v>194985</v>
      </c>
      <c r="F890" s="16" t="n">
        <v>53989</v>
      </c>
      <c r="G890" s="16" t="n">
        <v>140996</v>
      </c>
      <c r="H890" s="6" t="inlineStr">
        <is>
          <t>백만원,%</t>
        </is>
      </c>
      <c r="I890" s="17" t="n">
        <v>140896</v>
      </c>
      <c r="J890" s="18" t="inlineStr"/>
      <c r="K890" s="19" t="inlineStr"/>
      <c r="L890" s="18" t="inlineStr"/>
      <c r="M890" s="19" t="inlineStr"/>
      <c r="N890" s="18" t="inlineStr"/>
      <c r="O890" s="19" t="n">
        <v>152323</v>
      </c>
      <c r="P890" s="18" t="n">
        <v>160603</v>
      </c>
      <c r="Q890" s="19" t="inlineStr"/>
      <c r="R890" s="18" t="n">
        <v>100</v>
      </c>
      <c r="S890" s="20" t="n">
        <v>140996</v>
      </c>
      <c r="T890" s="6" t="n">
        <v>2</v>
      </c>
      <c r="U890" s="5" t="inlineStr">
        <is>
          <t>주거시설 | 교육시설</t>
        </is>
      </c>
      <c r="V890" s="21">
        <f>HYPERLINK("https://dart.fss.or.kr/dsaf001/main.do?rcpNo=20260814001087", "공시열람")</f>
        <v/>
      </c>
    </row>
    <row r="891">
      <c r="A891" s="5" t="inlineStr">
        <is>
          <t>씨메스로보틱스</t>
        </is>
      </c>
      <c r="B891" s="6" t="inlineStr">
        <is>
          <t>475400</t>
        </is>
      </c>
      <c r="C891" s="6" t="inlineStr">
        <is>
          <t>2026Q2</t>
        </is>
      </c>
      <c r="D891" s="6" t="inlineStr">
        <is>
          <t>20260813</t>
        </is>
      </c>
      <c r="E891" s="16" t="inlineStr"/>
      <c r="F891" s="16" t="inlineStr"/>
      <c r="G891" s="16" t="n">
        <v>22552014</v>
      </c>
      <c r="H891" s="6" t="inlineStr">
        <is>
          <t>천원</t>
        </is>
      </c>
      <c r="I891" s="17" t="n">
        <v>143.9</v>
      </c>
      <c r="J891" s="18" t="inlineStr"/>
      <c r="K891" s="19" t="inlineStr"/>
      <c r="L891" s="18" t="inlineStr"/>
      <c r="M891" s="19" t="n">
        <v>7021</v>
      </c>
      <c r="N891" s="18" t="n">
        <v>7127971</v>
      </c>
      <c r="O891" s="19" t="n">
        <v>7559603</v>
      </c>
      <c r="P891" s="18" t="n">
        <v>10912070</v>
      </c>
      <c r="Q891" s="19" t="n">
        <v>9796130</v>
      </c>
      <c r="R891" s="18" t="n">
        <v>9245848</v>
      </c>
      <c r="S891" s="20" t="n">
        <v>22552014</v>
      </c>
      <c r="T891" s="6" t="n">
        <v>0</v>
      </c>
      <c r="U891" s="5" t="inlineStr"/>
      <c r="V891" s="21">
        <f>HYPERLINK("https://dart.fss.or.kr/dsaf001/main.do?rcpNo=20260813000340", "공시열람")</f>
        <v/>
      </c>
    </row>
    <row r="892">
      <c r="A892" s="5" t="inlineStr">
        <is>
          <t>키스트론</t>
        </is>
      </c>
      <c r="B892" s="6" t="inlineStr">
        <is>
          <t>475430</t>
        </is>
      </c>
      <c r="C892" s="6" t="inlineStr">
        <is>
          <t>2025Q3</t>
        </is>
      </c>
      <c r="D892" s="6" t="inlineStr">
        <is>
          <t>20251114</t>
        </is>
      </c>
      <c r="E892" s="16" t="n">
        <v>61298</v>
      </c>
      <c r="F892" s="16" t="n">
        <v>47915</v>
      </c>
      <c r="G892" s="16" t="n">
        <v>13383</v>
      </c>
      <c r="H892" s="6" t="inlineStr">
        <is>
          <t>톤,백만원</t>
        </is>
      </c>
      <c r="I892" s="17" t="n">
        <v>94.7</v>
      </c>
      <c r="J892" s="18" t="inlineStr"/>
      <c r="K892" s="19" t="inlineStr"/>
      <c r="L892" s="18" t="inlineStr"/>
      <c r="M892" s="19" t="inlineStr"/>
      <c r="N892" s="18" t="inlineStr"/>
      <c r="O892" s="19" t="n">
        <v>6875</v>
      </c>
      <c r="P892" s="18" t="n">
        <v>13383</v>
      </c>
      <c r="Q892" s="19" t="inlineStr"/>
      <c r="R892" s="18" t="inlineStr"/>
      <c r="S892" s="20" t="inlineStr"/>
      <c r="T892" s="6" t="n">
        <v>2</v>
      </c>
      <c r="U892" s="5" t="inlineStr">
        <is>
          <t>전자부품용 | 케이블용</t>
        </is>
      </c>
      <c r="V892" s="21">
        <f>HYPERLINK("https://dart.fss.or.kr/dsaf001/main.do?rcpNo=20251114001576", "공시열람")</f>
        <v/>
      </c>
    </row>
    <row r="893">
      <c r="A893" s="5" t="inlineStr">
        <is>
          <t>에이럭스</t>
        </is>
      </c>
      <c r="B893" s="6" t="inlineStr">
        <is>
          <t>475580</t>
        </is>
      </c>
      <c r="C893" s="6" t="inlineStr">
        <is>
          <t>2026Q2</t>
        </is>
      </c>
      <c r="D893" s="6" t="inlineStr">
        <is>
          <t>20260814</t>
        </is>
      </c>
      <c r="E893" s="16" t="n">
        <v>2593962</v>
      </c>
      <c r="F893" s="16" t="n">
        <v>381146640</v>
      </c>
      <c r="G893" s="16" t="n">
        <v>2212815</v>
      </c>
      <c r="H893" s="6" t="inlineStr">
        <is>
          <t>건,천원</t>
        </is>
      </c>
      <c r="I893" s="17" t="n">
        <v>-14.7</v>
      </c>
      <c r="J893" s="18" t="inlineStr"/>
      <c r="K893" s="19" t="inlineStr"/>
      <c r="L893" s="18" t="inlineStr"/>
      <c r="M893" s="19" t="n">
        <v>2512817</v>
      </c>
      <c r="N893" s="18" t="n">
        <v>3964234</v>
      </c>
      <c r="O893" s="19" t="n">
        <v>2358111</v>
      </c>
      <c r="P893" s="18" t="n">
        <v>1917027</v>
      </c>
      <c r="Q893" s="19" t="n">
        <v>2343761</v>
      </c>
      <c r="R893" s="18" t="n">
        <v>2593962</v>
      </c>
      <c r="S893" s="20" t="n">
        <v>2212815</v>
      </c>
      <c r="T893" s="6" t="n">
        <v>6</v>
      </c>
      <c r="U893" s="5" t="inlineStr">
        <is>
          <t>로보링크주식회사 / 드론 / 2026-08-07 / 2 | 로보링크주식회사 / 드론 / 2026-01-07 / 2 | 로보링크주식회사 / 드론 / 2026-07-13 / 2</t>
        </is>
      </c>
      <c r="V893" s="21">
        <f>HYPERLINK("https://dart.fss.or.kr/dsaf001/main.do?rcpNo=20260814002126", "공시열람")</f>
        <v/>
      </c>
    </row>
    <row r="894">
      <c r="A894" s="5" t="inlineStr">
        <is>
          <t>토모큐브</t>
        </is>
      </c>
      <c r="B894" s="6" t="inlineStr">
        <is>
          <t>475960</t>
        </is>
      </c>
      <c r="C894" s="6" t="inlineStr">
        <is>
          <t>2026Q2</t>
        </is>
      </c>
      <c r="D894" s="6" t="inlineStr">
        <is>
          <t>20260814</t>
        </is>
      </c>
      <c r="E894" s="16" t="n">
        <v>4879</v>
      </c>
      <c r="F894" s="16" t="inlineStr"/>
      <c r="G894" s="16" t="n">
        <v>2006</v>
      </c>
      <c r="H894" s="6" t="inlineStr">
        <is>
          <t>백만원</t>
        </is>
      </c>
      <c r="I894" s="17" t="n">
        <v>-43.6</v>
      </c>
      <c r="J894" s="18" t="inlineStr"/>
      <c r="K894" s="19" t="inlineStr"/>
      <c r="L894" s="18" t="inlineStr"/>
      <c r="M894" s="19" t="inlineStr"/>
      <c r="N894" s="18" t="inlineStr"/>
      <c r="O894" s="19" t="n">
        <v>1731</v>
      </c>
      <c r="P894" s="18" t="n">
        <v>2535</v>
      </c>
      <c r="Q894" s="19" t="n">
        <v>1422</v>
      </c>
      <c r="R894" s="18" t="n">
        <v>3555</v>
      </c>
      <c r="S894" s="20" t="n">
        <v>2006</v>
      </c>
      <c r="T894" s="6" t="n">
        <v>1</v>
      </c>
      <c r="U894" s="5" t="inlineStr">
        <is>
          <t>HT 제품군 등</t>
        </is>
      </c>
      <c r="V894" s="21">
        <f>HYPERLINK("https://dart.fss.or.kr/dsaf001/main.do?rcpNo=20260814001367", "공시열람")</f>
        <v/>
      </c>
    </row>
    <row r="895">
      <c r="A895" s="5" t="inlineStr">
        <is>
          <t>오가노이드사이언스</t>
        </is>
      </c>
      <c r="B895" s="6" t="inlineStr">
        <is>
          <t>476040</t>
        </is>
      </c>
      <c r="C895" s="6" t="inlineStr">
        <is>
          <t>2026Q2</t>
        </is>
      </c>
      <c r="D895" s="6" t="inlineStr">
        <is>
          <t>20260814</t>
        </is>
      </c>
      <c r="E895" s="16" t="n">
        <v>422525882</v>
      </c>
      <c r="F895" s="16" t="n">
        <v>162313417</v>
      </c>
      <c r="G895" s="16" t="n">
        <v>260212465</v>
      </c>
      <c r="H895" s="6" t="inlineStr">
        <is>
          <t>원</t>
        </is>
      </c>
      <c r="I895" s="17" t="n">
        <v>66.59999999999999</v>
      </c>
      <c r="J895" s="18" t="inlineStr"/>
      <c r="K895" s="19" t="inlineStr"/>
      <c r="L895" s="18" t="inlineStr"/>
      <c r="M895" s="19" t="inlineStr"/>
      <c r="N895" s="18" t="inlineStr"/>
      <c r="O895" s="19" t="n">
        <v>620345026</v>
      </c>
      <c r="P895" s="18" t="n">
        <v>279593635</v>
      </c>
      <c r="Q895" s="19" t="n">
        <v>88671815</v>
      </c>
      <c r="R895" s="18" t="n">
        <v>156184575</v>
      </c>
      <c r="S895" s="20" t="n">
        <v>260212465</v>
      </c>
      <c r="T895" s="6" t="n">
        <v>10</v>
      </c>
      <c r="U895" s="5" t="inlineStr">
        <is>
          <t>약물평가 / 2026-02-01 / 2028-02-01 | 약물평가 / 2026-05-05 / 2026-12-31 | 약물평가 / 2026-05-01 / 2027-02-28</t>
        </is>
      </c>
      <c r="V895" s="21">
        <f>HYPERLINK("https://dart.fss.or.kr/dsaf001/main.do?rcpNo=20260814002513", "공시열람")</f>
        <v/>
      </c>
    </row>
    <row r="896">
      <c r="A896" s="5" t="inlineStr">
        <is>
          <t>M83</t>
        </is>
      </c>
      <c r="B896" s="6" t="inlineStr">
        <is>
          <t>476080</t>
        </is>
      </c>
      <c r="C896" s="6" t="inlineStr">
        <is>
          <t>2026Q2</t>
        </is>
      </c>
      <c r="D896" s="6" t="inlineStr">
        <is>
          <t>20260813</t>
        </is>
      </c>
      <c r="E896" s="16" t="n">
        <v>21588</v>
      </c>
      <c r="F896" s="16" t="n">
        <v>8873</v>
      </c>
      <c r="G896" s="16" t="n">
        <v>12715</v>
      </c>
      <c r="H896" s="6" t="inlineStr">
        <is>
          <t>백만원</t>
        </is>
      </c>
      <c r="I896" s="17" t="n">
        <v>11.6</v>
      </c>
      <c r="J896" s="18" t="inlineStr"/>
      <c r="K896" s="19" t="inlineStr"/>
      <c r="L896" s="18" t="n">
        <v>6546</v>
      </c>
      <c r="M896" s="19" t="n">
        <v>3246</v>
      </c>
      <c r="N896" s="18" t="n">
        <v>1234</v>
      </c>
      <c r="O896" s="19" t="n">
        <v>4987</v>
      </c>
      <c r="P896" s="18" t="n">
        <v>4013</v>
      </c>
      <c r="Q896" s="19" t="n">
        <v>3821</v>
      </c>
      <c r="R896" s="18" t="n">
        <v>11390</v>
      </c>
      <c r="S896" s="20" t="n">
        <v>12715</v>
      </c>
      <c r="T896" s="6" t="n">
        <v>3</v>
      </c>
      <c r="U896" s="5" t="inlineStr">
        <is>
          <t>VFX 용역(주3) / 2026년 03월 26일. /  | VFX 용역 / 2026년 06월 29일 / 최종 납품 | J(가제) VFX 용역(주4) / 2025년 06월 0</t>
        </is>
      </c>
      <c r="V896" s="21">
        <f>HYPERLINK("https://dart.fss.or.kr/dsaf001/main.do?rcpNo=20260813000320", "공시열람")</f>
        <v/>
      </c>
    </row>
    <row r="897">
      <c r="A897" s="5" t="inlineStr">
        <is>
          <t>마키나락스</t>
        </is>
      </c>
      <c r="B897" s="6" t="inlineStr">
        <is>
          <t>477850</t>
        </is>
      </c>
      <c r="C897" s="6" t="inlineStr">
        <is>
          <t>2026Q2</t>
        </is>
      </c>
      <c r="D897" s="6" t="inlineStr">
        <is>
          <t>20260814</t>
        </is>
      </c>
      <c r="E897" s="16" t="n">
        <v>23687</v>
      </c>
      <c r="F897" s="16" t="n">
        <v>8884</v>
      </c>
      <c r="G897" s="16" t="n">
        <v>14777</v>
      </c>
      <c r="H897" s="6" t="inlineStr">
        <is>
          <t>백만원</t>
        </is>
      </c>
      <c r="I897" s="17" t="n">
        <v>-100</v>
      </c>
      <c r="J897" s="18" t="inlineStr"/>
      <c r="K897" s="19" t="inlineStr"/>
      <c r="L897" s="18" t="inlineStr"/>
      <c r="M897" s="19" t="inlineStr"/>
      <c r="N897" s="18" t="inlineStr"/>
      <c r="O897" s="19" t="inlineStr"/>
      <c r="P897" s="18" t="inlineStr"/>
      <c r="Q897" s="19" t="inlineStr"/>
      <c r="R897" s="18" t="n">
        <v>15191903640</v>
      </c>
      <c r="S897" s="20" t="n">
        <v>14777</v>
      </c>
      <c r="T897" s="6" t="n">
        <v>3</v>
      </c>
      <c r="U897" s="5" t="inlineStr">
        <is>
          <t>AI 연구개발 / 특화 AI 솔루션 연구개발 | AI 운영체제 / AI 솔루션 공급 | AI 운영체제 / AI OS (Runway)</t>
        </is>
      </c>
      <c r="V897" s="21">
        <f>HYPERLINK("https://dart.fss.or.kr/dsaf001/main.do?rcpNo=20260814001400", "공시열람")</f>
        <v/>
      </c>
    </row>
    <row r="898">
      <c r="A898" s="5" t="inlineStr">
        <is>
          <t>나라스페이스테크놀로지</t>
        </is>
      </c>
      <c r="B898" s="6" t="inlineStr">
        <is>
          <t>478340</t>
        </is>
      </c>
      <c r="C898" s="6" t="inlineStr">
        <is>
          <t>2026Q2</t>
        </is>
      </c>
      <c r="D898" s="6" t="inlineStr">
        <is>
          <t>20260814</t>
        </is>
      </c>
      <c r="E898" s="16" t="n">
        <v>43128614</v>
      </c>
      <c r="F898" s="16" t="inlineStr"/>
      <c r="G898" s="16" t="n">
        <v>28605889</v>
      </c>
      <c r="H898" s="6" t="inlineStr">
        <is>
          <t>천원</t>
        </is>
      </c>
      <c r="I898" s="17" t="n">
        <v>46.1</v>
      </c>
      <c r="J898" s="18" t="inlineStr"/>
      <c r="K898" s="19" t="inlineStr"/>
      <c r="L898" s="18" t="inlineStr"/>
      <c r="M898" s="19" t="inlineStr"/>
      <c r="N898" s="18" t="inlineStr"/>
      <c r="O898" s="19" t="inlineStr"/>
      <c r="P898" s="18" t="inlineStr"/>
      <c r="Q898" s="19" t="n">
        <v>17637906</v>
      </c>
      <c r="R898" s="18" t="n">
        <v>19583035</v>
      </c>
      <c r="S898" s="20" t="n">
        <v>28605889</v>
      </c>
      <c r="T898" s="6" t="n">
        <v>11</v>
      </c>
      <c r="U898" s="5" t="inlineStr">
        <is>
          <t>위성제조 분야 / 2026-06-19 / 2030-07 | 위성영상 분야 등 / 2025-05-26 / 2029- | 위성제조 분야 / 2024-11-07 / 2028-12</t>
        </is>
      </c>
      <c r="V898" s="21">
        <f>HYPERLINK("https://dart.fss.or.kr/dsaf001/main.do?rcpNo=20260814002537", "공시열람")</f>
        <v/>
      </c>
    </row>
    <row r="899">
      <c r="A899" s="5" t="inlineStr">
        <is>
          <t>씨케이솔루션</t>
        </is>
      </c>
      <c r="B899" s="6" t="inlineStr">
        <is>
          <t>480370</t>
        </is>
      </c>
      <c r="C899" s="6" t="inlineStr">
        <is>
          <t>2026Q2</t>
        </is>
      </c>
      <c r="D899" s="6" t="inlineStr">
        <is>
          <t>20260814</t>
        </is>
      </c>
      <c r="E899" s="16" t="n">
        <v>660947</v>
      </c>
      <c r="F899" s="16" t="n">
        <v>407631</v>
      </c>
      <c r="G899" s="16" t="n">
        <v>253316</v>
      </c>
      <c r="H899" s="6" t="inlineStr">
        <is>
          <t>백만원</t>
        </is>
      </c>
      <c r="I899" s="17" t="n">
        <v>19.5</v>
      </c>
      <c r="J899" s="18" t="inlineStr"/>
      <c r="K899" s="19" t="inlineStr"/>
      <c r="L899" s="18" t="inlineStr"/>
      <c r="M899" s="19" t="n">
        <v>252345</v>
      </c>
      <c r="N899" s="18" t="n">
        <v>202545</v>
      </c>
      <c r="O899" s="19" t="n">
        <v>192631</v>
      </c>
      <c r="P899" s="18" t="n">
        <v>250229</v>
      </c>
      <c r="Q899" s="19" t="n">
        <v>238406</v>
      </c>
      <c r="R899" s="18" t="n">
        <v>211974</v>
      </c>
      <c r="S899" s="20" t="n">
        <v>253316</v>
      </c>
      <c r="T899" s="6" t="n">
        <v>3</v>
      </c>
      <c r="U899" s="5" t="inlineStr">
        <is>
          <t>드라이룸 | 클린룸 | 기타</t>
        </is>
      </c>
      <c r="V899" s="21">
        <f>HYPERLINK("https://dart.fss.or.kr/dsaf001/main.do?rcpNo=20260814001347", "공시열람")</f>
        <v/>
      </c>
    </row>
    <row r="900">
      <c r="A900" s="5" t="inlineStr">
        <is>
          <t>삼양컴텍</t>
        </is>
      </c>
      <c r="B900" s="6" t="inlineStr">
        <is>
          <t>484590</t>
        </is>
      </c>
      <c r="C900" s="6" t="inlineStr">
        <is>
          <t>2025Q2</t>
        </is>
      </c>
      <c r="D900" s="6" t="inlineStr">
        <is>
          <t>20250822</t>
        </is>
      </c>
      <c r="E900" s="16" t="n">
        <v>281584</v>
      </c>
      <c r="F900" s="16" t="n">
        <v>65514</v>
      </c>
      <c r="G900" s="16" t="n">
        <v>216070</v>
      </c>
      <c r="H900" s="6" t="inlineStr">
        <is>
          <t>백만원</t>
        </is>
      </c>
      <c r="I900" s="17" t="inlineStr"/>
      <c r="J900" s="18" t="inlineStr"/>
      <c r="K900" s="19" t="inlineStr"/>
      <c r="L900" s="18" t="inlineStr"/>
      <c r="M900" s="19" t="inlineStr"/>
      <c r="N900" s="18" t="inlineStr"/>
      <c r="O900" s="19" t="n">
        <v>216070</v>
      </c>
      <c r="P900" s="18" t="inlineStr"/>
      <c r="Q900" s="19" t="inlineStr"/>
      <c r="R900" s="18" t="inlineStr"/>
      <c r="S900" s="20" t="inlineStr"/>
      <c r="T900" s="6" t="n">
        <v>1</v>
      </c>
      <c r="U900" s="5" t="inlineStr">
        <is>
          <t>방산부품 / 2025.06.30 / -</t>
        </is>
      </c>
      <c r="V900" s="21">
        <f>HYPERLINK("https://dart.fss.or.kr/dsaf001/main.do?rcpNo=20250822000351", "공시열람")</f>
        <v/>
      </c>
    </row>
    <row r="901">
      <c r="A901" s="5" t="inlineStr">
        <is>
          <t>엠앤씨솔루션</t>
        </is>
      </c>
      <c r="B901" s="6" t="inlineStr">
        <is>
          <t>484870</t>
        </is>
      </c>
      <c r="C901" s="6" t="inlineStr">
        <is>
          <t>2026Q2</t>
        </is>
      </c>
      <c r="D901" s="6" t="inlineStr">
        <is>
          <t>20260814</t>
        </is>
      </c>
      <c r="E901" s="16" t="n">
        <v>17788</v>
      </c>
      <c r="F901" s="16" t="n">
        <v>8457</v>
      </c>
      <c r="G901" s="16" t="n">
        <v>28938</v>
      </c>
      <c r="H901" s="6" t="inlineStr">
        <is>
          <t>억원</t>
        </is>
      </c>
      <c r="I901" s="17" t="n">
        <v>-1</v>
      </c>
      <c r="J901" s="18" t="inlineStr"/>
      <c r="K901" s="19" t="inlineStr"/>
      <c r="L901" s="18" t="inlineStr"/>
      <c r="M901" s="19" t="n">
        <v>9570</v>
      </c>
      <c r="N901" s="18" t="n">
        <v>9035</v>
      </c>
      <c r="O901" s="19" t="n">
        <v>8797</v>
      </c>
      <c r="P901" s="18" t="n">
        <v>8273</v>
      </c>
      <c r="Q901" s="19" t="n">
        <v>10037</v>
      </c>
      <c r="R901" s="18" t="n">
        <v>29229</v>
      </c>
      <c r="S901" s="20" t="n">
        <v>28938</v>
      </c>
      <c r="T901" s="6" t="n">
        <v>3</v>
      </c>
      <c r="U901" s="5" t="inlineStr">
        <is>
          <t>방산부품 / 2025.12.31 / - | 방산부품 / 2024.12.31 / - | 방산부품 / 2026.06.30 / -</t>
        </is>
      </c>
      <c r="V901" s="21">
        <f>HYPERLINK("https://dart.fss.or.kr/dsaf001/main.do?rcpNo=20260814000987", "공시열람")</f>
        <v/>
      </c>
    </row>
    <row r="902">
      <c r="A902" s="5" t="inlineStr">
        <is>
          <t>노타</t>
        </is>
      </c>
      <c r="B902" s="6" t="inlineStr">
        <is>
          <t>486990</t>
        </is>
      </c>
      <c r="C902" s="6" t="inlineStr">
        <is>
          <t>2026Q2</t>
        </is>
      </c>
      <c r="D902" s="6" t="inlineStr">
        <is>
          <t>20260814</t>
        </is>
      </c>
      <c r="E902" s="16" t="inlineStr"/>
      <c r="F902" s="16" t="n">
        <v>7407957</v>
      </c>
      <c r="G902" s="16" t="n">
        <v>11600415</v>
      </c>
      <c r="H902" s="6" t="inlineStr">
        <is>
          <t>천원</t>
        </is>
      </c>
      <c r="I902" s="17" t="n">
        <v>-4.3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inlineStr"/>
      <c r="Q902" s="19" t="n">
        <v>1090864</v>
      </c>
      <c r="R902" s="18" t="n">
        <v>12123360</v>
      </c>
      <c r="S902" s="20" t="n">
        <v>11600415</v>
      </c>
      <c r="T902" s="6" t="n">
        <v>2</v>
      </c>
      <c r="U902" s="5" t="inlineStr">
        <is>
          <t>플랫폼 / 6건 | 솔루션 / 33건</t>
        </is>
      </c>
      <c r="V902" s="21">
        <f>HYPERLINK("https://dart.fss.or.kr/dsaf001/main.do?rcpNo=20260814003297", "공시열람")</f>
        <v/>
      </c>
    </row>
    <row r="903">
      <c r="A903" s="5" t="inlineStr">
        <is>
          <t>케이앤에스아이앤씨</t>
        </is>
      </c>
      <c r="B903" s="6" t="inlineStr">
        <is>
          <t>487400</t>
        </is>
      </c>
      <c r="C903" s="6" t="inlineStr">
        <is>
          <t>2026Q2</t>
        </is>
      </c>
      <c r="D903" s="6" t="inlineStr">
        <is>
          <t>20260814</t>
        </is>
      </c>
      <c r="E903" s="16" t="inlineStr"/>
      <c r="F903" s="16" t="inlineStr"/>
      <c r="G903" s="16" t="n">
        <v>33999743</v>
      </c>
      <c r="H903" s="6" t="inlineStr">
        <is>
          <t>천원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inlineStr"/>
      <c r="S903" s="20" t="n">
        <v>33999743</v>
      </c>
      <c r="T903" s="6" t="n">
        <v>5</v>
      </c>
      <c r="U903" s="5" t="inlineStr">
        <is>
          <t>A고객사 / 군용 VSAT | B고객사 / 군용 VSAT | C고객사 / 상용 VSAT</t>
        </is>
      </c>
      <c r="V903" s="21">
        <f>HYPERLINK("https://dart.fss.or.kr/dsaf001/main.do?rcpNo=20260814000925", "공시열람")</f>
        <v/>
      </c>
    </row>
    <row r="904">
      <c r="A904" s="5" t="inlineStr">
        <is>
          <t>에스투더블유</t>
        </is>
      </c>
      <c r="B904" s="6" t="inlineStr">
        <is>
          <t>488280</t>
        </is>
      </c>
      <c r="C904" s="6" t="inlineStr">
        <is>
          <t>2026Q2</t>
        </is>
      </c>
      <c r="D904" s="6" t="inlineStr">
        <is>
          <t>20260813</t>
        </is>
      </c>
      <c r="E904" s="16" t="n">
        <v>11195</v>
      </c>
      <c r="F904" s="16" t="n">
        <v>5844</v>
      </c>
      <c r="G904" s="16" t="n">
        <v>5351</v>
      </c>
      <c r="H904" s="6" t="inlineStr">
        <is>
          <t>백만원</t>
        </is>
      </c>
      <c r="I904" s="17" t="n">
        <v>-9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n">
        <v>6544</v>
      </c>
      <c r="Q904" s="19" t="n">
        <v>5825</v>
      </c>
      <c r="R904" s="18" t="n">
        <v>5881</v>
      </c>
      <c r="S904" s="20" t="n">
        <v>5351</v>
      </c>
      <c r="T904" s="6" t="n">
        <v>1</v>
      </c>
      <c r="U904" s="5" t="inlineStr">
        <is>
          <t>서비스</t>
        </is>
      </c>
      <c r="V904" s="21">
        <f>HYPERLINK("https://dart.fss.or.kr/dsaf001/main.do?rcpNo=20260813001570", "공시열람")</f>
        <v/>
      </c>
    </row>
    <row r="905">
      <c r="A905" s="5" t="inlineStr">
        <is>
          <t>비츠로넥스텍</t>
        </is>
      </c>
      <c r="B905" s="6" t="inlineStr">
        <is>
          <t>488900</t>
        </is>
      </c>
      <c r="C905" s="6" t="inlineStr">
        <is>
          <t>2026Q1</t>
        </is>
      </c>
      <c r="D905" s="6" t="inlineStr">
        <is>
          <t>20260515</t>
        </is>
      </c>
      <c r="E905" s="16" t="n">
        <v>137393</v>
      </c>
      <c r="F905" s="16" t="n">
        <v>71658</v>
      </c>
      <c r="G905" s="16" t="n">
        <v>65735</v>
      </c>
      <c r="H905" s="6" t="inlineStr">
        <is>
          <t>백만원</t>
        </is>
      </c>
      <c r="I905" s="17" t="inlineStr"/>
      <c r="J905" s="18" t="inlineStr"/>
      <c r="K905" s="19" t="inlineStr"/>
      <c r="L905" s="18" t="inlineStr"/>
      <c r="M905" s="19" t="inlineStr"/>
      <c r="N905" s="18" t="inlineStr"/>
      <c r="O905" s="19" t="inlineStr"/>
      <c r="P905" s="18" t="inlineStr"/>
      <c r="Q905" s="19" t="inlineStr"/>
      <c r="R905" s="18" t="n">
        <v>65735</v>
      </c>
      <c r="S905" s="20" t="inlineStr"/>
      <c r="T905" s="6" t="n">
        <v>1</v>
      </c>
      <c r="U905" s="5" t="inlineStr">
        <is>
          <t>연소기외 / -</t>
        </is>
      </c>
      <c r="V905" s="21">
        <f>HYPERLINK("https://dart.fss.or.kr/dsaf001/main.do?rcpNo=20260515002341", "공시열람")</f>
        <v/>
      </c>
    </row>
    <row r="906">
      <c r="A906" s="5" t="inlineStr">
        <is>
          <t>한화비전</t>
        </is>
      </c>
      <c r="B906" s="6" t="inlineStr">
        <is>
          <t>489790</t>
        </is>
      </c>
      <c r="C906" s="6" t="inlineStr">
        <is>
          <t>2026Q2</t>
        </is>
      </c>
      <c r="D906" s="6" t="inlineStr">
        <is>
          <t>20260813</t>
        </is>
      </c>
      <c r="E906" s="16" t="n">
        <v>29459</v>
      </c>
      <c r="F906" s="16" t="n">
        <v>16154</v>
      </c>
      <c r="G906" s="16" t="n">
        <v>13305</v>
      </c>
      <c r="H906" s="6" t="inlineStr">
        <is>
          <t>백만원</t>
        </is>
      </c>
      <c r="I906" s="17" t="n">
        <v>-14</v>
      </c>
      <c r="J906" s="18" t="inlineStr"/>
      <c r="K906" s="19" t="inlineStr"/>
      <c r="L906" s="18" t="n">
        <v>44966</v>
      </c>
      <c r="M906" s="19" t="n">
        <v>41331</v>
      </c>
      <c r="N906" s="18" t="n">
        <v>27365</v>
      </c>
      <c r="O906" s="19" t="n">
        <v>40652</v>
      </c>
      <c r="P906" s="18" t="n">
        <v>29986</v>
      </c>
      <c r="Q906" s="19" t="n">
        <v>22106</v>
      </c>
      <c r="R906" s="18" t="n">
        <v>15476</v>
      </c>
      <c r="S906" s="20" t="n">
        <v>13305</v>
      </c>
      <c r="T906" s="6" t="n">
        <v>1</v>
      </c>
      <c r="U906" s="5" t="inlineStr">
        <is>
          <t>CCTV설치공사 등 / -</t>
        </is>
      </c>
      <c r="V906" s="21">
        <f>HYPERLINK("https://dart.fss.or.kr/dsaf001/main.do?rcpNo=20260813001301", "공시열람")</f>
        <v/>
      </c>
    </row>
    <row r="907">
      <c r="A907" s="5" t="inlineStr">
        <is>
          <t>지에프아이</t>
        </is>
      </c>
      <c r="B907" s="6" t="inlineStr">
        <is>
          <t>493330</t>
        </is>
      </c>
      <c r="C907" s="6" t="inlineStr">
        <is>
          <t>2026Q2</t>
        </is>
      </c>
      <c r="D907" s="6" t="inlineStr">
        <is>
          <t>20260813</t>
        </is>
      </c>
      <c r="E907" s="16" t="n">
        <v>1088896</v>
      </c>
      <c r="F907" s="16" t="n">
        <v>1088896</v>
      </c>
      <c r="G907" s="16" t="n">
        <v>0</v>
      </c>
      <c r="H907" s="6" t="inlineStr">
        <is>
          <t>천원</t>
        </is>
      </c>
      <c r="I907" s="17" t="n">
        <v>-100</v>
      </c>
      <c r="J907" s="18" t="inlineStr"/>
      <c r="K907" s="19" t="inlineStr"/>
      <c r="L907" s="18" t="inlineStr"/>
      <c r="M907" s="19" t="inlineStr"/>
      <c r="N907" s="18" t="inlineStr"/>
      <c r="O907" s="19" t="inlineStr"/>
      <c r="P907" s="18" t="n">
        <v>663499</v>
      </c>
      <c r="Q907" s="19" t="n">
        <v>552241</v>
      </c>
      <c r="R907" s="18" t="n">
        <v>80864</v>
      </c>
      <c r="S907" s="20" t="n">
        <v>0</v>
      </c>
      <c r="T907" s="6" t="n">
        <v>2</v>
      </c>
      <c r="U907" s="5" t="inlineStr">
        <is>
          <t>국내 ESS 직분사 확대적용 300MWh_13차 / - | 국내 소규모 ESS Site 직분사 / - / 2026</t>
        </is>
      </c>
      <c r="V907" s="21">
        <f>HYPERLINK("https://dart.fss.or.kr/dsaf001/main.do?rcpNo=20260813000372", "공시열람")</f>
        <v/>
      </c>
    </row>
    <row r="908">
      <c r="A908" s="5" t="inlineStr">
        <is>
          <t>유비씨</t>
        </is>
      </c>
      <c r="B908" s="6" t="inlineStr">
        <is>
          <t>495810</t>
        </is>
      </c>
      <c r="C908" s="6" t="inlineStr">
        <is>
          <t>2025Q4</t>
        </is>
      </c>
      <c r="D908" s="6" t="inlineStr">
        <is>
          <t>20260323</t>
        </is>
      </c>
      <c r="E908" s="16" t="n">
        <v>1942940</v>
      </c>
      <c r="F908" s="16" t="n">
        <v>1160275</v>
      </c>
      <c r="G908" s="16" t="n">
        <v>782665</v>
      </c>
      <c r="H908" s="6" t="inlineStr">
        <is>
          <t>천원</t>
        </is>
      </c>
      <c r="I908" s="17" t="n">
        <v>28.2</v>
      </c>
      <c r="J908" s="18" t="inlineStr"/>
      <c r="K908" s="19" t="inlineStr"/>
      <c r="L908" s="18" t="inlineStr"/>
      <c r="M908" s="19" t="n">
        <v>610375</v>
      </c>
      <c r="N908" s="18" t="inlineStr"/>
      <c r="O908" s="19" t="inlineStr"/>
      <c r="P908" s="18" t="inlineStr"/>
      <c r="Q908" s="19" t="n">
        <v>782665</v>
      </c>
      <c r="R908" s="18" t="inlineStr"/>
      <c r="S908" s="20" t="inlineStr"/>
      <c r="T908" s="6" t="n">
        <v>13</v>
      </c>
      <c r="U908" s="5" t="inlineStr">
        <is>
          <t>On-Premise DT / 2025-08-11 / 2 | On-Premise DT / 2025-10-15 / 2 | On-Premise DT / 2024-12-26 / 2</t>
        </is>
      </c>
      <c r="V908" s="21">
        <f>HYPERLINK("https://dart.fss.or.kr/dsaf001/main.do?rcpNo=20260323000238", "공시열람")</f>
        <v/>
      </c>
    </row>
    <row r="909">
      <c r="A909" s="5" t="inlineStr">
        <is>
          <t>본시스템즈</t>
        </is>
      </c>
      <c r="B909" s="6" t="inlineStr">
        <is>
          <t>496320</t>
        </is>
      </c>
      <c r="C909" s="6" t="inlineStr">
        <is>
          <t>2025Q4</t>
        </is>
      </c>
      <c r="D909" s="6" t="inlineStr">
        <is>
          <t>20260313</t>
        </is>
      </c>
      <c r="E909" s="16" t="inlineStr"/>
      <c r="F909" s="16" t="inlineStr"/>
      <c r="G909" s="16" t="n">
        <v>1221466</v>
      </c>
      <c r="H909" s="6" t="inlineStr">
        <is>
          <t>천원</t>
        </is>
      </c>
      <c r="I909" s="17" t="n">
        <v>-43.4</v>
      </c>
      <c r="J909" s="18" t="inlineStr"/>
      <c r="K909" s="19" t="inlineStr"/>
      <c r="L909" s="18" t="inlineStr"/>
      <c r="M909" s="19" t="n">
        <v>2156946</v>
      </c>
      <c r="N909" s="18" t="inlineStr"/>
      <c r="O909" s="19" t="inlineStr"/>
      <c r="P909" s="18" t="inlineStr"/>
      <c r="Q909" s="19" t="n">
        <v>1221466</v>
      </c>
      <c r="R909" s="18" t="inlineStr"/>
      <c r="S909" s="20" t="inlineStr"/>
      <c r="T909" s="6" t="n">
        <v>1</v>
      </c>
      <c r="U909" s="5" t="inlineStr">
        <is>
          <t>건설공사</t>
        </is>
      </c>
      <c r="V909" s="21">
        <f>HYPERLINK("https://dart.fss.or.kr/dsaf001/main.do?rcpNo=20260313001347", "공시열람")</f>
        <v/>
      </c>
    </row>
    <row r="910">
      <c r="A910" s="5" t="inlineStr">
        <is>
          <t>크리스탈신소재</t>
        </is>
      </c>
      <c r="B910" s="6" t="inlineStr">
        <is>
          <t>900250</t>
        </is>
      </c>
      <c r="C910" s="6" t="inlineStr">
        <is>
          <t>2023Q4</t>
        </is>
      </c>
      <c r="D910" s="6" t="inlineStr">
        <is>
          <t>20240422</t>
        </is>
      </c>
      <c r="E910" s="16" t="n">
        <v>52000000</v>
      </c>
      <c r="F910" s="16" t="n">
        <v>23200000</v>
      </c>
      <c r="G910" s="16" t="n">
        <v>28800000</v>
      </c>
      <c r="H910" s="6" t="inlineStr">
        <is>
          <t>kg,RMB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inlineStr"/>
      <c r="T910" s="6" t="n">
        <v>2</v>
      </c>
      <c r="U910" s="5" t="inlineStr">
        <is>
          <t>그래핀 파우더 / 2023.08.29 / 2024.03 | 그래핀 파우더 / 2023.10.18 / 2024.02</t>
        </is>
      </c>
      <c r="V910" s="21">
        <f>HYPERLINK("https://dart.fss.or.kr/dsaf001/main.do?rcpNo=20240422000050", "공시열람")</f>
        <v/>
      </c>
    </row>
    <row r="911">
      <c r="A911" s="5" t="inlineStr">
        <is>
          <t>오가닉티코스메틱</t>
        </is>
      </c>
      <c r="B911" s="6" t="inlineStr">
        <is>
          <t>900300</t>
        </is>
      </c>
      <c r="C911" s="6" t="inlineStr">
        <is>
          <t>2026Q2</t>
        </is>
      </c>
      <c r="D911" s="6" t="inlineStr">
        <is>
          <t>20260831</t>
        </is>
      </c>
      <c r="E911" s="16" t="n">
        <v>409698532</v>
      </c>
      <c r="F911" s="16" t="n">
        <v>409698532</v>
      </c>
      <c r="G911" s="16" t="n">
        <v>0</v>
      </c>
      <c r="H911" s="6" t="inlineStr">
        <is>
          <t>CNY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n">
        <v>0</v>
      </c>
      <c r="T911" s="6" t="n">
        <v>8</v>
      </c>
      <c r="U911" s="5" t="inlineStr">
        <is>
          <t>클렌징 화장품 / 2026.03.03~2026.06.3 | 여름용 화장품 / 2026.03.03~2026.06.3 | 기능성 화장품 / 2026.03.03~2026.06.3</t>
        </is>
      </c>
      <c r="V911" s="21">
        <f>HYPERLINK("https://dart.fss.or.kr/dsaf001/main.do?rcpNo=20260831001530", "공시열람")</f>
        <v/>
      </c>
    </row>
    <row r="912">
      <c r="A912" s="5" t="inlineStr">
        <is>
          <t>컬러레이</t>
        </is>
      </c>
      <c r="B912" s="6" t="inlineStr">
        <is>
          <t>900310</t>
        </is>
      </c>
      <c r="C912" s="6" t="inlineStr">
        <is>
          <t>2026Q2</t>
        </is>
      </c>
      <c r="D912" s="6" t="inlineStr">
        <is>
          <t>20260825</t>
        </is>
      </c>
      <c r="E912" s="16" t="n">
        <v>17388650</v>
      </c>
      <c r="F912" s="16" t="inlineStr"/>
      <c r="G912" s="16" t="n">
        <v>17635917</v>
      </c>
      <c r="H912" s="6" t="inlineStr">
        <is>
          <t>RMB</t>
        </is>
      </c>
      <c r="I912" s="17" t="n">
        <v>0</v>
      </c>
      <c r="J912" s="18" t="n">
        <v>18915869</v>
      </c>
      <c r="K912" s="19" t="n">
        <v>18915869</v>
      </c>
      <c r="L912" s="18" t="n">
        <v>18915869</v>
      </c>
      <c r="M912" s="19" t="n">
        <v>18915869</v>
      </c>
      <c r="N912" s="18" t="n">
        <v>17571498</v>
      </c>
      <c r="O912" s="19" t="n">
        <v>17571498</v>
      </c>
      <c r="P912" s="18" t="inlineStr"/>
      <c r="Q912" s="19" t="n">
        <v>17571498</v>
      </c>
      <c r="R912" s="18" t="n">
        <v>17635917</v>
      </c>
      <c r="S912" s="20" t="n">
        <v>17635917</v>
      </c>
      <c r="T912" s="6" t="n">
        <v>10</v>
      </c>
      <c r="U912" s="5" t="inlineStr">
        <is>
          <t>골든시리즈 | 실버화이트시리즈 | 색조컬러시리즈</t>
        </is>
      </c>
      <c r="V912" s="21">
        <f>HYPERLINK("https://dart.fss.or.kr/dsaf001/main.do?rcpNo=20260825000446", "공시열람")</f>
        <v/>
      </c>
    </row>
    <row r="913">
      <c r="A913" s="5" t="inlineStr">
        <is>
          <t>윙입푸드</t>
        </is>
      </c>
      <c r="B913" s="6" t="inlineStr">
        <is>
          <t>900340</t>
        </is>
      </c>
      <c r="C913" s="6" t="inlineStr">
        <is>
          <t>2026Q2</t>
        </is>
      </c>
      <c r="D913" s="6" t="inlineStr">
        <is>
          <t>20260831</t>
        </is>
      </c>
      <c r="E913" s="16" t="n">
        <v>436831792</v>
      </c>
      <c r="F913" s="16" t="n">
        <v>436831792</v>
      </c>
      <c r="G913" s="16" t="n">
        <v>0</v>
      </c>
      <c r="H913" s="6" t="inlineStr">
        <is>
          <t>KG,RMB</t>
        </is>
      </c>
      <c r="I913" s="17" t="inlineStr"/>
      <c r="J913" s="18" t="n">
        <v>0</v>
      </c>
      <c r="K913" s="19" t="n">
        <v>0</v>
      </c>
      <c r="L913" s="18" t="n">
        <v>0</v>
      </c>
      <c r="M913" s="19" t="n">
        <v>0</v>
      </c>
      <c r="N913" s="18" t="n">
        <v>0</v>
      </c>
      <c r="O913" s="19" t="n">
        <v>0</v>
      </c>
      <c r="P913" s="18" t="inlineStr"/>
      <c r="Q913" s="19" t="n">
        <v>0</v>
      </c>
      <c r="R913" s="18" t="n">
        <v>0</v>
      </c>
      <c r="S913" s="20" t="n">
        <v>0</v>
      </c>
      <c r="T913" s="6" t="n">
        <v>3</v>
      </c>
      <c r="U913" s="5" t="inlineStr">
        <is>
          <t>전통식품 / 2026.01.01~2026.06.30 | 간편식품 / 2026.01.01~2026.06.30 | 냉동식품 / 2026.01.01~2026.06.30</t>
        </is>
      </c>
      <c r="V913" s="21">
        <f>HYPERLINK("https://dart.fss.or.kr/dsaf001/main.do?rcpNo=20260831001473", "공시열람")</f>
        <v/>
      </c>
    </row>
    <row r="914">
      <c r="A914" s="5" t="inlineStr">
        <is>
          <t>프레스티지바이오파마</t>
        </is>
      </c>
      <c r="B914" s="6" t="inlineStr">
        <is>
          <t>950210</t>
        </is>
      </c>
      <c r="C914" s="6" t="inlineStr">
        <is>
          <t>2026Q2</t>
        </is>
      </c>
      <c r="D914" s="6" t="inlineStr">
        <is>
          <t>20260922</t>
        </is>
      </c>
      <c r="E914" s="16" t="n">
        <v>33539987</v>
      </c>
      <c r="F914" s="16" t="n">
        <v>14208431</v>
      </c>
      <c r="G914" s="16" t="n">
        <v>9722962</v>
      </c>
      <c r="H914" s="6" t="inlineStr">
        <is>
          <t>USD</t>
        </is>
      </c>
      <c r="I914" s="17" t="n">
        <v>1028.7</v>
      </c>
      <c r="J914" s="18" t="n">
        <v>136320000</v>
      </c>
      <c r="K914" s="19" t="n">
        <v>136320000</v>
      </c>
      <c r="L914" s="18" t="n">
        <v>136320000</v>
      </c>
      <c r="M914" s="19" t="n">
        <v>141071840</v>
      </c>
      <c r="N914" s="18" t="n">
        <v>141321730</v>
      </c>
      <c r="O914" s="19" t="n">
        <v>149592656</v>
      </c>
      <c r="P914" s="18" t="inlineStr"/>
      <c r="Q914" s="19" t="n">
        <v>48008</v>
      </c>
      <c r="R914" s="18" t="n">
        <v>861413</v>
      </c>
      <c r="S914" s="20" t="n">
        <v>9722962</v>
      </c>
      <c r="T914" s="6" t="n">
        <v>5</v>
      </c>
      <c r="U914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14" s="21">
        <f>HYPERLINK("https://dart.fss.or.kr/dsaf001/main.do?rcpNo=20260921000435", "공시열람")</f>
        <v/>
      </c>
    </row>
  </sheetData>
  <autoFilter ref="A1:V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2026-10-02T12:35:35Z</dcterms:created>
  <dcterms:modified xmlns:dcterms="http://purl.org/dc/terms/" xmlns:xsi="http://www.w3.org/2001/XMLSchema-instance" xsi:type="dcterms:W3CDTF">2026-10-02T12:35:38Z</dcterms:modified>
</cp:coreProperties>
</file>